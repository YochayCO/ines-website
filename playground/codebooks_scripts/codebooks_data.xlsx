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596DBB44-6B5B-4F32-852A-C450394C7395}" xr6:coauthVersionLast="47" xr6:coauthVersionMax="47" xr10:uidLastSave="{00000000-0000-0000-0000-000000000000}"/>
  <bookViews>
    <workbookView xWindow="-108" yWindow="-108" windowWidth="23256" windowHeight="12456" activeTab="2" xr2:uid="{00000000-000D-0000-FFFF-FFFF00000000}"/>
  </bookViews>
  <sheets>
    <sheet name="codebooks_data" sheetId="1" r:id="rId1"/>
    <sheet name="codebooks_data_reordered" sheetId="3" r:id="rId2"/>
    <sheet name="comment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O7" i="2" s="1"/>
  <c r="M8" i="2"/>
  <c r="O8" i="2" s="1"/>
  <c r="M9" i="2"/>
  <c r="M10" i="2"/>
  <c r="M11" i="2"/>
  <c r="M12" i="2"/>
  <c r="M13" i="2"/>
  <c r="M14" i="2"/>
  <c r="M15" i="2"/>
  <c r="M16" i="2"/>
  <c r="O16" i="2" s="1"/>
  <c r="M17" i="2"/>
  <c r="O17" i="2" s="1"/>
  <c r="M18" i="2"/>
  <c r="M19" i="2"/>
  <c r="M20" i="2"/>
  <c r="M21" i="2"/>
  <c r="M22" i="2"/>
  <c r="M23" i="2"/>
  <c r="O23" i="2" s="1"/>
  <c r="M24" i="2"/>
  <c r="O24" i="2" s="1"/>
  <c r="M25" i="2"/>
  <c r="M26" i="2"/>
  <c r="M27" i="2"/>
  <c r="M28" i="2"/>
  <c r="M29" i="2"/>
  <c r="M30" i="2"/>
  <c r="M31" i="2"/>
  <c r="M32" i="2"/>
  <c r="O32" i="2" s="1"/>
  <c r="M33" i="2"/>
  <c r="M34" i="2"/>
  <c r="M35" i="2"/>
  <c r="M36" i="2"/>
  <c r="M37" i="2"/>
  <c r="M38" i="2"/>
  <c r="M39" i="2"/>
  <c r="M40" i="2"/>
  <c r="O40" i="2" s="1"/>
  <c r="M41" i="2"/>
  <c r="M42" i="2"/>
  <c r="M43" i="2"/>
  <c r="M44" i="2"/>
  <c r="M45" i="2"/>
  <c r="M46" i="2"/>
  <c r="M47" i="2"/>
  <c r="M48" i="2"/>
  <c r="O48" i="2" s="1"/>
  <c r="M49" i="2"/>
  <c r="M50" i="2"/>
  <c r="M51" i="2"/>
  <c r="M52" i="2"/>
  <c r="M53" i="2"/>
  <c r="M54" i="2"/>
  <c r="M55" i="2"/>
  <c r="M56" i="2"/>
  <c r="O56" i="2" s="1"/>
  <c r="M57" i="2"/>
  <c r="O57" i="2" s="1"/>
  <c r="M58" i="2"/>
  <c r="M59" i="2"/>
  <c r="M60" i="2"/>
  <c r="M61" i="2"/>
  <c r="O61" i="2" s="1"/>
  <c r="M62" i="2"/>
  <c r="M63" i="2"/>
  <c r="M64" i="2"/>
  <c r="O64" i="2" s="1"/>
  <c r="M65" i="2"/>
  <c r="O65" i="2" s="1"/>
  <c r="M66" i="2"/>
  <c r="M67" i="2"/>
  <c r="M68" i="2"/>
  <c r="M69" i="2"/>
  <c r="M70" i="2"/>
  <c r="M71" i="2"/>
  <c r="O71" i="2" s="1"/>
  <c r="M72" i="2"/>
  <c r="O72" i="2" s="1"/>
  <c r="M73" i="2"/>
  <c r="O73" i="2" s="1"/>
  <c r="M74" i="2"/>
  <c r="M75" i="2"/>
  <c r="M76" i="2"/>
  <c r="M77" i="2"/>
  <c r="M78" i="2"/>
  <c r="M79" i="2"/>
  <c r="M80" i="2"/>
  <c r="O80" i="2" s="1"/>
  <c r="M81" i="2"/>
  <c r="O81" i="2" s="1"/>
  <c r="M82" i="2"/>
  <c r="M83" i="2"/>
  <c r="M84" i="2"/>
  <c r="M85" i="2"/>
  <c r="M86" i="2"/>
  <c r="M87" i="2"/>
  <c r="M88" i="2"/>
  <c r="O88" i="2" s="1"/>
  <c r="M89" i="2"/>
  <c r="M90" i="2"/>
  <c r="M91" i="2"/>
  <c r="M92" i="2"/>
  <c r="M93" i="2"/>
  <c r="O93" i="2" s="1"/>
  <c r="M94" i="2"/>
  <c r="M95" i="2"/>
  <c r="O95" i="2" s="1"/>
  <c r="M96" i="2"/>
  <c r="O96" i="2" s="1"/>
  <c r="M97" i="2"/>
  <c r="M98" i="2"/>
  <c r="M99" i="2"/>
  <c r="M100" i="2"/>
  <c r="M101" i="2"/>
  <c r="M102" i="2"/>
  <c r="M103" i="2"/>
  <c r="O103" i="2" s="1"/>
  <c r="M104" i="2"/>
  <c r="O104" i="2" s="1"/>
  <c r="M105" i="2"/>
  <c r="M106" i="2"/>
  <c r="M107" i="2"/>
  <c r="O107" i="2" s="1"/>
  <c r="M108" i="2"/>
  <c r="M109" i="2"/>
  <c r="M110" i="2"/>
  <c r="M111" i="2"/>
  <c r="M112" i="2"/>
  <c r="O112" i="2" s="1"/>
  <c r="M113" i="2"/>
  <c r="O113" i="2" s="1"/>
  <c r="M114" i="2"/>
  <c r="M115" i="2"/>
  <c r="O115" i="2" s="1"/>
  <c r="M116" i="2"/>
  <c r="M117" i="2"/>
  <c r="M118" i="2"/>
  <c r="M119" i="2"/>
  <c r="O119" i="2" s="1"/>
  <c r="M120" i="2"/>
  <c r="O120" i="2" s="1"/>
  <c r="M121" i="2"/>
  <c r="O121" i="2" s="1"/>
  <c r="M122" i="2"/>
  <c r="O122" i="2" s="1"/>
  <c r="M123" i="2"/>
  <c r="O123" i="2" s="1"/>
  <c r="M124" i="2"/>
  <c r="M125" i="2"/>
  <c r="M126" i="2"/>
  <c r="M127" i="2"/>
  <c r="O127" i="2" s="1"/>
  <c r="M128" i="2"/>
  <c r="O128" i="2" s="1"/>
  <c r="M129" i="2"/>
  <c r="O129" i="2" s="1"/>
  <c r="M130" i="2"/>
  <c r="O130" i="2" s="1"/>
  <c r="M131" i="2"/>
  <c r="O131" i="2" s="1"/>
  <c r="M132" i="2"/>
  <c r="O132" i="2" s="1"/>
  <c r="M133" i="2"/>
  <c r="M134" i="2"/>
  <c r="O134" i="2" s="1"/>
  <c r="M135" i="2"/>
  <c r="O135" i="2" s="1"/>
  <c r="M136" i="2"/>
  <c r="O136" i="2" s="1"/>
  <c r="M137" i="2"/>
  <c r="O137" i="2" s="1"/>
  <c r="M138" i="2"/>
  <c r="O138" i="2" s="1"/>
  <c r="M139" i="2"/>
  <c r="O139" i="2" s="1"/>
  <c r="M140" i="2"/>
  <c r="M141" i="2"/>
  <c r="O141" i="2" s="1"/>
  <c r="M142" i="2"/>
  <c r="M143" i="2"/>
  <c r="O143" i="2" s="1"/>
  <c r="M144" i="2"/>
  <c r="O144" i="2" s="1"/>
  <c r="M145" i="2"/>
  <c r="O145" i="2" s="1"/>
  <c r="M146" i="2"/>
  <c r="O146" i="2" s="1"/>
  <c r="M147" i="2"/>
  <c r="O147" i="2" s="1"/>
  <c r="M148" i="2"/>
  <c r="O148" i="2" s="1"/>
  <c r="M149" i="2"/>
  <c r="O149" i="2" s="1"/>
  <c r="M150" i="2"/>
  <c r="O150" i="2" s="1"/>
  <c r="M151" i="2"/>
  <c r="O151" i="2" s="1"/>
  <c r="M152" i="2"/>
  <c r="O152" i="2" s="1"/>
  <c r="M153" i="2"/>
  <c r="O153" i="2" s="1"/>
  <c r="M154" i="2"/>
  <c r="O154" i="2" s="1"/>
  <c r="M155" i="2"/>
  <c r="O155" i="2" s="1"/>
  <c r="M156" i="2"/>
  <c r="O156" i="2" s="1"/>
  <c r="M157" i="2"/>
  <c r="O157" i="2" s="1"/>
  <c r="M158" i="2"/>
  <c r="M159" i="2"/>
  <c r="O159" i="2" s="1"/>
  <c r="M160" i="2"/>
  <c r="O160" i="2" s="1"/>
  <c r="M161" i="2"/>
  <c r="O161" i="2" s="1"/>
  <c r="M162" i="2"/>
  <c r="O162" i="2" s="1"/>
  <c r="M163" i="2"/>
  <c r="O163" i="2" s="1"/>
  <c r="M164" i="2"/>
  <c r="O164" i="2" s="1"/>
  <c r="M165" i="2"/>
  <c r="O165" i="2" s="1"/>
  <c r="M166" i="2"/>
  <c r="M167" i="2"/>
  <c r="O167" i="2" s="1"/>
  <c r="M168" i="2"/>
  <c r="O168" i="2" s="1"/>
  <c r="M169" i="2"/>
  <c r="O169" i="2" s="1"/>
  <c r="M170" i="2"/>
  <c r="O170" i="2" s="1"/>
  <c r="M171" i="2"/>
  <c r="O171" i="2" s="1"/>
  <c r="M172" i="2"/>
  <c r="M173" i="2"/>
  <c r="O173" i="2" s="1"/>
  <c r="M174" i="2"/>
  <c r="O174" i="2" s="1"/>
  <c r="M175" i="2"/>
  <c r="O175" i="2" s="1"/>
  <c r="M176" i="2"/>
  <c r="O176" i="2" s="1"/>
  <c r="M177" i="2"/>
  <c r="O177" i="2" s="1"/>
  <c r="M178" i="2"/>
  <c r="O178" i="2" s="1"/>
  <c r="M179" i="2"/>
  <c r="O179" i="2" s="1"/>
  <c r="M180" i="2"/>
  <c r="O180" i="2" s="1"/>
  <c r="M181" i="2"/>
  <c r="O181" i="2" s="1"/>
  <c r="M182" i="2"/>
  <c r="M183" i="2"/>
  <c r="O183" i="2" s="1"/>
  <c r="M184" i="2"/>
  <c r="O184" i="2" s="1"/>
  <c r="M185" i="2"/>
  <c r="O185" i="2" s="1"/>
  <c r="M186" i="2"/>
  <c r="O186" i="2" s="1"/>
  <c r="M187" i="2"/>
  <c r="O187" i="2" s="1"/>
  <c r="M188" i="2"/>
  <c r="O188" i="2" s="1"/>
  <c r="M189" i="2"/>
  <c r="O189" i="2" s="1"/>
  <c r="M190" i="2"/>
  <c r="O190" i="2" s="1"/>
  <c r="M191" i="2"/>
  <c r="O191" i="2" s="1"/>
  <c r="M192" i="2"/>
  <c r="O192" i="2" s="1"/>
  <c r="M193" i="2"/>
  <c r="O193" i="2" s="1"/>
  <c r="M194" i="2"/>
  <c r="O194" i="2" s="1"/>
  <c r="M195" i="2"/>
  <c r="O195" i="2" s="1"/>
  <c r="M196" i="2"/>
  <c r="O196" i="2" s="1"/>
  <c r="M197" i="2"/>
  <c r="O197" i="2" s="1"/>
  <c r="M198" i="2"/>
  <c r="O198" i="2" s="1"/>
  <c r="M199" i="2"/>
  <c r="O199" i="2" s="1"/>
  <c r="M200" i="2"/>
  <c r="O200" i="2" s="1"/>
  <c r="M201" i="2"/>
  <c r="O201" i="2" s="1"/>
  <c r="M202" i="2"/>
  <c r="O202" i="2" s="1"/>
  <c r="M203" i="2"/>
  <c r="O203" i="2" s="1"/>
  <c r="M204" i="2"/>
  <c r="O204" i="2" s="1"/>
  <c r="M205" i="2"/>
  <c r="O205" i="2" s="1"/>
  <c r="M206" i="2"/>
  <c r="M207" i="2"/>
  <c r="O207" i="2" s="1"/>
  <c r="M208" i="2"/>
  <c r="O208" i="2" s="1"/>
  <c r="M209" i="2"/>
  <c r="O209" i="2" s="1"/>
  <c r="M210" i="2"/>
  <c r="O210" i="2" s="1"/>
  <c r="M211" i="2"/>
  <c r="O211" i="2" s="1"/>
  <c r="M212" i="2"/>
  <c r="O212" i="2" s="1"/>
  <c r="M213" i="2"/>
  <c r="O213" i="2" s="1"/>
  <c r="M214" i="2"/>
  <c r="O214" i="2" s="1"/>
  <c r="M215" i="2"/>
  <c r="O215" i="2" s="1"/>
  <c r="M216" i="2"/>
  <c r="O216" i="2" s="1"/>
  <c r="M217" i="2"/>
  <c r="O217" i="2" s="1"/>
  <c r="M218" i="2"/>
  <c r="O218" i="2" s="1"/>
  <c r="M219" i="2"/>
  <c r="O219" i="2" s="1"/>
  <c r="M220" i="2"/>
  <c r="O220" i="2" s="1"/>
  <c r="M221" i="2"/>
  <c r="O221" i="2" s="1"/>
  <c r="M222" i="2"/>
  <c r="M223" i="2"/>
  <c r="O223" i="2" s="1"/>
  <c r="M224" i="2"/>
  <c r="O224" i="2" s="1"/>
  <c r="M225" i="2"/>
  <c r="O225" i="2" s="1"/>
  <c r="M226" i="2"/>
  <c r="O226" i="2" s="1"/>
  <c r="M227" i="2"/>
  <c r="O227" i="2" s="1"/>
  <c r="M228" i="2"/>
  <c r="O228" i="2" s="1"/>
  <c r="M229" i="2"/>
  <c r="O229" i="2" s="1"/>
  <c r="M230" i="2"/>
  <c r="O230" i="2" s="1"/>
  <c r="M231" i="2"/>
  <c r="O231" i="2" s="1"/>
  <c r="M232" i="2"/>
  <c r="O232" i="2" s="1"/>
  <c r="M233" i="2"/>
  <c r="O233" i="2" s="1"/>
  <c r="M234" i="2"/>
  <c r="O234" i="2" s="1"/>
  <c r="M235" i="2"/>
  <c r="O235" i="2" s="1"/>
  <c r="M236" i="2"/>
  <c r="O236" i="2" s="1"/>
  <c r="M237" i="2"/>
  <c r="O237" i="2" s="1"/>
  <c r="M238" i="2"/>
  <c r="M239" i="2"/>
  <c r="O239" i="2" s="1"/>
  <c r="M240" i="2"/>
  <c r="O240" i="2" s="1"/>
  <c r="M241" i="2"/>
  <c r="O241" i="2" s="1"/>
  <c r="M242" i="2"/>
  <c r="O242" i="2" s="1"/>
  <c r="M243" i="2"/>
  <c r="O243" i="2" s="1"/>
  <c r="M244" i="2"/>
  <c r="O244" i="2" s="1"/>
  <c r="M245" i="2"/>
  <c r="O245" i="2" s="1"/>
  <c r="M246" i="2"/>
  <c r="O246" i="2" s="1"/>
  <c r="M247" i="2"/>
  <c r="O247" i="2" s="1"/>
  <c r="M248" i="2"/>
  <c r="O248" i="2" s="1"/>
  <c r="M249" i="2"/>
  <c r="O249" i="2" s="1"/>
  <c r="M250" i="2"/>
  <c r="O250" i="2" s="1"/>
  <c r="M251" i="2"/>
  <c r="O251" i="2" s="1"/>
  <c r="M252" i="2"/>
  <c r="O252" i="2" s="1"/>
  <c r="M253" i="2"/>
  <c r="O253" i="2" s="1"/>
  <c r="M254" i="2"/>
  <c r="M255" i="2"/>
  <c r="O255" i="2" s="1"/>
  <c r="M256" i="2"/>
  <c r="O256" i="2" s="1"/>
  <c r="M257" i="2"/>
  <c r="O257" i="2" s="1"/>
  <c r="M258" i="2"/>
  <c r="O258" i="2" s="1"/>
  <c r="M259" i="2"/>
  <c r="O259" i="2" s="1"/>
  <c r="M260" i="2"/>
  <c r="O260" i="2" s="1"/>
  <c r="M261" i="2"/>
  <c r="O261" i="2" s="1"/>
  <c r="M262" i="2"/>
  <c r="O262" i="2" s="1"/>
  <c r="M263" i="2"/>
  <c r="O263" i="2" s="1"/>
  <c r="M264" i="2"/>
  <c r="O264" i="2" s="1"/>
  <c r="M265" i="2"/>
  <c r="O265" i="2" s="1"/>
  <c r="M266" i="2"/>
  <c r="O266" i="2" s="1"/>
  <c r="M267" i="2"/>
  <c r="O267" i="2" s="1"/>
  <c r="M268" i="2"/>
  <c r="O268" i="2" s="1"/>
  <c r="M269" i="2"/>
  <c r="O269" i="2" s="1"/>
  <c r="M270" i="2"/>
  <c r="O270" i="2" s="1"/>
  <c r="M271" i="2"/>
  <c r="O271" i="2" s="1"/>
  <c r="M272" i="2"/>
  <c r="O272" i="2" s="1"/>
  <c r="M273" i="2"/>
  <c r="O273" i="2" s="1"/>
  <c r="M274" i="2"/>
  <c r="O274" i="2" s="1"/>
  <c r="M275" i="2"/>
  <c r="O275" i="2" s="1"/>
  <c r="M276" i="2"/>
  <c r="O276" i="2" s="1"/>
  <c r="M277" i="2"/>
  <c r="O277" i="2" s="1"/>
  <c r="M278" i="2"/>
  <c r="O278" i="2" s="1"/>
  <c r="M279" i="2"/>
  <c r="O279" i="2" s="1"/>
  <c r="M280" i="2"/>
  <c r="O280" i="2" s="1"/>
  <c r="M281" i="2"/>
  <c r="O281" i="2" s="1"/>
  <c r="M282" i="2"/>
  <c r="O282" i="2" s="1"/>
  <c r="M283" i="2"/>
  <c r="O283" i="2" s="1"/>
  <c r="M284" i="2"/>
  <c r="M285" i="2"/>
  <c r="O285" i="2" s="1"/>
  <c r="M286" i="2"/>
  <c r="O286" i="2" s="1"/>
  <c r="M287" i="2"/>
  <c r="O287" i="2" s="1"/>
  <c r="M288" i="2"/>
  <c r="O288" i="2" s="1"/>
  <c r="M289" i="2"/>
  <c r="O289" i="2" s="1"/>
  <c r="M290" i="2"/>
  <c r="O290" i="2" s="1"/>
  <c r="M291" i="2"/>
  <c r="O291" i="2" s="1"/>
  <c r="M292" i="2"/>
  <c r="O292" i="2" s="1"/>
  <c r="M293" i="2"/>
  <c r="O293" i="2" s="1"/>
  <c r="M294" i="2"/>
  <c r="O294" i="2" s="1"/>
  <c r="M295" i="2"/>
  <c r="O295" i="2" s="1"/>
  <c r="M296" i="2"/>
  <c r="O296" i="2" s="1"/>
  <c r="M297" i="2"/>
  <c r="O297" i="2" s="1"/>
  <c r="M298" i="2"/>
  <c r="O298" i="2" s="1"/>
  <c r="M299" i="2"/>
  <c r="O299" i="2" s="1"/>
  <c r="M300" i="2"/>
  <c r="O300" i="2" s="1"/>
  <c r="M301" i="2"/>
  <c r="O301" i="2" s="1"/>
  <c r="M302" i="2"/>
  <c r="M303" i="2"/>
  <c r="O303" i="2" s="1"/>
  <c r="M304" i="2"/>
  <c r="O304" i="2" s="1"/>
  <c r="M305" i="2"/>
  <c r="O305" i="2" s="1"/>
  <c r="M306" i="2"/>
  <c r="O306" i="2" s="1"/>
  <c r="M307" i="2"/>
  <c r="O307" i="2" s="1"/>
  <c r="M308" i="2"/>
  <c r="O308" i="2" s="1"/>
  <c r="M309" i="2"/>
  <c r="O309" i="2" s="1"/>
  <c r="M310" i="2"/>
  <c r="O310" i="2" s="1"/>
  <c r="M311" i="2"/>
  <c r="O311" i="2" s="1"/>
  <c r="M312" i="2"/>
  <c r="O312" i="2" s="1"/>
  <c r="M313" i="2"/>
  <c r="O313" i="2" s="1"/>
  <c r="M314" i="2"/>
  <c r="O314" i="2" s="1"/>
  <c r="M315" i="2"/>
  <c r="O315" i="2" s="1"/>
  <c r="M316" i="2"/>
  <c r="O316" i="2" s="1"/>
  <c r="M317" i="2"/>
  <c r="O317" i="2" s="1"/>
  <c r="M318" i="2"/>
  <c r="O318" i="2" s="1"/>
  <c r="M319" i="2"/>
  <c r="O319" i="2" s="1"/>
  <c r="M320" i="2"/>
  <c r="O320" i="2" s="1"/>
  <c r="M321" i="2"/>
  <c r="O321" i="2" s="1"/>
  <c r="M322" i="2"/>
  <c r="O322" i="2" s="1"/>
  <c r="M323" i="2"/>
  <c r="O323" i="2" s="1"/>
  <c r="M324" i="2"/>
  <c r="O324" i="2" s="1"/>
  <c r="M325" i="2"/>
  <c r="O325" i="2" s="1"/>
  <c r="M326" i="2"/>
  <c r="O326" i="2" s="1"/>
  <c r="M327" i="2"/>
  <c r="O327" i="2" s="1"/>
  <c r="M328" i="2"/>
  <c r="O328" i="2" s="1"/>
  <c r="M329" i="2"/>
  <c r="O329" i="2" s="1"/>
  <c r="M330" i="2"/>
  <c r="O330" i="2" s="1"/>
  <c r="M331" i="2"/>
  <c r="O331" i="2" s="1"/>
  <c r="M332" i="2"/>
  <c r="O332" i="2" s="1"/>
  <c r="M333" i="2"/>
  <c r="O333" i="2" s="1"/>
  <c r="M334" i="2"/>
  <c r="O334" i="2" s="1"/>
  <c r="M335" i="2"/>
  <c r="O335" i="2" s="1"/>
  <c r="M336" i="2"/>
  <c r="O336" i="2" s="1"/>
  <c r="M337" i="2"/>
  <c r="O337" i="2" s="1"/>
  <c r="M338" i="2"/>
  <c r="O338" i="2" s="1"/>
  <c r="M339" i="2"/>
  <c r="O339" i="2" s="1"/>
  <c r="M340" i="2"/>
  <c r="O340" i="2" s="1"/>
  <c r="M341" i="2"/>
  <c r="O341" i="2" s="1"/>
  <c r="M342" i="2"/>
  <c r="O342" i="2" s="1"/>
  <c r="M343" i="2"/>
  <c r="O343" i="2" s="1"/>
  <c r="M344" i="2"/>
  <c r="O344" i="2" s="1"/>
  <c r="M345" i="2"/>
  <c r="O345" i="2" s="1"/>
  <c r="M346" i="2"/>
  <c r="O346" i="2" s="1"/>
  <c r="M347" i="2"/>
  <c r="O347" i="2" s="1"/>
  <c r="M348" i="2"/>
  <c r="O348" i="2" s="1"/>
  <c r="M349" i="2"/>
  <c r="O349" i="2" s="1"/>
  <c r="M350" i="2"/>
  <c r="O350" i="2" s="1"/>
  <c r="M351" i="2"/>
  <c r="O351" i="2" s="1"/>
  <c r="M352" i="2"/>
  <c r="O352" i="2" s="1"/>
  <c r="M353" i="2"/>
  <c r="O353" i="2" s="1"/>
  <c r="M354" i="2"/>
  <c r="O354" i="2" s="1"/>
  <c r="M355" i="2"/>
  <c r="O355" i="2" s="1"/>
  <c r="M356" i="2"/>
  <c r="M357" i="2"/>
  <c r="O357" i="2" s="1"/>
  <c r="M358" i="2"/>
  <c r="M359" i="2"/>
  <c r="O359" i="2" s="1"/>
  <c r="M360" i="2"/>
  <c r="O360" i="2" s="1"/>
  <c r="M361" i="2"/>
  <c r="O361" i="2" s="1"/>
  <c r="M362" i="2"/>
  <c r="O362" i="2" s="1"/>
  <c r="M363" i="2"/>
  <c r="O363" i="2" s="1"/>
  <c r="M364" i="2"/>
  <c r="O364" i="2" s="1"/>
  <c r="M365" i="2"/>
  <c r="O365" i="2" s="1"/>
  <c r="M366" i="2"/>
  <c r="O366" i="2" s="1"/>
  <c r="M367" i="2"/>
  <c r="O367" i="2" s="1"/>
  <c r="M368" i="2"/>
  <c r="O368" i="2" s="1"/>
  <c r="M369" i="2"/>
  <c r="O369" i="2" s="1"/>
  <c r="M370" i="2"/>
  <c r="O370" i="2" s="1"/>
  <c r="M371" i="2"/>
  <c r="O371" i="2" s="1"/>
  <c r="M372" i="2"/>
  <c r="O372" i="2" s="1"/>
  <c r="M373" i="2"/>
  <c r="O373" i="2" s="1"/>
  <c r="M374" i="2"/>
  <c r="O374" i="2" s="1"/>
  <c r="M375" i="2"/>
  <c r="O375" i="2" s="1"/>
  <c r="M376" i="2"/>
  <c r="O376" i="2" s="1"/>
  <c r="M377" i="2"/>
  <c r="O377" i="2" s="1"/>
  <c r="M378" i="2"/>
  <c r="O378" i="2" s="1"/>
  <c r="M379" i="2"/>
  <c r="O379" i="2" s="1"/>
  <c r="M380" i="2"/>
  <c r="O380" i="2" s="1"/>
  <c r="M381" i="2"/>
  <c r="O381" i="2" s="1"/>
  <c r="M382" i="2"/>
  <c r="O382" i="2" s="1"/>
  <c r="M383" i="2"/>
  <c r="O383" i="2" s="1"/>
  <c r="M384" i="2"/>
  <c r="O384" i="2" s="1"/>
  <c r="M385" i="2"/>
  <c r="O385" i="2" s="1"/>
  <c r="M386" i="2"/>
  <c r="O386" i="2" s="1"/>
  <c r="M387" i="2"/>
  <c r="O387" i="2" s="1"/>
  <c r="M388" i="2"/>
  <c r="O388" i="2" s="1"/>
  <c r="M389" i="2"/>
  <c r="O389" i="2" s="1"/>
  <c r="M390" i="2"/>
  <c r="O390" i="2" s="1"/>
  <c r="M391" i="2"/>
  <c r="O391" i="2" s="1"/>
  <c r="M392" i="2"/>
  <c r="O392" i="2" s="1"/>
  <c r="M393" i="2"/>
  <c r="O393" i="2" s="1"/>
  <c r="M394" i="2"/>
  <c r="O394" i="2" s="1"/>
  <c r="M395" i="2"/>
  <c r="O395" i="2" s="1"/>
  <c r="M396" i="2"/>
  <c r="O396" i="2" s="1"/>
  <c r="M397" i="2"/>
  <c r="O397" i="2" s="1"/>
  <c r="M398" i="2"/>
  <c r="O398" i="2" s="1"/>
  <c r="M399" i="2"/>
  <c r="O399" i="2" s="1"/>
  <c r="M400" i="2"/>
  <c r="O400" i="2" s="1"/>
  <c r="M401" i="2"/>
  <c r="O401" i="2" s="1"/>
  <c r="M402" i="2"/>
  <c r="O402" i="2" s="1"/>
  <c r="M403" i="2"/>
  <c r="O403" i="2" s="1"/>
  <c r="M404" i="2"/>
  <c r="O404" i="2" s="1"/>
  <c r="M405" i="2"/>
  <c r="O405" i="2" s="1"/>
  <c r="M406" i="2"/>
  <c r="O406" i="2" s="1"/>
  <c r="M407" i="2"/>
  <c r="O407" i="2" s="1"/>
  <c r="M408" i="2"/>
  <c r="O408" i="2" s="1"/>
  <c r="M409" i="2"/>
  <c r="O409" i="2" s="1"/>
  <c r="M410" i="2"/>
  <c r="O410" i="2" s="1"/>
  <c r="M411" i="2"/>
  <c r="O411" i="2" s="1"/>
  <c r="M412" i="2"/>
  <c r="O412" i="2" s="1"/>
  <c r="M413" i="2"/>
  <c r="O413" i="2" s="1"/>
  <c r="M414" i="2"/>
  <c r="O414" i="2" s="1"/>
  <c r="M415" i="2"/>
  <c r="O415" i="2" s="1"/>
  <c r="M416" i="2"/>
  <c r="O416" i="2" s="1"/>
  <c r="M417" i="2"/>
  <c r="O417" i="2" s="1"/>
  <c r="M418" i="2"/>
  <c r="O418" i="2" s="1"/>
  <c r="M419" i="2"/>
  <c r="O419" i="2" s="1"/>
  <c r="M420" i="2"/>
  <c r="O420" i="2" s="1"/>
  <c r="M421" i="2"/>
  <c r="O421" i="2" s="1"/>
  <c r="M422" i="2"/>
  <c r="O422" i="2" s="1"/>
  <c r="M423" i="2"/>
  <c r="O423" i="2" s="1"/>
  <c r="M424" i="2"/>
  <c r="O424" i="2" s="1"/>
  <c r="M425" i="2"/>
  <c r="O425" i="2" s="1"/>
  <c r="M426" i="2"/>
  <c r="O426" i="2" s="1"/>
  <c r="M427" i="2"/>
  <c r="O427" i="2" s="1"/>
  <c r="M428" i="2"/>
  <c r="O428" i="2" s="1"/>
  <c r="M429" i="2"/>
  <c r="O429" i="2" s="1"/>
  <c r="M430" i="2"/>
  <c r="O430" i="2" s="1"/>
  <c r="M431" i="2"/>
  <c r="O431" i="2" s="1"/>
  <c r="M432" i="2"/>
  <c r="O432" i="2" s="1"/>
  <c r="M433" i="2"/>
  <c r="O433" i="2" s="1"/>
  <c r="M434" i="2"/>
  <c r="O434" i="2" s="1"/>
  <c r="M435" i="2"/>
  <c r="O435" i="2" s="1"/>
  <c r="M436" i="2"/>
  <c r="O436" i="2" s="1"/>
  <c r="M437" i="2"/>
  <c r="O437" i="2" s="1"/>
  <c r="M438" i="2"/>
  <c r="O438" i="2" s="1"/>
  <c r="M439" i="2"/>
  <c r="O439" i="2" s="1"/>
  <c r="M440" i="2"/>
  <c r="O440" i="2" s="1"/>
  <c r="M441" i="2"/>
  <c r="O441" i="2" s="1"/>
  <c r="M442" i="2"/>
  <c r="O442" i="2" s="1"/>
  <c r="M443" i="2"/>
  <c r="O443" i="2" s="1"/>
  <c r="M444" i="2"/>
  <c r="O444" i="2" s="1"/>
  <c r="M445" i="2"/>
  <c r="O445" i="2" s="1"/>
  <c r="M446" i="2"/>
  <c r="O446" i="2" s="1"/>
  <c r="M447" i="2"/>
  <c r="O447" i="2" s="1"/>
  <c r="M448" i="2"/>
  <c r="O448" i="2" s="1"/>
  <c r="M449" i="2"/>
  <c r="O449" i="2" s="1"/>
  <c r="M450" i="2"/>
  <c r="O450" i="2" s="1"/>
  <c r="M451" i="2"/>
  <c r="O451" i="2" s="1"/>
  <c r="M452" i="2"/>
  <c r="O452" i="2" s="1"/>
  <c r="M453" i="2"/>
  <c r="O453" i="2" s="1"/>
  <c r="M454" i="2"/>
  <c r="O454" i="2" s="1"/>
  <c r="M455" i="2"/>
  <c r="O455" i="2" s="1"/>
  <c r="M456" i="2"/>
  <c r="O456" i="2" s="1"/>
  <c r="M457" i="2"/>
  <c r="O457" i="2" s="1"/>
  <c r="M458" i="2"/>
  <c r="O458" i="2" s="1"/>
  <c r="M459" i="2"/>
  <c r="O459" i="2" s="1"/>
  <c r="M460" i="2"/>
  <c r="O460" i="2" s="1"/>
  <c r="M461" i="2"/>
  <c r="O461" i="2" s="1"/>
  <c r="M462" i="2"/>
  <c r="O462" i="2" s="1"/>
  <c r="M463" i="2"/>
  <c r="O463" i="2" s="1"/>
  <c r="M464" i="2"/>
  <c r="O464" i="2" s="1"/>
  <c r="M465" i="2"/>
  <c r="O465" i="2" s="1"/>
  <c r="M466" i="2"/>
  <c r="O466" i="2" s="1"/>
  <c r="M467" i="2"/>
  <c r="O467" i="2" s="1"/>
  <c r="M468" i="2"/>
  <c r="O468" i="2" s="1"/>
  <c r="M469" i="2"/>
  <c r="O469" i="2" s="1"/>
  <c r="M470" i="2"/>
  <c r="O470" i="2" s="1"/>
  <c r="M471" i="2"/>
  <c r="O471" i="2" s="1"/>
  <c r="M472" i="2"/>
  <c r="O472" i="2" s="1"/>
  <c r="M473" i="2"/>
  <c r="O473" i="2" s="1"/>
  <c r="M474" i="2"/>
  <c r="O474" i="2" s="1"/>
  <c r="M475" i="2"/>
  <c r="O475" i="2" s="1"/>
  <c r="M476" i="2"/>
  <c r="O476" i="2" s="1"/>
  <c r="M477" i="2"/>
  <c r="O477" i="2" s="1"/>
  <c r="M478" i="2"/>
  <c r="O478" i="2" s="1"/>
  <c r="M479" i="2"/>
  <c r="O479" i="2" s="1"/>
  <c r="M480" i="2"/>
  <c r="O480" i="2" s="1"/>
  <c r="M481" i="2"/>
  <c r="O481" i="2" s="1"/>
  <c r="M482" i="2"/>
  <c r="O482" i="2" s="1"/>
  <c r="M483" i="2"/>
  <c r="O483" i="2" s="1"/>
  <c r="M484" i="2"/>
  <c r="O484" i="2" s="1"/>
  <c r="M485" i="2"/>
  <c r="O485" i="2" s="1"/>
  <c r="M486" i="2"/>
  <c r="O486" i="2" s="1"/>
  <c r="M487" i="2"/>
  <c r="O487" i="2" s="1"/>
  <c r="M488" i="2"/>
  <c r="O488" i="2" s="1"/>
  <c r="M489" i="2"/>
  <c r="O489" i="2" s="1"/>
  <c r="M490" i="2"/>
  <c r="O490" i="2" s="1"/>
  <c r="M491" i="2"/>
  <c r="O491" i="2" s="1"/>
  <c r="M492" i="2"/>
  <c r="O492" i="2" s="1"/>
  <c r="M493" i="2"/>
  <c r="O493" i="2" s="1"/>
  <c r="M494" i="2"/>
  <c r="O494" i="2" s="1"/>
  <c r="M495" i="2"/>
  <c r="O495" i="2" s="1"/>
  <c r="M496" i="2"/>
  <c r="O496" i="2" s="1"/>
  <c r="M497" i="2"/>
  <c r="O497" i="2" s="1"/>
  <c r="M498" i="2"/>
  <c r="O498" i="2" s="1"/>
  <c r="M499" i="2"/>
  <c r="O499" i="2" s="1"/>
  <c r="M500" i="2"/>
  <c r="O500" i="2" s="1"/>
  <c r="M501" i="2"/>
  <c r="O501" i="2" s="1"/>
  <c r="M502" i="2"/>
  <c r="O502" i="2" s="1"/>
  <c r="M503" i="2"/>
  <c r="O503" i="2" s="1"/>
  <c r="M504" i="2"/>
  <c r="O504" i="2" s="1"/>
  <c r="M505" i="2"/>
  <c r="O505" i="2" s="1"/>
  <c r="M506" i="2"/>
  <c r="O506" i="2" s="1"/>
  <c r="M507" i="2"/>
  <c r="O507" i="2" s="1"/>
  <c r="M508" i="2"/>
  <c r="O508" i="2" s="1"/>
  <c r="M509" i="2"/>
  <c r="O509" i="2" s="1"/>
  <c r="M510" i="2"/>
  <c r="O510" i="2" s="1"/>
  <c r="M511" i="2"/>
  <c r="O511" i="2" s="1"/>
  <c r="M512" i="2"/>
  <c r="O512" i="2" s="1"/>
  <c r="M513" i="2"/>
  <c r="O513" i="2" s="1"/>
  <c r="M514" i="2"/>
  <c r="O514" i="2" s="1"/>
  <c r="M515" i="2"/>
  <c r="O515" i="2" s="1"/>
  <c r="M516" i="2"/>
  <c r="O516" i="2" s="1"/>
  <c r="M517" i="2"/>
  <c r="O517" i="2" s="1"/>
  <c r="M518" i="2"/>
  <c r="O518" i="2" s="1"/>
  <c r="M519" i="2"/>
  <c r="O519" i="2" s="1"/>
  <c r="M520" i="2"/>
  <c r="O520" i="2" s="1"/>
  <c r="M521" i="2"/>
  <c r="O521" i="2" s="1"/>
  <c r="M522" i="2"/>
  <c r="O522" i="2" s="1"/>
  <c r="M523" i="2"/>
  <c r="O523" i="2" s="1"/>
  <c r="M524" i="2"/>
  <c r="O524" i="2" s="1"/>
  <c r="M525" i="2"/>
  <c r="O525" i="2" s="1"/>
  <c r="M526" i="2"/>
  <c r="O526" i="2" s="1"/>
  <c r="M527" i="2"/>
  <c r="O527" i="2" s="1"/>
  <c r="M528" i="2"/>
  <c r="O528" i="2" s="1"/>
  <c r="M529" i="2"/>
  <c r="O529" i="2" s="1"/>
  <c r="M530" i="2"/>
  <c r="O530" i="2" s="1"/>
  <c r="M531" i="2"/>
  <c r="O531" i="2" s="1"/>
  <c r="M532" i="2"/>
  <c r="O532" i="2" s="1"/>
  <c r="M533" i="2"/>
  <c r="O533" i="2" s="1"/>
  <c r="M534" i="2"/>
  <c r="M535" i="2"/>
  <c r="O535" i="2" s="1"/>
  <c r="M536" i="2"/>
  <c r="O536" i="2" s="1"/>
  <c r="M537" i="2"/>
  <c r="O537" i="2" s="1"/>
  <c r="M538" i="2"/>
  <c r="O538" i="2" s="1"/>
  <c r="M539" i="2"/>
  <c r="O539" i="2" s="1"/>
  <c r="M540" i="2"/>
  <c r="O540" i="2" s="1"/>
  <c r="M541" i="2"/>
  <c r="O541" i="2" s="1"/>
  <c r="M542" i="2"/>
  <c r="O542" i="2" s="1"/>
  <c r="M543" i="2"/>
  <c r="O543" i="2" s="1"/>
  <c r="M544" i="2"/>
  <c r="O544" i="2" s="1"/>
  <c r="M545" i="2"/>
  <c r="O545" i="2" s="1"/>
  <c r="M546" i="2"/>
  <c r="O546" i="2" s="1"/>
  <c r="M547" i="2"/>
  <c r="O547" i="2" s="1"/>
  <c r="M548" i="2"/>
  <c r="O548" i="2" s="1"/>
  <c r="M549" i="2"/>
  <c r="O549" i="2" s="1"/>
  <c r="M550" i="2"/>
  <c r="O550" i="2" s="1"/>
  <c r="M551" i="2"/>
  <c r="O551" i="2" s="1"/>
  <c r="M552" i="2"/>
  <c r="O552" i="2" s="1"/>
  <c r="M553" i="2"/>
  <c r="O553" i="2" s="1"/>
  <c r="M554" i="2"/>
  <c r="O554" i="2" s="1"/>
  <c r="M555" i="2"/>
  <c r="O555" i="2" s="1"/>
  <c r="M556" i="2"/>
  <c r="O556" i="2" s="1"/>
  <c r="M557" i="2"/>
  <c r="O557" i="2" s="1"/>
  <c r="M558" i="2"/>
  <c r="O558" i="2" s="1"/>
  <c r="M559" i="2"/>
  <c r="O559" i="2" s="1"/>
  <c r="M560" i="2"/>
  <c r="O560" i="2" s="1"/>
  <c r="M561" i="2"/>
  <c r="O561" i="2" s="1"/>
  <c r="M562" i="2"/>
  <c r="O562" i="2" s="1"/>
  <c r="M563" i="2"/>
  <c r="O563" i="2" s="1"/>
  <c r="M564" i="2"/>
  <c r="O564" i="2" s="1"/>
  <c r="M565" i="2"/>
  <c r="O565" i="2" s="1"/>
  <c r="M566" i="2"/>
  <c r="O566" i="2" s="1"/>
  <c r="M567" i="2"/>
  <c r="O567" i="2" s="1"/>
  <c r="M568" i="2"/>
  <c r="O568" i="2" s="1"/>
  <c r="M569" i="2"/>
  <c r="O569" i="2" s="1"/>
  <c r="M570" i="2"/>
  <c r="O570" i="2" s="1"/>
  <c r="M571" i="2"/>
  <c r="O571" i="2" s="1"/>
  <c r="M572" i="2"/>
  <c r="O572" i="2" s="1"/>
  <c r="M573" i="2"/>
  <c r="O573" i="2" s="1"/>
  <c r="M574" i="2"/>
  <c r="O574" i="2" s="1"/>
  <c r="M575" i="2"/>
  <c r="O575" i="2" s="1"/>
  <c r="M576" i="2"/>
  <c r="O576" i="2" s="1"/>
  <c r="M577" i="2"/>
  <c r="O577" i="2" s="1"/>
  <c r="M578" i="2"/>
  <c r="O578" i="2" s="1"/>
  <c r="M579" i="2"/>
  <c r="O579" i="2" s="1"/>
  <c r="M580" i="2"/>
  <c r="O580" i="2" s="1"/>
  <c r="M581" i="2"/>
  <c r="O581" i="2" s="1"/>
  <c r="M582" i="2"/>
  <c r="O582" i="2" s="1"/>
  <c r="M583" i="2"/>
  <c r="O583" i="2" s="1"/>
  <c r="M584" i="2"/>
  <c r="O584" i="2" s="1"/>
  <c r="M585" i="2"/>
  <c r="O585" i="2" s="1"/>
  <c r="M586" i="2"/>
  <c r="O586" i="2" s="1"/>
  <c r="M587" i="2"/>
  <c r="O587" i="2" s="1"/>
  <c r="M588" i="2"/>
  <c r="O588" i="2" s="1"/>
  <c r="M589" i="2"/>
  <c r="O589" i="2" s="1"/>
  <c r="M590" i="2"/>
  <c r="O590" i="2" s="1"/>
  <c r="M591" i="2"/>
  <c r="O591" i="2" s="1"/>
  <c r="M592" i="2"/>
  <c r="O592" i="2" s="1"/>
  <c r="M593" i="2"/>
  <c r="O593" i="2" s="1"/>
  <c r="M594" i="2"/>
  <c r="O594" i="2" s="1"/>
  <c r="M595" i="2"/>
  <c r="O595" i="2" s="1"/>
  <c r="M596" i="2"/>
  <c r="O596" i="2" s="1"/>
  <c r="M597" i="2"/>
  <c r="O597" i="2" s="1"/>
  <c r="M598" i="2"/>
  <c r="O598" i="2" s="1"/>
  <c r="M599" i="2"/>
  <c r="O599" i="2" s="1"/>
  <c r="M600" i="2"/>
  <c r="O600" i="2" s="1"/>
  <c r="M601" i="2"/>
  <c r="O601" i="2" s="1"/>
  <c r="M602" i="2"/>
  <c r="O602" i="2" s="1"/>
  <c r="M603" i="2"/>
  <c r="O603" i="2" s="1"/>
  <c r="M604" i="2"/>
  <c r="O604" i="2" s="1"/>
  <c r="M605" i="2"/>
  <c r="O605" i="2" s="1"/>
  <c r="M606" i="2"/>
  <c r="O606" i="2" s="1"/>
  <c r="M607" i="2"/>
  <c r="O607" i="2" s="1"/>
  <c r="M608" i="2"/>
  <c r="O608" i="2" s="1"/>
  <c r="M609" i="2"/>
  <c r="O609" i="2" s="1"/>
  <c r="M610" i="2"/>
  <c r="O610" i="2" s="1"/>
  <c r="M611" i="2"/>
  <c r="O611" i="2" s="1"/>
  <c r="M612" i="2"/>
  <c r="O612" i="2" s="1"/>
  <c r="M613" i="2"/>
  <c r="O613" i="2" s="1"/>
  <c r="M614" i="2"/>
  <c r="O614" i="2" s="1"/>
  <c r="M615" i="2"/>
  <c r="O615" i="2" s="1"/>
  <c r="M616" i="2"/>
  <c r="O616" i="2" s="1"/>
  <c r="M617" i="2"/>
  <c r="O617" i="2" s="1"/>
  <c r="M618" i="2"/>
  <c r="O618" i="2" s="1"/>
  <c r="M619" i="2"/>
  <c r="O619" i="2" s="1"/>
  <c r="M620" i="2"/>
  <c r="O620" i="2" s="1"/>
  <c r="M621" i="2"/>
  <c r="O621" i="2" s="1"/>
  <c r="M622" i="2"/>
  <c r="O622" i="2" s="1"/>
  <c r="M623" i="2"/>
  <c r="O623" i="2" s="1"/>
  <c r="M624" i="2"/>
  <c r="O624" i="2" s="1"/>
  <c r="M625" i="2"/>
  <c r="O625" i="2" s="1"/>
  <c r="M626" i="2"/>
  <c r="O626" i="2" s="1"/>
  <c r="M627" i="2"/>
  <c r="O627" i="2" s="1"/>
  <c r="M628" i="2"/>
  <c r="O628" i="2" s="1"/>
  <c r="M629" i="2"/>
  <c r="O629" i="2" s="1"/>
  <c r="M630" i="2"/>
  <c r="O630" i="2" s="1"/>
  <c r="M631" i="2"/>
  <c r="O631" i="2" s="1"/>
  <c r="M632" i="2"/>
  <c r="O632" i="2" s="1"/>
  <c r="M633" i="2"/>
  <c r="O633" i="2" s="1"/>
  <c r="M634" i="2"/>
  <c r="O634" i="2" s="1"/>
  <c r="M635" i="2"/>
  <c r="O635" i="2" s="1"/>
  <c r="M636" i="2"/>
  <c r="O636" i="2" s="1"/>
  <c r="M637" i="2"/>
  <c r="O637" i="2" s="1"/>
  <c r="M638" i="2"/>
  <c r="O638" i="2" s="1"/>
  <c r="M639" i="2"/>
  <c r="O639" i="2" s="1"/>
  <c r="M640" i="2"/>
  <c r="O640" i="2" s="1"/>
  <c r="M641" i="2"/>
  <c r="O641" i="2" s="1"/>
  <c r="M642" i="2"/>
  <c r="O642" i="2" s="1"/>
  <c r="M643" i="2"/>
  <c r="O643" i="2" s="1"/>
  <c r="M644" i="2"/>
  <c r="M645" i="2"/>
  <c r="O645" i="2" s="1"/>
  <c r="M646" i="2"/>
  <c r="O646" i="2" s="1"/>
  <c r="M647" i="2"/>
  <c r="O647" i="2" s="1"/>
  <c r="M648" i="2"/>
  <c r="O648" i="2" s="1"/>
  <c r="M649" i="2"/>
  <c r="O649" i="2" s="1"/>
  <c r="M650" i="2"/>
  <c r="O650" i="2" s="1"/>
  <c r="M651" i="2"/>
  <c r="O651" i="2" s="1"/>
  <c r="M652" i="2"/>
  <c r="O652" i="2" s="1"/>
  <c r="M653" i="2"/>
  <c r="O653" i="2" s="1"/>
  <c r="M654" i="2"/>
  <c r="O654" i="2" s="1"/>
  <c r="M655" i="2"/>
  <c r="O655" i="2" s="1"/>
  <c r="M656" i="2"/>
  <c r="O656" i="2" s="1"/>
  <c r="M657" i="2"/>
  <c r="O657" i="2" s="1"/>
  <c r="M658" i="2"/>
  <c r="O658" i="2" s="1"/>
  <c r="M659" i="2"/>
  <c r="O659" i="2" s="1"/>
  <c r="M660" i="2"/>
  <c r="O660" i="2" s="1"/>
  <c r="M661" i="2"/>
  <c r="O661" i="2" s="1"/>
  <c r="M662" i="2"/>
  <c r="O662" i="2" s="1"/>
  <c r="M663" i="2"/>
  <c r="O663" i="2" s="1"/>
  <c r="M664" i="2"/>
  <c r="O664" i="2" s="1"/>
  <c r="M665" i="2"/>
  <c r="O665" i="2" s="1"/>
  <c r="M666" i="2"/>
  <c r="O666" i="2" s="1"/>
  <c r="M667" i="2"/>
  <c r="O667" i="2" s="1"/>
  <c r="M668" i="2"/>
  <c r="O668" i="2" s="1"/>
  <c r="M669" i="2"/>
  <c r="O669" i="2" s="1"/>
  <c r="M670" i="2"/>
  <c r="O670" i="2" s="1"/>
  <c r="M671" i="2"/>
  <c r="O671" i="2" s="1"/>
  <c r="M672" i="2"/>
  <c r="O672" i="2" s="1"/>
  <c r="M673" i="2"/>
  <c r="O673" i="2" s="1"/>
  <c r="M674" i="2"/>
  <c r="O674" i="2" s="1"/>
  <c r="M675" i="2"/>
  <c r="O675" i="2" s="1"/>
  <c r="M676" i="2"/>
  <c r="O676" i="2" s="1"/>
  <c r="M677" i="2"/>
  <c r="O677" i="2" s="1"/>
  <c r="M678" i="2"/>
  <c r="O678" i="2" s="1"/>
  <c r="M679" i="2"/>
  <c r="O679" i="2" s="1"/>
  <c r="M680" i="2"/>
  <c r="O680" i="2" s="1"/>
  <c r="M681" i="2"/>
  <c r="O681" i="2" s="1"/>
  <c r="M682" i="2"/>
  <c r="O682" i="2" s="1"/>
  <c r="M683" i="2"/>
  <c r="O683" i="2" s="1"/>
  <c r="M684" i="2"/>
  <c r="O684" i="2" s="1"/>
  <c r="M685" i="2"/>
  <c r="O685" i="2" s="1"/>
  <c r="M686" i="2"/>
  <c r="O686" i="2" s="1"/>
  <c r="M687" i="2"/>
  <c r="O687" i="2" s="1"/>
  <c r="M688" i="2"/>
  <c r="O688" i="2" s="1"/>
  <c r="M689" i="2"/>
  <c r="O689" i="2" s="1"/>
  <c r="M690" i="2"/>
  <c r="O690" i="2" s="1"/>
  <c r="M691" i="2"/>
  <c r="O691" i="2" s="1"/>
  <c r="M692" i="2"/>
  <c r="O692" i="2" s="1"/>
  <c r="M693" i="2"/>
  <c r="O693" i="2" s="1"/>
  <c r="M694" i="2"/>
  <c r="O694" i="2" s="1"/>
  <c r="M695" i="2"/>
  <c r="O695" i="2" s="1"/>
  <c r="M696" i="2"/>
  <c r="O696" i="2" s="1"/>
  <c r="M697" i="2"/>
  <c r="O697" i="2" s="1"/>
  <c r="M698" i="2"/>
  <c r="O698" i="2" s="1"/>
  <c r="M699" i="2"/>
  <c r="O699" i="2" s="1"/>
  <c r="M700" i="2"/>
  <c r="O700" i="2" s="1"/>
  <c r="M701" i="2"/>
  <c r="O701" i="2" s="1"/>
  <c r="M702" i="2"/>
  <c r="O702" i="2" s="1"/>
  <c r="M703" i="2"/>
  <c r="O703" i="2" s="1"/>
  <c r="M704" i="2"/>
  <c r="O704" i="2" s="1"/>
  <c r="M705" i="2"/>
  <c r="O705" i="2" s="1"/>
  <c r="M706" i="2"/>
  <c r="O706" i="2" s="1"/>
  <c r="M707" i="2"/>
  <c r="O707" i="2" s="1"/>
  <c r="M708" i="2"/>
  <c r="O708" i="2" s="1"/>
  <c r="M709" i="2"/>
  <c r="O709" i="2" s="1"/>
  <c r="M710" i="2"/>
  <c r="O710" i="2" s="1"/>
  <c r="M711" i="2"/>
  <c r="O711" i="2" s="1"/>
  <c r="M712" i="2"/>
  <c r="O712" i="2" s="1"/>
  <c r="M713" i="2"/>
  <c r="O713" i="2" s="1"/>
  <c r="M714" i="2"/>
  <c r="O714" i="2" s="1"/>
  <c r="M715" i="2"/>
  <c r="O715" i="2" s="1"/>
  <c r="M716" i="2"/>
  <c r="O716" i="2" s="1"/>
  <c r="M717" i="2"/>
  <c r="O717" i="2" s="1"/>
  <c r="M718" i="2"/>
  <c r="O718" i="2" s="1"/>
  <c r="M719" i="2"/>
  <c r="O719" i="2" s="1"/>
  <c r="M720" i="2"/>
  <c r="O720" i="2" s="1"/>
  <c r="M721" i="2"/>
  <c r="O721" i="2" s="1"/>
  <c r="M722" i="2"/>
  <c r="O722" i="2" s="1"/>
  <c r="M723" i="2"/>
  <c r="O723" i="2" s="1"/>
  <c r="M724" i="2"/>
  <c r="O724" i="2" s="1"/>
  <c r="M725" i="2"/>
  <c r="O725" i="2" s="1"/>
  <c r="M726" i="2"/>
  <c r="O726" i="2" s="1"/>
  <c r="M727" i="2"/>
  <c r="O727" i="2" s="1"/>
  <c r="M728" i="2"/>
  <c r="O728" i="2" s="1"/>
  <c r="M729" i="2"/>
  <c r="O729" i="2" s="1"/>
  <c r="M730" i="2"/>
  <c r="O730" i="2" s="1"/>
  <c r="M731" i="2"/>
  <c r="O731" i="2" s="1"/>
  <c r="M732" i="2"/>
  <c r="O732" i="2" s="1"/>
  <c r="M733" i="2"/>
  <c r="O733" i="2" s="1"/>
  <c r="M734" i="2"/>
  <c r="O734" i="2" s="1"/>
  <c r="M735" i="2"/>
  <c r="O735" i="2" s="1"/>
  <c r="M736" i="2"/>
  <c r="O736" i="2" s="1"/>
  <c r="M737" i="2"/>
  <c r="O737" i="2" s="1"/>
  <c r="M738" i="2"/>
  <c r="O738" i="2" s="1"/>
  <c r="M739" i="2"/>
  <c r="O739" i="2" s="1"/>
  <c r="M740" i="2"/>
  <c r="O740" i="2" s="1"/>
  <c r="M741" i="2"/>
  <c r="O741" i="2" s="1"/>
  <c r="M742" i="2"/>
  <c r="O742" i="2" s="1"/>
  <c r="M743" i="2"/>
  <c r="O743" i="2" s="1"/>
  <c r="M744" i="2"/>
  <c r="O744" i="2" s="1"/>
  <c r="M745" i="2"/>
  <c r="O745" i="2" s="1"/>
  <c r="M746" i="2"/>
  <c r="O746" i="2" s="1"/>
  <c r="M747" i="2"/>
  <c r="O747" i="2" s="1"/>
  <c r="M748" i="2"/>
  <c r="O748" i="2" s="1"/>
  <c r="M749" i="2"/>
  <c r="O749" i="2" s="1"/>
  <c r="M750" i="2"/>
  <c r="O750" i="2" s="1"/>
  <c r="M751" i="2"/>
  <c r="O751" i="2" s="1"/>
  <c r="M752" i="2"/>
  <c r="O752" i="2" s="1"/>
  <c r="M753" i="2"/>
  <c r="O753" i="2" s="1"/>
  <c r="M754" i="2"/>
  <c r="O754" i="2" s="1"/>
  <c r="M755" i="2"/>
  <c r="O755" i="2" s="1"/>
  <c r="M756" i="2"/>
  <c r="O756" i="2" s="1"/>
  <c r="M757" i="2"/>
  <c r="O757" i="2" s="1"/>
  <c r="M758" i="2"/>
  <c r="O758" i="2" s="1"/>
  <c r="M759" i="2"/>
  <c r="O759" i="2" s="1"/>
  <c r="M760" i="2"/>
  <c r="O760" i="2" s="1"/>
  <c r="M761" i="2"/>
  <c r="O761" i="2" s="1"/>
  <c r="M762" i="2"/>
  <c r="O762" i="2" s="1"/>
  <c r="M763" i="2"/>
  <c r="O763" i="2" s="1"/>
  <c r="M764" i="2"/>
  <c r="O764" i="2" s="1"/>
  <c r="M765" i="2"/>
  <c r="O765" i="2" s="1"/>
  <c r="M766" i="2"/>
  <c r="O766" i="2" s="1"/>
  <c r="M767" i="2"/>
  <c r="O767" i="2" s="1"/>
  <c r="M768" i="2"/>
  <c r="O768" i="2" s="1"/>
  <c r="M769" i="2"/>
  <c r="O769" i="2" s="1"/>
  <c r="M770" i="2"/>
  <c r="O770" i="2" s="1"/>
  <c r="M771" i="2"/>
  <c r="O771" i="2" s="1"/>
  <c r="M772" i="2"/>
  <c r="O772" i="2" s="1"/>
  <c r="M773" i="2"/>
  <c r="O773" i="2" s="1"/>
  <c r="M774" i="2"/>
  <c r="O774" i="2" s="1"/>
  <c r="M775" i="2"/>
  <c r="O775" i="2" s="1"/>
  <c r="M776" i="2"/>
  <c r="O776" i="2" s="1"/>
  <c r="M777" i="2"/>
  <c r="O777" i="2" s="1"/>
  <c r="M778" i="2"/>
  <c r="O778" i="2" s="1"/>
  <c r="M779" i="2"/>
  <c r="O779" i="2" s="1"/>
  <c r="M780" i="2"/>
  <c r="O780" i="2" s="1"/>
  <c r="M781" i="2"/>
  <c r="O781" i="2" s="1"/>
  <c r="M782" i="2"/>
  <c r="O782" i="2" s="1"/>
  <c r="M783" i="2"/>
  <c r="O783" i="2" s="1"/>
  <c r="M784" i="2"/>
  <c r="O784" i="2" s="1"/>
  <c r="M785" i="2"/>
  <c r="O785" i="2" s="1"/>
  <c r="M786" i="2"/>
  <c r="O786" i="2" s="1"/>
  <c r="M787" i="2"/>
  <c r="O787" i="2" s="1"/>
  <c r="M788" i="2"/>
  <c r="O788" i="2" s="1"/>
  <c r="M789" i="2"/>
  <c r="O789" i="2" s="1"/>
  <c r="M790" i="2"/>
  <c r="O790" i="2" s="1"/>
  <c r="M791" i="2"/>
  <c r="O791" i="2" s="1"/>
  <c r="M792" i="2"/>
  <c r="O792" i="2" s="1"/>
  <c r="M793" i="2"/>
  <c r="O793" i="2" s="1"/>
  <c r="M794" i="2"/>
  <c r="O794" i="2" s="1"/>
  <c r="M795" i="2"/>
  <c r="O795" i="2" s="1"/>
  <c r="M796" i="2"/>
  <c r="O796" i="2" s="1"/>
  <c r="M797" i="2"/>
  <c r="O797" i="2" s="1"/>
  <c r="M798" i="2"/>
  <c r="O798" i="2" s="1"/>
  <c r="M799" i="2"/>
  <c r="O799" i="2" s="1"/>
  <c r="M800" i="2"/>
  <c r="O800" i="2" s="1"/>
  <c r="M801" i="2"/>
  <c r="O801" i="2" s="1"/>
  <c r="M802" i="2"/>
  <c r="O802" i="2" s="1"/>
  <c r="M803" i="2"/>
  <c r="O803" i="2" s="1"/>
  <c r="M804" i="2"/>
  <c r="O804" i="2" s="1"/>
  <c r="M805" i="2"/>
  <c r="O805" i="2" s="1"/>
  <c r="M806" i="2"/>
  <c r="O806" i="2" s="1"/>
  <c r="M807" i="2"/>
  <c r="O807" i="2" s="1"/>
  <c r="M808" i="2"/>
  <c r="O808" i="2" s="1"/>
  <c r="M809" i="2"/>
  <c r="O809" i="2" s="1"/>
  <c r="M810" i="2"/>
  <c r="O810" i="2" s="1"/>
  <c r="M811" i="2"/>
  <c r="O811" i="2" s="1"/>
  <c r="M812" i="2"/>
  <c r="O812" i="2" s="1"/>
  <c r="M813" i="2"/>
  <c r="O813" i="2" s="1"/>
  <c r="M814" i="2"/>
  <c r="O814" i="2" s="1"/>
  <c r="M815" i="2"/>
  <c r="O815" i="2" s="1"/>
  <c r="M816" i="2"/>
  <c r="O816" i="2" s="1"/>
  <c r="M817" i="2"/>
  <c r="O817" i="2" s="1"/>
  <c r="M818" i="2"/>
  <c r="O818" i="2" s="1"/>
  <c r="M819" i="2"/>
  <c r="O819" i="2" s="1"/>
  <c r="M820" i="2"/>
  <c r="O820" i="2" s="1"/>
  <c r="M821" i="2"/>
  <c r="O821" i="2" s="1"/>
  <c r="M822" i="2"/>
  <c r="O822" i="2" s="1"/>
  <c r="M823" i="2"/>
  <c r="O823" i="2" s="1"/>
  <c r="M824" i="2"/>
  <c r="O824" i="2" s="1"/>
  <c r="M825" i="2"/>
  <c r="O825" i="2" s="1"/>
  <c r="M826" i="2"/>
  <c r="O826" i="2" s="1"/>
  <c r="M827" i="2"/>
  <c r="O827" i="2" s="1"/>
  <c r="M828" i="2"/>
  <c r="O828" i="2" s="1"/>
  <c r="M829" i="2"/>
  <c r="O829" i="2" s="1"/>
  <c r="M830" i="2"/>
  <c r="O830" i="2" s="1"/>
  <c r="M831" i="2"/>
  <c r="O831" i="2" s="1"/>
  <c r="M832" i="2"/>
  <c r="O832" i="2" s="1"/>
  <c r="M833" i="2"/>
  <c r="O833" i="2" s="1"/>
  <c r="M834" i="2"/>
  <c r="O834" i="2" s="1"/>
  <c r="M835" i="2"/>
  <c r="O835" i="2" s="1"/>
  <c r="M836" i="2"/>
  <c r="O836" i="2" s="1"/>
  <c r="M837" i="2"/>
  <c r="O837" i="2" s="1"/>
  <c r="M838" i="2"/>
  <c r="O838" i="2" s="1"/>
  <c r="M839" i="2"/>
  <c r="O839" i="2" s="1"/>
  <c r="M840" i="2"/>
  <c r="O840" i="2" s="1"/>
  <c r="M841" i="2"/>
  <c r="O841" i="2" s="1"/>
  <c r="M842" i="2"/>
  <c r="O842" i="2" s="1"/>
  <c r="M843" i="2"/>
  <c r="O843" i="2" s="1"/>
  <c r="M844" i="2"/>
  <c r="O844" i="2" s="1"/>
  <c r="M845" i="2"/>
  <c r="O845" i="2" s="1"/>
  <c r="M846" i="2"/>
  <c r="O846" i="2" s="1"/>
  <c r="M847" i="2"/>
  <c r="O847" i="2" s="1"/>
  <c r="M848" i="2"/>
  <c r="O848" i="2" s="1"/>
  <c r="M849" i="2"/>
  <c r="O849" i="2" s="1"/>
  <c r="M850" i="2"/>
  <c r="O850" i="2" s="1"/>
  <c r="M851" i="2"/>
  <c r="O851" i="2" s="1"/>
  <c r="M852" i="2"/>
  <c r="O852" i="2" s="1"/>
  <c r="M853" i="2"/>
  <c r="O853" i="2" s="1"/>
  <c r="M854" i="2"/>
  <c r="O854" i="2" s="1"/>
  <c r="M855" i="2"/>
  <c r="O855" i="2" s="1"/>
  <c r="M856" i="2"/>
  <c r="O856" i="2" s="1"/>
  <c r="M857" i="2"/>
  <c r="O857" i="2" s="1"/>
  <c r="M858" i="2"/>
  <c r="O858" i="2" s="1"/>
  <c r="M859" i="2"/>
  <c r="O859" i="2" s="1"/>
  <c r="M860" i="2"/>
  <c r="O860" i="2" s="1"/>
  <c r="M861" i="2"/>
  <c r="O861" i="2" s="1"/>
  <c r="M862" i="2"/>
  <c r="O862" i="2" s="1"/>
  <c r="M863" i="2"/>
  <c r="O863" i="2" s="1"/>
  <c r="M864" i="2"/>
  <c r="O864" i="2" s="1"/>
  <c r="M865" i="2"/>
  <c r="O865" i="2" s="1"/>
  <c r="M866" i="2"/>
  <c r="O866" i="2" s="1"/>
  <c r="M867" i="2"/>
  <c r="O867" i="2" s="1"/>
  <c r="M868" i="2"/>
  <c r="O868" i="2" s="1"/>
  <c r="M869" i="2"/>
  <c r="O869" i="2" s="1"/>
  <c r="M870" i="2"/>
  <c r="O870" i="2" s="1"/>
  <c r="M871" i="2"/>
  <c r="O871" i="2" s="1"/>
  <c r="M872" i="2"/>
  <c r="O872" i="2" s="1"/>
  <c r="M873" i="2"/>
  <c r="O873" i="2" s="1"/>
  <c r="M874" i="2"/>
  <c r="O874" i="2" s="1"/>
  <c r="M875" i="2"/>
  <c r="O875" i="2" s="1"/>
  <c r="M876" i="2"/>
  <c r="O876" i="2" s="1"/>
  <c r="M877" i="2"/>
  <c r="O877" i="2" s="1"/>
  <c r="M878" i="2"/>
  <c r="O878" i="2" s="1"/>
  <c r="M879" i="2"/>
  <c r="O879" i="2" s="1"/>
  <c r="M880" i="2"/>
  <c r="O880" i="2" s="1"/>
  <c r="M881" i="2"/>
  <c r="O881" i="2" s="1"/>
  <c r="M882" i="2"/>
  <c r="O882" i="2" s="1"/>
  <c r="M883" i="2"/>
  <c r="O883" i="2" s="1"/>
  <c r="M884" i="2"/>
  <c r="O884" i="2" s="1"/>
  <c r="M885" i="2"/>
  <c r="O885" i="2" s="1"/>
  <c r="M886" i="2"/>
  <c r="O886" i="2" s="1"/>
  <c r="M887" i="2"/>
  <c r="O887" i="2" s="1"/>
  <c r="M888" i="2"/>
  <c r="O888" i="2" s="1"/>
  <c r="M889" i="2"/>
  <c r="O889" i="2" s="1"/>
  <c r="M890" i="2"/>
  <c r="O890" i="2" s="1"/>
  <c r="M891" i="2"/>
  <c r="O891" i="2" s="1"/>
  <c r="M892" i="2"/>
  <c r="O892" i="2" s="1"/>
  <c r="M893" i="2"/>
  <c r="O893" i="2" s="1"/>
  <c r="M894" i="2"/>
  <c r="O894" i="2" s="1"/>
  <c r="M895" i="2"/>
  <c r="O895" i="2" s="1"/>
  <c r="M896" i="2"/>
  <c r="O896" i="2" s="1"/>
  <c r="M897" i="2"/>
  <c r="O897" i="2" s="1"/>
  <c r="M898" i="2"/>
  <c r="O898" i="2" s="1"/>
  <c r="M899" i="2"/>
  <c r="O899" i="2" s="1"/>
  <c r="M900" i="2"/>
  <c r="O900" i="2" s="1"/>
  <c r="M901" i="2"/>
  <c r="O901" i="2" s="1"/>
  <c r="M902" i="2"/>
  <c r="O902" i="2" s="1"/>
  <c r="M903" i="2"/>
  <c r="O903" i="2" s="1"/>
  <c r="M904" i="2"/>
  <c r="O904" i="2" s="1"/>
  <c r="M905" i="2"/>
  <c r="O905" i="2" s="1"/>
  <c r="M906" i="2"/>
  <c r="O906" i="2" s="1"/>
  <c r="M907" i="2"/>
  <c r="O907" i="2" s="1"/>
  <c r="M908" i="2"/>
  <c r="O908" i="2" s="1"/>
  <c r="M909" i="2"/>
  <c r="O909" i="2" s="1"/>
  <c r="M910" i="2"/>
  <c r="O910" i="2" s="1"/>
  <c r="M911" i="2"/>
  <c r="O911" i="2" s="1"/>
  <c r="M912" i="2"/>
  <c r="O912" i="2" s="1"/>
  <c r="M913" i="2"/>
  <c r="O913" i="2" s="1"/>
  <c r="M914" i="2"/>
  <c r="O914" i="2" s="1"/>
  <c r="M915" i="2"/>
  <c r="O915" i="2" s="1"/>
  <c r="M916" i="2"/>
  <c r="O916" i="2" s="1"/>
  <c r="M917" i="2"/>
  <c r="O917" i="2" s="1"/>
  <c r="M918" i="2"/>
  <c r="O918" i="2" s="1"/>
  <c r="M919" i="2"/>
  <c r="O919" i="2" s="1"/>
  <c r="M920" i="2"/>
  <c r="O920" i="2" s="1"/>
  <c r="M921" i="2"/>
  <c r="O921" i="2" s="1"/>
  <c r="M922" i="2"/>
  <c r="O922" i="2" s="1"/>
  <c r="M923" i="2"/>
  <c r="O923" i="2" s="1"/>
  <c r="M924" i="2"/>
  <c r="O924" i="2" s="1"/>
  <c r="M925" i="2"/>
  <c r="O925" i="2" s="1"/>
  <c r="M926" i="2"/>
  <c r="O926" i="2" s="1"/>
  <c r="M927" i="2"/>
  <c r="O927" i="2" s="1"/>
  <c r="M928" i="2"/>
  <c r="O928" i="2" s="1"/>
  <c r="M929" i="2"/>
  <c r="O929" i="2" s="1"/>
  <c r="M930" i="2"/>
  <c r="O930" i="2" s="1"/>
  <c r="M931" i="2"/>
  <c r="O931" i="2" s="1"/>
  <c r="M932" i="2"/>
  <c r="O932" i="2" s="1"/>
  <c r="M933" i="2"/>
  <c r="O933" i="2" s="1"/>
  <c r="M934" i="2"/>
  <c r="O934" i="2" s="1"/>
  <c r="M935" i="2"/>
  <c r="O935" i="2" s="1"/>
  <c r="M936" i="2"/>
  <c r="O936" i="2" s="1"/>
  <c r="M937" i="2"/>
  <c r="O937" i="2" s="1"/>
  <c r="M938" i="2"/>
  <c r="O938" i="2" s="1"/>
  <c r="M939" i="2"/>
  <c r="O939" i="2" s="1"/>
  <c r="M940" i="2"/>
  <c r="O940" i="2" s="1"/>
  <c r="M941" i="2"/>
  <c r="O941" i="2" s="1"/>
  <c r="M942" i="2"/>
  <c r="O942" i="2" s="1"/>
  <c r="M943" i="2"/>
  <c r="O943" i="2" s="1"/>
  <c r="M944" i="2"/>
  <c r="O944" i="2" s="1"/>
  <c r="M945" i="2"/>
  <c r="O945" i="2" s="1"/>
  <c r="M946" i="2"/>
  <c r="O946" i="2" s="1"/>
  <c r="M947" i="2"/>
  <c r="O947" i="2" s="1"/>
  <c r="M948" i="2"/>
  <c r="O948" i="2" s="1"/>
  <c r="M949" i="2"/>
  <c r="O949" i="2" s="1"/>
  <c r="M950" i="2"/>
  <c r="O950" i="2" s="1"/>
  <c r="M951" i="2"/>
  <c r="O951" i="2" s="1"/>
  <c r="M952" i="2"/>
  <c r="O952" i="2" s="1"/>
  <c r="M953" i="2"/>
  <c r="O953" i="2" s="1"/>
  <c r="M954" i="2"/>
  <c r="O954" i="2" s="1"/>
  <c r="M955" i="2"/>
  <c r="O955" i="2" s="1"/>
  <c r="M956" i="2"/>
  <c r="O956" i="2" s="1"/>
  <c r="M957" i="2"/>
  <c r="O957" i="2" s="1"/>
  <c r="M958" i="2"/>
  <c r="O958" i="2" s="1"/>
  <c r="M959" i="2"/>
  <c r="O959" i="2" s="1"/>
  <c r="M960" i="2"/>
  <c r="O960" i="2" s="1"/>
  <c r="M961" i="2"/>
  <c r="O961" i="2" s="1"/>
  <c r="M962" i="2"/>
  <c r="O962" i="2" s="1"/>
  <c r="M963" i="2"/>
  <c r="O963" i="2" s="1"/>
  <c r="M964" i="2"/>
  <c r="O964" i="2" s="1"/>
  <c r="M965" i="2"/>
  <c r="O965" i="2" s="1"/>
  <c r="M966" i="2"/>
  <c r="O966" i="2" s="1"/>
  <c r="M967" i="2"/>
  <c r="O967" i="2" s="1"/>
  <c r="M968" i="2"/>
  <c r="O968" i="2" s="1"/>
  <c r="M969" i="2"/>
  <c r="O969" i="2" s="1"/>
  <c r="M970" i="2"/>
  <c r="O970" i="2" s="1"/>
  <c r="M971" i="2"/>
  <c r="O971" i="2" s="1"/>
  <c r="M972" i="2"/>
  <c r="O972" i="2" s="1"/>
  <c r="M973" i="2"/>
  <c r="O973" i="2" s="1"/>
  <c r="M974" i="2"/>
  <c r="O974" i="2" s="1"/>
  <c r="M975" i="2"/>
  <c r="O975" i="2" s="1"/>
  <c r="M976" i="2"/>
  <c r="O976" i="2" s="1"/>
  <c r="M977" i="2"/>
  <c r="O977" i="2" s="1"/>
  <c r="M978" i="2"/>
  <c r="O978" i="2" s="1"/>
  <c r="M979" i="2"/>
  <c r="O979" i="2" s="1"/>
  <c r="M980" i="2"/>
  <c r="O980" i="2" s="1"/>
  <c r="M981" i="2"/>
  <c r="O981" i="2" s="1"/>
  <c r="M982" i="2"/>
  <c r="O982" i="2" s="1"/>
  <c r="M983" i="2"/>
  <c r="O983" i="2" s="1"/>
  <c r="M984" i="2"/>
  <c r="O984" i="2" s="1"/>
  <c r="M985" i="2"/>
  <c r="O985" i="2" s="1"/>
  <c r="M986" i="2"/>
  <c r="O986" i="2" s="1"/>
  <c r="M987" i="2"/>
  <c r="O987" i="2" s="1"/>
  <c r="M988" i="2"/>
  <c r="O988" i="2" s="1"/>
  <c r="M989" i="2"/>
  <c r="O989" i="2" s="1"/>
  <c r="M990" i="2"/>
  <c r="O990" i="2" s="1"/>
  <c r="M991" i="2"/>
  <c r="O991" i="2" s="1"/>
  <c r="M992" i="2"/>
  <c r="O992" i="2" s="1"/>
  <c r="M993" i="2"/>
  <c r="O993" i="2" s="1"/>
  <c r="M994" i="2"/>
  <c r="O994" i="2" s="1"/>
  <c r="M995" i="2"/>
  <c r="O995" i="2" s="1"/>
  <c r="M996" i="2"/>
  <c r="O996" i="2" s="1"/>
  <c r="M997" i="2"/>
  <c r="O997" i="2" s="1"/>
  <c r="M998" i="2"/>
  <c r="O998" i="2" s="1"/>
  <c r="M999" i="2"/>
  <c r="O999" i="2" s="1"/>
  <c r="M1000" i="2"/>
  <c r="O1000" i="2" s="1"/>
  <c r="M1001" i="2"/>
  <c r="O1001" i="2" s="1"/>
  <c r="M1002" i="2"/>
  <c r="O1002" i="2" s="1"/>
  <c r="M1003" i="2"/>
  <c r="O1003" i="2" s="1"/>
  <c r="M1004" i="2"/>
  <c r="O1004" i="2" s="1"/>
  <c r="M1005" i="2"/>
  <c r="O1005" i="2" s="1"/>
  <c r="M1006" i="2"/>
  <c r="O1006" i="2" s="1"/>
  <c r="M1007" i="2"/>
  <c r="O1007" i="2" s="1"/>
  <c r="M1008" i="2"/>
  <c r="O1008" i="2" s="1"/>
  <c r="M1009" i="2"/>
  <c r="O1009" i="2" s="1"/>
  <c r="M1010" i="2"/>
  <c r="O1010" i="2" s="1"/>
  <c r="M1011" i="2"/>
  <c r="O1011" i="2" s="1"/>
  <c r="M1012" i="2"/>
  <c r="O1012" i="2" s="1"/>
  <c r="M1013" i="2"/>
  <c r="O1013" i="2" s="1"/>
  <c r="M1014" i="2"/>
  <c r="O1014" i="2" s="1"/>
  <c r="M1015" i="2"/>
  <c r="O1015" i="2" s="1"/>
  <c r="M1016" i="2"/>
  <c r="O1016" i="2" s="1"/>
  <c r="M1017" i="2"/>
  <c r="O1017" i="2" s="1"/>
  <c r="M1018" i="2"/>
  <c r="O1018" i="2" s="1"/>
  <c r="M1019" i="2"/>
  <c r="O1019" i="2" s="1"/>
  <c r="M1020" i="2"/>
  <c r="O1020" i="2" s="1"/>
  <c r="M1021" i="2"/>
  <c r="O1021" i="2" s="1"/>
  <c r="M1022" i="2"/>
  <c r="O1022" i="2" s="1"/>
  <c r="M1023" i="2"/>
  <c r="O1023" i="2" s="1"/>
  <c r="M1024" i="2"/>
  <c r="O1024" i="2" s="1"/>
  <c r="M1025" i="2"/>
  <c r="O1025" i="2" s="1"/>
  <c r="M1026" i="2"/>
  <c r="O1026" i="2" s="1"/>
  <c r="M1027" i="2"/>
  <c r="O1027" i="2" s="1"/>
  <c r="M1028" i="2"/>
  <c r="O1028" i="2" s="1"/>
  <c r="M1029" i="2"/>
  <c r="O1029" i="2" s="1"/>
  <c r="M1030" i="2"/>
  <c r="O1030" i="2" s="1"/>
  <c r="M1031" i="2"/>
  <c r="O1031" i="2" s="1"/>
  <c r="M1032" i="2"/>
  <c r="O1032" i="2" s="1"/>
  <c r="M1033" i="2"/>
  <c r="O1033" i="2" s="1"/>
  <c r="M1034" i="2"/>
  <c r="O1034" i="2" s="1"/>
  <c r="M1035" i="2"/>
  <c r="O1035" i="2" s="1"/>
  <c r="M1036" i="2"/>
  <c r="O1036" i="2" s="1"/>
  <c r="M1037" i="2"/>
  <c r="O1037" i="2" s="1"/>
  <c r="M1038" i="2"/>
  <c r="O1038" i="2" s="1"/>
  <c r="M1039" i="2"/>
  <c r="O1039" i="2" s="1"/>
  <c r="M1040" i="2"/>
  <c r="O1040" i="2" s="1"/>
  <c r="M1041" i="2"/>
  <c r="O1041" i="2" s="1"/>
  <c r="M1042" i="2"/>
  <c r="O1042" i="2" s="1"/>
  <c r="M1043" i="2"/>
  <c r="O1043" i="2" s="1"/>
  <c r="M1044" i="2"/>
  <c r="O1044" i="2" s="1"/>
  <c r="M1045" i="2"/>
  <c r="O1045" i="2" s="1"/>
  <c r="M1046" i="2"/>
  <c r="O1046" i="2" s="1"/>
  <c r="M1047" i="2"/>
  <c r="O1047" i="2" s="1"/>
  <c r="M1048" i="2"/>
  <c r="O1048" i="2" s="1"/>
  <c r="M1049" i="2"/>
  <c r="O1049" i="2" s="1"/>
  <c r="M1050" i="2"/>
  <c r="O1050" i="2" s="1"/>
  <c r="M1051" i="2"/>
  <c r="O1051" i="2" s="1"/>
  <c r="M1052" i="2"/>
  <c r="O1052" i="2" s="1"/>
  <c r="M1053" i="2"/>
  <c r="O1053" i="2" s="1"/>
  <c r="M1054" i="2"/>
  <c r="O1054" i="2" s="1"/>
  <c r="M1055" i="2"/>
  <c r="O1055" i="2" s="1"/>
  <c r="M1056" i="2"/>
  <c r="O1056" i="2" s="1"/>
  <c r="M1057" i="2"/>
  <c r="O1057" i="2" s="1"/>
  <c r="M1058" i="2"/>
  <c r="O1058" i="2" s="1"/>
  <c r="M1059" i="2"/>
  <c r="O1059" i="2" s="1"/>
  <c r="M1060" i="2"/>
  <c r="O1060" i="2" s="1"/>
  <c r="M1061" i="2"/>
  <c r="O1061" i="2" s="1"/>
  <c r="M1062" i="2"/>
  <c r="O1062" i="2" s="1"/>
  <c r="M1063" i="2"/>
  <c r="O1063" i="2" s="1"/>
  <c r="M1064" i="2"/>
  <c r="O1064" i="2" s="1"/>
  <c r="M1065" i="2"/>
  <c r="O1065" i="2" s="1"/>
  <c r="M1066" i="2"/>
  <c r="O1066" i="2" s="1"/>
  <c r="M1067" i="2"/>
  <c r="O1067" i="2" s="1"/>
  <c r="M1068" i="2"/>
  <c r="O1068" i="2" s="1"/>
  <c r="M1069" i="2"/>
  <c r="O1069" i="2" s="1"/>
  <c r="M1070" i="2"/>
  <c r="O1070" i="2" s="1"/>
  <c r="M1071" i="2"/>
  <c r="O1071" i="2" s="1"/>
  <c r="M1072" i="2"/>
  <c r="O1072" i="2" s="1"/>
  <c r="M1073" i="2"/>
  <c r="O1073" i="2" s="1"/>
  <c r="M1074" i="2"/>
  <c r="O1074" i="2" s="1"/>
  <c r="M1075" i="2"/>
  <c r="O1075" i="2" s="1"/>
  <c r="M1076" i="2"/>
  <c r="O1076" i="2" s="1"/>
  <c r="M1077" i="2"/>
  <c r="O1077" i="2" s="1"/>
  <c r="M1078" i="2"/>
  <c r="O1078" i="2" s="1"/>
  <c r="M1079" i="2"/>
  <c r="O1079" i="2" s="1"/>
  <c r="M1080" i="2"/>
  <c r="O1080" i="2" s="1"/>
  <c r="M1081" i="2"/>
  <c r="O1081" i="2" s="1"/>
  <c r="M1082" i="2"/>
  <c r="O1082" i="2" s="1"/>
  <c r="M1083" i="2"/>
  <c r="O1083" i="2" s="1"/>
  <c r="M1084" i="2"/>
  <c r="O1084" i="2" s="1"/>
  <c r="M1085" i="2"/>
  <c r="O1085" i="2" s="1"/>
  <c r="M1086" i="2"/>
  <c r="O1086" i="2" s="1"/>
  <c r="M1087" i="2"/>
  <c r="O1087" i="2" s="1"/>
  <c r="M1088" i="2"/>
  <c r="O1088" i="2" s="1"/>
  <c r="M1089" i="2"/>
  <c r="O1089" i="2" s="1"/>
  <c r="M1090" i="2"/>
  <c r="O1090" i="2" s="1"/>
  <c r="M1091" i="2"/>
  <c r="O1091" i="2" s="1"/>
  <c r="M1092" i="2"/>
  <c r="O1092" i="2" s="1"/>
  <c r="M1093" i="2"/>
  <c r="O1093" i="2" s="1"/>
  <c r="M1094" i="2"/>
  <c r="O1094" i="2" s="1"/>
  <c r="M1095" i="2"/>
  <c r="O1095" i="2" s="1"/>
  <c r="M1096" i="2"/>
  <c r="O1096" i="2" s="1"/>
  <c r="M1097" i="2"/>
  <c r="O1097" i="2" s="1"/>
  <c r="M1098" i="2"/>
  <c r="O1098" i="2" s="1"/>
  <c r="M1099" i="2"/>
  <c r="O1099" i="2" s="1"/>
  <c r="M1100" i="2"/>
  <c r="O1100" i="2" s="1"/>
  <c r="M1101" i="2"/>
  <c r="O1101" i="2" s="1"/>
  <c r="M1102" i="2"/>
  <c r="O1102" i="2" s="1"/>
  <c r="M1103" i="2"/>
  <c r="O1103" i="2" s="1"/>
  <c r="M1104" i="2"/>
  <c r="O1104" i="2" s="1"/>
  <c r="M1105" i="2"/>
  <c r="O1105" i="2" s="1"/>
  <c r="M1106" i="2"/>
  <c r="O1106" i="2" s="1"/>
  <c r="M1107" i="2"/>
  <c r="O1107" i="2" s="1"/>
  <c r="M1108" i="2"/>
  <c r="O1108" i="2" s="1"/>
  <c r="M1109" i="2"/>
  <c r="O1109" i="2" s="1"/>
  <c r="M1110" i="2"/>
  <c r="O1110" i="2" s="1"/>
  <c r="M1111" i="2"/>
  <c r="O1111" i="2" s="1"/>
  <c r="M1112" i="2"/>
  <c r="O1112" i="2" s="1"/>
  <c r="M1113" i="2"/>
  <c r="O1113" i="2" s="1"/>
  <c r="M1114" i="2"/>
  <c r="O1114" i="2" s="1"/>
  <c r="M1115" i="2"/>
  <c r="O1115" i="2" s="1"/>
  <c r="M1116" i="2"/>
  <c r="O1116" i="2" s="1"/>
  <c r="M1117" i="2"/>
  <c r="O1117" i="2" s="1"/>
  <c r="M1118" i="2"/>
  <c r="O1118" i="2" s="1"/>
  <c r="M1119" i="2"/>
  <c r="O1119" i="2" s="1"/>
  <c r="M1120" i="2"/>
  <c r="O1120" i="2" s="1"/>
  <c r="M1121" i="2"/>
  <c r="O1121" i="2" s="1"/>
  <c r="M1122" i="2"/>
  <c r="O1122" i="2" s="1"/>
  <c r="M1123" i="2"/>
  <c r="O1123" i="2" s="1"/>
  <c r="M1124" i="2"/>
  <c r="O1124" i="2" s="1"/>
  <c r="M1125" i="2"/>
  <c r="O1125" i="2" s="1"/>
  <c r="M1126" i="2"/>
  <c r="O1126" i="2" s="1"/>
  <c r="M1127" i="2"/>
  <c r="O1127" i="2" s="1"/>
  <c r="M1128" i="2"/>
  <c r="O1128" i="2" s="1"/>
  <c r="M1129" i="2"/>
  <c r="O1129" i="2" s="1"/>
  <c r="M1130" i="2"/>
  <c r="O1130" i="2" s="1"/>
  <c r="M1131" i="2"/>
  <c r="O1131" i="2" s="1"/>
  <c r="M1132" i="2"/>
  <c r="O1132" i="2" s="1"/>
  <c r="M1133" i="2"/>
  <c r="O1133" i="2" s="1"/>
  <c r="M1134" i="2"/>
  <c r="O1134" i="2" s="1"/>
  <c r="M1135" i="2"/>
  <c r="O1135" i="2" s="1"/>
  <c r="M1136" i="2"/>
  <c r="O1136" i="2" s="1"/>
  <c r="M1137" i="2"/>
  <c r="O1137" i="2" s="1"/>
  <c r="M1138" i="2"/>
  <c r="O1138" i="2" s="1"/>
  <c r="M1139" i="2"/>
  <c r="O1139" i="2" s="1"/>
  <c r="M1140" i="2"/>
  <c r="O1140" i="2" s="1"/>
  <c r="M1141" i="2"/>
  <c r="O1141" i="2" s="1"/>
  <c r="M1142" i="2"/>
  <c r="O1142" i="2" s="1"/>
  <c r="M1143" i="2"/>
  <c r="O1143" i="2" s="1"/>
  <c r="M1144" i="2"/>
  <c r="O1144" i="2" s="1"/>
  <c r="M1145" i="2"/>
  <c r="O1145" i="2" s="1"/>
  <c r="M1146" i="2"/>
  <c r="O1146" i="2" s="1"/>
  <c r="M1147" i="2"/>
  <c r="O1147" i="2" s="1"/>
  <c r="M1148" i="2"/>
  <c r="O1148" i="2" s="1"/>
  <c r="M1149" i="2"/>
  <c r="O1149" i="2" s="1"/>
  <c r="M1150" i="2"/>
  <c r="O1150" i="2" s="1"/>
  <c r="M1151" i="2"/>
  <c r="O1151" i="2" s="1"/>
  <c r="M1152" i="2"/>
  <c r="O1152" i="2" s="1"/>
  <c r="M1153" i="2"/>
  <c r="O1153" i="2" s="1"/>
  <c r="M1154" i="2"/>
  <c r="O1154" i="2" s="1"/>
  <c r="M1155" i="2"/>
  <c r="O1155" i="2" s="1"/>
  <c r="M1156" i="2"/>
  <c r="O1156" i="2" s="1"/>
  <c r="M1157" i="2"/>
  <c r="O1157" i="2" s="1"/>
  <c r="M1158" i="2"/>
  <c r="O1158" i="2" s="1"/>
  <c r="M1159" i="2"/>
  <c r="O1159" i="2" s="1"/>
  <c r="M1160" i="2"/>
  <c r="O1160" i="2" s="1"/>
  <c r="M1161" i="2"/>
  <c r="O1161" i="2" s="1"/>
  <c r="M1162" i="2"/>
  <c r="O1162" i="2" s="1"/>
  <c r="M1163" i="2"/>
  <c r="O1163" i="2" s="1"/>
  <c r="M1164" i="2"/>
  <c r="O1164" i="2" s="1"/>
  <c r="M1165" i="2"/>
  <c r="O1165" i="2" s="1"/>
  <c r="M1166" i="2"/>
  <c r="O1166" i="2" s="1"/>
  <c r="M1167" i="2"/>
  <c r="O1167" i="2" s="1"/>
  <c r="M1168" i="2"/>
  <c r="O1168" i="2" s="1"/>
  <c r="M1169" i="2"/>
  <c r="O1169" i="2" s="1"/>
  <c r="M1170" i="2"/>
  <c r="O1170" i="2" s="1"/>
  <c r="M1171" i="2"/>
  <c r="O1171" i="2" s="1"/>
  <c r="M1172" i="2"/>
  <c r="O1172" i="2" s="1"/>
  <c r="M1173" i="2"/>
  <c r="O1173" i="2" s="1"/>
  <c r="M1174" i="2"/>
  <c r="O1174" i="2" s="1"/>
  <c r="M1175" i="2"/>
  <c r="O1175" i="2" s="1"/>
  <c r="M1176" i="2"/>
  <c r="O1176" i="2" s="1"/>
  <c r="M1177" i="2"/>
  <c r="O1177" i="2" s="1"/>
  <c r="M1178" i="2"/>
  <c r="O1178" i="2" s="1"/>
  <c r="M1179" i="2"/>
  <c r="O1179" i="2" s="1"/>
  <c r="M1180" i="2"/>
  <c r="O1180" i="2" s="1"/>
  <c r="M1181" i="2"/>
  <c r="O1181" i="2" s="1"/>
  <c r="M1182" i="2"/>
  <c r="O1182" i="2" s="1"/>
  <c r="M1183" i="2"/>
  <c r="O1183" i="2" s="1"/>
  <c r="M1184" i="2"/>
  <c r="O1184" i="2" s="1"/>
  <c r="M1185" i="2"/>
  <c r="O1185" i="2" s="1"/>
  <c r="M1186" i="2"/>
  <c r="O1186" i="2" s="1"/>
  <c r="M1187" i="2"/>
  <c r="O1187" i="2" s="1"/>
  <c r="M1188" i="2"/>
  <c r="O1188" i="2" s="1"/>
  <c r="M1189" i="2"/>
  <c r="O1189" i="2" s="1"/>
  <c r="M1190" i="2"/>
  <c r="O1190" i="2" s="1"/>
  <c r="M1191" i="2"/>
  <c r="O1191" i="2" s="1"/>
  <c r="M1192" i="2"/>
  <c r="O1192" i="2" s="1"/>
  <c r="M1193" i="2"/>
  <c r="O1193" i="2" s="1"/>
  <c r="M1194" i="2"/>
  <c r="O1194" i="2" s="1"/>
  <c r="M1195" i="2"/>
  <c r="O1195" i="2" s="1"/>
  <c r="M1196" i="2"/>
  <c r="O1196" i="2" s="1"/>
  <c r="M1197" i="2"/>
  <c r="O1197" i="2" s="1"/>
  <c r="M1198" i="2"/>
  <c r="O1198" i="2" s="1"/>
  <c r="M1199" i="2"/>
  <c r="O1199" i="2" s="1"/>
  <c r="M1200" i="2"/>
  <c r="O1200" i="2" s="1"/>
  <c r="M1201" i="2"/>
  <c r="O1201" i="2" s="1"/>
  <c r="M1202" i="2"/>
  <c r="O1202" i="2" s="1"/>
  <c r="M1203" i="2"/>
  <c r="O1203" i="2" s="1"/>
  <c r="M1204" i="2"/>
  <c r="O1204" i="2" s="1"/>
  <c r="M1205" i="2"/>
  <c r="O1205" i="2" s="1"/>
  <c r="M1206" i="2"/>
  <c r="O1206" i="2" s="1"/>
  <c r="M1207" i="2"/>
  <c r="O1207" i="2" s="1"/>
  <c r="M1208" i="2"/>
  <c r="O1208" i="2" s="1"/>
  <c r="M1209" i="2"/>
  <c r="O1209" i="2" s="1"/>
  <c r="M1210" i="2"/>
  <c r="O1210" i="2" s="1"/>
  <c r="M1211" i="2"/>
  <c r="O1211" i="2" s="1"/>
  <c r="M1212" i="2"/>
  <c r="O1212" i="2" s="1"/>
  <c r="M1213" i="2"/>
  <c r="O1213" i="2" s="1"/>
  <c r="M1214" i="2"/>
  <c r="O1214" i="2" s="1"/>
  <c r="M1215" i="2"/>
  <c r="O1215" i="2" s="1"/>
  <c r="M1216" i="2"/>
  <c r="O1216" i="2" s="1"/>
  <c r="M1217" i="2"/>
  <c r="O1217" i="2" s="1"/>
  <c r="M1218" i="2"/>
  <c r="O1218" i="2" s="1"/>
  <c r="M1219" i="2"/>
  <c r="O1219" i="2" s="1"/>
  <c r="M1220" i="2"/>
  <c r="O1220" i="2" s="1"/>
  <c r="M1221" i="2"/>
  <c r="O1221" i="2" s="1"/>
  <c r="M1222" i="2"/>
  <c r="O1222" i="2" s="1"/>
  <c r="M1223" i="2"/>
  <c r="O1223" i="2" s="1"/>
  <c r="M1224" i="2"/>
  <c r="O1224" i="2" s="1"/>
  <c r="M1225" i="2"/>
  <c r="O1225" i="2" s="1"/>
  <c r="M1226" i="2"/>
  <c r="O1226" i="2" s="1"/>
  <c r="M1227" i="2"/>
  <c r="O1227" i="2" s="1"/>
  <c r="M1228" i="2"/>
  <c r="O1228" i="2" s="1"/>
  <c r="M1229" i="2"/>
  <c r="O1229" i="2" s="1"/>
  <c r="M1230" i="2"/>
  <c r="O1230" i="2" s="1"/>
  <c r="M1231" i="2"/>
  <c r="O1231" i="2" s="1"/>
  <c r="M1232" i="2"/>
  <c r="O1232" i="2" s="1"/>
  <c r="M1233" i="2"/>
  <c r="O1233" i="2" s="1"/>
  <c r="M1234" i="2"/>
  <c r="O1234" i="2" s="1"/>
  <c r="M1235" i="2"/>
  <c r="O1235" i="2" s="1"/>
  <c r="M1236" i="2"/>
  <c r="O1236" i="2" s="1"/>
  <c r="M1237" i="2"/>
  <c r="O1237" i="2" s="1"/>
  <c r="M1238" i="2"/>
  <c r="O1238" i="2" s="1"/>
  <c r="M1239" i="2"/>
  <c r="O1239" i="2" s="1"/>
  <c r="M1240" i="2"/>
  <c r="O1240" i="2" s="1"/>
  <c r="M1241" i="2"/>
  <c r="O1241" i="2" s="1"/>
  <c r="M1242" i="2"/>
  <c r="O1242" i="2" s="1"/>
  <c r="M1243" i="2"/>
  <c r="O1243" i="2" s="1"/>
  <c r="M1244" i="2"/>
  <c r="O1244" i="2" s="1"/>
  <c r="M1245" i="2"/>
  <c r="O1245" i="2" s="1"/>
  <c r="M1246" i="2"/>
  <c r="O1246" i="2" s="1"/>
  <c r="M1247" i="2"/>
  <c r="O1247" i="2" s="1"/>
  <c r="M1248" i="2"/>
  <c r="O1248" i="2" s="1"/>
  <c r="M1249" i="2"/>
  <c r="O1249" i="2" s="1"/>
  <c r="M1250" i="2"/>
  <c r="O1250" i="2" s="1"/>
  <c r="M1251" i="2"/>
  <c r="O1251" i="2" s="1"/>
  <c r="M1252" i="2"/>
  <c r="O1252" i="2" s="1"/>
  <c r="M1253" i="2"/>
  <c r="O1253" i="2" s="1"/>
  <c r="M1254" i="2"/>
  <c r="O1254" i="2" s="1"/>
  <c r="M1255" i="2"/>
  <c r="O1255" i="2" s="1"/>
  <c r="M1256" i="2"/>
  <c r="O1256" i="2" s="1"/>
  <c r="M1257" i="2"/>
  <c r="O1257" i="2" s="1"/>
  <c r="M1258" i="2"/>
  <c r="O1258" i="2" s="1"/>
  <c r="M1259" i="2"/>
  <c r="O1259" i="2" s="1"/>
  <c r="M1260" i="2"/>
  <c r="O1260" i="2" s="1"/>
  <c r="M1261" i="2"/>
  <c r="O1261" i="2" s="1"/>
  <c r="M1262" i="2"/>
  <c r="O1262" i="2" s="1"/>
  <c r="M1263" i="2"/>
  <c r="O1263" i="2" s="1"/>
  <c r="M1264" i="2"/>
  <c r="O1264" i="2" s="1"/>
  <c r="M1265" i="2"/>
  <c r="O1265" i="2" s="1"/>
  <c r="M1266" i="2"/>
  <c r="O1266" i="2" s="1"/>
  <c r="M1267" i="2"/>
  <c r="O1267" i="2" s="1"/>
  <c r="M1268" i="2"/>
  <c r="O1268" i="2" s="1"/>
  <c r="M1269" i="2"/>
  <c r="O1269" i="2" s="1"/>
  <c r="M1270" i="2"/>
  <c r="O1270" i="2" s="1"/>
  <c r="M1271" i="2"/>
  <c r="O1271" i="2" s="1"/>
  <c r="M1272" i="2"/>
  <c r="O1272" i="2" s="1"/>
  <c r="M1273" i="2"/>
  <c r="O1273" i="2" s="1"/>
  <c r="M1274" i="2"/>
  <c r="O1274" i="2" s="1"/>
  <c r="M1275" i="2"/>
  <c r="O1275" i="2" s="1"/>
  <c r="M1276" i="2"/>
  <c r="O1276" i="2" s="1"/>
  <c r="M1277" i="2"/>
  <c r="O1277" i="2" s="1"/>
  <c r="M1278" i="2"/>
  <c r="O1278" i="2" s="1"/>
  <c r="M1279" i="2"/>
  <c r="O1279" i="2" s="1"/>
  <c r="M1280" i="2"/>
  <c r="O1280" i="2" s="1"/>
  <c r="M1281" i="2"/>
  <c r="O1281" i="2" s="1"/>
  <c r="M1282" i="2"/>
  <c r="O1282" i="2" s="1"/>
  <c r="M1283" i="2"/>
  <c r="O1283" i="2" s="1"/>
  <c r="M1284" i="2"/>
  <c r="O1284" i="2" s="1"/>
  <c r="M1285" i="2"/>
  <c r="O1285" i="2" s="1"/>
  <c r="M1286" i="2"/>
  <c r="O1286" i="2" s="1"/>
  <c r="M1287" i="2"/>
  <c r="O1287" i="2" s="1"/>
  <c r="M1288" i="2"/>
  <c r="O1288" i="2" s="1"/>
  <c r="M1289" i="2"/>
  <c r="O1289" i="2" s="1"/>
  <c r="M1290" i="2"/>
  <c r="O1290" i="2" s="1"/>
  <c r="M1291" i="2"/>
  <c r="O1291" i="2" s="1"/>
  <c r="M1292" i="2"/>
  <c r="O1292" i="2" s="1"/>
  <c r="M1293" i="2"/>
  <c r="O1293" i="2" s="1"/>
  <c r="M1294" i="2"/>
  <c r="O1294" i="2" s="1"/>
  <c r="M1295" i="2"/>
  <c r="O1295" i="2" s="1"/>
  <c r="M1296" i="2"/>
  <c r="O1296" i="2" s="1"/>
  <c r="M1297" i="2"/>
  <c r="O1297" i="2" s="1"/>
  <c r="M1298" i="2"/>
  <c r="O1298" i="2" s="1"/>
  <c r="M1299" i="2"/>
  <c r="O1299" i="2" s="1"/>
  <c r="M1300" i="2"/>
  <c r="O1300" i="2" s="1"/>
  <c r="M1301" i="2"/>
  <c r="O1301" i="2" s="1"/>
  <c r="M1302" i="2"/>
  <c r="O1302" i="2" s="1"/>
  <c r="M1303" i="2"/>
  <c r="O1303" i="2" s="1"/>
  <c r="M1304" i="2"/>
  <c r="O1304" i="2" s="1"/>
  <c r="M1305" i="2"/>
  <c r="O1305" i="2" s="1"/>
  <c r="M1306" i="2"/>
  <c r="O1306" i="2" s="1"/>
  <c r="M1307" i="2"/>
  <c r="O1307" i="2" s="1"/>
  <c r="M1308" i="2"/>
  <c r="O1308" i="2" s="1"/>
  <c r="M1309" i="2"/>
  <c r="O1309" i="2" s="1"/>
  <c r="M1310" i="2"/>
  <c r="O1310" i="2" s="1"/>
  <c r="M1311" i="2"/>
  <c r="O1311" i="2" s="1"/>
  <c r="M1312" i="2"/>
  <c r="O1312" i="2" s="1"/>
  <c r="M1313" i="2"/>
  <c r="O1313" i="2" s="1"/>
  <c r="M1314" i="2"/>
  <c r="O1314" i="2" s="1"/>
  <c r="M1315" i="2"/>
  <c r="O1315" i="2" s="1"/>
  <c r="M1316" i="2"/>
  <c r="O1316" i="2" s="1"/>
  <c r="M1317" i="2"/>
  <c r="O1317" i="2" s="1"/>
  <c r="M1318" i="2"/>
  <c r="O1318" i="2" s="1"/>
  <c r="M1319" i="2"/>
  <c r="O1319" i="2" s="1"/>
  <c r="M1320" i="2"/>
  <c r="O1320" i="2" s="1"/>
  <c r="M1321" i="2"/>
  <c r="O1321" i="2" s="1"/>
  <c r="M1322" i="2"/>
  <c r="O1322" i="2" s="1"/>
  <c r="M1323" i="2"/>
  <c r="O1323" i="2" s="1"/>
  <c r="M1324" i="2"/>
  <c r="O1324" i="2" s="1"/>
  <c r="M1325" i="2"/>
  <c r="O1325" i="2" s="1"/>
  <c r="M1326" i="2"/>
  <c r="O1326" i="2" s="1"/>
  <c r="M1327" i="2"/>
  <c r="O1327" i="2" s="1"/>
  <c r="M1328" i="2"/>
  <c r="O1328" i="2" s="1"/>
  <c r="M1329" i="2"/>
  <c r="O1329" i="2" s="1"/>
  <c r="M1330" i="2"/>
  <c r="O1330" i="2" s="1"/>
  <c r="M1331" i="2"/>
  <c r="O1331" i="2" s="1"/>
  <c r="M1332" i="2"/>
  <c r="O1332" i="2" s="1"/>
  <c r="M1333" i="2"/>
  <c r="O1333" i="2" s="1"/>
  <c r="M1334" i="2"/>
  <c r="O1334" i="2" s="1"/>
  <c r="M1335" i="2"/>
  <c r="O1335" i="2" s="1"/>
  <c r="M1336" i="2"/>
  <c r="O1336" i="2" s="1"/>
  <c r="M1337" i="2"/>
  <c r="O1337" i="2" s="1"/>
  <c r="M1338" i="2"/>
  <c r="O1338" i="2" s="1"/>
  <c r="M1339" i="2"/>
  <c r="O1339" i="2" s="1"/>
  <c r="M1340" i="2"/>
  <c r="O1340" i="2" s="1"/>
  <c r="M1341" i="2"/>
  <c r="O1341" i="2" s="1"/>
  <c r="M1342" i="2"/>
  <c r="O1342" i="2" s="1"/>
  <c r="M1343" i="2"/>
  <c r="O1343" i="2" s="1"/>
  <c r="M1344" i="2"/>
  <c r="O1344" i="2" s="1"/>
  <c r="M1345" i="2"/>
  <c r="O1345" i="2" s="1"/>
  <c r="M1346" i="2"/>
  <c r="O1346" i="2" s="1"/>
  <c r="M1347" i="2"/>
  <c r="O1347" i="2" s="1"/>
  <c r="M1348" i="2"/>
  <c r="O1348" i="2" s="1"/>
  <c r="M1349" i="2"/>
  <c r="O1349" i="2" s="1"/>
  <c r="M1350" i="2"/>
  <c r="O1350" i="2" s="1"/>
  <c r="M1351" i="2"/>
  <c r="O1351" i="2" s="1"/>
  <c r="M1352" i="2"/>
  <c r="O1352" i="2" s="1"/>
  <c r="M1353" i="2"/>
  <c r="O1353" i="2" s="1"/>
  <c r="M1354" i="2"/>
  <c r="O1354" i="2" s="1"/>
  <c r="M1355" i="2"/>
  <c r="O1355" i="2" s="1"/>
  <c r="M1356" i="2"/>
  <c r="O1356" i="2" s="1"/>
  <c r="M1357" i="2"/>
  <c r="O1357" i="2" s="1"/>
  <c r="M1358" i="2"/>
  <c r="O1358" i="2" s="1"/>
  <c r="M1359" i="2"/>
  <c r="O1359" i="2" s="1"/>
  <c r="M1360" i="2"/>
  <c r="O1360" i="2" s="1"/>
  <c r="M1361" i="2"/>
  <c r="O1361" i="2" s="1"/>
  <c r="M1362" i="2"/>
  <c r="O1362" i="2" s="1"/>
  <c r="M1363" i="2"/>
  <c r="O1363" i="2" s="1"/>
  <c r="M1364" i="2"/>
  <c r="O1364" i="2" s="1"/>
  <c r="M1365" i="2"/>
  <c r="O1365" i="2" s="1"/>
  <c r="M1366" i="2"/>
  <c r="O1366" i="2" s="1"/>
  <c r="M1367" i="2"/>
  <c r="O1367" i="2" s="1"/>
  <c r="M1368" i="2"/>
  <c r="O1368" i="2" s="1"/>
  <c r="M1369" i="2"/>
  <c r="O1369" i="2" s="1"/>
  <c r="M1370" i="2"/>
  <c r="O1370" i="2" s="1"/>
  <c r="M1371" i="2"/>
  <c r="O1371" i="2" s="1"/>
  <c r="M1372" i="2"/>
  <c r="O1372" i="2" s="1"/>
  <c r="M1373" i="2"/>
  <c r="O1373" i="2" s="1"/>
  <c r="M1374" i="2"/>
  <c r="O1374" i="2" s="1"/>
  <c r="M1375" i="2"/>
  <c r="O1375" i="2" s="1"/>
  <c r="M1376" i="2"/>
  <c r="O1376" i="2" s="1"/>
  <c r="M1377" i="2"/>
  <c r="O1377" i="2" s="1"/>
  <c r="M1378" i="2"/>
  <c r="O1378" i="2" s="1"/>
  <c r="M1379" i="2"/>
  <c r="O1379" i="2" s="1"/>
  <c r="M1380" i="2"/>
  <c r="O1380" i="2" s="1"/>
  <c r="M1381" i="2"/>
  <c r="O1381" i="2" s="1"/>
  <c r="M1382" i="2"/>
  <c r="O1382" i="2" s="1"/>
  <c r="M1383" i="2"/>
  <c r="O1383" i="2" s="1"/>
  <c r="M1384" i="2"/>
  <c r="O1384" i="2" s="1"/>
  <c r="M1385" i="2"/>
  <c r="O1385" i="2" s="1"/>
  <c r="M1386" i="2"/>
  <c r="O1386" i="2" s="1"/>
  <c r="M1387" i="2"/>
  <c r="O1387" i="2" s="1"/>
  <c r="M1388" i="2"/>
  <c r="O1388" i="2" s="1"/>
  <c r="M1389" i="2"/>
  <c r="O1389" i="2" s="1"/>
  <c r="M1390" i="2"/>
  <c r="O1390" i="2" s="1"/>
  <c r="M1391" i="2"/>
  <c r="O1391" i="2" s="1"/>
  <c r="M1392" i="2"/>
  <c r="O1392" i="2" s="1"/>
  <c r="M1393" i="2"/>
  <c r="O1393" i="2" s="1"/>
  <c r="M1394" i="2"/>
  <c r="O1394" i="2" s="1"/>
  <c r="M1395" i="2"/>
  <c r="O1395" i="2" s="1"/>
  <c r="M1396" i="2"/>
  <c r="O1396" i="2" s="1"/>
  <c r="M1397" i="2"/>
  <c r="O1397" i="2" s="1"/>
  <c r="M1398" i="2"/>
  <c r="O1398" i="2" s="1"/>
  <c r="M1399" i="2"/>
  <c r="O1399" i="2" s="1"/>
  <c r="M1400" i="2"/>
  <c r="O1400" i="2" s="1"/>
  <c r="M1401" i="2"/>
  <c r="O1401" i="2" s="1"/>
  <c r="M1402" i="2"/>
  <c r="O1402" i="2" s="1"/>
  <c r="M1403" i="2"/>
  <c r="O1403" i="2" s="1"/>
  <c r="M1404" i="2"/>
  <c r="O1404" i="2" s="1"/>
  <c r="M1405" i="2"/>
  <c r="O1405" i="2" s="1"/>
  <c r="M1406" i="2"/>
  <c r="O1406" i="2" s="1"/>
  <c r="M1407" i="2"/>
  <c r="O1407" i="2" s="1"/>
  <c r="M1408" i="2"/>
  <c r="O1408" i="2" s="1"/>
  <c r="M1409" i="2"/>
  <c r="O1409" i="2" s="1"/>
  <c r="M1410" i="2"/>
  <c r="O1410" i="2" s="1"/>
  <c r="M1411" i="2"/>
  <c r="O1411" i="2" s="1"/>
  <c r="M1412" i="2"/>
  <c r="O1412" i="2" s="1"/>
  <c r="M1413" i="2"/>
  <c r="O1413" i="2" s="1"/>
  <c r="M1414" i="2"/>
  <c r="O1414" i="2" s="1"/>
  <c r="M1415" i="2"/>
  <c r="O1415" i="2" s="1"/>
  <c r="M1416" i="2"/>
  <c r="O1416" i="2" s="1"/>
  <c r="M1417" i="2"/>
  <c r="O1417" i="2" s="1"/>
  <c r="M1418" i="2"/>
  <c r="O1418" i="2" s="1"/>
  <c r="M1419" i="2"/>
  <c r="O1419" i="2" s="1"/>
  <c r="M1420" i="2"/>
  <c r="O1420" i="2" s="1"/>
  <c r="M1421" i="2"/>
  <c r="O1421" i="2" s="1"/>
  <c r="M1422" i="2"/>
  <c r="O1422" i="2" s="1"/>
  <c r="M1423" i="2"/>
  <c r="O1423" i="2" s="1"/>
  <c r="M1424" i="2"/>
  <c r="O1424" i="2" s="1"/>
  <c r="M1425" i="2"/>
  <c r="O1425" i="2" s="1"/>
  <c r="M1426" i="2"/>
  <c r="O1426" i="2" s="1"/>
  <c r="M1427" i="2"/>
  <c r="O1427" i="2" s="1"/>
  <c r="M1428" i="2"/>
  <c r="O1428" i="2" s="1"/>
  <c r="M1429" i="2"/>
  <c r="O1429" i="2" s="1"/>
  <c r="M1430" i="2"/>
  <c r="O1430" i="2" s="1"/>
  <c r="M1431" i="2"/>
  <c r="O1431" i="2" s="1"/>
  <c r="M1432" i="2"/>
  <c r="O1432" i="2" s="1"/>
  <c r="M1433" i="2"/>
  <c r="O1433" i="2" s="1"/>
  <c r="M1434" i="2"/>
  <c r="O1434" i="2" s="1"/>
  <c r="M1435" i="2"/>
  <c r="O1435" i="2" s="1"/>
  <c r="M1436" i="2"/>
  <c r="O1436" i="2" s="1"/>
  <c r="M1437" i="2"/>
  <c r="O1437" i="2" s="1"/>
  <c r="M1438" i="2"/>
  <c r="O1438" i="2" s="1"/>
  <c r="M1439" i="2"/>
  <c r="O1439" i="2" s="1"/>
  <c r="M1440" i="2"/>
  <c r="O1440" i="2" s="1"/>
  <c r="M1441" i="2"/>
  <c r="O1441" i="2" s="1"/>
  <c r="M1442" i="2"/>
  <c r="O1442" i="2" s="1"/>
  <c r="M1443" i="2"/>
  <c r="O1443" i="2" s="1"/>
  <c r="M1444" i="2"/>
  <c r="O1444" i="2" s="1"/>
  <c r="M1445" i="2"/>
  <c r="O1445" i="2" s="1"/>
  <c r="M1446" i="2"/>
  <c r="O1446" i="2" s="1"/>
  <c r="M1447" i="2"/>
  <c r="O1447" i="2" s="1"/>
  <c r="M1448" i="2"/>
  <c r="O1448" i="2" s="1"/>
  <c r="M1449" i="2"/>
  <c r="O1449" i="2" s="1"/>
  <c r="M1450" i="2"/>
  <c r="O1450" i="2" s="1"/>
  <c r="M1451" i="2"/>
  <c r="O1451" i="2" s="1"/>
  <c r="M1452" i="2"/>
  <c r="O1452" i="2" s="1"/>
  <c r="M1453" i="2"/>
  <c r="O1453" i="2" s="1"/>
  <c r="M1454" i="2"/>
  <c r="O1454" i="2" s="1"/>
  <c r="M1455" i="2"/>
  <c r="O1455" i="2" s="1"/>
  <c r="M1456" i="2"/>
  <c r="O1456" i="2" s="1"/>
  <c r="M1457" i="2"/>
  <c r="O1457" i="2" s="1"/>
  <c r="M1458" i="2"/>
  <c r="O1458" i="2" s="1"/>
  <c r="M1459" i="2"/>
  <c r="O1459" i="2" s="1"/>
  <c r="M1460" i="2"/>
  <c r="O1460" i="2" s="1"/>
  <c r="M1461" i="2"/>
  <c r="O1461" i="2" s="1"/>
  <c r="M1462" i="2"/>
  <c r="O1462" i="2" s="1"/>
  <c r="M1463" i="2"/>
  <c r="O1463" i="2" s="1"/>
  <c r="M1464" i="2"/>
  <c r="O1464" i="2" s="1"/>
  <c r="M1465" i="2"/>
  <c r="O1465" i="2" s="1"/>
  <c r="M1466" i="2"/>
  <c r="O1466" i="2" s="1"/>
  <c r="M1467" i="2"/>
  <c r="O1467" i="2" s="1"/>
  <c r="M1468" i="2"/>
  <c r="O1468" i="2" s="1"/>
  <c r="M1469" i="2"/>
  <c r="O1469" i="2" s="1"/>
  <c r="O2" i="2"/>
  <c r="O3" i="2"/>
  <c r="O4" i="2"/>
  <c r="O5" i="2"/>
  <c r="O6" i="2"/>
  <c r="O9" i="2"/>
  <c r="O10" i="2"/>
  <c r="O11" i="2"/>
  <c r="O12" i="2"/>
  <c r="O13" i="2"/>
  <c r="O14" i="2"/>
  <c r="O15" i="2"/>
  <c r="O18" i="2"/>
  <c r="O19" i="2"/>
  <c r="O20" i="2"/>
  <c r="O21" i="2"/>
  <c r="O22" i="2"/>
  <c r="O25" i="2"/>
  <c r="O26" i="2"/>
  <c r="O27" i="2"/>
  <c r="O28" i="2"/>
  <c r="O29" i="2"/>
  <c r="O30" i="2"/>
  <c r="O31" i="2"/>
  <c r="O33" i="2"/>
  <c r="O34" i="2"/>
  <c r="O35" i="2"/>
  <c r="O36" i="2"/>
  <c r="O37" i="2"/>
  <c r="O38" i="2"/>
  <c r="O39" i="2"/>
  <c r="O41" i="2"/>
  <c r="O42" i="2"/>
  <c r="O43" i="2"/>
  <c r="O44" i="2"/>
  <c r="O45" i="2"/>
  <c r="O46" i="2"/>
  <c r="O47" i="2"/>
  <c r="O49" i="2"/>
  <c r="O50" i="2"/>
  <c r="O51" i="2"/>
  <c r="O52" i="2"/>
  <c r="O53" i="2"/>
  <c r="O54" i="2"/>
  <c r="O55" i="2"/>
  <c r="O58" i="2"/>
  <c r="O59" i="2"/>
  <c r="O60" i="2"/>
  <c r="O62" i="2"/>
  <c r="O63" i="2"/>
  <c r="O66" i="2"/>
  <c r="O67" i="2"/>
  <c r="O68" i="2"/>
  <c r="O69" i="2"/>
  <c r="O70" i="2"/>
  <c r="O74" i="2"/>
  <c r="O75" i="2"/>
  <c r="O76" i="2"/>
  <c r="O77" i="2"/>
  <c r="O78" i="2"/>
  <c r="O79" i="2"/>
  <c r="O82" i="2"/>
  <c r="O83" i="2"/>
  <c r="O84" i="2"/>
  <c r="O85" i="2"/>
  <c r="O86" i="2"/>
  <c r="O87" i="2"/>
  <c r="O89" i="2"/>
  <c r="O90" i="2"/>
  <c r="O91" i="2"/>
  <c r="O92" i="2"/>
  <c r="O94" i="2"/>
  <c r="O97" i="2"/>
  <c r="O98" i="2"/>
  <c r="O99" i="2"/>
  <c r="O100" i="2"/>
  <c r="O101" i="2"/>
  <c r="O102" i="2"/>
  <c r="O105" i="2"/>
  <c r="O106" i="2"/>
  <c r="O108" i="2"/>
  <c r="O109" i="2"/>
  <c r="O110" i="2"/>
  <c r="O111" i="2"/>
  <c r="O114" i="2"/>
  <c r="O116" i="2"/>
  <c r="O117" i="2"/>
  <c r="O118" i="2"/>
  <c r="O124" i="2"/>
  <c r="O125" i="2"/>
  <c r="O126" i="2"/>
  <c r="O133" i="2"/>
  <c r="O140" i="2"/>
  <c r="O142" i="2"/>
  <c r="O158" i="2"/>
  <c r="O166" i="2"/>
  <c r="O172" i="2"/>
  <c r="O182" i="2"/>
  <c r="O206" i="2"/>
  <c r="O222" i="2"/>
  <c r="O238" i="2"/>
  <c r="O254" i="2"/>
  <c r="O284" i="2"/>
  <c r="O302" i="2"/>
  <c r="O356" i="2"/>
  <c r="O358" i="2"/>
  <c r="O534" i="2"/>
  <c r="O644" i="2"/>
  <c r="M1470" i="2"/>
  <c r="O1470" i="2" s="1"/>
  <c r="M1471" i="2"/>
  <c r="O1471" i="2" s="1"/>
  <c r="M1472" i="2"/>
  <c r="O1472"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alcChain>
</file>

<file path=xl/sharedStrings.xml><?xml version="1.0" encoding="utf-8"?>
<sst xmlns="http://schemas.openxmlformats.org/spreadsheetml/2006/main" count="63943" uniqueCount="9405">
  <si>
    <t>survey_name</t>
  </si>
  <si>
    <t>category</t>
  </si>
  <si>
    <t>record</t>
  </si>
  <si>
    <t>columns</t>
  </si>
  <si>
    <t>question_id</t>
  </si>
  <si>
    <t>question_title</t>
  </si>
  <si>
    <t>question_description</t>
  </si>
  <si>
    <t>question_data_type</t>
  </si>
  <si>
    <t>answers</t>
  </si>
  <si>
    <t>2006</t>
  </si>
  <si>
    <t>Election</t>
  </si>
  <si>
    <t>Study 2006</t>
  </si>
  <si>
    <t>Case Identification</t>
  </si>
  <si>
    <t>1</t>
  </si>
  <si>
    <t>1-4</t>
  </si>
  <si>
    <t>CASEID</t>
  </si>
  <si>
    <t>Case ID</t>
  </si>
  <si>
    <t>numeric</t>
  </si>
  <si>
    <t>5-8</t>
  </si>
  <si>
    <t>id_svv_2</t>
  </si>
  <si>
    <t>Respondent's ID in all consecutive surveys</t>
  </si>
  <si>
    <t>Pre-Election Survey</t>
  </si>
  <si>
    <t>9</t>
  </si>
  <si>
    <t>a6</t>
  </si>
  <si>
    <t>Israeli condition in general</t>
  </si>
  <si>
    <t>6. In your opinion, what is Israel's general situation?</t>
  </si>
  <si>
    <t>1: Very good; 2: Good; 3: So so; 4: Not good; 5: Bad</t>
  </si>
  <si>
    <t>10</t>
  </si>
  <si>
    <t>a7</t>
  </si>
  <si>
    <t>The way government handles problems</t>
  </si>
  <si>
    <t>7. What do you think about the way the government is handling the problems that exist in Israel today?</t>
  </si>
  <si>
    <t>1: Very good way; 2: Good way; 3: Bad way; 4: Very badly</t>
  </si>
  <si>
    <t>11-12</t>
  </si>
  <si>
    <t>a8</t>
  </si>
  <si>
    <t>Most important problem for government</t>
  </si>
  <si>
    <t>8. What do you think is the most important problem the government must take care of?</t>
  </si>
  <si>
    <t>13</t>
  </si>
  <si>
    <t>a10</t>
  </si>
  <si>
    <t>Economic situation in past 3 years</t>
  </si>
  <si>
    <t>10. Do you think that the economic situation in the past 3 years has improved, didn't change, or got worse?</t>
  </si>
  <si>
    <t>1: Improved a lot; 2: Improved a bit; 3: Didn't change; 4: Got a bit worse; 5: Got much worse</t>
  </si>
  <si>
    <t>14</t>
  </si>
  <si>
    <t>a11</t>
  </si>
  <si>
    <t>Personal economic situation in past year</t>
  </si>
  <si>
    <t>11. And what about your own personal economic status? Would you say that for the past year your personal status:</t>
  </si>
  <si>
    <t>15</t>
  </si>
  <si>
    <t>a12</t>
  </si>
  <si>
    <t>National security today</t>
  </si>
  <si>
    <t>Here is a 9 step ladder that depicts where the country might be in terms of national security. The top of the ladder is 9 and that is the best possible situation that you can think of and 1 is the worst. One which rank do you think the country is?</t>
  </si>
  <si>
    <t>1: Worst situation; 9: Best situation</t>
  </si>
  <si>
    <t>16</t>
  </si>
  <si>
    <t>a13</t>
  </si>
  <si>
    <t>National security in last 5 years</t>
  </si>
  <si>
    <t>17</t>
  </si>
  <si>
    <t>a14</t>
  </si>
  <si>
    <t>National security in next 5 years</t>
  </si>
  <si>
    <t>18</t>
  </si>
  <si>
    <t>a15</t>
  </si>
  <si>
    <t>Territories should be exchanged for peace</t>
  </si>
  <si>
    <t>15. In a peace agreement with the Palestinians, should Israel agree or disagree to a territorial compromise and to the evacuation of settlements in Judea and Samaria?</t>
  </si>
  <si>
    <t>1: Should definitely agree; 2: Should agree; 3: Should disagree; 4: Should definitely disagree</t>
  </si>
  <si>
    <t>19</t>
  </si>
  <si>
    <t>a16</t>
  </si>
  <si>
    <t>Israel should decide on borders and unilaterally withdraw</t>
  </si>
  <si>
    <t>16. And if it would not be possible to achieve a peace agreement with the Palestinians in the next few years, should Israel undertake another unilateral separation?</t>
  </si>
  <si>
    <t>1: Yes definitely; 2: Yes; 3: No; 4: Definitely no</t>
  </si>
  <si>
    <t>20-21</t>
  </si>
  <si>
    <t>a17</t>
  </si>
  <si>
    <t>Chances of Olmert's disengagement</t>
  </si>
  <si>
    <t>17. If Ehud Olmert will be elected prime minister, what are the chances odds that he would undertake unilateral separation in Judea and Samaria?</t>
  </si>
  <si>
    <t>1: Great odds; 2: Medium odds; 3: Low odds; 4: No chance</t>
  </si>
  <si>
    <t>22</t>
  </si>
  <si>
    <t>a18</t>
  </si>
  <si>
    <t>Chances of peace between Israel and Arabs in next 3 years</t>
  </si>
  <si>
    <t>18. What are the odds that the peace between Israel and the Arab states will grow stronger in the next 3 years?</t>
  </si>
  <si>
    <t>1: Great odds; 2: Medium odds; 3: Low odds; 4: Very low odds</t>
  </si>
  <si>
    <t>23-24</t>
  </si>
  <si>
    <t>a19</t>
  </si>
  <si>
    <t>Chances of war in next 3 years</t>
  </si>
  <si>
    <t>19. And what are the odds for a war to break out between Israel and an Arab state in the next 3 years?</t>
  </si>
  <si>
    <t>25</t>
  </si>
  <si>
    <t>a20</t>
  </si>
  <si>
    <t>Chances of peace agreement</t>
  </si>
  <si>
    <t>20. Do you think it is possible to achieve a peace agreement with the Palestinians?</t>
  </si>
  <si>
    <t>1: Yes definitely; 2: I think so; 3: I dont think so; 4: Definitely no</t>
  </si>
  <si>
    <t>26</t>
  </si>
  <si>
    <t>a21</t>
  </si>
  <si>
    <t>Evaluation of Arab aspirations</t>
  </si>
  <si>
    <t>21. What do you think are the aspirations of the in the long run?</t>
  </si>
  <si>
    <t>1: Return part of territories occupied in the six days war; 2: Return all the territories occupied in the six days war; 3: To conquer the state of Israel; 4: Conquer the state of Israel and to destroy a significant part of the Jewish population in Israel</t>
  </si>
  <si>
    <t>27</t>
  </si>
  <si>
    <t>a22</t>
  </si>
  <si>
    <t>Peace agreement to conclude Arab-Israeli conflict</t>
  </si>
  <si>
    <t>22. If there will be a peace agreement with the Palestinians and the Arab states, do you think the Israeli  Arab conflict will come to an end?</t>
  </si>
  <si>
    <t>1: I'm sure it will come to an end; 2: I think it will come to an end; 3: I think it won't come to an end; 4: I'm sure it won't come to an end</t>
  </si>
  <si>
    <t>28</t>
  </si>
  <si>
    <t>a23</t>
  </si>
  <si>
    <t>To prevent war with arab states Israel should</t>
  </si>
  <si>
    <t>23. What should Israel stress in order to avoid war with an Arab state?</t>
  </si>
  <si>
    <t>1: Having peace talks; 2: Strengthening its military might; 3: Peace talks and military might; 4: No one</t>
  </si>
  <si>
    <t>29</t>
  </si>
  <si>
    <t>a24</t>
  </si>
  <si>
    <t>Are you worried about being injured by Arabs</t>
  </si>
  <si>
    <t>24. To what extent are you worried or not worried that you or a member of your family could be injured in your daily life?</t>
  </si>
  <si>
    <t>1: Very worried; 2: Worried; 3: Not worried; 4: Not worried at all</t>
  </si>
  <si>
    <t>Likely Direction of Development of Israel</t>
  </si>
  <si>
    <t>30</t>
  </si>
  <si>
    <t>a25</t>
  </si>
  <si>
    <t>The most important value (not asked of Arabs)</t>
  </si>
  <si>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</si>
  <si>
    <t>1: Jewish majority; 2: Greater Israel; 3: Democracy; 4: Peace</t>
  </si>
  <si>
    <t>31</t>
  </si>
  <si>
    <t>a26</t>
  </si>
  <si>
    <t>The second most important value</t>
  </si>
  <si>
    <t>32</t>
  </si>
  <si>
    <t>a27</t>
  </si>
  <si>
    <t>The third most important value</t>
  </si>
  <si>
    <t>33</t>
  </si>
  <si>
    <t>a28</t>
  </si>
  <si>
    <t>The fourth most important value</t>
  </si>
  <si>
    <t>Threat of Different Issues</t>
  </si>
  <si>
    <t>34</t>
  </si>
  <si>
    <t>a29</t>
  </si>
  <si>
    <t>Threat of returning territories for peace</t>
  </si>
  <si>
    <t>To what extent do you consider each of the following situations as a threat?</t>
  </si>
  <si>
    <t>1: Not at all threatening; 7: Very threatening</t>
  </si>
  <si>
    <t>35</t>
  </si>
  <si>
    <t>a30</t>
  </si>
  <si>
    <t>Threat of enemies having biological weapons</t>
  </si>
  <si>
    <t>36</t>
  </si>
  <si>
    <t>a31</t>
  </si>
  <si>
    <t>Threat of no democracy in Israel</t>
  </si>
  <si>
    <t>37</t>
  </si>
  <si>
    <t>a32</t>
  </si>
  <si>
    <t>Threat of disengagement from Palestinians</t>
  </si>
  <si>
    <t>38</t>
  </si>
  <si>
    <t>a33</t>
  </si>
  <si>
    <t>Threat of enemies having nuclear weapons</t>
  </si>
  <si>
    <t>39</t>
  </si>
  <si>
    <t>a34</t>
  </si>
  <si>
    <t>Threat of Palestinian state</t>
  </si>
  <si>
    <t>40</t>
  </si>
  <si>
    <t>a35</t>
  </si>
  <si>
    <t>Threat of continued intifada</t>
  </si>
  <si>
    <t>41</t>
  </si>
  <si>
    <t>a36</t>
  </si>
  <si>
    <t>Threat of war with Syria</t>
  </si>
  <si>
    <t>42</t>
  </si>
  <si>
    <t>a37</t>
  </si>
  <si>
    <t>Democracy or Halacha (not asked of Arabs)</t>
  </si>
  <si>
    <t>37. (not asked of Arabs): There are situations in which there is a contradiction between democracy and halacha (Jewish religious law). In the case of such a contradiction, should the principles of democracy be favored, or should the commandments of Jewish halacha be followed?</t>
  </si>
  <si>
    <t>1: The principles of democracy should always be followed; 2: It depends; 3: Halacha should always be followed</t>
  </si>
  <si>
    <t>43</t>
  </si>
  <si>
    <t>a38</t>
  </si>
  <si>
    <t>Goverment should or shoudn't interfere</t>
  </si>
  <si>
    <t>38. Some think that the government should make sure that everybody has a job and a decent standard of living. Others think that the government shouldn't interfere and should let everyone take care of himself. What do you think?</t>
  </si>
  <si>
    <t>1: The government should make sure; 2: It depends; 3: The government shouldn't interfere</t>
  </si>
  <si>
    <t>44</t>
  </si>
  <si>
    <t>a39</t>
  </si>
  <si>
    <t>Law or security</t>
  </si>
  <si>
    <t>39. There are situations in which there is a contradiction between the rule of law and national security interests. In the case of such a contradiction, should the rule of law prevail or should national security interests prevail?</t>
  </si>
  <si>
    <t>1: The rule of law should prevail; 2: It depends; 3: National security interests should prevail</t>
  </si>
  <si>
    <t>45</t>
  </si>
  <si>
    <t>a40</t>
  </si>
  <si>
    <t>Establishment of a Pal. state as part of permanent settlement</t>
  </si>
  <si>
    <t>40. Do you think Israel should agree or disagree to the establishment of a Palestinian state in Judea, Samaria, and the Gaza strip as part of a permanent settlement?</t>
  </si>
  <si>
    <t>1: Should definitely agree; 2: I think should agree; 3: I think should not agree; 4: Should definitely not agree</t>
  </si>
  <si>
    <t>46</t>
  </si>
  <si>
    <t>a41</t>
  </si>
  <si>
    <t>Arab neighborhoods of Jerusalem</t>
  </si>
  <si>
    <t>41. As part of a permanent settlement with the Palestinians, should Israel be prepared to give up or should it retain the Arab neighborhoods of Jerusalem in order to reach such a settlement?</t>
  </si>
  <si>
    <t>1: Definitely give up; 2: Give up; 3: Retaine; 4: Definitely retain; 5: Internationl juresdiction</t>
  </si>
  <si>
    <t>47</t>
  </si>
  <si>
    <t>a42</t>
  </si>
  <si>
    <t>Returning Golan</t>
  </si>
  <si>
    <t>42. Should Israel return to Syria territories in the Golan in return for a peace treaty and security arrangements acceptable to the IDF?</t>
  </si>
  <si>
    <t>1: No; 2: Israel should return a small part of the Golan; 3: Israel should return a significant part of the Golan; 4: Israel should return all of the Golan Heights</t>
  </si>
  <si>
    <t>48</t>
  </si>
  <si>
    <t>a43</t>
  </si>
  <si>
    <t>Evacuating in judea and Samaria</t>
  </si>
  <si>
    <t>43. And what is your opinion regarding the evacuation of Jewish settlements in Judea, Samaria, and Gaza as part of a permanent agreement?</t>
  </si>
  <si>
    <t>1: Nothing should be evacuated; 2: I am prepared to evacuate small and isolated settlements; 3: I am willing to evacuate all the settlements including the large blocs of settlements</t>
  </si>
  <si>
    <t>49</t>
  </si>
  <si>
    <t>a44</t>
  </si>
  <si>
    <t>Public life according to Halacha</t>
  </si>
  <si>
    <t>44. (not asked of Arabs): Do you think the Israeli government should or should not see to it that public life in Israel be conducted according to Jewish religious tradition?</t>
  </si>
  <si>
    <t>1: Should definitely see to it; 2: Maybe should see to it; 3: I do not think the government should see to it; 4: The government should definitely not see to it</t>
  </si>
  <si>
    <t>50</t>
  </si>
  <si>
    <t>a45</t>
  </si>
  <si>
    <t>Israel's economic structure (socialist or capitalist)</t>
  </si>
  <si>
    <t>45. Regarding the economic structure of life in Israel, do you support a more socialist approach or a more capitalist one?</t>
  </si>
  <si>
    <t>1: Definitely capitalist; 2: More capitalist than socialist; 3: More socialist than capitalist; 4: Definitely socialist; 5: Socialist and capitalist; 6: Other</t>
  </si>
  <si>
    <t>Agree/Disagree with the Different Statements</t>
  </si>
  <si>
    <t>51</t>
  </si>
  <si>
    <t>a46</t>
  </si>
  <si>
    <t>Democracy as a best system</t>
  </si>
  <si>
    <t>To what extent do you agree or disagree with the following statements? 46. Even if there are problems in democracy, it's still the best political system</t>
  </si>
  <si>
    <t>1: Definitely disagree; 2: Disagree; 3: Agree; 4: Definitely agree</t>
  </si>
  <si>
    <t>52</t>
  </si>
  <si>
    <t>a47</t>
  </si>
  <si>
    <t>Politicians tend not to consider the opinion of the citizen</t>
  </si>
  <si>
    <t>To what extent do you agree or disagree with the following statements? 47. A politician tends not to consider the opinion of the simple citizen</t>
  </si>
  <si>
    <t>53</t>
  </si>
  <si>
    <t>a48</t>
  </si>
  <si>
    <t>No matter who you vote for</t>
  </si>
  <si>
    <t>To what extent do you agree or disagree with the following statements? 48. No matter who you vote for, it wont change anything</t>
  </si>
  <si>
    <t>54</t>
  </si>
  <si>
    <t>a49</t>
  </si>
  <si>
    <t>Stop the peace process</t>
  </si>
  <si>
    <t>To what extent do you agree or disagree with the following statements? 49. The peace process must be stopped even at the a risk of another war</t>
  </si>
  <si>
    <t>55</t>
  </si>
  <si>
    <t>a50</t>
  </si>
  <si>
    <t>Return territories for peace</t>
  </si>
  <si>
    <t>To what extent do you agree or disagree with the following statements? 50. Territories should be returned in exchange for peace</t>
  </si>
  <si>
    <t>56</t>
  </si>
  <si>
    <t>a51</t>
  </si>
  <si>
    <t>Encourage the emigration of arabs</t>
  </si>
  <si>
    <t>To what extent do you agree or disagree with the following statements? 51. The government should encourage the emigration of Arabs from Israel</t>
  </si>
  <si>
    <t>57</t>
  </si>
  <si>
    <t>a53</t>
  </si>
  <si>
    <t>Talking about political issues</t>
  </si>
  <si>
    <t>53. To what extent do you talk with your friends and family about political issues?</t>
  </si>
  <si>
    <t>1: A great amount; 2: A certain amount; 3: A small amount; 4: Not at all</t>
  </si>
  <si>
    <t>58</t>
  </si>
  <si>
    <t>a54</t>
  </si>
  <si>
    <t>Affect government policy</t>
  </si>
  <si>
    <t>54. To what extent can you and your friends effect government policy?</t>
  </si>
  <si>
    <t>Personal Status</t>
  </si>
  <si>
    <t>59</t>
  </si>
  <si>
    <t>a55</t>
  </si>
  <si>
    <t>Your personal status Today</t>
  </si>
  <si>
    <t>Here you have a 9 stages scale describing different situations a person can be on. The top of the ladder is 9 and that is the best possible situation that you can think of and 1 is the worst. On which rank would you place yourself?</t>
  </si>
  <si>
    <t>1: Worst; 9: Best</t>
  </si>
  <si>
    <t>60</t>
  </si>
  <si>
    <t>a56</t>
  </si>
  <si>
    <t>Your personal status 5 years ago</t>
  </si>
  <si>
    <t>61</t>
  </si>
  <si>
    <t>a57</t>
  </si>
  <si>
    <t>Your personal status 5 years from now</t>
  </si>
  <si>
    <t>62</t>
  </si>
  <si>
    <t>a58</t>
  </si>
  <si>
    <t>Satisfaction with the way Israeli democracy functions</t>
  </si>
  <si>
    <t>58. Generally speaking, to what extent are you satisfied or dissatisfied with the way Israeli democracy functions?</t>
  </si>
  <si>
    <t>1: Very dissatisfied; 2: Dissatisfied; 3: Satisfied; 4: Very satisfied</t>
  </si>
  <si>
    <t>Support/Rejection of a Group or a Person</t>
  </si>
  <si>
    <t>63-64</t>
  </si>
  <si>
    <t>a59</t>
  </si>
  <si>
    <t>Support: Kadima</t>
  </si>
  <si>
    <t>Here is a scale from 1 to 10 to express support or rejection of a group or a person. '1' describes strong rejection/ hate, and '10' describes strong support/ love.</t>
  </si>
  <si>
    <t>1: Hate/rejection; 10: Love/support</t>
  </si>
  <si>
    <t>65-66</t>
  </si>
  <si>
    <t>a60</t>
  </si>
  <si>
    <t>Support: Avoda</t>
  </si>
  <si>
    <t>67-68</t>
  </si>
  <si>
    <t>a61</t>
  </si>
  <si>
    <t>Support: Likud</t>
  </si>
  <si>
    <t>69-70</t>
  </si>
  <si>
    <t>a62</t>
  </si>
  <si>
    <t>Support: Meretz</t>
  </si>
  <si>
    <t>71-72</t>
  </si>
  <si>
    <t>a63</t>
  </si>
  <si>
    <t>Support: Ihud Leumi - Mafdal</t>
  </si>
  <si>
    <t>73-74</t>
  </si>
  <si>
    <t>a64</t>
  </si>
  <si>
    <t>Support: Israel Beiteinu</t>
  </si>
  <si>
    <t>75-76</t>
  </si>
  <si>
    <t>a65</t>
  </si>
  <si>
    <t>Support: Shas</t>
  </si>
  <si>
    <t>77-78</t>
  </si>
  <si>
    <t>a66</t>
  </si>
  <si>
    <t>Your favorite party</t>
  </si>
  <si>
    <t>66. In sum, among these parties, which one do you support most?</t>
  </si>
  <si>
    <t>59: Kadima; 60: Avoda; 61: Likud; 62: Meretz; 63: Ihud Leumi Mafdal; 64: Israel Beitenu; 65: Shas; 66: Another Party; 67: No Favorite Party</t>
  </si>
  <si>
    <t>79-80</t>
  </si>
  <si>
    <t>a68</t>
  </si>
  <si>
    <t>Support: Olmert</t>
  </si>
  <si>
    <t>81-82</t>
  </si>
  <si>
    <t>a69</t>
  </si>
  <si>
    <t>Support: Peretz</t>
  </si>
  <si>
    <t>83-84</t>
  </si>
  <si>
    <t>a70</t>
  </si>
  <si>
    <t>Support: Netanyahu</t>
  </si>
  <si>
    <t>85-86</t>
  </si>
  <si>
    <t>a71</t>
  </si>
  <si>
    <t>Support: Peres</t>
  </si>
  <si>
    <t>87-88</t>
  </si>
  <si>
    <t>a72</t>
  </si>
  <si>
    <t>Support: Yishai</t>
  </si>
  <si>
    <t>89-90</t>
  </si>
  <si>
    <t>a73</t>
  </si>
  <si>
    <t>Support: Sharon</t>
  </si>
  <si>
    <t>91-92</t>
  </si>
  <si>
    <t>a74</t>
  </si>
  <si>
    <t>Support: Liberman</t>
  </si>
  <si>
    <t>93-94</t>
  </si>
  <si>
    <t>a75</t>
  </si>
  <si>
    <t>Support: Beilin</t>
  </si>
  <si>
    <t>95-96</t>
  </si>
  <si>
    <t>a76</t>
  </si>
  <si>
    <t>Support: Eylon</t>
  </si>
  <si>
    <t>97-98</t>
  </si>
  <si>
    <t>a77</t>
  </si>
  <si>
    <t>Support: Sharanskiy</t>
  </si>
  <si>
    <t>99</t>
  </si>
  <si>
    <t>a78</t>
  </si>
  <si>
    <t>Party leaders to deal best with economy</t>
  </si>
  <si>
    <t>78  79. Who do you think will deal best with the economic problems of Israel: Kadima leaders, the Likud leaders, to Labor's leaders? Who is in second place?</t>
  </si>
  <si>
    <t>1: Kadima leaders; 2: Likud leaders; 3: Avoda leaders; 4: All of them to the same deggree; 5: None of them; 6: Another party</t>
  </si>
  <si>
    <t>100</t>
  </si>
  <si>
    <t>a79</t>
  </si>
  <si>
    <t>In second place</t>
  </si>
  <si>
    <t>79  79. Who do you think will deal best with the economic problems of Israel: Kadima leaders, the Likud leaders, to Labor's leaders? Who is in second place?</t>
  </si>
  <si>
    <t>101</t>
  </si>
  <si>
    <t>a80</t>
  </si>
  <si>
    <t>Party leaders to deal best with the social problems</t>
  </si>
  <si>
    <t>80  81. And regarding the social problems in Israel?</t>
  </si>
  <si>
    <t>102</t>
  </si>
  <si>
    <t>a81</t>
  </si>
  <si>
    <t>81  81. And regarding the social problems in Israel?</t>
  </si>
  <si>
    <t>103</t>
  </si>
  <si>
    <t>a82</t>
  </si>
  <si>
    <t>Party leaders to deal best with foreign and security issues in Israel</t>
  </si>
  <si>
    <t>82  83. And regarding the foreign and security issues in Israel?</t>
  </si>
  <si>
    <t>104</t>
  </si>
  <si>
    <t>a83</t>
  </si>
  <si>
    <t>83  83. And regarding the foreign and security issues in Israel?</t>
  </si>
  <si>
    <t>Party Differences</t>
  </si>
  <si>
    <t>105</t>
  </si>
  <si>
    <t>a84</t>
  </si>
  <si>
    <t>Party differences on the following issue:Jerusalem</t>
  </si>
  <si>
    <t>Do you think there are or are not differences among the parties on the following issues?</t>
  </si>
  <si>
    <t>1: Great differences; 5: Almost no differences</t>
  </si>
  <si>
    <t>106</t>
  </si>
  <si>
    <t>a85</t>
  </si>
  <si>
    <t>Party differences on the following issue:Economy</t>
  </si>
  <si>
    <t>107</t>
  </si>
  <si>
    <t>a86</t>
  </si>
  <si>
    <t>Party differences on the following issue:Social policy</t>
  </si>
  <si>
    <t>108</t>
  </si>
  <si>
    <t>a87</t>
  </si>
  <si>
    <t>Party differences on the following issue:State and Religion</t>
  </si>
  <si>
    <t>109</t>
  </si>
  <si>
    <t>a88</t>
  </si>
  <si>
    <t>Party differences on the following issue:'Peace and Territories</t>
  </si>
  <si>
    <t>110</t>
  </si>
  <si>
    <t>a89</t>
  </si>
  <si>
    <t>Party differences on the following issue:Terror</t>
  </si>
  <si>
    <t>111</t>
  </si>
  <si>
    <t>a90</t>
  </si>
  <si>
    <t>The most important reason to vote for a party</t>
  </si>
  <si>
    <t>90. There are different factors that bring people to vote for a certain party for the Knesset. Among the 4 following factors, which is the main factor that influences your vote for a certain party?</t>
  </si>
  <si>
    <t>1: Identifying with the party; 2: The party's candidates for the Knesset; 3: The party's stand on certain issues; 4: The political status of the party in the coalition or in the opposition; 5: Family voting; 6: Rabbi will say; 7: Party leader; 8: None of them; 9: All</t>
  </si>
  <si>
    <t>Influence of Different Issues on Vote</t>
  </si>
  <si>
    <t>112</t>
  </si>
  <si>
    <t>a91</t>
  </si>
  <si>
    <t>Influence the following have on your vote:Jerusalem</t>
  </si>
  <si>
    <t>To what extent do each of the following issues effect or not effect your voting?</t>
  </si>
  <si>
    <t>1: A great deal; 2: Some; 3: Little; 4: Not at all</t>
  </si>
  <si>
    <t>113</t>
  </si>
  <si>
    <t>a92</t>
  </si>
  <si>
    <t>Influence the following have on your vote:'Economy</t>
  </si>
  <si>
    <t>114</t>
  </si>
  <si>
    <t>a93</t>
  </si>
  <si>
    <t>Influence the following have on your vote:Social policy</t>
  </si>
  <si>
    <t>115</t>
  </si>
  <si>
    <t>a94</t>
  </si>
  <si>
    <t>Influence the following have on your vote:State and religion</t>
  </si>
  <si>
    <t>116</t>
  </si>
  <si>
    <t>a95</t>
  </si>
  <si>
    <t>Influence the following have on your vote:Peace and territories</t>
  </si>
  <si>
    <t>117</t>
  </si>
  <si>
    <t>a96</t>
  </si>
  <si>
    <t>Influence the following have on your vote:Terror</t>
  </si>
  <si>
    <t>118</t>
  </si>
  <si>
    <t>a97</t>
  </si>
  <si>
    <t>Influence the following have on your vote:Corruption</t>
  </si>
  <si>
    <t>119</t>
  </si>
  <si>
    <t>b6</t>
  </si>
  <si>
    <t>Greatest effect on your voting</t>
  </si>
  <si>
    <t>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t>
  </si>
  <si>
    <t>1: Political process with the Palestinians; 2: Defence situation; 3: Socio-economic situation; 4: Relationships between religious and nonreligious; 5: Corruption and the rule of law; 6: The unity of the people; 7: Other; 8: Do not know; 9: More than one answer</t>
  </si>
  <si>
    <t>Ranking on a Right/Left Political Scale</t>
  </si>
  <si>
    <t>120-121</t>
  </si>
  <si>
    <t>b7</t>
  </si>
  <si>
    <t>Self-ranking on a right/left political scale</t>
  </si>
  <si>
    <t>7. There is a lot of talk about left and right in politics. How would you rank yourself from 0 to 10, 0 means left and 10 means right and 5 is in the middle.</t>
  </si>
  <si>
    <t>0: Left; 10: Right</t>
  </si>
  <si>
    <t>122-123</t>
  </si>
  <si>
    <t>b11</t>
  </si>
  <si>
    <t>Ranking on a right/left political scale:Likud</t>
  </si>
  <si>
    <t>How would you rate the following parties on the left-right scale from 0 to 10, 0 stands for left, and 10 stands for right and 5 is in the middle.</t>
  </si>
  <si>
    <t>124-125</t>
  </si>
  <si>
    <t>b13</t>
  </si>
  <si>
    <t>Ranking on a right/left political scale:Avoda</t>
  </si>
  <si>
    <t>126-127</t>
  </si>
  <si>
    <t>b15</t>
  </si>
  <si>
    <t>Ranking on a right/left political scale:Kadima</t>
  </si>
  <si>
    <t>128-129</t>
  </si>
  <si>
    <t>b17</t>
  </si>
  <si>
    <t>Ranking on a right/left political scale:Shas</t>
  </si>
  <si>
    <t>130-131</t>
  </si>
  <si>
    <t>b19</t>
  </si>
  <si>
    <t>Ranking on a right/left political scale:Ihud-Leumi Mafdal</t>
  </si>
  <si>
    <t>132-133</t>
  </si>
  <si>
    <t>b21</t>
  </si>
  <si>
    <t>Ranking on a right/left political scale:Israel Beiteinu</t>
  </si>
  <si>
    <t>134-135</t>
  </si>
  <si>
    <t>b23</t>
  </si>
  <si>
    <t>Ranking on a right/left political scale:Meretz</t>
  </si>
  <si>
    <t>State expenditures on Different Issues</t>
  </si>
  <si>
    <t>136</t>
  </si>
  <si>
    <t>b25</t>
  </si>
  <si>
    <t>Willingness to pay more taxes</t>
  </si>
  <si>
    <t>Would you be willing or would you not be willing to have taxes raised, so that you would have to pay more taxes, in order for the country to be able to deal with the problems it faces?</t>
  </si>
  <si>
    <t>1: Yes; 2: No</t>
  </si>
  <si>
    <t>137</t>
  </si>
  <si>
    <t>b26</t>
  </si>
  <si>
    <t>State expenditures on Education</t>
  </si>
  <si>
    <t>Should the country spend more money, less money or the same as it does today on the following issues:</t>
  </si>
  <si>
    <t>1: More; 2: Less; 3: The same as today</t>
  </si>
  <si>
    <t>138</t>
  </si>
  <si>
    <t>b27</t>
  </si>
  <si>
    <t>State expenditures on Ecology</t>
  </si>
  <si>
    <t>139</t>
  </si>
  <si>
    <t>b28</t>
  </si>
  <si>
    <t>State expenditures on Yeshivot and religious institutes</t>
  </si>
  <si>
    <t>140</t>
  </si>
  <si>
    <t>b29</t>
  </si>
  <si>
    <t>State expenditures on Health</t>
  </si>
  <si>
    <t>141</t>
  </si>
  <si>
    <t>b30</t>
  </si>
  <si>
    <t>State expenditures on Security</t>
  </si>
  <si>
    <t>142</t>
  </si>
  <si>
    <t>b31</t>
  </si>
  <si>
    <t>State expenditures on Welfare payments</t>
  </si>
  <si>
    <t>143</t>
  </si>
  <si>
    <t>b32</t>
  </si>
  <si>
    <t>State expenditures on Settlements</t>
  </si>
  <si>
    <t>144</t>
  </si>
  <si>
    <t>b33</t>
  </si>
  <si>
    <t>State expenditures on Arab sector</t>
  </si>
  <si>
    <t>145</t>
  </si>
  <si>
    <t>b34</t>
  </si>
  <si>
    <t>State expenditures on Creating jobs</t>
  </si>
  <si>
    <t>146</t>
  </si>
  <si>
    <t>b35</t>
  </si>
  <si>
    <t>State expenditures on Roads and car accidents</t>
  </si>
  <si>
    <t>Most/Less Suitable Characteristic of the Party</t>
  </si>
  <si>
    <t>147</t>
  </si>
  <si>
    <t>b36</t>
  </si>
  <si>
    <t>Most suitable characteristic of the party: Standing for principles in negotiations</t>
  </si>
  <si>
    <t>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t>
  </si>
  <si>
    <t>1: Most suitable Kadima; 2: Most suitable Likud; 3: Most suitable Avoda; 4: Suits all the same; 5: Doesn't suit any of them</t>
  </si>
  <si>
    <t>148</t>
  </si>
  <si>
    <t>b37</t>
  </si>
  <si>
    <t>Least suitable characteristic of the party: Standing for principles in negotiations</t>
  </si>
  <si>
    <t>1: Least suitable Kadima; 2: Least suitable Likud; 3: Least suitable Avoda; 4: Suits all the same; 5: Doesn't suit any of them</t>
  </si>
  <si>
    <t>149</t>
  </si>
  <si>
    <t>b38</t>
  </si>
  <si>
    <t>Most suitable characteristic of the party: Keep the democratic regime</t>
  </si>
  <si>
    <t>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t>
  </si>
  <si>
    <t>150</t>
  </si>
  <si>
    <t>b39</t>
  </si>
  <si>
    <t>Least suitable characteristic of the party: Keep the democratic regime</t>
  </si>
  <si>
    <t>151</t>
  </si>
  <si>
    <t>b40</t>
  </si>
  <si>
    <t>Most suitable characteristic of the party: True peace with arabs</t>
  </si>
  <si>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</si>
  <si>
    <t>152</t>
  </si>
  <si>
    <t>b41</t>
  </si>
  <si>
    <t>Least suitable characteristic of the party: True peace with arabs</t>
  </si>
  <si>
    <t>153</t>
  </si>
  <si>
    <t>b42</t>
  </si>
  <si>
    <t>Most suitable characteristic of the party: Handle terrorism</t>
  </si>
  <si>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</si>
  <si>
    <t>154</t>
  </si>
  <si>
    <t>b43</t>
  </si>
  <si>
    <t>Least suitable characteristic of the party: Handle terrorism</t>
  </si>
  <si>
    <t>155</t>
  </si>
  <si>
    <t>b44</t>
  </si>
  <si>
    <t>Most suitable characteristic of the party: Ensure a jewish majority</t>
  </si>
  <si>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</si>
  <si>
    <t>156</t>
  </si>
  <si>
    <t>b45</t>
  </si>
  <si>
    <t>Least suitable characteristic of the party: Ensure a jewish majority</t>
  </si>
  <si>
    <t>157</t>
  </si>
  <si>
    <t>b46</t>
  </si>
  <si>
    <t>Most suitable characteristic of the party: Involved in corruprion</t>
  </si>
  <si>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</si>
  <si>
    <t>158</t>
  </si>
  <si>
    <t>b47</t>
  </si>
  <si>
    <t>Least suitable characteristic of the party: Involved in corruprion</t>
  </si>
  <si>
    <t>159</t>
  </si>
  <si>
    <t>b48</t>
  </si>
  <si>
    <t>Most suitable characteristic of the party: Will decrease social gaps</t>
  </si>
  <si>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</si>
  <si>
    <t>160</t>
  </si>
  <si>
    <t>b49</t>
  </si>
  <si>
    <t>Least suitable characteristic of the party: Will decrease social gaps</t>
  </si>
  <si>
    <t>161</t>
  </si>
  <si>
    <t>b50</t>
  </si>
  <si>
    <t>Most suitable characteristic of the party: Leadership abilites</t>
  </si>
  <si>
    <t>Below is a list of characteristics of leaders. Please tell which politician suits the characteristic best: Ehud Ulmert, Binyamin Netanyahu or Amir Peretz? Do not read 4 and 5. To those who said 1, 2 or 3, ask to whom this characteristic suits the least. Leadership abilities</t>
  </si>
  <si>
    <t>1: Olmert; 2: Netanyahu; 3: Peretz; 4: All; 5: None</t>
  </si>
  <si>
    <t>162</t>
  </si>
  <si>
    <t>b51</t>
  </si>
  <si>
    <t>Least suitable characteristic of the party: Leadership abilites</t>
  </si>
  <si>
    <t>163</t>
  </si>
  <si>
    <t>b52</t>
  </si>
  <si>
    <t>Most suitable characteristic of the party: Reliable</t>
  </si>
  <si>
    <t>Below is a list of characteristics of leaders. Please tell which politician suits the characteristic best: Ehud Ulmert, Binyamin Netanyahu or Amir Peretz? Do not read 4 and 5. To those who said 1, 2 or 3, ask to whom this characteristic suits the least. Reliable</t>
  </si>
  <si>
    <t>164</t>
  </si>
  <si>
    <t>b53</t>
  </si>
  <si>
    <t>Least suitable characteristic of the party: Reliable</t>
  </si>
  <si>
    <t>165</t>
  </si>
  <si>
    <t>b54</t>
  </si>
  <si>
    <t>Most suitable characteristic of the party: Prefers the country</t>
  </si>
  <si>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</si>
  <si>
    <t>166</t>
  </si>
  <si>
    <t>b55</t>
  </si>
  <si>
    <t>Least suitable characteristic of the party: Prefers the country</t>
  </si>
  <si>
    <t>167</t>
  </si>
  <si>
    <t>b56</t>
  </si>
  <si>
    <t>Most suitable characteristic of the party: Good Negotiating</t>
  </si>
  <si>
    <t>Below is a list of characteristics of leaders. Please tell which politician suits the characteristic best: Ehud Ulmert, Binyamin Netanyahu or Amir Peretz? Do not read 4 and 5. To those who said 1, 2 or 3, ask to whom this characteristic suits the least. Good negotiating capability</t>
  </si>
  <si>
    <t>168</t>
  </si>
  <si>
    <t>b57</t>
  </si>
  <si>
    <t>Least suitable characteristic of the party: Good Negotiating Skills</t>
  </si>
  <si>
    <t>169</t>
  </si>
  <si>
    <t>b58</t>
  </si>
  <si>
    <t>Most suitable characteristic of the party: Will protect rule of law</t>
  </si>
  <si>
    <t>Below is a list of characteristics of leaders. Please tell which politician suits the characteristic best: Ehud Ulmert, Binyamin Netanyahu or Amir Peretz? Do not read 4 and 5. To those who said 1, 2 or 3, ask to whom this characteristic suits the least. Will protect rule of law</t>
  </si>
  <si>
    <t>170</t>
  </si>
  <si>
    <t>b59</t>
  </si>
  <si>
    <t>Least suitable characteristic of the party: Will protect rule of law</t>
  </si>
  <si>
    <t>171</t>
  </si>
  <si>
    <t>b60</t>
  </si>
  <si>
    <t>Issues at the center of campaign</t>
  </si>
  <si>
    <t>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t>
  </si>
  <si>
    <t>1: Peace process with the Palestinians; 2: The security situation; 3: Socio-economic situation; 4: Relationships between religious and nonreligious; 5: Corruption and the rule of law; 6: The unity of the people; 7: Other; 8: Do not know; 9: More than one answer</t>
  </si>
  <si>
    <t>172</t>
  </si>
  <si>
    <t>b61</t>
  </si>
  <si>
    <t>With which political tendency do you identify</t>
  </si>
  <si>
    <t>61. With which political tendency do you identify?</t>
  </si>
  <si>
    <t>1: Left; 2: Moderate left; 3: Center; 4: Moderate right; 5: Right; 6: Religious; 7: None of them</t>
  </si>
  <si>
    <t>173</t>
  </si>
  <si>
    <t>b62</t>
  </si>
  <si>
    <t>62. There is a lot of talk on right and left in politics. Where would you rank yourself on the scale left-right where 1 is the extreme right and 7 is the left?</t>
  </si>
  <si>
    <t>1: Right; 7: Left</t>
  </si>
  <si>
    <t>Newspaper/TV</t>
  </si>
  <si>
    <t>174</t>
  </si>
  <si>
    <t>b63</t>
  </si>
  <si>
    <t>Frequency of reading daily newspaper</t>
  </si>
  <si>
    <t>63. Do you read a daily newspaper every day?</t>
  </si>
  <si>
    <t>1: Almost never; 2: Every now and then; 3: Approximately once a week; 4: Twice or three times a week; 5: One daily newspaper almost once a day; 6: More than one newspaper amost every day</t>
  </si>
  <si>
    <t>175-176</t>
  </si>
  <si>
    <t>b64</t>
  </si>
  <si>
    <t>Newspaper usually read</t>
  </si>
  <si>
    <t>64. Which newspaper do you usually read, which is your main newspaper? (do not read)</t>
  </si>
  <si>
    <t>177</t>
  </si>
  <si>
    <t>b66</t>
  </si>
  <si>
    <t>News on TV</t>
  </si>
  <si>
    <t>66. Do you usually watch the news on TV?</t>
  </si>
  <si>
    <t>1: Almost never; 2: Not so often; 3: Once a week or so; 4: 2-3 times a week; 5: At least once a day; 6: More than once a day</t>
  </si>
  <si>
    <t>178-179</t>
  </si>
  <si>
    <t>b67</t>
  </si>
  <si>
    <t>Which TV channel</t>
  </si>
  <si>
    <t>67. And which TV channel do you usually watch? (do not read)</t>
  </si>
  <si>
    <t>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t>
  </si>
  <si>
    <t>180</t>
  </si>
  <si>
    <t>b69</t>
  </si>
  <si>
    <t>Election campaign broadcasts on TV</t>
  </si>
  <si>
    <t>69. Do you usually watch the election campaign broadcasts on TV?(for interviews before the beginning of broadcasts (March 7, 2006): Do you intend to watch the campaign broadcasts on TV?)</t>
  </si>
  <si>
    <t>1: Every day; 2: Usually; 3: Sometimes; 4: Not very often; 5: Never</t>
  </si>
  <si>
    <t>181</t>
  </si>
  <si>
    <t>b70</t>
  </si>
  <si>
    <t>Sites of political parties</t>
  </si>
  <si>
    <t>70. Do you surf sites of political parties?</t>
  </si>
  <si>
    <t>1: Do not surf the internet at all; 2: Surf but not sites of parties; 3: Surf once in a while the sites of parties; 4: Yes quite often</t>
  </si>
  <si>
    <t>182</t>
  </si>
  <si>
    <t>b71</t>
  </si>
  <si>
    <t>Which paties' sites</t>
  </si>
  <si>
    <t>71. Those who answered 3 or 4 ask: Which parties' sites do you surf?</t>
  </si>
  <si>
    <t>1: The ones which I support; 2: Only parties which I dislike; 3: All kinds of parties</t>
  </si>
  <si>
    <t>Chance the Party to be in the Next Government</t>
  </si>
  <si>
    <t>183</t>
  </si>
  <si>
    <t>b72</t>
  </si>
  <si>
    <t>Supporter or member of any party</t>
  </si>
  <si>
    <t>72. Are you a member, supporter, or an activist of any of the parties?</t>
  </si>
  <si>
    <t>1: Not a supporter or an activist in any of the parties; 2: Supporter of a party but not a member; 3: Member; 4: Active member; 5: A member and hold a position in a party</t>
  </si>
  <si>
    <t>184-185</t>
  </si>
  <si>
    <t>b73</t>
  </si>
  <si>
    <t>Respondent party vote if elections were held today</t>
  </si>
  <si>
    <t>73. If the elections for Knesset were held today, for which party would you vote for? (do not read answers)</t>
  </si>
  <si>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</si>
  <si>
    <t>186-188</t>
  </si>
  <si>
    <t>b75</t>
  </si>
  <si>
    <t>Likelihood of Kadima to be in the coalition</t>
  </si>
  <si>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What's the chance that Kadima will be in the next government?</t>
  </si>
  <si>
    <t>189-191</t>
  </si>
  <si>
    <t>b78</t>
  </si>
  <si>
    <t>Likelihood of Avoda to be in the coalition</t>
  </si>
  <si>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Labor?</t>
  </si>
  <si>
    <t>192-194</t>
  </si>
  <si>
    <t>b81</t>
  </si>
  <si>
    <t>Likelihood of Likud to be in the coalition</t>
  </si>
  <si>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Likud?</t>
  </si>
  <si>
    <t>195-197</t>
  </si>
  <si>
    <t>b84</t>
  </si>
  <si>
    <t>Likelihood of the party he said he will vote for</t>
  </si>
  <si>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And (the party he said he will vote for in the previous question)</t>
  </si>
  <si>
    <t>198-200</t>
  </si>
  <si>
    <t>b87</t>
  </si>
  <si>
    <t>Number of seats you think Kadima will win</t>
  </si>
  <si>
    <t>And what about the number of MKs these parties will have in the next Knesset? How many MKs willhave? Kadima?</t>
  </si>
  <si>
    <t>201-203</t>
  </si>
  <si>
    <t>b89</t>
  </si>
  <si>
    <t>Number of seats you think Avoda will win</t>
  </si>
  <si>
    <t>And what about the number of MKs these parties will have in the next Knesset? How many MKs willhave? Labor?</t>
  </si>
  <si>
    <t>204-206</t>
  </si>
  <si>
    <t>b91</t>
  </si>
  <si>
    <t>Number of seats you think Likud will win</t>
  </si>
  <si>
    <t>And what about the number of MKs these parties will have in the next Knesset? How many MKs willhave? Likud?</t>
  </si>
  <si>
    <t>207-209</t>
  </si>
  <si>
    <t>b93</t>
  </si>
  <si>
    <t>Number of seats you think the party you vote will win</t>
  </si>
  <si>
    <t>And what about the number of MKs these parties will have in the next Knesset? How many MKs willhave? And (the party he said he will vote for in the previous question)</t>
  </si>
  <si>
    <t>Different Coalitions after the Elections</t>
  </si>
  <si>
    <t>210-212</t>
  </si>
  <si>
    <t>c6</t>
  </si>
  <si>
    <t>Chances for Kadima-Labor coalition</t>
  </si>
  <si>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</si>
  <si>
    <t>213-215</t>
  </si>
  <si>
    <t>c9</t>
  </si>
  <si>
    <t>Chances for Kadima-Likud coalition</t>
  </si>
  <si>
    <t>216-218</t>
  </si>
  <si>
    <t>c12</t>
  </si>
  <si>
    <t>Chances for Kadima-Likud-Haredim coalition</t>
  </si>
  <si>
    <t>219-221</t>
  </si>
  <si>
    <t>c15</t>
  </si>
  <si>
    <t>Chances for Kadima-Labor-Haredim coalition</t>
  </si>
  <si>
    <t>222-224</t>
  </si>
  <si>
    <t>c18</t>
  </si>
  <si>
    <t>Chances for Kadima-Likud-Right coalition</t>
  </si>
  <si>
    <t>225-227</t>
  </si>
  <si>
    <t>c21</t>
  </si>
  <si>
    <t>Chances for Kadima-Labor-Meretz coalition</t>
  </si>
  <si>
    <t>228-230</t>
  </si>
  <si>
    <t>c24</t>
  </si>
  <si>
    <t>Chances for Kadima-Labor-Likud-Right parties and Haredim coalition</t>
  </si>
  <si>
    <t>231-232</t>
  </si>
  <si>
    <t>c27</t>
  </si>
  <si>
    <t>Will support Kadima-Labor coalition</t>
  </si>
  <si>
    <t>And how supportive would you be of the following coalitions after the elections (read the coalitions in a different order) on a 10 point scale where '1' means strong rejection and '10' means strong support, and the rest are levels in between:</t>
  </si>
  <si>
    <t>1: Reject; 10: Support</t>
  </si>
  <si>
    <t>233-234</t>
  </si>
  <si>
    <t>c28</t>
  </si>
  <si>
    <t>Will support Kadima-Likud coalition</t>
  </si>
  <si>
    <t>235-237</t>
  </si>
  <si>
    <t>c29</t>
  </si>
  <si>
    <t>Will support Kadima-Likud-Haredim coalition</t>
  </si>
  <si>
    <t>238-240</t>
  </si>
  <si>
    <t>c30</t>
  </si>
  <si>
    <t>Will support Kadima-Labor-Haredim coalition</t>
  </si>
  <si>
    <t>241-243</t>
  </si>
  <si>
    <t>c31</t>
  </si>
  <si>
    <t>Will support Kadima-Likud-Right coalition</t>
  </si>
  <si>
    <t>244-245</t>
  </si>
  <si>
    <t>c32</t>
  </si>
  <si>
    <t>Will support Kadima-Labor-Meretz coalition</t>
  </si>
  <si>
    <t>246-248</t>
  </si>
  <si>
    <t>c33</t>
  </si>
  <si>
    <t>Will support Kadima-Labor-Likud-Right parties and Haredim coalition</t>
  </si>
  <si>
    <t>249-250</t>
  </si>
  <si>
    <t>c34</t>
  </si>
  <si>
    <t>Preferable coalition</t>
  </si>
  <si>
    <t>34. And in the final analysis, among these possibilities, which would you prefer?</t>
  </si>
  <si>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</si>
  <si>
    <t>Previous Elections</t>
  </si>
  <si>
    <t>251-252</t>
  </si>
  <si>
    <t>c36</t>
  </si>
  <si>
    <t>Respondent vote for PM if elections for PM were held</t>
  </si>
  <si>
    <t>36. And if there were two ballots in the coming elections, one for Prime Minister and one for the Knesset, for whom would you vote for Prime Minister?</t>
  </si>
  <si>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</si>
  <si>
    <t>253-254</t>
  </si>
  <si>
    <t>c38</t>
  </si>
  <si>
    <t>Respondent party vote if elections for PM were also held</t>
  </si>
  <si>
    <t>38. And for the Knesset? (for the interviewer: use the code in question 73)</t>
  </si>
  <si>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</si>
  <si>
    <t>255-256</t>
  </si>
  <si>
    <t>c40</t>
  </si>
  <si>
    <t>Vote in 2003 elections</t>
  </si>
  <si>
    <t>40. For which party did you vote in the previous elections in 2003? (do not read the answers)</t>
  </si>
  <si>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</si>
  <si>
    <t>257</t>
  </si>
  <si>
    <t>c42</t>
  </si>
  <si>
    <t>Vote for PM in 2001 elections</t>
  </si>
  <si>
    <t>42. For whom did you vote for prime minister in 2001?</t>
  </si>
  <si>
    <t>1: Barak; 2: Sharon; 3: Blank ballot; 4: Didn't vote although had the right to vote; 5: Didn't vote / did not have the right to vote; 6: Don't remember; 9: Refuse to answer</t>
  </si>
  <si>
    <t>Self-identity</t>
  </si>
  <si>
    <t>258</t>
  </si>
  <si>
    <t>c43</t>
  </si>
  <si>
    <t>Self-identity for Jews (first)</t>
  </si>
  <si>
    <t>(for Jews) Which of the following concepts best defines your identity? (read) and the second? And the third? And the fourth?</t>
  </si>
  <si>
    <t>1: Israeli; 2: Jewish; 3: Ashkenazi/Sfaradi; 4: Religious/Secular; 5: Russian</t>
  </si>
  <si>
    <t>259</t>
  </si>
  <si>
    <t>c44</t>
  </si>
  <si>
    <t>Self-identity for Jews (second)</t>
  </si>
  <si>
    <t>260</t>
  </si>
  <si>
    <t>c45</t>
  </si>
  <si>
    <t>Self-identity for Jews (third)</t>
  </si>
  <si>
    <t>1: Israeli; 2: Jewish; 3: Ashkenazi/Sfaradi; 4: Religious/Secular</t>
  </si>
  <si>
    <t>261</t>
  </si>
  <si>
    <t>c46</t>
  </si>
  <si>
    <t>Self-identity for Jews (fourth)</t>
  </si>
  <si>
    <t>262</t>
  </si>
  <si>
    <t>c47</t>
  </si>
  <si>
    <t>Self-identity for Arabs (first)</t>
  </si>
  <si>
    <t>(for Arabs): Which of the following concepts best defines your identity? (read) and the second? And the third? And the fourth?</t>
  </si>
  <si>
    <t>1: Israeli; 2: Palestinian; 3: Arab; 4: Muslim/Christian/Druze</t>
  </si>
  <si>
    <t>263</t>
  </si>
  <si>
    <t>c48</t>
  </si>
  <si>
    <t>Self-identity for Arabs (second)</t>
  </si>
  <si>
    <t>264</t>
  </si>
  <si>
    <t>c49</t>
  </si>
  <si>
    <t>Self-identity for Arabs (third)</t>
  </si>
  <si>
    <t>265</t>
  </si>
  <si>
    <t>c50</t>
  </si>
  <si>
    <t>Self-identity for Arabs (fourth)</t>
  </si>
  <si>
    <t>266</t>
  </si>
  <si>
    <t>c51</t>
  </si>
  <si>
    <t>Minimum threshold for representation in the Knesset</t>
  </si>
  <si>
    <t>51. To the best of your knowledge, what is the minimum threshold for representation in the Knesset?</t>
  </si>
  <si>
    <t>1: 2%; 2: Wrong answer; 8: Don't know</t>
  </si>
  <si>
    <t>267</t>
  </si>
  <si>
    <t>c52</t>
  </si>
  <si>
    <t>Percentage of the government's budget that goes to security</t>
  </si>
  <si>
    <t>52. To the best of your knowledge, what percentage of the government's budget goes to security? (don't read answers)</t>
  </si>
  <si>
    <t>1: Less than 10%; 2: Between 10%-40%; 3: Between 40%-75%; 4: More than 75%; 8: Do not know</t>
  </si>
  <si>
    <t>268</t>
  </si>
  <si>
    <t>c53</t>
  </si>
  <si>
    <t>The Knesset's chairman</t>
  </si>
  <si>
    <t>53. To the best of your knowledge, who is the Knesset's chairman? (do not read answers)</t>
  </si>
  <si>
    <t>1: Rivlin; 2: Wrong answer; 8: Do not know</t>
  </si>
  <si>
    <t>Rersonal and Household Details</t>
  </si>
  <si>
    <t>269-270</t>
  </si>
  <si>
    <t>c54</t>
  </si>
  <si>
    <t>Age</t>
  </si>
  <si>
    <t>54. How old are you?</t>
  </si>
  <si>
    <t>271</t>
  </si>
  <si>
    <t>c56</t>
  </si>
  <si>
    <t>Religious observance</t>
  </si>
  <si>
    <t>56. To what extent do you observe religious tradition?</t>
  </si>
  <si>
    <t>1: Not at all; 2: A little bit; 3: A lot; 4: I observe all of it</t>
  </si>
  <si>
    <t>272-273</t>
  </si>
  <si>
    <t>c57</t>
  </si>
  <si>
    <t>Country of birth</t>
  </si>
  <si>
    <t>57. (not for Arabs): Where were you born? (write a state) (if in the former USSR, write the name of the republic)</t>
  </si>
  <si>
    <t>274-275</t>
  </si>
  <si>
    <t>c60</t>
  </si>
  <si>
    <t>Year of immigration</t>
  </si>
  <si>
    <t>60-61. (not for Arabs): for those who were not born here: When did you come to Israel?</t>
  </si>
  <si>
    <t>276</t>
  </si>
  <si>
    <t>c62</t>
  </si>
  <si>
    <t>Russian immigrant after 1989 (not for Arabs)</t>
  </si>
  <si>
    <t>62. (not for Arabs): for the interviewer: if R came from the USSR after 1989, circle: 1. from the USSR</t>
  </si>
  <si>
    <t>1: New immigrant</t>
  </si>
  <si>
    <t>277-278</t>
  </si>
  <si>
    <t>c63</t>
  </si>
  <si>
    <t>City in former USSR (only for immigrants from the former USSR)</t>
  </si>
  <si>
    <t>63. (only for immigrants from the former USSR): in what city did you live before you came to Israel?</t>
  </si>
  <si>
    <t>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t>
  </si>
  <si>
    <t>279-280</t>
  </si>
  <si>
    <t>c65</t>
  </si>
  <si>
    <t>Nationality in passport in USSR (only for immigrants from the former USSR)</t>
  </si>
  <si>
    <t>65. (only for immigrants from the former USSR): what was the nationality written in your internal Soviet passport?</t>
  </si>
  <si>
    <t>1: Jewish; 2: Other; 3: Nothing; 4: No passport; 5: Don't remember; 10: Russian; 11: Ukrainian; 12: Moldavian; 13: Yakutian; 14: Gorskiy Evrei; 15: Armenian; 16: Belorussian; 17: Mordovi</t>
  </si>
  <si>
    <t>281</t>
  </si>
  <si>
    <t>c67</t>
  </si>
  <si>
    <t>Friends in Israel (only for immigrants from the former USSR)</t>
  </si>
  <si>
    <t>67. (only for immigrants from the former USSR): Regarding your friends in Israel, would you say that most of them are:</t>
  </si>
  <si>
    <t>1: New immigrant; 2: Veterans; 3: Half and half</t>
  </si>
  <si>
    <t>282</t>
  </si>
  <si>
    <t>c68</t>
  </si>
  <si>
    <t>Russian party participation in elections (only for immigrants from the former USSR)</t>
  </si>
  <si>
    <t>68. (only for immigrants from the former USSR): would you like to see a Russian party participating in the coming elections?</t>
  </si>
  <si>
    <t>1: Of course; 2: I think so; 3: I don't think so; 4: Of course not</t>
  </si>
  <si>
    <t>283-285</t>
  </si>
  <si>
    <t>c69</t>
  </si>
  <si>
    <t>Father's country of birth (not for Arabs)</t>
  </si>
  <si>
    <t>69. (not for Arabs): where was your father born? (write the name of the state): if in the USSR, write the name of the republic)</t>
  </si>
  <si>
    <t>286-288</t>
  </si>
  <si>
    <t>c72</t>
  </si>
  <si>
    <t>Mother's country of birth (not for Arabs)</t>
  </si>
  <si>
    <t>72. (not for Arabs): where was your mother born? (write the name of the state): if in the USSR, write the name of the republic)</t>
  </si>
  <si>
    <t>289-290</t>
  </si>
  <si>
    <t>c75</t>
  </si>
  <si>
    <t>Years of schooling</t>
  </si>
  <si>
    <t>75. How many years did you study? (including elementary school)</t>
  </si>
  <si>
    <t>291</t>
  </si>
  <si>
    <t>c77</t>
  </si>
  <si>
    <t>Academic degree</t>
  </si>
  <si>
    <t>77. (for those who finished 12 years and more): Do you have an academic degree?</t>
  </si>
  <si>
    <t>292-293</t>
  </si>
  <si>
    <t>c78</t>
  </si>
  <si>
    <t>Profession</t>
  </si>
  <si>
    <t>78. Describe your profession or your main job (if R is not working, his last job) (to the interviewer: be specific as you can: not just a doctor but an eye doctor etc.)</t>
  </si>
  <si>
    <t>character</t>
  </si>
  <si>
    <t>294-295</t>
  </si>
  <si>
    <t>c80</t>
  </si>
  <si>
    <t>Monthly family expenditure (relative to average of 9,300 NIS)</t>
  </si>
  <si>
    <t>80. The average monthly expenditure for a family of 4 people was NIS 9,300 last month. Does your family spend:</t>
  </si>
  <si>
    <t>1: Much more; 2: A little more; 3: About the average; 4: A little less; 5: Much less</t>
  </si>
  <si>
    <t>296-297</t>
  </si>
  <si>
    <t>c81</t>
  </si>
  <si>
    <t>Are you worried about losing your job?</t>
  </si>
  <si>
    <t>81. Are you worried of losing your job?</t>
  </si>
  <si>
    <t>1: Not at all; 2: A little worried; 3: Very worried; 4: Lost job lately and looking for one; 5: Not working and not looking for a job</t>
  </si>
  <si>
    <t>298-299</t>
  </si>
  <si>
    <t>c82</t>
  </si>
  <si>
    <t>Rooms in dwelling</t>
  </si>
  <si>
    <t>82. How many rooms do you have in your house?</t>
  </si>
  <si>
    <t>300-301</t>
  </si>
  <si>
    <t>c84</t>
  </si>
  <si>
    <t>Number of persons in household</t>
  </si>
  <si>
    <t>84. How many people are living in the house? (including soldiers):</t>
  </si>
  <si>
    <t>302</t>
  </si>
  <si>
    <t>c86</t>
  </si>
  <si>
    <t>Social class (self identified)</t>
  </si>
  <si>
    <t>86. What is your social class?</t>
  </si>
  <si>
    <t>1: High; 2: Medium-high; 3: Medium; 4: Low</t>
  </si>
  <si>
    <t>303-304</t>
  </si>
  <si>
    <t>c87</t>
  </si>
  <si>
    <t>Religion</t>
  </si>
  <si>
    <t>87. Religion</t>
  </si>
  <si>
    <t>1: Jewish; 2: Muslim; 3: Christian; 4: Druze; 5: No religion</t>
  </si>
  <si>
    <t>305</t>
  </si>
  <si>
    <t>c88</t>
  </si>
  <si>
    <t>Religious self-definition (not for Arabs)</t>
  </si>
  <si>
    <t>88. (not for Arabs): How would you define yourself?</t>
  </si>
  <si>
    <t>1: Secular; 2: Traditional; 3: Religious; 4: Haredi</t>
  </si>
  <si>
    <t>306</t>
  </si>
  <si>
    <t>c89</t>
  </si>
  <si>
    <t>Sex</t>
  </si>
  <si>
    <t>89. Gender</t>
  </si>
  <si>
    <t>1: Male; 2: Female</t>
  </si>
  <si>
    <t>307-309</t>
  </si>
  <si>
    <t>c90</t>
  </si>
  <si>
    <t>Locality of residency</t>
  </si>
  <si>
    <t>90. Place of residency</t>
  </si>
  <si>
    <t>310</t>
  </si>
  <si>
    <t>c93</t>
  </si>
  <si>
    <t>Language of the interview</t>
  </si>
  <si>
    <t>92. Language of the interview</t>
  </si>
  <si>
    <t>1: Hebrew; 2: Arab; 3: Russian</t>
  </si>
  <si>
    <t>311</t>
  </si>
  <si>
    <t>c94</t>
  </si>
  <si>
    <t>Version of questionnaire</t>
  </si>
  <si>
    <t>1: Blue; 2: Red; 3: Orange</t>
  </si>
  <si>
    <t>312-313</t>
  </si>
  <si>
    <t>day</t>
  </si>
  <si>
    <t>Day of interview</t>
  </si>
  <si>
    <t>314</t>
  </si>
  <si>
    <t>month</t>
  </si>
  <si>
    <t>Month of interview</t>
  </si>
  <si>
    <t>316-317</t>
  </si>
  <si>
    <t>origin</t>
  </si>
  <si>
    <t>Origin in categories</t>
  </si>
  <si>
    <t>1: North Africa; 2: Asia; 3: Eastern Europe; 4: West and Central Europe; 5: America Australia South Africa; 6: Israel Israel; 7: Israel North Africa; 8: Israel Asia; 9: Israel Eastern Europe; 10: Israel West Central Europe; 11: Israel America Australia South Africa</t>
  </si>
  <si>
    <t>Post-Election Survey</t>
  </si>
  <si>
    <t>318</t>
  </si>
  <si>
    <t>d5</t>
  </si>
  <si>
    <t>Voted in the last Knesset elections</t>
  </si>
  <si>
    <t>5. Did you vote in the last Knesset elections?</t>
  </si>
  <si>
    <t>319-320</t>
  </si>
  <si>
    <t>d6</t>
  </si>
  <si>
    <t>List voted for in the last Knesset elections</t>
  </si>
  <si>
    <t>6. For which list did you vote in the last Knesset elections? (do not read answers)</t>
  </si>
  <si>
    <t>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t>
  </si>
  <si>
    <t>321-322</t>
  </si>
  <si>
    <t>d8</t>
  </si>
  <si>
    <t>Favored coalition</t>
  </si>
  <si>
    <t>8. And among the following coalitions, which coalition do you favor? (Interviewer: record the exact answer)</t>
  </si>
  <si>
    <t>323</t>
  </si>
  <si>
    <t>d10</t>
  </si>
  <si>
    <t>Pleased with election results</t>
  </si>
  <si>
    <t>10. In general, are you pleased or not pleased with the election results?</t>
  </si>
  <si>
    <t>1: Very pleased; 2: Pleased; 3: Not very pleased; 4: Not pleased at all</t>
  </si>
  <si>
    <t>324-325</t>
  </si>
  <si>
    <t>d11</t>
  </si>
  <si>
    <t>When did you finally decide to vote for the party?</t>
  </si>
  <si>
    <t>11. When did you finally decide to vote for ...... (mention the party name voted for from question 6. If R said in question 5 that R would not vote, ask when the final decision was made not to vote)</t>
  </si>
  <si>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</si>
  <si>
    <t>326</t>
  </si>
  <si>
    <t>d13</t>
  </si>
  <si>
    <t>Frequency of watching parties' election campaign spots on TV</t>
  </si>
  <si>
    <t>13. How often did you watch the parties' election campaign spots on television?</t>
  </si>
  <si>
    <t>1: Every evening; 2: Almost every evening; 3: A few times; 4: Never</t>
  </si>
  <si>
    <t>327</t>
  </si>
  <si>
    <t>d14</t>
  </si>
  <si>
    <t>Contact by a party or group during the campaign</t>
  </si>
  <si>
    <t>14. Were you contact by a party or group during the campaign in an effort to convince you how to vote?</t>
  </si>
  <si>
    <t>Reason for not Vote</t>
  </si>
  <si>
    <t>328</t>
  </si>
  <si>
    <t>d15</t>
  </si>
  <si>
    <t>Reason for not vote: No difference between the parties</t>
  </si>
  <si>
    <t>In the last elections many fewer voters participated than in the past. I will list a number of possible reasons for this and I will ask you to tell me how important or unimportant each of these reasons is to explain why people did not vote. 15. No difference between the parties</t>
  </si>
  <si>
    <t>1: Extremely not important; 2: Not important; 3: Not certain; 4: Important; 5: Very important</t>
  </si>
  <si>
    <t>329</t>
  </si>
  <si>
    <t>d16</t>
  </si>
  <si>
    <t>Reason for not voted: It was clear who would win</t>
  </si>
  <si>
    <t>In the last elections many fewer voters participated than in the past. I will list a number of possible reasons for this and I will ask you to tell me how important or unimportant each of these reasons is to explain why people did not vote. 16. It was clear who would win</t>
  </si>
  <si>
    <t>330</t>
  </si>
  <si>
    <t>d17</t>
  </si>
  <si>
    <t>Reason for not voted: It makes no difference for whom you vote because nothing changes</t>
  </si>
  <si>
    <t>In the last elections many fewer voters participated than in the past. I will list a number of possible reasons for this and I will ask you to tell me how important or unimportant each of these reasons is to explain why people did not vote. 17. It makes no difference for whom you vote because nothing changes</t>
  </si>
  <si>
    <t>331</t>
  </si>
  <si>
    <t>d18</t>
  </si>
  <si>
    <t>Reason for not voted: The public is sick of politics and politicians</t>
  </si>
  <si>
    <t>In the last elections many fewer voters participated than in the past. I will list a number of possible reasons for this and I will ask you to tell me how important or unimportant each of these reasons is to explain why people did not vote. 18. The public is sick of politics and politicians</t>
  </si>
  <si>
    <t>332</t>
  </si>
  <si>
    <t>d19</t>
  </si>
  <si>
    <t>Reason for not voted: People felt they did not have for whom to vote</t>
  </si>
  <si>
    <t>In the last elections many fewer voters participated than in the past. I will list a number of possible reasons for this and I will ask you to tell me how important or unimportant each of these reasons is to explain why people did not vote. 19. People felt they did not have for whom to vote</t>
  </si>
  <si>
    <t>333</t>
  </si>
  <si>
    <t>d20</t>
  </si>
  <si>
    <t>Reason for not voted: People don't care, they're apathetic</t>
  </si>
  <si>
    <t>In the last elections many fewer voters participated than in the past. I will list a number of possible reasons for this and I will ask you to tell me how important or unimportant each of these reasons is to explain why people did not vote. 20. People don't care, they're apathetic</t>
  </si>
  <si>
    <t>334-335</t>
  </si>
  <si>
    <t>d21</t>
  </si>
  <si>
    <t>The most important reason for not voted</t>
  </si>
  <si>
    <t>21. And among those reasons, which in your opinion was the most important for the low turnout?(Interviewer: Review answers 15-20 in a varying order)</t>
  </si>
  <si>
    <t>15: No difference between the parties; 16: It was clear who would win; 17: It makes no difference for whom you vote because nothing changes; 18: The public is sick of politics and politicians; 19: People felt they did not have for whom to vote; 20: People don't care, they're apathetic; 21: No leader; 22: Laziness to go to the polling station; 23: Place of polling station unknown; 24: New immigrants were not told about elections; 90: Unknown; 95: Several reasons; 99: None of the reasons</t>
  </si>
  <si>
    <t>336</t>
  </si>
  <si>
    <t>d23</t>
  </si>
  <si>
    <t>Opinions about what the elections were about</t>
  </si>
  <si>
    <t>23. There are many opinions about what these elections were about. I will read some sentences with different ideas about this. To what extent do you agree or disagree with each of these statements?</t>
  </si>
  <si>
    <t>1: Strongly disagree; 2: Disagree; 3: Not certain; 4: Agree; 5: Strongly agree</t>
  </si>
  <si>
    <t>337</t>
  </si>
  <si>
    <t>d24</t>
  </si>
  <si>
    <t>Disengagement plan and the future of the settlements in the territories</t>
  </si>
  <si>
    <t>24. About the disengagement plan and the future of the settlements in the territories</t>
  </si>
  <si>
    <t>338</t>
  </si>
  <si>
    <t>d25</t>
  </si>
  <si>
    <t>Elections were about: Corruption of the politicians</t>
  </si>
  <si>
    <t>25. About the corruption of the politicians</t>
  </si>
  <si>
    <t>339</t>
  </si>
  <si>
    <t>d26</t>
  </si>
  <si>
    <t>Elections were about: Dealling with security challenges</t>
  </si>
  <si>
    <t>26. About who will deal better with security challenges (Hamas election, the threat from Iran)</t>
  </si>
  <si>
    <t>340</t>
  </si>
  <si>
    <t>d27</t>
  </si>
  <si>
    <t>Elections were a protest against the establishment</t>
  </si>
  <si>
    <t>27. The elections were a protest against the establishment</t>
  </si>
  <si>
    <t>341</t>
  </si>
  <si>
    <t>d28</t>
  </si>
  <si>
    <t>Main opinions on what the elections were about</t>
  </si>
  <si>
    <t>28. In sum, what were these elections about in your opinion (only one response) (Interviewer: Review answers 23-27 in a varying order)</t>
  </si>
  <si>
    <t>1: Political topic (Disengagement, negotiations with the Palestinians); 2: The security topic; 3: The economic-social topic; 4: Corruption; 7: Other; 8: All the topics; 9: None</t>
  </si>
  <si>
    <t>342</t>
  </si>
  <si>
    <t>d29</t>
  </si>
  <si>
    <t>Election as referendum on Olmert's plan</t>
  </si>
  <si>
    <t>29. In your opinion, should these elections be seen or should they not be seen as a referendum on Olmert's plan for another disengagement in Judea and Samaria that will determine the border with the Palestinians?</t>
  </si>
  <si>
    <t>1: The elections should definitely be seen as a referendum on these matters; 2: The elections can be seen as a referendum on these matters; 3: The elections cannot be seen as a referendum on these matters; 4: Tefinitely the elections should not be seen as a referendum on these matters</t>
  </si>
  <si>
    <t>343</t>
  </si>
  <si>
    <t>d30</t>
  </si>
  <si>
    <t>Israel Beiteinu primarily represents immigrants from the former USSR</t>
  </si>
  <si>
    <t>30. Do you think that the Israel Beiteinu party is primarily</t>
  </si>
  <si>
    <t>1: A party that represents immigrants from the former Soviet Union; 2: Not that</t>
  </si>
  <si>
    <t>344-345</t>
  </si>
  <si>
    <t>d31</t>
  </si>
  <si>
    <t>31. How old are you?</t>
  </si>
  <si>
    <t>346</t>
  </si>
  <si>
    <t>d33</t>
  </si>
  <si>
    <t>33. Religion</t>
  </si>
  <si>
    <t>347-348</t>
  </si>
  <si>
    <t>d34</t>
  </si>
  <si>
    <t>34. How many years did you study? (including elementary school)</t>
  </si>
  <si>
    <t>349</t>
  </si>
  <si>
    <t>d36</t>
  </si>
  <si>
    <t>36. Gender</t>
  </si>
  <si>
    <t>350</t>
  </si>
  <si>
    <t>d37</t>
  </si>
  <si>
    <t>37. Language of the interview</t>
  </si>
  <si>
    <t>351-352</t>
  </si>
  <si>
    <t>d38</t>
  </si>
  <si>
    <t>353</t>
  </si>
  <si>
    <t>d40</t>
  </si>
  <si>
    <t>2: February; 3: March; 4: April</t>
  </si>
  <si>
    <t>354</t>
  </si>
  <si>
    <t>sevev</t>
  </si>
  <si>
    <t>Wave</t>
  </si>
  <si>
    <t>1: Wave1:February,28-March,14; 2: Wave2:March,13-March,23</t>
  </si>
  <si>
    <t>2003</t>
  </si>
  <si>
    <t>Study 2003</t>
  </si>
  <si>
    <t>General</t>
  </si>
  <si>
    <t>6</t>
  </si>
  <si>
    <t>A6</t>
  </si>
  <si>
    <t>Israel's condition in general</t>
  </si>
  <si>
    <t>What do you think of Israel's condition in general?</t>
  </si>
  <si>
    <t>1: Very good; 2: Good; 3: Neither good nor bad; 4: Bad; 5: Very bad</t>
  </si>
  <si>
    <t>7</t>
  </si>
  <si>
    <t>A7</t>
  </si>
  <si>
    <t>What do you think of the way the government is handling the country's problems?</t>
  </si>
  <si>
    <t>1: Very well; 2: Well; 3: Not very well; 4: Not well at all</t>
  </si>
  <si>
    <t>8-9</t>
  </si>
  <si>
    <t>A8</t>
  </si>
  <si>
    <t>What is the most important problem facing the government today</t>
  </si>
  <si>
    <t>1: Security in general; 2: Palestinian territories; 4: Settlements in territories; 5: Palestinian terror; 8: International terror; 9: Iraqi threat, missiles; 10: Foreign policy, negotiations for peace; 13: Economy; 14: Stop inflation; 15: Economic growth end of decline; 16: Reducing unemployment; 17: General internal affairs; 18: Reduce social gap; 20: Education; 21: Health; 24: Traffic accidents; 25: Immigrant absorption; 26: Environment; 27: Religious character of state; 28: Religious-secular relations; 29: Israeli Arabs; 31: Corruption of rule of law; 32: Democracy, civil rights; 33: Form of government; 34: Improve govt performance; 35: Unity; 36: Everything</t>
  </si>
  <si>
    <t>A10</t>
  </si>
  <si>
    <t>Personal economic situation</t>
  </si>
  <si>
    <t>What about your personal economic situation? Would you say that in the last year your personal economic situation:</t>
  </si>
  <si>
    <t>1: Improved greatly; 2: Improved; 3: Did not change; 4: A little worse; 5: Much worse</t>
  </si>
  <si>
    <t>Attitude towards the Palestinian issue</t>
  </si>
  <si>
    <t>11</t>
  </si>
  <si>
    <t>A11</t>
  </si>
  <si>
    <t>1: Definitely agree; 2: Agree; 3: Disagree; 4: Strongly disagree</t>
  </si>
  <si>
    <t>12</t>
  </si>
  <si>
    <t>A12</t>
  </si>
  <si>
    <t>A Palestinian State should be established</t>
  </si>
  <si>
    <t>The establishment of a Palestinian state in the territories as part of a peace settlement</t>
  </si>
  <si>
    <t>A13</t>
  </si>
  <si>
    <t>A fence of separation should be built</t>
  </si>
  <si>
    <t>To separate us from the Palestinians - asked only in the first survey</t>
  </si>
  <si>
    <t>A14</t>
  </si>
  <si>
    <t>Israel should negotiate with the Palestinians even if terror persists</t>
  </si>
  <si>
    <t>Asked only in the first survey</t>
  </si>
  <si>
    <t>A15</t>
  </si>
  <si>
    <t>A16</t>
  </si>
  <si>
    <t>Settlements should be vacated except for large blocks</t>
  </si>
  <si>
    <t>As part of a peace agreement - asked only in the first survey</t>
  </si>
  <si>
    <t>A17</t>
  </si>
  <si>
    <t>The Arabs from the territories should be transferred</t>
  </si>
  <si>
    <t>A18</t>
  </si>
  <si>
    <t>Arabs who are Israeli citizens should be transferred</t>
  </si>
  <si>
    <t>A19</t>
  </si>
  <si>
    <t>Prevent war by talks or military power</t>
  </si>
  <si>
    <t>What should Israel stress to avoid another war with the Arabs?</t>
  </si>
  <si>
    <t>1: Concentrate on peace talks; 2: Increase military strength</t>
  </si>
  <si>
    <t>20</t>
  </si>
  <si>
    <t>A20</t>
  </si>
  <si>
    <t>Would a peace agreement with the Palestinians indicate an end to the Israeli-Arab conflict?</t>
  </si>
  <si>
    <t>1: The conflict would definitely be concluded; 2: The conflict would be concluded; 3: The conflict would not be concluded; 4: The conflict would definitely not be concluded</t>
  </si>
  <si>
    <t>21</t>
  </si>
  <si>
    <t>A21</t>
  </si>
  <si>
    <t>1: To regain some of the territories lost in the Six Days war; 2: To regain all the territories lost in the Six Days war; 3: To conquer the State of Israel; 4: To conquer the country&amp;kill large portion of Jews in Israel</t>
  </si>
  <si>
    <t>A22</t>
  </si>
  <si>
    <t>To what extent are you worried that you or a member of your family might become a victim of a terrorist attack?</t>
  </si>
  <si>
    <t>1: Very worried; 2: Worried; 3: Not worried; 4: Not at all worried</t>
  </si>
  <si>
    <t>Ranking 4 significant values</t>
  </si>
  <si>
    <t>23</t>
  </si>
  <si>
    <t>A23</t>
  </si>
  <si>
    <t>The most important value</t>
  </si>
  <si>
    <t>Of these four values that conflict to some extent, which is the most important to you?-asked only in the first survey-not for Arab sample</t>
  </si>
  <si>
    <t>1: Jewish majority; 2: Greater Israel; 3: Democratic state; 4: Peace</t>
  </si>
  <si>
    <t>24</t>
  </si>
  <si>
    <t>A24</t>
  </si>
  <si>
    <t>Of these four values that conflict to some extent, which is the second most important to you?-asked only in the first survey-not for Arab sample</t>
  </si>
  <si>
    <t>A25</t>
  </si>
  <si>
    <t>Of these four values that conflict to some extent, which is the third most important to you?-asked only in the first survey-not for Arab sample</t>
  </si>
  <si>
    <t>A26</t>
  </si>
  <si>
    <t>Of these four values that conflict to some extent, which is the fourth most important to you?-asked only in the first survey-not for Arab sample</t>
  </si>
  <si>
    <t>Support for political persons/groups</t>
  </si>
  <si>
    <t>27-28</t>
  </si>
  <si>
    <t>A27</t>
  </si>
  <si>
    <t>Support for the Labour party</t>
  </si>
  <si>
    <t>On a scale from 1-10, express your support (love) or rejection (hate) for the Labour party</t>
  </si>
  <si>
    <t>1: Hate; 10: Love</t>
  </si>
  <si>
    <t>29-30</t>
  </si>
  <si>
    <t>A28</t>
  </si>
  <si>
    <t>Support for the Likud</t>
  </si>
  <si>
    <t>On a scale from 1-10, express your support (love) or rejection (hate) for the Likud</t>
  </si>
  <si>
    <t>31-32</t>
  </si>
  <si>
    <t>A29</t>
  </si>
  <si>
    <t>Support for Meretz</t>
  </si>
  <si>
    <t>On a scale from 1-10, express your support (love) or rejection (hate) for Meretz</t>
  </si>
  <si>
    <t>33-34</t>
  </si>
  <si>
    <t>A30</t>
  </si>
  <si>
    <t>Support for the National Religious Party</t>
  </si>
  <si>
    <t>On a scale from 1-10, express your support (love) or rejection (hate) for the National Religious Party</t>
  </si>
  <si>
    <t>35-36</t>
  </si>
  <si>
    <t>A31</t>
  </si>
  <si>
    <t>Support for Shinui</t>
  </si>
  <si>
    <t>On a scale from 1-10, express your support (love) or rejection (hate) for Shinui</t>
  </si>
  <si>
    <t>37-38</t>
  </si>
  <si>
    <t>A32</t>
  </si>
  <si>
    <t>Support for the National Union</t>
  </si>
  <si>
    <t>On a scale from 1-10, express your support (love) or rejection (hate) for the National Union</t>
  </si>
  <si>
    <t>39-40</t>
  </si>
  <si>
    <t>A33</t>
  </si>
  <si>
    <t>Support for Shas</t>
  </si>
  <si>
    <t>On a scale from 1-10, express your support (love) or rejection (hate) for Shas</t>
  </si>
  <si>
    <t>41-42</t>
  </si>
  <si>
    <t>A34</t>
  </si>
  <si>
    <t>Support for Israel B'Aliyah</t>
  </si>
  <si>
    <t>On a scale from 1-10, express your support (love) or rejection (hate) for Israel B'Aliyah</t>
  </si>
  <si>
    <t>43-44</t>
  </si>
  <si>
    <t>A35</t>
  </si>
  <si>
    <t>Support for Amram Mitzna</t>
  </si>
  <si>
    <t>On a scale from 1-10, express your support (love) or rejection (hate) for Amram Mitzna</t>
  </si>
  <si>
    <t>45-46</t>
  </si>
  <si>
    <t>A36</t>
  </si>
  <si>
    <t>Support for Ariel Sharon</t>
  </si>
  <si>
    <t>On a scale from 1-10, express your support (love) or rejection (hate) for Ariel Sharon</t>
  </si>
  <si>
    <t>47-48</t>
  </si>
  <si>
    <t>A37</t>
  </si>
  <si>
    <t>Support for Arabs</t>
  </si>
  <si>
    <t>On a scale from 1-10, express your support (love) or rejection (hate) for Arabs</t>
  </si>
  <si>
    <t>Identify with party regarding peace and security</t>
  </si>
  <si>
    <t>49-50</t>
  </si>
  <si>
    <t>A38</t>
  </si>
  <si>
    <t>Identification with Labour's peace and security policies</t>
  </si>
  <si>
    <t>On a scale from 1-10, how far (1) or close (10) are you to the Labour party on issues of peace and security?</t>
  </si>
  <si>
    <t>1: Far; 10: Close</t>
  </si>
  <si>
    <t>51-52</t>
  </si>
  <si>
    <t>A39</t>
  </si>
  <si>
    <t>Identification with Likud's peace and security policies</t>
  </si>
  <si>
    <t>On a scale from 1-10, how far (1) or close (10) are you to the Likud on issues of peace and security?</t>
  </si>
  <si>
    <t>53-54</t>
  </si>
  <si>
    <t>A40</t>
  </si>
  <si>
    <t>Identification with Shinui's peace and security policies</t>
  </si>
  <si>
    <t>On a scale from 1-10, how far (1) or close (10) are you to Shinui on issues of peace and security?</t>
  </si>
  <si>
    <t>Identify with party regarding economic issues</t>
  </si>
  <si>
    <t>55-56</t>
  </si>
  <si>
    <t>A41</t>
  </si>
  <si>
    <t>Identification with Labour's economic policies</t>
  </si>
  <si>
    <t>On a scale from 1-10, how far (1) or close (10) are you to the Labour party on economic issues?</t>
  </si>
  <si>
    <t>57-58</t>
  </si>
  <si>
    <t>A42</t>
  </si>
  <si>
    <t>Identification with Likud's economic policies</t>
  </si>
  <si>
    <t>On a scale from 1-10, how far (1) or close (10) are you to the Likud on economic issues?</t>
  </si>
  <si>
    <t>59-60</t>
  </si>
  <si>
    <t>A43</t>
  </si>
  <si>
    <t>Identification with Shinui's economic policies</t>
  </si>
  <si>
    <t>On a scale from 1-10, how far (1) or close (10) are you to Shinui on economic issues?</t>
  </si>
  <si>
    <t>Identify with party regarding religion and State</t>
  </si>
  <si>
    <t>61-62</t>
  </si>
  <si>
    <t>A44</t>
  </si>
  <si>
    <t>Identification with Labour's religion and State policies</t>
  </si>
  <si>
    <t>On a scale from 1-10, how far (1) or close (10) are you to the Labour party on issues of religion and State?</t>
  </si>
  <si>
    <t>A45</t>
  </si>
  <si>
    <t>Identification with Likud's religion and State policies</t>
  </si>
  <si>
    <t>On a scale from 1-10, how far (1) or close (10) are you to the Likud on issues of religion and State?</t>
  </si>
  <si>
    <t>A46</t>
  </si>
  <si>
    <t>Identification with Shinui's religion and State policies</t>
  </si>
  <si>
    <t>On a scale from 1-10, how far (1) or close (10) are you to Shinui on issues of religion and State?</t>
  </si>
  <si>
    <t>67</t>
  </si>
  <si>
    <t>A47</t>
  </si>
  <si>
    <t>Who will deal better with the state's economic problems, the Likud leaders or those of Labour?</t>
  </si>
  <si>
    <t>1: Likud leaders; 2: Labor leaders; 3: Both; 4: Neither</t>
  </si>
  <si>
    <t>68</t>
  </si>
  <si>
    <t>A48</t>
  </si>
  <si>
    <t>Party leaders to deal best with security</t>
  </si>
  <si>
    <t>And with foreign and security matters, who will deal better with them?</t>
  </si>
  <si>
    <t>69</t>
  </si>
  <si>
    <t>A49</t>
  </si>
  <si>
    <t>On a scale from 1 (right) to 7 (left) where would you rank yourself?</t>
  </si>
  <si>
    <t>Party differences on national issues</t>
  </si>
  <si>
    <t>70</t>
  </si>
  <si>
    <t>A50</t>
  </si>
  <si>
    <t>In your opinion are there differences in the positions of the large parties on the Jerusalem issue?</t>
  </si>
  <si>
    <t>1: Very great differences; 2: Great differences; 3: Some differences; 4: Small differences; 5: Almost no differences</t>
  </si>
  <si>
    <t>71</t>
  </si>
  <si>
    <t>A51</t>
  </si>
  <si>
    <t>In your opinion are there differences in the positions of the large parties on economic issues?</t>
  </si>
  <si>
    <t>72</t>
  </si>
  <si>
    <t>A52</t>
  </si>
  <si>
    <t>In your opinion are there differences in the positions of the large parties on social policy?</t>
  </si>
  <si>
    <t>73</t>
  </si>
  <si>
    <t>A53</t>
  </si>
  <si>
    <t>Party differences on the following issue:Religion and State</t>
  </si>
  <si>
    <t>In your opinion are there differences in the positions of the large parties on religion and State issues?</t>
  </si>
  <si>
    <t>74</t>
  </si>
  <si>
    <t>A54</t>
  </si>
  <si>
    <t>Party differences on the following issue:Peace and territories</t>
  </si>
  <si>
    <t>In your opinion are there differences in the positions of the large parties on peace and territories issues?</t>
  </si>
  <si>
    <t>75</t>
  </si>
  <si>
    <t>A55</t>
  </si>
  <si>
    <t>In your opinion are there differences in the positions of the large parties on terror issues?</t>
  </si>
  <si>
    <t>76</t>
  </si>
  <si>
    <t>A56</t>
  </si>
  <si>
    <t>Of the following four factors, what is the most important factor for you in determining your choice?</t>
  </si>
  <si>
    <t>1: Identification with the party; 2: The party's candidates; 3: The platform/position on certain issues; 4: Whether the party is in government or in the opposition</t>
  </si>
  <si>
    <t>Influence the following issues have on your vote</t>
  </si>
  <si>
    <t>77</t>
  </si>
  <si>
    <t>A57</t>
  </si>
  <si>
    <t>Influence the following have on your vote: Jerusalem</t>
  </si>
  <si>
    <t>To what extent will the Jerusalem issue influence or not influence your vote choice?</t>
  </si>
  <si>
    <t>1: Very great extent; 2: Great extent; 3: Certain extent; 4: Not at all</t>
  </si>
  <si>
    <t>78</t>
  </si>
  <si>
    <t>A58</t>
  </si>
  <si>
    <t>Influence the following have on your vote: Economics</t>
  </si>
  <si>
    <t>To what extent will economics influence or not influence your vote choice?</t>
  </si>
  <si>
    <t>79</t>
  </si>
  <si>
    <t>A59</t>
  </si>
  <si>
    <t>Influence the following have on your vote: Social Policy</t>
  </si>
  <si>
    <t>To what extent will social policy influence or not influence your vote choice?</t>
  </si>
  <si>
    <t>80</t>
  </si>
  <si>
    <t>A60</t>
  </si>
  <si>
    <t>Influence the following have on your vote: Religion and State</t>
  </si>
  <si>
    <t>To what extent will religion and State issues influence or not influence your vote choice?</t>
  </si>
  <si>
    <t>81</t>
  </si>
  <si>
    <t>A61</t>
  </si>
  <si>
    <t>Influence the following have on your vote: Peace and territories</t>
  </si>
  <si>
    <t>To what extent will peace and territories issues influence or not influence your vote choice?</t>
  </si>
  <si>
    <t>82</t>
  </si>
  <si>
    <t>A62</t>
  </si>
  <si>
    <t>Influence the following have on your vote: Terror</t>
  </si>
  <si>
    <t>To what extent will terror issues influence or not influence your vote choice?</t>
  </si>
  <si>
    <t>83</t>
  </si>
  <si>
    <t>A63</t>
  </si>
  <si>
    <t>Influence the following have on your vote: Corruption</t>
  </si>
  <si>
    <t>To what extent will corruption influence or not influence your vote choice?</t>
  </si>
  <si>
    <t>84</t>
  </si>
  <si>
    <t>A64</t>
  </si>
  <si>
    <t>Influence the following have on your vote: Willingness to pay more taxes</t>
  </si>
  <si>
    <t>Do you agree or disagree that taxes should be raised and that you will pay more tax to deal with the problems the state faces? Asked only in second survey</t>
  </si>
  <si>
    <t>1: Agree; 2: Disagree</t>
  </si>
  <si>
    <t>Should the State spend more/less money in the following domains</t>
  </si>
  <si>
    <t>85</t>
  </si>
  <si>
    <t>A65</t>
  </si>
  <si>
    <t>State expenditures on education should be:</t>
  </si>
  <si>
    <t>Should the state spend more, less, or the same amount as now on education? Asked only in second survey</t>
  </si>
  <si>
    <t>1: More; 2: Less; 3: Same as now</t>
  </si>
  <si>
    <t>86</t>
  </si>
  <si>
    <t>A66</t>
  </si>
  <si>
    <t>State expenditures on ecology should be:</t>
  </si>
  <si>
    <t>Should the state spend more, less, or the same amount as now on preserving nature and ecology? Asked only in second survey</t>
  </si>
  <si>
    <t>87</t>
  </si>
  <si>
    <t>A67</t>
  </si>
  <si>
    <t>State expenditures on religious institutions and yeshivot should be:</t>
  </si>
  <si>
    <t>Should the state spend more, less, or the same amount as now on religious institutions and yeshivot? Asked only in second survey</t>
  </si>
  <si>
    <t>88</t>
  </si>
  <si>
    <t>A68</t>
  </si>
  <si>
    <t>State expenditures on health should be:</t>
  </si>
  <si>
    <t>Should the state spend more, less, or the same amount as now on health? Asked only in second survey</t>
  </si>
  <si>
    <t>89</t>
  </si>
  <si>
    <t>A69</t>
  </si>
  <si>
    <t>State expenditures on security should be:</t>
  </si>
  <si>
    <t>Should the state spend more, less, or the same amount as now on security? Asked only in second survey</t>
  </si>
  <si>
    <t>90</t>
  </si>
  <si>
    <t>A70</t>
  </si>
  <si>
    <t>State expenditures on unemployment benefits should be:</t>
  </si>
  <si>
    <t>Should the state spend more, less, or the same amount as now on aid to the unemployed? Asked only in second survey</t>
  </si>
  <si>
    <t>91</t>
  </si>
  <si>
    <t>A71</t>
  </si>
  <si>
    <t>State expenditures on settlements should be:</t>
  </si>
  <si>
    <t>Should the state spend more, less, or the same amount as now on settlements in the territories? Asked only in second survey</t>
  </si>
  <si>
    <t>92</t>
  </si>
  <si>
    <t>A72</t>
  </si>
  <si>
    <t>State expenditures on the Arab sector should be:</t>
  </si>
  <si>
    <t>Should the state spend more, less, or the same amount as now on the Arab sector? Asked only in second survey</t>
  </si>
  <si>
    <t>93</t>
  </si>
  <si>
    <t>A73</t>
  </si>
  <si>
    <t>State expenditures on job creation should be:</t>
  </si>
  <si>
    <t>Should the state spend more, less, or the same amount as now on creating jobs? Asked only in second survey</t>
  </si>
  <si>
    <t>94</t>
  </si>
  <si>
    <t>A74</t>
  </si>
  <si>
    <t>Discussing political issues with family/friends</t>
  </si>
  <si>
    <t>To what extent do you discuss political issues with your friends and family?</t>
  </si>
  <si>
    <t>1: Great extent; 2: Certain extent; 3: Not very much; 4: Not at all</t>
  </si>
  <si>
    <t>95</t>
  </si>
  <si>
    <t>A75</t>
  </si>
  <si>
    <t>Influence you and your friends have on government policy</t>
  </si>
  <si>
    <t>To what extent can you and your friends influence government policy?</t>
  </si>
  <si>
    <t>96</t>
  </si>
  <si>
    <t>A76</t>
  </si>
  <si>
    <t>Should public life be conducted according to Halacha?</t>
  </si>
  <si>
    <t>Should the government of Israel see to it that public affairs are conducted in accordance with Jewish religious tradition?</t>
  </si>
  <si>
    <t>1: Definitely; 2: Perhaps; 3: No; 4: Definitely not</t>
  </si>
  <si>
    <t>97</t>
  </si>
  <si>
    <t>A77</t>
  </si>
  <si>
    <t>A capitalist or socialist Israeli economy</t>
  </si>
  <si>
    <t>Regarding economic matters, do you support a socialist or a capitalist approach?</t>
  </si>
  <si>
    <t>1: Definitely capitalist; 2: Capitalist; 3: Socialist; 4: Definitely socialist</t>
  </si>
  <si>
    <t>Parties attributes</t>
  </si>
  <si>
    <t>98</t>
  </si>
  <si>
    <t>A78</t>
  </si>
  <si>
    <t>Party to negotiate issues of territories and peace</t>
  </si>
  <si>
    <t>Is Labour or Likud a party that will know how to negotiate issues of territories and peace?</t>
  </si>
  <si>
    <t>1: Labour; 2: Likud; 3: Both; 4: Neither</t>
  </si>
  <si>
    <t>A79</t>
  </si>
  <si>
    <t>Party to preserve democratic regime</t>
  </si>
  <si>
    <t>Is Labour or Likud a party that will preserve the State's democratic regime?</t>
  </si>
  <si>
    <t>A80</t>
  </si>
  <si>
    <t>Party to lead to true peace</t>
  </si>
  <si>
    <t>Is Labour or Likud a party that will lead to true peace with the Arabs?</t>
  </si>
  <si>
    <t>A81</t>
  </si>
  <si>
    <t>Party to deal with terror</t>
  </si>
  <si>
    <t>Is Labour or Likud a party that will know how to deal with terror?</t>
  </si>
  <si>
    <t>A82</t>
  </si>
  <si>
    <t>Party to bring about separation from the Palestinians</t>
  </si>
  <si>
    <t>Is Labour or Likud a party that will be able to bring about separation between Israel and the Palestinians?</t>
  </si>
  <si>
    <t>A83</t>
  </si>
  <si>
    <t>Corrupt party</t>
  </si>
  <si>
    <t>Is Labour or Likud a party that has corruption in it?</t>
  </si>
  <si>
    <t>A84</t>
  </si>
  <si>
    <t>Party to decrease social gaps</t>
  </si>
  <si>
    <t>Is Labour or Likud a party that will decrease social gaps?</t>
  </si>
  <si>
    <t>Leaders attributes</t>
  </si>
  <si>
    <t>A85</t>
  </si>
  <si>
    <t>Leadership qualities</t>
  </si>
  <si>
    <t>Is the trait leadership ability more appropriate in describing Sharon or Mitzna?</t>
  </si>
  <si>
    <t>1: Sharon; 2: Mitzna; 3: Both; 4: Neither</t>
  </si>
  <si>
    <t>A86</t>
  </si>
  <si>
    <t>Credible</t>
  </si>
  <si>
    <t>Is the trait credible more appropriate in describing Sharon or Mitzna?</t>
  </si>
  <si>
    <t>A87</t>
  </si>
  <si>
    <t>Prefers State interests over others</t>
  </si>
  <si>
    <t>Is the trait prefers the good of the state over other considerations more appropriate in describing Sharon or Mitzna?</t>
  </si>
  <si>
    <t>A88</t>
  </si>
  <si>
    <t>Ability to handle negotiations</t>
  </si>
  <si>
    <t>Is the trait ability to handle negotiations more appropriate in describing Sharon or Mitzna?</t>
  </si>
  <si>
    <t>A89</t>
  </si>
  <si>
    <t>Will preserve the rule of law</t>
  </si>
  <si>
    <t>Is the trait will preserve the rule of law more appropriate in describing Sharon or Mitzna?</t>
  </si>
  <si>
    <t>Likelihood for parties to be in the coalition</t>
  </si>
  <si>
    <t>116-118</t>
  </si>
  <si>
    <t>B7</t>
  </si>
  <si>
    <t>Likelihood for the Likud to be in the coalition (%)</t>
  </si>
  <si>
    <t>On a scale from 0 -100, how likely is it that the Likud will be in the governing coalition? Asked only in first survey</t>
  </si>
  <si>
    <t>119-121</t>
  </si>
  <si>
    <t>B10</t>
  </si>
  <si>
    <t>Likelihood for the Labour party to be in the coalition (%)</t>
  </si>
  <si>
    <t>On a scale from 0 -100, how likely is it that the Labour party will be in the governing coalition? Asked only in first survey</t>
  </si>
  <si>
    <t>122-124</t>
  </si>
  <si>
    <t>B13</t>
  </si>
  <si>
    <t>Likelihood for Meretz to be in the coalition (%)</t>
  </si>
  <si>
    <t>On a scale from 0 -100, how likely is it that Meretz will be in the governing coalition? Asked only in first survey</t>
  </si>
  <si>
    <t>125-127</t>
  </si>
  <si>
    <t>B16</t>
  </si>
  <si>
    <t>Likelihood for the National Religious Party to be in the coalition (%)</t>
  </si>
  <si>
    <t>On a scale from 0 -100, how likely is it that the National Religious Party will be in the governing coalition? Asked only in first survey</t>
  </si>
  <si>
    <t>128-130</t>
  </si>
  <si>
    <t>B19</t>
  </si>
  <si>
    <t>Likelihood for Shinui to be in the coalition (%)</t>
  </si>
  <si>
    <t>On a scale from 0 -100, how likely is it that Shinui will be in the governing coalition? Asked only in first survey</t>
  </si>
  <si>
    <t>131-133</t>
  </si>
  <si>
    <t>B22</t>
  </si>
  <si>
    <t>Likelihood for the National Union to be in the coalition (%)</t>
  </si>
  <si>
    <t>On a scale from 0 -100, how likely is it that the National Union will be in the governing coalition? Asked only in first survey</t>
  </si>
  <si>
    <t>134-136</t>
  </si>
  <si>
    <t>B25</t>
  </si>
  <si>
    <t>Likelihood for Shas to be in the coalition (%)</t>
  </si>
  <si>
    <t>On a scale from 0 -100, how likely is it that Shas will be in the governing coalition? Asked only in first survey</t>
  </si>
  <si>
    <t>137-139</t>
  </si>
  <si>
    <t>B28</t>
  </si>
  <si>
    <t>Likelihood for Israel B'Aliyah to be in the coalition (%)</t>
  </si>
  <si>
    <t>On a scale from 0 -100, how likely is it that Israel B'Aliyah will be in the governing coalition? Asked only in first survey</t>
  </si>
  <si>
    <t>Number of seats you think the parties will win</t>
  </si>
  <si>
    <t>140-141</t>
  </si>
  <si>
    <t>B31</t>
  </si>
  <si>
    <t>Number of seats you think the Likud will win</t>
  </si>
  <si>
    <t>How many seats will the Likud win in the coming elections? Asked only in second survey</t>
  </si>
  <si>
    <t>142-143</t>
  </si>
  <si>
    <t>B33</t>
  </si>
  <si>
    <t>Number of seats you think the Labour party will win</t>
  </si>
  <si>
    <t>How many seats will the Labour party win in the coming elections? Asked only in second survey</t>
  </si>
  <si>
    <t>144-145</t>
  </si>
  <si>
    <t>B35</t>
  </si>
  <si>
    <t>Number of seats you think Meretz will win</t>
  </si>
  <si>
    <t>How many seats will Meretz win in the coming elections? Asked only in second survey</t>
  </si>
  <si>
    <t>146-147</t>
  </si>
  <si>
    <t>B37</t>
  </si>
  <si>
    <t>Number of seats you think the National Religious Party will win</t>
  </si>
  <si>
    <t>How many seats will the National Religious Party win in the coming elections? Asked only in second survey</t>
  </si>
  <si>
    <t>148-149</t>
  </si>
  <si>
    <t>B39</t>
  </si>
  <si>
    <t>Number of seats you think Shinui will win</t>
  </si>
  <si>
    <t>How many seats will Shinui win in the coming elections? Asked only in second survey</t>
  </si>
  <si>
    <t>150-151</t>
  </si>
  <si>
    <t>B41</t>
  </si>
  <si>
    <t>Number of seats you think the National Union will win</t>
  </si>
  <si>
    <t>How many seats will the National Union win in the coming elections? Asked only in second survey</t>
  </si>
  <si>
    <t>152-153</t>
  </si>
  <si>
    <t>B43</t>
  </si>
  <si>
    <t>Number of seats you think Shas will win</t>
  </si>
  <si>
    <t>How many seats will Shas win in the coming elections? Asked only in second survey</t>
  </si>
  <si>
    <t>154-155</t>
  </si>
  <si>
    <t>B45</t>
  </si>
  <si>
    <t>Number of seats you think Israel B'Aliyah will win</t>
  </si>
  <si>
    <t>How many seats will Isarel B'Aliyah win in the coming elections? Asked only in second survey</t>
  </si>
  <si>
    <t>Prospects for the following coalitions</t>
  </si>
  <si>
    <t>156-158</t>
  </si>
  <si>
    <t>B47</t>
  </si>
  <si>
    <t>A Likud-right-religious coalition</t>
  </si>
  <si>
    <t>On a scale from 0 -100, what are the chances that a Likud-right-religious coalition will finally be set up?</t>
  </si>
  <si>
    <t>159-161</t>
  </si>
  <si>
    <t>B50</t>
  </si>
  <si>
    <t>A Likud-Labour-Shinui coalition</t>
  </si>
  <si>
    <t>On a scale from 0 -100, what are the chances that a Likud-Labour-Shinui coalition will finally be set up?</t>
  </si>
  <si>
    <t>162-164</t>
  </si>
  <si>
    <t>B53</t>
  </si>
  <si>
    <t>A Labour-Meretz-Arabs coalition</t>
  </si>
  <si>
    <t>On a scale from 0 -100, what are the chances that a Labour-Meretz-Arabs coalition will finally be set up?</t>
  </si>
  <si>
    <t>165-167</t>
  </si>
  <si>
    <t>B56</t>
  </si>
  <si>
    <t>A national unity government</t>
  </si>
  <si>
    <t>On a scale from 0 -100, what are the chances that a national unity government will finally be set up?</t>
  </si>
  <si>
    <t>Preference for each of the following coalitions</t>
  </si>
  <si>
    <t>B59</t>
  </si>
  <si>
    <t>To what extent do you favour a Likud-right-religious coalition government after the elections?</t>
  </si>
  <si>
    <t>1: Very much against; 2: Somewhat against; 3: So-so; 4: Somewhat in favour; 5: Very much in favour</t>
  </si>
  <si>
    <t>B60</t>
  </si>
  <si>
    <t>To what extent do you favour a Likud-Labour-Shinui coalition government after the elections?</t>
  </si>
  <si>
    <t>B61</t>
  </si>
  <si>
    <t>To what extent do you favour a Labour-Meretz-Arabs coalition government after the elections?</t>
  </si>
  <si>
    <t>B62</t>
  </si>
  <si>
    <t>To what extent do you favour a national unity government after the elections?</t>
  </si>
  <si>
    <t>172-173</t>
  </si>
  <si>
    <t>B63</t>
  </si>
  <si>
    <t>In this election we will vote only for the Knesset and not with two ballots. If the Knesset elections were held today, for which list would you vote?</t>
  </si>
  <si>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</si>
  <si>
    <t>B65</t>
  </si>
  <si>
    <t>And if you did have two ballots, one for the prime minister and one for the Knesset, for whom would you vote?</t>
  </si>
  <si>
    <t>1: Mitzna; 2: Sharon; 3: Blank ballot; 4: No decision; 5: Will not vote</t>
  </si>
  <si>
    <t>B66</t>
  </si>
  <si>
    <t>And for the Knesset?</t>
  </si>
  <si>
    <t>B68</t>
  </si>
  <si>
    <t>Vote in 2001 elections for PM</t>
  </si>
  <si>
    <t>Who did you vote for prime minister in 2001?</t>
  </si>
  <si>
    <t>1: Barak; 2: Sharon; 3: Blank ballot; 4: I did not vote even though I had the right to vote; 5: I did not vote because I did not have the right to vote</t>
  </si>
  <si>
    <t>178</t>
  </si>
  <si>
    <t>B69</t>
  </si>
  <si>
    <t>Vote in 1999 elections for PM</t>
  </si>
  <si>
    <t>Who did you vote for prime minister in 1999?</t>
  </si>
  <si>
    <t>1: Barak; 2: Netanyahu; 3: Blank ballot; 4: I did not vote even though I had the right to vote; 5: I did not vote because I did not have the right to vote</t>
  </si>
  <si>
    <t>179-180</t>
  </si>
  <si>
    <t>B70</t>
  </si>
  <si>
    <t>Vote in 1999 Knesset elections</t>
  </si>
  <si>
    <t>For which party did you vote in the Knesset elections of 1999?</t>
  </si>
  <si>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</si>
  <si>
    <t>B72</t>
  </si>
  <si>
    <t>Do you support a political party or are you active in one?</t>
  </si>
  <si>
    <t>1: No, neither support nor active; 2: I support a party but am not active; 3: I am a member of a party; 4: I am an active member of a party; 5: I am an active member with a position in a party</t>
  </si>
  <si>
    <t>B73</t>
  </si>
  <si>
    <t>Political identification</t>
  </si>
  <si>
    <t>With which political tendency do you identify?</t>
  </si>
  <si>
    <t>1: Left; 2: Moderate left; 3: Center; 4: Moderate right; 5: Right; 6: Religious; 7: None</t>
  </si>
  <si>
    <t>Respondent's demographic details</t>
  </si>
  <si>
    <t>183-184</t>
  </si>
  <si>
    <t>B74</t>
  </si>
  <si>
    <t>How old are you?</t>
  </si>
  <si>
    <t>185</t>
  </si>
  <si>
    <t>B76</t>
  </si>
  <si>
    <t>To what extent do you observe a religious tradition?</t>
  </si>
  <si>
    <t>1: Observe none; 2: Observe somewhat; 3: Observe to a great extent; 4: Observe all details</t>
  </si>
  <si>
    <t>186-187</t>
  </si>
  <si>
    <t>B77</t>
  </si>
  <si>
    <t>Place of birth</t>
  </si>
  <si>
    <t>Continent of birth (and fathers continent of birth for Israeli-born)</t>
  </si>
  <si>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</si>
  <si>
    <t>188-189</t>
  </si>
  <si>
    <t>B79</t>
  </si>
  <si>
    <t>(only for Jews)</t>
  </si>
  <si>
    <t>190</t>
  </si>
  <si>
    <t>B81</t>
  </si>
  <si>
    <t>Russian immigrant, since 1988</t>
  </si>
  <si>
    <t>1: Yes</t>
  </si>
  <si>
    <t>191-192</t>
  </si>
  <si>
    <t>B82</t>
  </si>
  <si>
    <t>Years of education</t>
  </si>
  <si>
    <t>193</t>
  </si>
  <si>
    <t>B84</t>
  </si>
  <si>
    <t>Do you have a college degree? (For those with 12 years and more)</t>
  </si>
  <si>
    <t>194</t>
  </si>
  <si>
    <t>B85</t>
  </si>
  <si>
    <t>The monthly expenditure for a family of 4 was 9,300 shekel last month. Based on your expenses and the size of your family, do you spend:</t>
  </si>
  <si>
    <t>1: Much more than average; 2: A little above average; 3: Average; 4: Below average; 5: Much below average</t>
  </si>
  <si>
    <t>195</t>
  </si>
  <si>
    <t>B86</t>
  </si>
  <si>
    <t>1: Not at all; 2: A bit; 3: Very worried; 4: I lost my job recently and am looking for a job; 5: I dont work and am not looking for a job</t>
  </si>
  <si>
    <t>196</t>
  </si>
  <si>
    <t>B87</t>
  </si>
  <si>
    <t>Number of rooms in your house</t>
  </si>
  <si>
    <t>197</t>
  </si>
  <si>
    <t>B88</t>
  </si>
  <si>
    <t>Number of people in your house, including soldiers</t>
  </si>
  <si>
    <t>198</t>
  </si>
  <si>
    <t>B89</t>
  </si>
  <si>
    <t>To which social class do you belong?</t>
  </si>
  <si>
    <t>1: Upper class; 2: Middle upper; 3: Middle; 4: Lower</t>
  </si>
  <si>
    <t>199</t>
  </si>
  <si>
    <t>B90</t>
  </si>
  <si>
    <t>Religion (for the Arab sample)</t>
  </si>
  <si>
    <t>Are you Muslim, Christian or Druze? (for the Arab sample)</t>
  </si>
  <si>
    <t>1: Muslim; 2: Christian; 3: Druze</t>
  </si>
  <si>
    <t>200</t>
  </si>
  <si>
    <t>B91</t>
  </si>
  <si>
    <t>Religious self-definition</t>
  </si>
  <si>
    <t>How would you define yourself?</t>
  </si>
  <si>
    <t>201</t>
  </si>
  <si>
    <t>B92</t>
  </si>
  <si>
    <t>Gender</t>
  </si>
  <si>
    <t>B6</t>
  </si>
  <si>
    <t>Do you read a daily newspaper?</t>
  </si>
  <si>
    <t>1: Never; 2: Rarely; 3: Once a week; 4: 2-3 times a week; 5: Almost every day; 6: More than one paper every day</t>
  </si>
  <si>
    <t>205-206</t>
  </si>
  <si>
    <t>B96</t>
  </si>
  <si>
    <t>Date of interview - day</t>
  </si>
  <si>
    <t>207</t>
  </si>
  <si>
    <t>B98</t>
  </si>
  <si>
    <t>Date of interview - month</t>
  </si>
  <si>
    <t>208</t>
  </si>
  <si>
    <t>B99</t>
  </si>
  <si>
    <t>Questionnaire version</t>
  </si>
  <si>
    <t>1: a Hebrew; 2: b Hebrew; 3: a Arabic; 4: b Arabic; 5: a Russian; 6: b Russian</t>
  </si>
  <si>
    <t>Respondent's computed variables</t>
  </si>
  <si>
    <t>213</t>
  </si>
  <si>
    <t>WAVE</t>
  </si>
  <si>
    <t>Sample wave</t>
  </si>
  <si>
    <t>214</t>
  </si>
  <si>
    <t>JEW</t>
  </si>
  <si>
    <t>Sample group</t>
  </si>
  <si>
    <t>0: Arab; 1: Jew</t>
  </si>
  <si>
    <t>2001</t>
  </si>
  <si>
    <t>Study 2001</t>
  </si>
  <si>
    <t>1-5</t>
  </si>
  <si>
    <t>a1</t>
  </si>
  <si>
    <t>ID number</t>
  </si>
  <si>
    <t>General situation of Israel today</t>
  </si>
  <si>
    <t>1: Bad; 2: Not good; 3: So so; 4: Good; 5: Very good</t>
  </si>
  <si>
    <t>Government treatment of current national issues</t>
  </si>
  <si>
    <t>1: Not good; 2: Not so good; 3: Good; 4: Very good</t>
  </si>
  <si>
    <t>The main problem government has to deal with</t>
  </si>
  <si>
    <t>Personal security situation today compared to pre-Peace Process period</t>
  </si>
  <si>
    <t>1: Much worse; 2: Worse; 3: No change; 4: Better; 5: Much better</t>
  </si>
  <si>
    <t>Support for following Israeli concessions in Clinton's proposal</t>
  </si>
  <si>
    <t>Palestinian State with 95% of Gaza Strip and West Bank,Israel will keep settlement blocks</t>
  </si>
  <si>
    <t>1: Strongly oppose; 2: Oppose; 3: Support; 4: Strongly support</t>
  </si>
  <si>
    <t>Israel will give the Palestinians Jerusalem's Arab neighbourhoods</t>
  </si>
  <si>
    <t>Temple Mount will be given to Palestinians,Western Wall will stay in Israeli hands</t>
  </si>
  <si>
    <t>A limited number of Palestinian refugees will be allowed to return to Israel</t>
  </si>
  <si>
    <t>Israel will give up control in the Jordan Valley over a few years</t>
  </si>
  <si>
    <t>Support for Peace agreeement with above conditions</t>
  </si>
  <si>
    <t>Will a Palestinian Peace agreement end the Arab-Israeli conflict?</t>
  </si>
  <si>
    <t>1: Certanly will not end; 2: Will not end; 3: Will end; 4: Certanly will end</t>
  </si>
  <si>
    <t>18-19</t>
  </si>
  <si>
    <t>Estimate Israeli public support for this agreement (percentage)</t>
  </si>
  <si>
    <t>Forecast future public opinion towards agreement</t>
  </si>
  <si>
    <t>1: Support will grow; 2: Opposition will grow</t>
  </si>
  <si>
    <t>Agreement with government encouragement of Arab emmigration</t>
  </si>
  <si>
    <t>1: Certanly do not agree; 2: Do not agree; 3: Agree; 4: Certanly agree</t>
  </si>
  <si>
    <t>Support for the returning of areas of the Golan Heights to Syria for peace</t>
  </si>
  <si>
    <t>1: Give back none; 2: Give back small part; 3: Give back large part; 4: Give back all</t>
  </si>
  <si>
    <t>Evaluation of arab aspirations</t>
  </si>
  <si>
    <t>1: Return part of territories; 2: Return all; 3: Occupy Israel; 4: Occupy Israel, destroy most of population</t>
  </si>
  <si>
    <t>Are you worried about being injured by Arabs?</t>
  </si>
  <si>
    <t>1: Not at all worried; 2: Not worried; 3: Worried; 4: Very worried</t>
  </si>
  <si>
    <t>Arguments for supporting peace agreement</t>
  </si>
  <si>
    <t>If there's no agreement there will be war</t>
  </si>
  <si>
    <t>1: Not at all convincing; 2: Not convincing; 3: Convincing; 4: Very convincing</t>
  </si>
  <si>
    <t>An agreement will bring more security than territories</t>
  </si>
  <si>
    <t>Peace will strengthen Israel's international position</t>
  </si>
  <si>
    <t>Peace will strengthen Israel economically</t>
  </si>
  <si>
    <t>Peace will end the conflict with the Palestinians and the Arab world</t>
  </si>
  <si>
    <t>30-31</t>
  </si>
  <si>
    <t>Which of the above reasons is the most convincing?</t>
  </si>
  <si>
    <t>25: War if no agreement; 26: Treaty gives more security than territories; 27: Strengthen international position; 28: Strengthen economic position; 29: End conflict</t>
  </si>
  <si>
    <t>Arguments for not supporting peace agreement</t>
  </si>
  <si>
    <t>The territories are important for security and must not be given up</t>
  </si>
  <si>
    <t>The Arabs don't keep agreements</t>
  </si>
  <si>
    <t>The settlers must not be removed from their homes since the government sent them there</t>
  </si>
  <si>
    <t>A better agreement can be reached</t>
  </si>
  <si>
    <t>Jerusalem and the Temple Mount are Jewish Holy sites and shouldn't be given up</t>
  </si>
  <si>
    <t>32: Do not give up territories; 33: Cannot trust arabs; 34: No removing settlers; 35: Get better agreement; 36: Do not give up jerusalem and temple mount</t>
  </si>
  <si>
    <t>Level of satisfaction with Israeli democracy</t>
  </si>
  <si>
    <t>1: Very not satisfied; 2: Not satisfied; 3: Satisfied; 4: Very satisfied</t>
  </si>
  <si>
    <t>Most important value</t>
  </si>
  <si>
    <t>Question asked until 17.01.2001 to Jews only</t>
  </si>
  <si>
    <t>Second most important value</t>
  </si>
  <si>
    <t>Third most important value</t>
  </si>
  <si>
    <t>Fourth most important value</t>
  </si>
  <si>
    <t>The value to be followed in the event of halachic-democratic contradiction</t>
  </si>
  <si>
    <t>1: Prefer democracy; 2: Both; 3: Prefer halacha</t>
  </si>
  <si>
    <t>Support for the following</t>
  </si>
  <si>
    <t>Extent of support for the Labour Party</t>
  </si>
  <si>
    <t>1: Hate; 10: Strong sympathy</t>
  </si>
  <si>
    <t>Extent of support for Ariel Sharon</t>
  </si>
  <si>
    <t>Extent of support for Likud Party</t>
  </si>
  <si>
    <t>Extent of support for orthodox people</t>
  </si>
  <si>
    <t>Extent of support for Arafat</t>
  </si>
  <si>
    <t>Extent of support for Ehud Barak</t>
  </si>
  <si>
    <t>Extent of support for Binyamin Netanyahu</t>
  </si>
  <si>
    <t>a52</t>
  </si>
  <si>
    <t>Extent of support for Shimon Peres</t>
  </si>
  <si>
    <t>Extent of support for Arye Deri</t>
  </si>
  <si>
    <t>Extent of support for Arabs</t>
  </si>
  <si>
    <t>65</t>
  </si>
  <si>
    <t>1: Certanly capitalist; 2: More capitalist than socialist; 3: More socialist than capitalist; 4: Certanly socialist</t>
  </si>
  <si>
    <t>66-67</t>
  </si>
  <si>
    <t>Participation of Arabs in critical decisions</t>
  </si>
  <si>
    <t>1: Certain only Jews; 2: Only Jews; 3: Both Jews and Arabs; 4: Certain both Jews and Arabs</t>
  </si>
  <si>
    <t>68-69</t>
  </si>
  <si>
    <t>The most important reason to vote for PM</t>
  </si>
  <si>
    <t>1: Personal qualities; 2: Identification with his party; 3: Identification with his camp; 4: Positions on issues; 5: In power or opposition</t>
  </si>
  <si>
    <t>Issues  that affect the vote for PM</t>
  </si>
  <si>
    <t>70-71</t>
  </si>
  <si>
    <t>Affect Jerusalem on PM voting</t>
  </si>
  <si>
    <t>1: Will not influence; 2: Small influence; 3: Some influence; 4: Large influence</t>
  </si>
  <si>
    <t>Affect economy on PM voting</t>
  </si>
  <si>
    <t>Affect social policy on PM voting</t>
  </si>
  <si>
    <t>Affect religion and state on PM voting</t>
  </si>
  <si>
    <t>Affect agreement with the Palestinians on PM voting</t>
  </si>
  <si>
    <t>Affect terrorism on PM voting</t>
  </si>
  <si>
    <t>Candidate most capable to deal with Israel's economic issues</t>
  </si>
  <si>
    <t>1: Sharon; 2: Barak; 3: Both; 4: Neither</t>
  </si>
  <si>
    <t>Candidate most capable to deal with foreign &amp; security issues</t>
  </si>
  <si>
    <t>Respondent self-ranking on a right-left political scale of 1-7</t>
  </si>
  <si>
    <t>Difference amongst candidates' positions on following issues</t>
  </si>
  <si>
    <t>a67</t>
  </si>
  <si>
    <t>Differences amongst candidate's position on: Jerusalem</t>
  </si>
  <si>
    <t>1: Very small differences; 2: Small differences; 3: Some differences; 4: Great differences; 5: Very great differences</t>
  </si>
  <si>
    <t>Differences amongst candidate's position on: Economy</t>
  </si>
  <si>
    <t>Differences amongst candidate's position on: Social policy</t>
  </si>
  <si>
    <t>Differences amongst candidate's position on: State and religion</t>
  </si>
  <si>
    <t>Differences amongst candidate's position on: Agreement with the Palestinians</t>
  </si>
  <si>
    <t>Differences amongst candidate's position on: Terrorism</t>
  </si>
  <si>
    <t>Discussing political issues with family,friends</t>
  </si>
  <si>
    <t>1: Not at all; 2: Little; 3: Some; 4: Great extent</t>
  </si>
  <si>
    <t>To what degree can you and your friends influence government policy?</t>
  </si>
  <si>
    <t>Importance of voting for a particular candidate</t>
  </si>
  <si>
    <t>1: Does not matter for whom you vote; 5: Does matter for whom you vote</t>
  </si>
  <si>
    <t>Necessity for government's ensuring public life according to Jewish religious tradition</t>
  </si>
  <si>
    <t>1: Certanly should see to it; 2: Maybe; 3: Should not see to it; 4: Certanly should not see to it</t>
  </si>
  <si>
    <t>Which candidate has the following attributes</t>
  </si>
  <si>
    <t>Which candidate suits the following: Reliable</t>
  </si>
  <si>
    <t>Which candidate suits the following: Prefers state interest over others</t>
  </si>
  <si>
    <t>Which candidate suits the following: Will withstand pressure</t>
  </si>
  <si>
    <t>Which candidate suits the following: Will preserve the rule of law</t>
  </si>
  <si>
    <t>Which candidate suits the following: Can be firm in Peace and territory negotiations</t>
  </si>
  <si>
    <t>Which candidate suits the following: Will know how to deal with terrorism</t>
  </si>
  <si>
    <t>Which candidate suits the following: Can bring true peace with the Arabs</t>
  </si>
  <si>
    <t>Which candidate suits the following: Will decrease the split in the nation</t>
  </si>
  <si>
    <t>General political attitudes and behavior</t>
  </si>
  <si>
    <t>Willingness to give your opinion on the peace agreement to a TV journalist</t>
  </si>
  <si>
    <t>1: Definitely no; 2: No; 3: Not certain; 4: Yes; 5: Definitely</t>
  </si>
  <si>
    <t>1: Never; 2: Rarely; 3: Once a week; 4: Two or three a week; 5: Almost every day; 6: More than one every day</t>
  </si>
  <si>
    <t>b8</t>
  </si>
  <si>
    <t>Frequency of watching TV news</t>
  </si>
  <si>
    <t>b9</t>
  </si>
  <si>
    <t>Follow publications of election polls</t>
  </si>
  <si>
    <t>1: Not at all; 2: Small extent; 3: Certain extent; 4: Great extent</t>
  </si>
  <si>
    <t>b10</t>
  </si>
  <si>
    <t>Faith in election polls</t>
  </si>
  <si>
    <t>Will election ads influence your vote decision?</t>
  </si>
  <si>
    <t>0: Do not see; 1: Not at all; 2: Small extent; 3: Certain extent; 4: Great extent</t>
  </si>
  <si>
    <t>b12</t>
  </si>
  <si>
    <t>Direct election for PM's impact on the government system</t>
  </si>
  <si>
    <t>1: No change; 2: Worse; 3: Better</t>
  </si>
  <si>
    <t>Inclusion of ministers from Arab parties in government</t>
  </si>
  <si>
    <t>1: Certanly disagree; 2: Do not agree; 3: Agree; 4: Certanly agree</t>
  </si>
  <si>
    <t>106-107</t>
  </si>
  <si>
    <t>b14</t>
  </si>
  <si>
    <t>Party respondent vote if elections for the Knesset were held today</t>
  </si>
  <si>
    <t>1: One Israel; 2: Likud; 3: Shas; 4: Meretz; 5: Mafdal; 6: Yahadut HaTora; 7: Peretz; 8: Shinui; 9: Ihud leumi; 10: Center; 11: Israel bealiya; 12: Israel Beyteinu; 13: Bronfman; 14: Hadash; 15: Balad; 16: Tibi; 17: United Arab Front; 18: New arab; 19: Other; 20: Blank; 22: Will not vote; 23: Undecided; 99: Refuses to answer</t>
  </si>
  <si>
    <t>b16</t>
  </si>
  <si>
    <t>Respondent vote for PM, if elections were held today</t>
  </si>
  <si>
    <t>1: Sharon; 2: Barak; 3: Blank; 4: Will not vote; 5: Not decided; 6: Refuses to answer</t>
  </si>
  <si>
    <t>109-110</t>
  </si>
  <si>
    <t>Reason for not vote</t>
  </si>
  <si>
    <t>Whom do you expect to win the PM elections?</t>
  </si>
  <si>
    <t>1: Sharon; 2: Barak</t>
  </si>
  <si>
    <t>b20</t>
  </si>
  <si>
    <t>1: Netanyahu; 2: Barak; 3: Blank; 4: Will not vote; 5: Not decided</t>
  </si>
  <si>
    <t>113-114</t>
  </si>
  <si>
    <t>1: One Israel; 2: Likud; 3: Shas; 4: Meretz; 5: Mafdal; 6: Yahadut HaTora; 7: Peretz; 8: Shinui; 9: Ihud leumi; 10: Center; 11: Israel Bealiya; 12: Israel Beyteinu; 14: Hadash; 15: Balad; 17: United Arab Front; 18: New arab; 19: Other; 20: Blank; 21: No right to vote; 22: Did not vote; 99: Refuses to answer</t>
  </si>
  <si>
    <t>Self definition of identity</t>
  </si>
  <si>
    <t>1: Not a member, do not support; 2: Support; 3: Member; 4: Member unsalaried; 5: Member salaried</t>
  </si>
  <si>
    <t>116-117</t>
  </si>
  <si>
    <t>b24</t>
  </si>
  <si>
    <t>Conduct life according to Religious tradition</t>
  </si>
  <si>
    <t>1: Do not observe at all; 2: Observe some; 3: Observe most; 4: Observe all</t>
  </si>
  <si>
    <t>Self definition of religious identity</t>
  </si>
  <si>
    <t>Feeling towards candidates for PM</t>
  </si>
  <si>
    <t>120</t>
  </si>
  <si>
    <t>Ethnic group (For Arabs only)</t>
  </si>
  <si>
    <t>5: Moslem; 6: Christian; 7: Druze; 8: Other</t>
  </si>
  <si>
    <t>121</t>
  </si>
  <si>
    <t>First label to define identity</t>
  </si>
  <si>
    <t>1: Israeli; 2: Jew or Palestinian; 3: Ethnic group or Arab; 4: Religious</t>
  </si>
  <si>
    <t>122</t>
  </si>
  <si>
    <t>Second label to define identity</t>
  </si>
  <si>
    <t>123</t>
  </si>
  <si>
    <t>Third label to define identity</t>
  </si>
  <si>
    <t>124</t>
  </si>
  <si>
    <t>Fourth label to define identity</t>
  </si>
  <si>
    <t>125-126</t>
  </si>
  <si>
    <t>1: North Africa; 2: Asia; 3: Eastern Europe; 4: West and Central Europe; 5: America, Australia, South Africa; 6: Israel Israel; 7: Israel North Africa; 8: Israel Asia; 9: Israel Eastern Europe; 10: Israel West Central Europe; 11: Israel America, Australia, South Africa</t>
  </si>
  <si>
    <t>127-128</t>
  </si>
  <si>
    <t>129</t>
  </si>
  <si>
    <t>Former-Soviet-Union-born, immigrated after 1988</t>
  </si>
  <si>
    <t>Total years of schooling</t>
  </si>
  <si>
    <t>132</t>
  </si>
  <si>
    <t>133</t>
  </si>
  <si>
    <t>Monthly expenditure of family compared to national average of 8,500 NIS</t>
  </si>
  <si>
    <t>1: More than average; 2: Somewhat above; 3: Average; 4: Somewhat below; 5: Much below</t>
  </si>
  <si>
    <t>Number of rooms in apartment</t>
  </si>
  <si>
    <t>136-137</t>
  </si>
  <si>
    <t>Respondent's military service in territories</t>
  </si>
  <si>
    <t>1: Yes; 2: Served but not in territories; 3: Did not serve</t>
  </si>
  <si>
    <t>Demographic details</t>
  </si>
  <si>
    <t>140-142</t>
  </si>
  <si>
    <t>Code of locality</t>
  </si>
  <si>
    <t>1: January; 2: February</t>
  </si>
  <si>
    <t>144-146</t>
  </si>
  <si>
    <t>Date of interview</t>
  </si>
  <si>
    <t>Language of interview</t>
  </si>
  <si>
    <t>1: Hebrew; 2: Russian; 3: Arabic</t>
  </si>
  <si>
    <t>Telephone area code</t>
  </si>
  <si>
    <t>Possibilty of reaching an agreement with Palestinians even without concessions (computed)</t>
  </si>
  <si>
    <t>1: Can reach agreement; 2: Cannot reach agreement; 9: Other</t>
  </si>
  <si>
    <t>b65</t>
  </si>
  <si>
    <t>Vote for PM between Peres and Sharon (computed)</t>
  </si>
  <si>
    <t>1: Peres; 2: Sharon; 3: No decision; 4: No vote; 5: Blank; 6: Refuses</t>
  </si>
  <si>
    <t>Sharon's character or actions make me feel angry (computed)</t>
  </si>
  <si>
    <t>Sharon makes me feel frightened (computed)</t>
  </si>
  <si>
    <t>b68</t>
  </si>
  <si>
    <t>Sharon makes me feel proud (computed)</t>
  </si>
  <si>
    <t>Sharon makes me feel hopeful (computed)</t>
  </si>
  <si>
    <t>Barak's character or actions make me feel angry (computed)</t>
  </si>
  <si>
    <t>Barak makes me feel frightened (computed)</t>
  </si>
  <si>
    <t>Barak makes me feel proud (computed)</t>
  </si>
  <si>
    <t>Barak makes me feel hopeful (computed)</t>
  </si>
  <si>
    <t>b74</t>
  </si>
  <si>
    <t>Peres' character or actions make me feel angry (computed)</t>
  </si>
  <si>
    <t>Peres makes me feel frightened (computed)</t>
  </si>
  <si>
    <t>b76</t>
  </si>
  <si>
    <t>Peres makes me feel proud (computed)</t>
  </si>
  <si>
    <t>b77</t>
  </si>
  <si>
    <t>Peres makes me feel hopeful (computed)</t>
  </si>
  <si>
    <t>b79</t>
  </si>
  <si>
    <t>Which newspaper (Arabs only)</t>
  </si>
  <si>
    <t>1: Yediot; 2: AlSanara; 3: FatelAlmakal; 5: Maariv; 6: AlAtchad; 7: KolAlArab; 8: Haaretz</t>
  </si>
  <si>
    <t>b83</t>
  </si>
  <si>
    <t>Which TV channel (Arabs only)</t>
  </si>
  <si>
    <t>1: First channel Israel; 2: 2nd channel Israel; 3: MBC; 4: AlJazeera; 5: Jordan; 8: News in Arabic in general</t>
  </si>
  <si>
    <t>b85</t>
  </si>
  <si>
    <t>1: First channel Israel; 2: 2nd channel Israel; 3: MBC; 4: AlJazeera; 5: Jordan</t>
  </si>
  <si>
    <t>1999_1</t>
  </si>
  <si>
    <t>Study 1999 - pre-election interview</t>
  </si>
  <si>
    <t>GENERAL</t>
  </si>
  <si>
    <t>v1</t>
  </si>
  <si>
    <t>5</t>
  </si>
  <si>
    <t>v2</t>
  </si>
  <si>
    <t>Type of record</t>
  </si>
  <si>
    <t>GENERAL POLITICAL ATTITUDE</t>
  </si>
  <si>
    <t>v3</t>
  </si>
  <si>
    <t>Israel's current situation in general</t>
  </si>
  <si>
    <t>1: Very good; 2: Good; 3: So-so; 4: Not good; 5: Bad</t>
  </si>
  <si>
    <t>v4</t>
  </si>
  <si>
    <t>1: Very good; 2: Good; 3: Not so good; 4: Not good at all</t>
  </si>
  <si>
    <t>v5</t>
  </si>
  <si>
    <t>Main problem government has to deal with</t>
  </si>
  <si>
    <t>v6</t>
  </si>
  <si>
    <t>Candidate most capable to deal with problems</t>
  </si>
  <si>
    <t>1: Netanyahu; 2: Barak; 3: Mordechai; 4: Begin; 5: Bashara; 6: Raful; 7: None of them; 8: Equally capable</t>
  </si>
  <si>
    <t>v7</t>
  </si>
  <si>
    <t>Party most capable to handle problems</t>
  </si>
  <si>
    <t>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t>
  </si>
  <si>
    <t>v8</t>
  </si>
  <si>
    <t>General economic situation in last 3 years</t>
  </si>
  <si>
    <t>1: Greatly improved; 2: Slightly improved; 3: Hasn't changed; 4: Worsened slightly; 5: Worsened greatly</t>
  </si>
  <si>
    <t>v9</t>
  </si>
  <si>
    <t>Personal economic situation in last 3 years</t>
  </si>
  <si>
    <t>v10</t>
  </si>
  <si>
    <t>Danger of conflict with Arab world compared to pre-Peace-process</t>
  </si>
  <si>
    <t>1: Greatly increased; 2: Increased; 3: Decreased; 4: Greatly decreased</t>
  </si>
  <si>
    <t>v11</t>
  </si>
  <si>
    <t>Danger of conflict with Arab world during Netanyahu's government</t>
  </si>
  <si>
    <t>Compared to Rabin and Peres' post-Oslo government</t>
  </si>
  <si>
    <t>v12</t>
  </si>
  <si>
    <t>Territories should be returned for peace</t>
  </si>
  <si>
    <t>Agreement with statement on 1-7 scale</t>
  </si>
  <si>
    <t>1: Strongly disagree; 7: Strongly agree</t>
  </si>
  <si>
    <t>v13</t>
  </si>
  <si>
    <t>Religion should be separated from State</t>
  </si>
  <si>
    <t>v14</t>
  </si>
  <si>
    <t>Peace process should be stopped even at risk of war</t>
  </si>
  <si>
    <t>v15</t>
  </si>
  <si>
    <t>Jewish religious law should take precedence over democracy</t>
  </si>
  <si>
    <t>v16</t>
  </si>
  <si>
    <t>Attitude towards Oslo Accord</t>
  </si>
  <si>
    <t>1: Strongly support; 2: Support; 3: Object; 4: Strongly object</t>
  </si>
  <si>
    <t>v17</t>
  </si>
  <si>
    <t>Personal Security of Israeli citizens since Peace process began</t>
  </si>
  <si>
    <t>1: Much better; 2: Better; 3: Worse; 4: Much worse</t>
  </si>
  <si>
    <t>v18</t>
  </si>
  <si>
    <t>Personal security of Israelis during Netanyahu's government</t>
  </si>
  <si>
    <t>v19</t>
  </si>
  <si>
    <t>Opinion on the establishment of a Palestinian state</t>
  </si>
  <si>
    <t>1: Definitely agree; 2: Agree; 3: Disagree; 4: Definitely disagree</t>
  </si>
  <si>
    <t>25-26</t>
  </si>
  <si>
    <t>v20</t>
  </si>
  <si>
    <t>Estimate Israeli public support for a Palestinian State (percentage)</t>
  </si>
  <si>
    <t>v21</t>
  </si>
  <si>
    <t>Forecast future public support for a Palestinian State</t>
  </si>
  <si>
    <t>1: More people will support; 2: Less people will support</t>
  </si>
  <si>
    <t>v22</t>
  </si>
  <si>
    <t>Should government encourage Arab emmigration from Israel?</t>
  </si>
  <si>
    <t>1: Definitely yes; 2: Yes; 3: No; 4: Definitely not</t>
  </si>
  <si>
    <t>v23</t>
  </si>
  <si>
    <t>1: Getting back part of the territories they lost in 1967; 2: Getting back all the territories they lost in 1967; 3: Conquering Israel; 4: Conquering Israel and demolition of Jewish population</t>
  </si>
  <si>
    <t>v24</t>
  </si>
  <si>
    <t>What should be emphasized to prevent war between Israel and the Arab world?</t>
  </si>
  <si>
    <t>1: Focus on Peace talks; 2: Increase military power</t>
  </si>
  <si>
    <t>v25</t>
  </si>
  <si>
    <t>Are you or your family worried about being injured by Arabs in daily life?</t>
  </si>
  <si>
    <t>v26</t>
  </si>
  <si>
    <t>Forecast of establishment of a Palestinian state within next 10 years</t>
  </si>
  <si>
    <t>1: Palestinian state will be established; 2: Palestinian state will not be established</t>
  </si>
  <si>
    <t>v27</t>
  </si>
  <si>
    <t>Shoul Israel exchange territories in the Golan Heights for peace with Syria?</t>
  </si>
  <si>
    <t>1: No part of Golan should be returned; 2: Only a small part can be returned; 3: A considerable part should be returned; 4: All of it should be returned</t>
  </si>
  <si>
    <t>v28</t>
  </si>
  <si>
    <t>Extend of faith in political parties</t>
  </si>
  <si>
    <t>1: Not at all; 2: A little faith; 3: Some faith; 4: Strong faith</t>
  </si>
  <si>
    <t>VALUES AND TRUST</t>
  </si>
  <si>
    <t>v29</t>
  </si>
  <si>
    <t>Extend of faith in the Prime Minister</t>
  </si>
  <si>
    <t>v30</t>
  </si>
  <si>
    <t>Extend of faith in the media</t>
  </si>
  <si>
    <t>v31</t>
  </si>
  <si>
    <t>Extend of faith in State Advocacy</t>
  </si>
  <si>
    <t>v32</t>
  </si>
  <si>
    <t>Extend of faith in the Supreme Court</t>
  </si>
  <si>
    <t>v33</t>
  </si>
  <si>
    <t>Extend of faith in police</t>
  </si>
  <si>
    <t>v34</t>
  </si>
  <si>
    <t>Satisfaction with Israeli democracy</t>
  </si>
  <si>
    <t>1: Very satisfied; 2: Quite satisfied; 3: Not so satisfied; 4: Not satisfied at all</t>
  </si>
  <si>
    <t>v35</t>
  </si>
  <si>
    <t>Satisfaction with public discussion in Israel</t>
  </si>
  <si>
    <t>v36</t>
  </si>
  <si>
    <t>Jewish majority in Israel as a significant value</t>
  </si>
  <si>
    <t>1: Most important value; 2: Second value; 3: Third value; 4: Fourth value</t>
  </si>
  <si>
    <t>v37</t>
  </si>
  <si>
    <t>Greater Israel as a significant value</t>
  </si>
  <si>
    <t>v38</t>
  </si>
  <si>
    <t>Democratic State as a significant value</t>
  </si>
  <si>
    <t>v39</t>
  </si>
  <si>
    <t>Peace as a significant value</t>
  </si>
  <si>
    <t>ATTITUDES TOWARD CANDIDATES AND PARTIES</t>
  </si>
  <si>
    <t>v40</t>
  </si>
  <si>
    <t>Extend of support for the Center Party</t>
  </si>
  <si>
    <t>Extent of support on 1-10 scale, 1=total rejection, 10=strong support</t>
  </si>
  <si>
    <t>1: Totally reject; 10: Strongly support</t>
  </si>
  <si>
    <t>v41</t>
  </si>
  <si>
    <t>Extend of support for the Labour Party</t>
  </si>
  <si>
    <t>v42</t>
  </si>
  <si>
    <t>Extend of support for Beni Begin</t>
  </si>
  <si>
    <t>v43</t>
  </si>
  <si>
    <t>Extend of support for the Likud</t>
  </si>
  <si>
    <t>v44</t>
  </si>
  <si>
    <t>Extend of support for Meretz</t>
  </si>
  <si>
    <t>v45</t>
  </si>
  <si>
    <t>Extend of support for religious people</t>
  </si>
  <si>
    <t>v46</t>
  </si>
  <si>
    <t>Extend of support for Itzhak Mordechai</t>
  </si>
  <si>
    <t>v47</t>
  </si>
  <si>
    <t>Extend of support for Yasser Arafat</t>
  </si>
  <si>
    <t>v48</t>
  </si>
  <si>
    <t>Extend of support for Ehud Barak</t>
  </si>
  <si>
    <t>v49</t>
  </si>
  <si>
    <t>Extend of support for Azmi Bashara</t>
  </si>
  <si>
    <t>v50</t>
  </si>
  <si>
    <t>Extend of support for Binyamin Netanyahu</t>
  </si>
  <si>
    <t>v51</t>
  </si>
  <si>
    <t>Extend of support for Shimon Peres</t>
  </si>
  <si>
    <t>v52</t>
  </si>
  <si>
    <t>Extend of support for Arieh Deri</t>
  </si>
  <si>
    <t>v53</t>
  </si>
  <si>
    <t>Extend of support for Israel ACHAT party</t>
  </si>
  <si>
    <t>v54</t>
  </si>
  <si>
    <t>Extend of support for ultra-orthodoxy</t>
  </si>
  <si>
    <t>v55</t>
  </si>
  <si>
    <t>Extend of support for arabs</t>
  </si>
  <si>
    <t>MORE ATTITUDES TOWARD PARTIES AND CANDIDATES</t>
  </si>
  <si>
    <t>v56</t>
  </si>
  <si>
    <t>Capitalism or socialism for Israel's economy</t>
  </si>
  <si>
    <t>1: Definitely prefer capitalism; 2: More capitalist than socialist; 3: More socialist than capitalist; 4: Definitely prefer socialism</t>
  </si>
  <si>
    <t>63</t>
  </si>
  <si>
    <t>v57</t>
  </si>
  <si>
    <t>Participation of Israeli Arabs in critical decisions</t>
  </si>
  <si>
    <t>1: Decisions should be made by Jewish majority only; 2: Decisions should be made by Jewish majority; 3: Arabs should take part; 4: Arabs should take part</t>
  </si>
  <si>
    <t>64</t>
  </si>
  <si>
    <t>v58</t>
  </si>
  <si>
    <t>Main factor affecting respondent's vote for a specific candidate</t>
  </si>
  <si>
    <t>1: Candidate's qualities; 2: Identification with the candidate's party; 3: Identification with the candidate's side; 4: Candidate's positions about various issues; 5: Candidate being in government or in opposition</t>
  </si>
  <si>
    <t>v59</t>
  </si>
  <si>
    <t>Possibility of changing voting decision if candidate can't win</t>
  </si>
  <si>
    <t>1: Definitely possible; 2: Possible; 3: Not likely; 4: Definitely not</t>
  </si>
  <si>
    <t>66</t>
  </si>
  <si>
    <t>v60</t>
  </si>
  <si>
    <t>Who is expected to go on the second round in the election for PM ?(1)</t>
  </si>
  <si>
    <t>1: Netanyahu; 2: Barak; 3: Mordechay; 4: Begin; 5: Bashara; 6: Raful</t>
  </si>
  <si>
    <t>v61</t>
  </si>
  <si>
    <t>Who is expected to go on the second round in the election for PM ?(2)</t>
  </si>
  <si>
    <t>v62</t>
  </si>
  <si>
    <t>Effect of Jerusalem issue's effect on vote for PM</t>
  </si>
  <si>
    <t>1: Not at all; 2: A small effect; 3: Some effect; 4: A great effect</t>
  </si>
  <si>
    <t>v63</t>
  </si>
  <si>
    <t>Effect of economy issue's effect on vote for PM</t>
  </si>
  <si>
    <t>v64</t>
  </si>
  <si>
    <t>Effect of social policy's effect on vote for PM</t>
  </si>
  <si>
    <t>v65</t>
  </si>
  <si>
    <t>Effect of religion and State issues' effect on vote for PM</t>
  </si>
  <si>
    <t>v66</t>
  </si>
  <si>
    <t>Effect of Lebanon issue's effect on vote for PM</t>
  </si>
  <si>
    <t>v67</t>
  </si>
  <si>
    <t>Effect of peace and territories' effect on vote for PM</t>
  </si>
  <si>
    <t>v68</t>
  </si>
  <si>
    <t>Effect of Terrorism's effect on vote for PM</t>
  </si>
  <si>
    <t>1: Strong rejection; 10: Strong support</t>
  </si>
  <si>
    <t>v69</t>
  </si>
  <si>
    <t>Identification with Binyamin Netanyahu's peace and defense policies</t>
  </si>
  <si>
    <t>Identification with candidate on 1-10 scale: 1=Strong rejection, 10=Strong support</t>
  </si>
  <si>
    <t>v70</t>
  </si>
  <si>
    <t>Identification with Ehud Barak's peace and defense policies</t>
  </si>
  <si>
    <t>v71</t>
  </si>
  <si>
    <t>Identification with Itzhak Mordechai's peace and defense policies</t>
  </si>
  <si>
    <t>v72</t>
  </si>
  <si>
    <t>Identification with Beni Begin's peace and defense policies</t>
  </si>
  <si>
    <t>v73</t>
  </si>
  <si>
    <t>Identification with Azmi Bashara's peace and defense policies</t>
  </si>
  <si>
    <t>v74</t>
  </si>
  <si>
    <t>Identification with Binyamin Netanyahu's socio-economic policy</t>
  </si>
  <si>
    <t>v75</t>
  </si>
  <si>
    <t>Identification with Ehud Barak's socio-economic policy</t>
  </si>
  <si>
    <t>v76</t>
  </si>
  <si>
    <t>Identification with Itzhak Mordechai's socio-economic policy</t>
  </si>
  <si>
    <t>v77</t>
  </si>
  <si>
    <t>Identification with Beni Begin's socio-economic policy</t>
  </si>
  <si>
    <t>v78</t>
  </si>
  <si>
    <t>Identification with Azmi Bashara's socio-economic policy</t>
  </si>
  <si>
    <t>ATTITUDES TOWARD CANDIDATES FOR PM</t>
  </si>
  <si>
    <t>2</t>
  </si>
  <si>
    <t>i3</t>
  </si>
  <si>
    <t>Candidate most capable to deal with Israel economy issues</t>
  </si>
  <si>
    <t>1: Netanyahu; 2: Barak; 3: Mordechai; 4: Equally capable; 5: None of them; 6: Bashara</t>
  </si>
  <si>
    <t>i4</t>
  </si>
  <si>
    <t>Second Candidate most capable to deal with economy issues</t>
  </si>
  <si>
    <t>8</t>
  </si>
  <si>
    <t>i5</t>
  </si>
  <si>
    <t>i6</t>
  </si>
  <si>
    <t>Second Candidate most capable to deal with foreign &amp; security issues</t>
  </si>
  <si>
    <t>i7</t>
  </si>
  <si>
    <t>Nethanyahu's character or actions makes me feel angry</t>
  </si>
  <si>
    <t>i8</t>
  </si>
  <si>
    <t>Nethanyahu makes me feel frightened</t>
  </si>
  <si>
    <t>i9</t>
  </si>
  <si>
    <t>Nethanyahu makes me feel proud</t>
  </si>
  <si>
    <t>i10</t>
  </si>
  <si>
    <t>Nethanyahu makes me feel hopeful</t>
  </si>
  <si>
    <t>i11</t>
  </si>
  <si>
    <t>Barak's character or actions makes me feel angry</t>
  </si>
  <si>
    <t>i12</t>
  </si>
  <si>
    <t>Barak makes me feel frightened</t>
  </si>
  <si>
    <t>i13</t>
  </si>
  <si>
    <t>Barak makes me feel proud</t>
  </si>
  <si>
    <t>i14</t>
  </si>
  <si>
    <t>Barak makes me feel hopeful</t>
  </si>
  <si>
    <t>i15</t>
  </si>
  <si>
    <t>Mordechai's character or actions makes me feel angry</t>
  </si>
  <si>
    <t>i16</t>
  </si>
  <si>
    <t>Mordechai makes me feel frightened</t>
  </si>
  <si>
    <t>i17</t>
  </si>
  <si>
    <t>Mordechai makes me feel proud</t>
  </si>
  <si>
    <t>i18</t>
  </si>
  <si>
    <t>Mordechai makes me feel hopeful</t>
  </si>
  <si>
    <t>POLITICAL SELF-DEFINITION</t>
  </si>
  <si>
    <t>i19</t>
  </si>
  <si>
    <t>Self-ranking on a left/right political scale</t>
  </si>
  <si>
    <t>on a 1-7 scale where 1= strong right wing and 7=strong left wing</t>
  </si>
  <si>
    <t>1: Strong right wing; 7: Strong left wing</t>
  </si>
  <si>
    <t>i20</t>
  </si>
  <si>
    <t>Possible shift to either right or left wing</t>
  </si>
  <si>
    <t>For those who answer 4 to var. i19</t>
  </si>
  <si>
    <t>1: To the Right wing; 2: To the Left wing; 3: To either of them according to circumstances; 4: Won't move</t>
  </si>
  <si>
    <t>i21</t>
  </si>
  <si>
    <t>Chances of moving to the opposite political wing</t>
  </si>
  <si>
    <t>1: Easily; 2: Probably yes; 3: Probably no; 4: Definitely no</t>
  </si>
  <si>
    <t>i22</t>
  </si>
  <si>
    <t>Prospects of being accepted and feeling comfortable in other wing</t>
  </si>
  <si>
    <t>1: Most likely; 2: Probably yes; 3: Probably no; 4: Most unlikely</t>
  </si>
  <si>
    <t>i23</t>
  </si>
  <si>
    <t>Jerusalem issue's effect on vote for Knesset</t>
  </si>
  <si>
    <t>i24</t>
  </si>
  <si>
    <t>Economy issue's effect on vote for Knesset</t>
  </si>
  <si>
    <t>i25</t>
  </si>
  <si>
    <t>Security policy's effect on vote for Knesset</t>
  </si>
  <si>
    <t>i26</t>
  </si>
  <si>
    <t>Social policy's effect on vote for Knesset</t>
  </si>
  <si>
    <t>i27</t>
  </si>
  <si>
    <t>Religion and State issues effect on vote for Knesset</t>
  </si>
  <si>
    <t>i28</t>
  </si>
  <si>
    <t>Lebanon issue's effect on vote for Knesset</t>
  </si>
  <si>
    <t>i29</t>
  </si>
  <si>
    <t>Peace and territories' effect on vote for Knesset</t>
  </si>
  <si>
    <t>i30</t>
  </si>
  <si>
    <t>Palestinian terrorism's effect on vote for Knesset</t>
  </si>
  <si>
    <t>i31</t>
  </si>
  <si>
    <t>Deri's trial's effect on vote for Knesset</t>
  </si>
  <si>
    <t>PARTIES POSITIONS</t>
  </si>
  <si>
    <t>i32</t>
  </si>
  <si>
    <t>Party differences on the Jerusalem issue</t>
  </si>
  <si>
    <t>1: No significant differences; 2: Small differences; 3: Some differences; 4: Significant differences; 5: Very significant differences</t>
  </si>
  <si>
    <t>i33</t>
  </si>
  <si>
    <t>Party differences on economic issues</t>
  </si>
  <si>
    <t>i34</t>
  </si>
  <si>
    <t>Party differences on social policy issues</t>
  </si>
  <si>
    <t>i35</t>
  </si>
  <si>
    <t>Party differences on State and religion issues</t>
  </si>
  <si>
    <t>i36</t>
  </si>
  <si>
    <t>Party differences on the Lebanon issue</t>
  </si>
  <si>
    <t>i37</t>
  </si>
  <si>
    <t>Party differences on peace and territories</t>
  </si>
  <si>
    <t>i38</t>
  </si>
  <si>
    <t>Party differences on the terrorism issue</t>
  </si>
  <si>
    <t>i39</t>
  </si>
  <si>
    <t>Major factor in formulating respondent's party vote</t>
  </si>
  <si>
    <t>1: Identification with the party; 2: Party's candidates for Knesset; 3: Party's stands on certain issues; 4: Party situated in government/opposition</t>
  </si>
  <si>
    <t>MAIN POLITICAL ISSUES</t>
  </si>
  <si>
    <t>i40</t>
  </si>
  <si>
    <t>i41</t>
  </si>
  <si>
    <t>Government expenditures on education</t>
  </si>
  <si>
    <t>1: Should increase; 2: Should decrease; 3: Should stay the same</t>
  </si>
  <si>
    <t>i42</t>
  </si>
  <si>
    <t>Government expendtiures on ecology/the environment</t>
  </si>
  <si>
    <t>i43</t>
  </si>
  <si>
    <t>Governmernt expenditures on religious institutions and Yeshivot</t>
  </si>
  <si>
    <t>i44</t>
  </si>
  <si>
    <t>Government expenditures on health</t>
  </si>
  <si>
    <t>i45</t>
  </si>
  <si>
    <t>Government expenditures on security</t>
  </si>
  <si>
    <t>i46</t>
  </si>
  <si>
    <t>Government expenditures on immigration and absorption</t>
  </si>
  <si>
    <t>i47</t>
  </si>
  <si>
    <t>Government expenditures on assisting the unemployed</t>
  </si>
  <si>
    <t>i48</t>
  </si>
  <si>
    <t>Government expenditures on settlements in the territories</t>
  </si>
  <si>
    <t>i49</t>
  </si>
  <si>
    <t>Government expenditures on the Arab sector</t>
  </si>
  <si>
    <t>i50</t>
  </si>
  <si>
    <t>Government expenditures for supplying jobs</t>
  </si>
  <si>
    <t>i51</t>
  </si>
  <si>
    <t>Government expenditures on roads and road accidents</t>
  </si>
  <si>
    <t>i52</t>
  </si>
  <si>
    <t>Socio-economic inequality in Israel</t>
  </si>
  <si>
    <t>1: There definitely is inequality; 2: There is some inequality; 3: There is no inequality; 4: There is definitely no inequality</t>
  </si>
  <si>
    <t>i53</t>
  </si>
  <si>
    <t>Ethnic discrimination in Israel</t>
  </si>
  <si>
    <t>1: A great amount of discrimination; 2: Much discrimination; 3: Some discrimination; 4: Very little discrimination; 5: No discrimination at all</t>
  </si>
  <si>
    <t>i54</t>
  </si>
  <si>
    <t>Personal experience of ethnic discrimination</t>
  </si>
  <si>
    <t>i55</t>
  </si>
  <si>
    <t>Citizens' personal interests vs. national interests</t>
  </si>
  <si>
    <t>1: National interests are more important; 2: Equally important; 3: Personal interests are more important</t>
  </si>
  <si>
    <t>i56</t>
  </si>
  <si>
    <t>Discussing political issues with friends/family</t>
  </si>
  <si>
    <t>1: Often; 2: Sometimes; 3: Rarely; 4: Never</t>
  </si>
  <si>
    <t>i57</t>
  </si>
  <si>
    <t>Influence you and your friends can have on government policy</t>
  </si>
  <si>
    <t>1: A lot of influence; 2: Some influence; 3: Very little influence; 4: None or almost none</t>
  </si>
  <si>
    <t>i58</t>
  </si>
  <si>
    <t>Should public life be conducted by religious law?</t>
  </si>
  <si>
    <t>1: Government should support it; 2: Government might support it; 3: Don't think government sould support it; 4: Certainly not</t>
  </si>
  <si>
    <t>EVALUATE PARTIES AND CANDIDATES</t>
  </si>
  <si>
    <t>i59</t>
  </si>
  <si>
    <t>Party to ensure Jewish majority</t>
  </si>
  <si>
    <t>1: Labor; 2: Likud; 3: Equally; 4: None of them</t>
  </si>
  <si>
    <t>i60</t>
  </si>
  <si>
    <t>Party to stand firm in peace and territory negotiations</t>
  </si>
  <si>
    <t>i61</t>
  </si>
  <si>
    <t>Party to preserve democracy</t>
  </si>
  <si>
    <t>i62</t>
  </si>
  <si>
    <t>Party to reach true peace with the Arabs</t>
  </si>
  <si>
    <t>i63</t>
  </si>
  <si>
    <t>Party to effectively deal with terrorism</t>
  </si>
  <si>
    <t>i64</t>
  </si>
  <si>
    <t>Party to narrow the ethnic gaps</t>
  </si>
  <si>
    <t>i65</t>
  </si>
  <si>
    <t>Party to separate Israel from the Palestinians</t>
  </si>
  <si>
    <t>i66</t>
  </si>
  <si>
    <t>i67</t>
  </si>
  <si>
    <t>Party to maintain good relations with USA</t>
  </si>
  <si>
    <t>i68</t>
  </si>
  <si>
    <t>Party to narrow social gaps</t>
  </si>
  <si>
    <t>i69</t>
  </si>
  <si>
    <t>Party to reduce divide in Israel society</t>
  </si>
  <si>
    <t>i70</t>
  </si>
  <si>
    <t>Which PM candidate is a true leader</t>
  </si>
  <si>
    <t>1: Netanyahu; 2: Barak; 3: Mordechai; 4: All three; 5: None of them</t>
  </si>
  <si>
    <t>i71</t>
  </si>
  <si>
    <t>Which PM candidate is not a true leader</t>
  </si>
  <si>
    <t>1: Netanyahu; 2: Barak; 3: Mordechai</t>
  </si>
  <si>
    <t>i72</t>
  </si>
  <si>
    <t>Which PM candidate is experienced</t>
  </si>
  <si>
    <t>i73</t>
  </si>
  <si>
    <t>Which PM candidate is inexperienced</t>
  </si>
  <si>
    <t>i74</t>
  </si>
  <si>
    <t>Which PM candidate is reliable</t>
  </si>
  <si>
    <t>i75</t>
  </si>
  <si>
    <t>Which PM candidate is unreliable</t>
  </si>
  <si>
    <t>i76</t>
  </si>
  <si>
    <t>Candidate to reduce tenses between orthodox and secular groups</t>
  </si>
  <si>
    <t>i77</t>
  </si>
  <si>
    <t>Candidate who cannot reduce reduce tenses between orthodox and secular groups</t>
  </si>
  <si>
    <t>i78</t>
  </si>
  <si>
    <t>Which PM candidate is decisive</t>
  </si>
  <si>
    <t>i79</t>
  </si>
  <si>
    <t>Which PM candidate is not decisive</t>
  </si>
  <si>
    <t>i80</t>
  </si>
  <si>
    <t>Candidate who puts state interest above all</t>
  </si>
  <si>
    <t>i81</t>
  </si>
  <si>
    <t>Candidate who won't put put state interest above all</t>
  </si>
  <si>
    <t>i82</t>
  </si>
  <si>
    <t>Candidate with initiative and creative</t>
  </si>
  <si>
    <t>i83</t>
  </si>
  <si>
    <t>Candidate lacking initiative and not creative</t>
  </si>
  <si>
    <t>i84</t>
  </si>
  <si>
    <t>Which PM candidate is a good negotiator</t>
  </si>
  <si>
    <t>i85</t>
  </si>
  <si>
    <t>Which PM candidate is a bad negotiator</t>
  </si>
  <si>
    <t>i86</t>
  </si>
  <si>
    <t>Candidate who resists pressure</t>
  </si>
  <si>
    <t>i88</t>
  </si>
  <si>
    <t>Candidate to ensure Authority of Law</t>
  </si>
  <si>
    <t>i89</t>
  </si>
  <si>
    <t>Candidate who won't ensure the Authority of Law</t>
  </si>
  <si>
    <t>i90</t>
  </si>
  <si>
    <t>Candidate who will narrow social gaps</t>
  </si>
  <si>
    <t>i91</t>
  </si>
  <si>
    <t>Candidate who won't narrow social gaps</t>
  </si>
  <si>
    <t>IMPACT OF MEDIA</t>
  </si>
  <si>
    <t>3</t>
  </si>
  <si>
    <t>c3</t>
  </si>
  <si>
    <t>1: Almost never; 2: Rarely; 3: Once a week; 4: 2-3 times a week; 5: One newspaper almost every day; 6: More than one almost every day</t>
  </si>
  <si>
    <t>c4</t>
  </si>
  <si>
    <t>1: With a great interest; 2: With some interest; 3: With little interest; 4: Do not follow at all</t>
  </si>
  <si>
    <t>c5</t>
  </si>
  <si>
    <t>1: Very much; 2: Some; 3: Hardly; 4: Not at all</t>
  </si>
  <si>
    <t>Belief that election polls influence voting</t>
  </si>
  <si>
    <t>1: Very much; 2: To some extent; 3: A little; 4: Not at all</t>
  </si>
  <si>
    <t>c7</t>
  </si>
  <si>
    <t>Intentions to watch election ads on TV</t>
  </si>
  <si>
    <t>1: Daily; 2: Frequently; 3: Sometimes; 4: Rarely; 5: Never</t>
  </si>
  <si>
    <t>c8</t>
  </si>
  <si>
    <t>VOTING PATTERNS</t>
  </si>
  <si>
    <t>Support National Consolidation Government after the elections</t>
  </si>
  <si>
    <t>1: Definitely yes; 2: Think so; 3: Think not; 4: Definitely not; 5: Yes, only under the Likud leadership; 6: Yes, only under the Labor leadership; 7: Yes, only under Center party leadership</t>
  </si>
  <si>
    <t>c10</t>
  </si>
  <si>
    <t>1: Improves government system; 2: Makes it worse; 3: No change</t>
  </si>
  <si>
    <t>c11</t>
  </si>
  <si>
    <t>Inclusion of Arab parties in government</t>
  </si>
  <si>
    <t>1: Definitely support; 2: Support; 3: Object; 4: Strongly object</t>
  </si>
  <si>
    <t>15-16</t>
  </si>
  <si>
    <t>Party vote, if elections were held today</t>
  </si>
  <si>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</si>
  <si>
    <t>c13</t>
  </si>
  <si>
    <t>Vote for PM, if election were held today</t>
  </si>
  <si>
    <t>0: Haven't decided yet; 1: Netanyahu; 2: Barak; 3: Mordechai; 4: Begin; 5: Bashara; 6: Raful; 7: Other; 8: Blank note; 9: Won't vote</t>
  </si>
  <si>
    <t>c14</t>
  </si>
  <si>
    <t>Vote in second round between Nethanyahu and Barak</t>
  </si>
  <si>
    <t>1: Nethanyahu; 2: Barak; 3: Blank note; 4: Won't vote; 5: Haven't decided yet</t>
  </si>
  <si>
    <t>c16</t>
  </si>
  <si>
    <t>Vote for PM in 1996</t>
  </si>
  <si>
    <t>1: Netanyahu; 2: Peres; 3: Blank note; 4: Did not vote; 5: Do not remember</t>
  </si>
  <si>
    <t>21-22</t>
  </si>
  <si>
    <t>c17</t>
  </si>
  <si>
    <t>Vote for party in 1996</t>
  </si>
  <si>
    <t>1: Labor; 2: Likud-Tzomet-Gesher; 3: Meretz; 4: HaDerech Hashlishit; 5: Israel BaAliya; 6: Moledet; 7: Mafdal; 8: Shas; 9: Yahadut HaTora; 10: Hadash; 11: Other; 12: Did not vote,was eligible; 13: Did not vote,was ineligible; 14: Refuses to answer; 16: United Arab List</t>
  </si>
  <si>
    <t>Supporter or member in any party</t>
  </si>
  <si>
    <t>1: None; 2: Supporter,but not a member; 3: A member; 4: An active member; 5: Member,and have a role in the party</t>
  </si>
  <si>
    <t>c19</t>
  </si>
  <si>
    <t>RESPONDENT'S DEMOGRAPHIC DETAILS</t>
  </si>
  <si>
    <t>c20</t>
  </si>
  <si>
    <t>Conduct life according to religious tradition</t>
  </si>
  <si>
    <t>1: Thoroughly; 2: Significantly; 3: A little; 4: Not at all</t>
  </si>
  <si>
    <t>c22</t>
  </si>
  <si>
    <t>1: Israeli; 2: Jewish; 3: Ethnic group(Ashkenazi/Sefaradi); 4: Religious/Secular</t>
  </si>
  <si>
    <t>c23</t>
  </si>
  <si>
    <t>c25</t>
  </si>
  <si>
    <t>32-33</t>
  </si>
  <si>
    <t>c26</t>
  </si>
  <si>
    <t>Continent of birth,origin</t>
  </si>
  <si>
    <t>For Israeli born - continent of birth of father</t>
  </si>
  <si>
    <t>1: North Africa; 2: Asia; 3: Eastern Europe; 4: West and central Europe; 5: America,Australia,South Africa; 6: Israel,Father-Israel; 7: Israel,Father-North Africa; 8: Israel,Father-Asia; 9: Israel,Father-Eastern Europe; 10: Israel,Father-West/Central Europe; 11: Israel,Father-America,Australia,South Africa</t>
  </si>
  <si>
    <t>34-35</t>
  </si>
  <si>
    <t>36-37</t>
  </si>
  <si>
    <t>Academical degree</t>
  </si>
  <si>
    <t>For those who studied more than 12 years</t>
  </si>
  <si>
    <t>Monthly family expenditures</t>
  </si>
  <si>
    <t>Compared to national average of 9,000 NIS</t>
  </si>
  <si>
    <t>1: Much above average; 2: More than average; 3: Average; 4: Below average; 5: Much below average</t>
  </si>
  <si>
    <t>Works outside household?</t>
  </si>
  <si>
    <t>Status at work</t>
  </si>
  <si>
    <t>1: Employed worker; 2: Employed clerk; 3: Employed manager; 4: Self employed(small business); 5: Self employed,owner of a firm</t>
  </si>
  <si>
    <t>Concerns about loosing job or business</t>
  </si>
  <si>
    <t>1: None at all; 2: Some concerns; 3: Very concerned; 4: Lost job in recent year, am looking for a new job; 5: Don't work and don't look for a job</t>
  </si>
  <si>
    <t>44-45</t>
  </si>
  <si>
    <t>c35</t>
  </si>
  <si>
    <t>1: Yes; 2: No; 3: Never served in the IDF</t>
  </si>
  <si>
    <t>c37</t>
  </si>
  <si>
    <t>Social class self-affiliation</t>
  </si>
  <si>
    <t>1: High; 2: Mid-high; 3: Middle; 4: Low</t>
  </si>
  <si>
    <t>Self-definition of religious identity</t>
  </si>
  <si>
    <t>1: Secular; 2: Traditional; 3: Orthodox; 4: Ultra orthodox</t>
  </si>
  <si>
    <t>c39</t>
  </si>
  <si>
    <t>1: Female; 2: Male</t>
  </si>
  <si>
    <t>c41</t>
  </si>
  <si>
    <t>4: April 1999; 5: May 1999</t>
  </si>
  <si>
    <t>1996_Jews</t>
  </si>
  <si>
    <t>Study 1996 (Jews)</t>
  </si>
  <si>
    <t>1: Very good; 2: Good; 3: So-so; 4: Not good; 5: Bad; 6: Very bad</t>
  </si>
  <si>
    <t>Way the government handles national problems</t>
  </si>
  <si>
    <t>1: Very well; 2: Well; 3: Not so well; 4: Badly</t>
  </si>
  <si>
    <t>3-4</t>
  </si>
  <si>
    <t>Main problem the government has to handle</t>
  </si>
  <si>
    <t>01: Security and terrorism in general; 02: Economy; 03: Peace process; 04: Occupied territories/Palestinian problem; 05: Histadrut organization; 06: Golan Heights; 07: Housing; 08: Domestic disputes; 09: Social affairs (Unemployment, Poverty, Veterans); 10: Preserving the consistency of government policy; 11: Settlements; 12: Mistaken government policy; 13: Car accidents (Public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26: Health; 27: Realizing Zionism,Jewish bond,Love of the land,Assimilation; 28: Security of Northern border and Lebanon; 29: Religious coercion; 30: Corrupted administration; 31: Foreign workers; 32: Environment; 33: Arabs; 34: Education against Violence; 97: Other; 98: More than one problem; 99: Don't Know/None</t>
  </si>
  <si>
    <t>Candidate most capable of handling this problem</t>
  </si>
  <si>
    <t>1: Nethanyahu; 2: Peres; 3: None of them; 4: Equally capable</t>
  </si>
  <si>
    <t>6-7</t>
  </si>
  <si>
    <t>Party most capable of handling this problem</t>
  </si>
  <si>
    <t>1: Likud-Tzomet-Gesher; 2: Labor; 3: Meretz; 4: Mafdal(National Religious Party); 5: Agudat Israel &amp; Degel HaTora; 6: Moledet (Homeland); 7: HaDerech Hashlishit; 8: Shas (Sefaradi Tora Guardians); 9: Immigrants party/Israel BaAliya; 10: Hadash+The National Democr.Alliance; 11: United Arab List; 12: Arab Movement for Renewal; 13: Progressive Alliance; 14: A party from the left; 15: A party from the right; 16: A religious parties; 17: Another party; 18: Will not vote; 19: Not decided yet; 20: Do not know; 21: Refuses to answer</t>
  </si>
  <si>
    <t>Israel's present national security</t>
  </si>
  <si>
    <t>1: Very bad; 9: Very good</t>
  </si>
  <si>
    <t>Israel's national security 5 years ago</t>
  </si>
  <si>
    <t>Israel's national security in 5 years</t>
  </si>
  <si>
    <t>Chances for advancing peace in 3 years with Arab countries</t>
  </si>
  <si>
    <t>1: Good chances; 2: Fair chances; 3: Poor chances; 4: Very poor chances</t>
  </si>
  <si>
    <t>Chances for war with Arabs in 3 years</t>
  </si>
  <si>
    <t>1: Good chances; 2: Fair chances; 3: poor chances; 4: Very poor chances</t>
  </si>
  <si>
    <t>Should Israel return territories for peace?</t>
  </si>
  <si>
    <t>1: Strong disagreement; 7: Strong approval</t>
  </si>
  <si>
    <t>Religious law vs. democracy</t>
  </si>
  <si>
    <t>1: Democracy should be preferred; 7: Religious law should be preferred</t>
  </si>
  <si>
    <t>Should peace process stop at the risk of war?</t>
  </si>
  <si>
    <t>16-17</t>
  </si>
  <si>
    <t>% of Israelis willing to concede territories</t>
  </si>
  <si>
    <t>Public attitude on territories in 1-2 years</t>
  </si>
  <si>
    <t>1: More will approve of conceding territ.for peace; 2: Less will approve of conceding territ.for peace</t>
  </si>
  <si>
    <t>Should civil rights be restricted?</t>
  </si>
  <si>
    <t>1: Definitely agree; 2: Quite agree; 3: Disagree; 4: Definitely disagree</t>
  </si>
  <si>
    <t>Separation between Israelis and Palestinians in territories</t>
  </si>
  <si>
    <t>1: Support a long-term separation; 2: Support a time limited separation to fight terror; 3: Not support separation at all.</t>
  </si>
  <si>
    <t>Is P.L.O. capable of fighting terror?</t>
  </si>
  <si>
    <t>1: Definitely capable; 2: Capable enough; 3: Incapable; 4: Definitely incapable</t>
  </si>
  <si>
    <t>Attitude towards the Oslo Agreements</t>
  </si>
  <si>
    <t>1: Strongly support them; 2: Support them; 3: Object; 4: Strongly object them</t>
  </si>
  <si>
    <t>Effect of 2nd Oslo Agree. on national security</t>
  </si>
  <si>
    <t>1: Contributes significantly to national security; 2: Contributes to national security; 3: Impairs national security; 4: Severely impairs national security</t>
  </si>
  <si>
    <t>Effect of peace process on personal security</t>
  </si>
  <si>
    <t>1: Now it is much better; 2: Now it is better; 3: Now it is worse; 4: Now it is much worse</t>
  </si>
  <si>
    <t>Should negotiation with P.L.O. be stopped? Because of the continuance of terrorism</t>
  </si>
  <si>
    <t>1: Yes, as long as terrorism continues; 2: No,only successful negotiations will end terrorism</t>
  </si>
  <si>
    <t>Evacuating Jewish settlements in territories</t>
  </si>
  <si>
    <t>1: Not evacuate under any condition; 2: Only when they raise security problems; 3: Willing to evacuate all territories</t>
  </si>
  <si>
    <t>Most Palestinians really want peace- true?</t>
  </si>
  <si>
    <t>1: Very true; 2: Quite true; 3: Not so true; 4: Completely false</t>
  </si>
  <si>
    <t>Will a peace contact end the conflict?</t>
  </si>
  <si>
    <t>1: Definitely yes; 2: Yes; 3: No; 4: Definitely no</t>
  </si>
  <si>
    <t>Establishment of a Palestinian state</t>
  </si>
  <si>
    <t>1: Israel should certainly agree; 2: I think Israel should agree; 3: I think Israel should not agree; 4: Israel should certainly not agree</t>
  </si>
  <si>
    <t>% of Israelis who accept a Palestinian state</t>
  </si>
  <si>
    <t>Attitude towards a Palestinian state in 2 years</t>
  </si>
  <si>
    <t>1: More Israelis will accept it in 1-2 years; 2: Less Israelis will accept it in 1-2 years</t>
  </si>
  <si>
    <t>Should Arabs be encouraged to leave the country?</t>
  </si>
  <si>
    <t>1: Definitely agree; 2: Agree; 3: Not agree; 4: Definitely not agree</t>
  </si>
  <si>
    <t>Evaluation of Arab goals</t>
  </si>
  <si>
    <t>1: To return part of territories occupied in 1967; 2: To return all the territories occupied in 1967; 3: To conquer Israel; 4: To conquer Israel,to kill the Jewish population</t>
  </si>
  <si>
    <t>To prevent war, Israel should</t>
  </si>
  <si>
    <t>1: Concentrate on peace talks; 2: Increase its military might</t>
  </si>
  <si>
    <t>Worry of attacks by Arabs in everyday life</t>
  </si>
  <si>
    <t>Palestinian state be established in 10 years?</t>
  </si>
  <si>
    <t>R's preferred solution for the territories</t>
  </si>
  <si>
    <t>0: Palestinian state in all territories including Israel; 1: Palestinian state alongside Israel; 2: Palestinian-Jordanian confederation; 3: Hand most of the territories to Jordan; 4: Autonomy; 5: Annexation of territories+citizen rights to inhabitants; 6: Annexation of territories,no civil rights to inhabitants; 7: Annexation and transfer</t>
  </si>
  <si>
    <t>Projection of the future solution of territ.</t>
  </si>
  <si>
    <t>0: Palestinian state in all territories including Israel; 1: Palestinian state alongside Israel; 2: Palestinian-Jordanian confederation; 3: Hand most of the territories to Jordan; 4: Autonomy; 5: Annexation of territories+citizen rights to inhabitants; 6: Annexation of territories,no civil rights to inhabitants; 7: Annexation and transfer; 8: Status quo</t>
  </si>
  <si>
    <t>Should Israel concede parts of the Golan H.?</t>
  </si>
  <si>
    <t>1: No; 2: Only a small part of the Golan Heights; 3: A Considerable part of the Golan Heights; 4: All of the Golan Heights</t>
  </si>
  <si>
    <t>Will Golan Heights be conceded in 10 years?</t>
  </si>
  <si>
    <t>The most important value among the 4 suggested</t>
  </si>
  <si>
    <t>1: Jewish majority in Israel; 2: Greater Israel; 3: Democracy (equal rights to all); 4: Peace (low probability of war)</t>
  </si>
  <si>
    <t>The second value among the 4 suggested</t>
  </si>
  <si>
    <t>The third value among the 4 suggested</t>
  </si>
  <si>
    <t>The fourth value among the 4 suggested</t>
  </si>
  <si>
    <t>National security vs. Rule of law</t>
  </si>
  <si>
    <t>1: National Security; 7: Rule of law</t>
  </si>
  <si>
    <t>Possibility of a civil war over the territ.</t>
  </si>
  <si>
    <t>1: Very possible; 2: Possibly; 3: Light possibility; 4: Not possible at all</t>
  </si>
  <si>
    <t>c58</t>
  </si>
  <si>
    <t>Sympathy for Labour party</t>
  </si>
  <si>
    <t>1: Strong repulsion; 10: Strong sympathy</t>
  </si>
  <si>
    <t>c59</t>
  </si>
  <si>
    <t>Sympathy for Likud party</t>
  </si>
  <si>
    <t>Sympathy for the Judea, Samaria Gaza council</t>
  </si>
  <si>
    <t>c61</t>
  </si>
  <si>
    <t>Sympathy for Meretz party</t>
  </si>
  <si>
    <t>Sympathy for Religious persons</t>
  </si>
  <si>
    <t>Sympathy for Arabs</t>
  </si>
  <si>
    <t>c64</t>
  </si>
  <si>
    <t>Sympathy for The Islamic movement</t>
  </si>
  <si>
    <t>Sympathy for Yasser Arafat</t>
  </si>
  <si>
    <t>c66</t>
  </si>
  <si>
    <t>Sympathy for Yitzhak Rabin</t>
  </si>
  <si>
    <t>Sympathy for Binyamin Netanyahu</t>
  </si>
  <si>
    <t>Sympathy for Shimon Peres</t>
  </si>
  <si>
    <t>Left or right self-placement on a 1-7 scale</t>
  </si>
  <si>
    <t>c70</t>
  </si>
  <si>
    <t>Economic approach</t>
  </si>
  <si>
    <t>1: Definitely Capitalist; 2: More Capitalist; 3: More Socialist; 4: Definitely Socialist</t>
  </si>
  <si>
    <t>c71</t>
  </si>
  <si>
    <t>Arabs participation in national decisions</t>
  </si>
  <si>
    <t>1: Definitely only Jews should participate; 2: Think only Jews should participate; 3: Arabs should also participate; 4: Definitely also Arabs</t>
  </si>
  <si>
    <t>Major reason for choosing a candidate for PM</t>
  </si>
  <si>
    <t>1: Candidate's qualities; 2: Identification with the candidate's party; 3: Candidate's positions on issues; 4: Candidate being in government or in opposition</t>
  </si>
  <si>
    <t>DIFFERENCES BETWEEN LABOUR-LIKUD (on a 1-5 scale)</t>
  </si>
  <si>
    <t>c73</t>
  </si>
  <si>
    <t>Differences between Labor-Likud on: Jerusalem</t>
  </si>
  <si>
    <t>1: Very big difference between their attitudes; 2: Big difference; 3: Some difference; 4: Small difference; 5: Almost no difference between their attitudes</t>
  </si>
  <si>
    <t>c74</t>
  </si>
  <si>
    <t>Differences between Labor-Likud on: Economy</t>
  </si>
  <si>
    <t>Differences between Labor-Likud on: Peace and the territories</t>
  </si>
  <si>
    <t>c76</t>
  </si>
  <si>
    <t>Differences between Labor-Likud on: Terrorism</t>
  </si>
  <si>
    <t>EFFECT OF THE FOLLOWING ISSUES ON VOTE FOR PM</t>
  </si>
  <si>
    <t>cc6</t>
  </si>
  <si>
    <t>Effect on vote for PM: Jerusalem</t>
  </si>
  <si>
    <t>1: Strong effect; 2: Medial effect; 3: Light effect; 4: No effect</t>
  </si>
  <si>
    <t>cc7</t>
  </si>
  <si>
    <t>Effect on vote for PM: Economy</t>
  </si>
  <si>
    <t>cc8</t>
  </si>
  <si>
    <t>Effect on vote for PM: Peace, Territories</t>
  </si>
  <si>
    <t>cc9</t>
  </si>
  <si>
    <t>Effect on vote for PM: Terrorism</t>
  </si>
  <si>
    <t>cc10</t>
  </si>
  <si>
    <t>Effect on vote for PM: Rabin's assassination</t>
  </si>
  <si>
    <t>cc11</t>
  </si>
  <si>
    <t>Effect on vote for PM: 'Grapes of wrath' operation</t>
  </si>
  <si>
    <t>cc12</t>
  </si>
  <si>
    <t>Effect on vote for Knesset: Jerusalem</t>
  </si>
  <si>
    <t>EFFECT OF FOLLOWING ISSUES ON VOTE FOR KNESSET</t>
  </si>
  <si>
    <t>cc13</t>
  </si>
  <si>
    <t>Effect on vote for Knesset: Economy</t>
  </si>
  <si>
    <t>cc14</t>
  </si>
  <si>
    <t>Effect on vote for Knesset: Peace, Territories</t>
  </si>
  <si>
    <t>cc15</t>
  </si>
  <si>
    <t>Effect on vote for Knesset: Terrorism</t>
  </si>
  <si>
    <t>cc16</t>
  </si>
  <si>
    <t>Effect on vote for Knesset: Rabin's assassination</t>
  </si>
  <si>
    <t>cc17</t>
  </si>
  <si>
    <t>Effect on vote for Knesset: 'Grapes of wrath' operation</t>
  </si>
  <si>
    <t>cc19</t>
  </si>
  <si>
    <t>Closer to Likud/Labor: Jerusalem</t>
  </si>
  <si>
    <t>1: Closer to Labor's attitude; 2: Closer to Likud's attitude; 3: Another party</t>
  </si>
  <si>
    <t>CLOSER TO LIKUD/LABOR ON THE FOLLOWING ISSUES</t>
  </si>
  <si>
    <t>cc20</t>
  </si>
  <si>
    <t>Closer to Likud/Labor: Economy</t>
  </si>
  <si>
    <t>cc21</t>
  </si>
  <si>
    <t>Closer to Likud/Labor: Peace, Territories</t>
  </si>
  <si>
    <t>cc22</t>
  </si>
  <si>
    <t>Closer to Likud/Labor: Terrorism</t>
  </si>
  <si>
    <t>cc23</t>
  </si>
  <si>
    <t>Party most capable of handling economic issues</t>
  </si>
  <si>
    <t>1: Labor; 2: Likud; 3: Equally capable; 4: Neither</t>
  </si>
  <si>
    <t>cc24</t>
  </si>
  <si>
    <t>Party most capable of handling foreign affairs and security problems</t>
  </si>
  <si>
    <t>cc25</t>
  </si>
  <si>
    <t>Major factor in voting for a party</t>
  </si>
  <si>
    <t>1: Identification with the party; 2: Party's candidate for PM; 3: Party's position on issues; 4: Party being in government/opposition</t>
  </si>
  <si>
    <t>cc27</t>
  </si>
  <si>
    <t>Attitude towards raising taxes</t>
  </si>
  <si>
    <t>SHOULD THE GOVERNMENT SPEND MORE/LESS ON?</t>
  </si>
  <si>
    <t>cc28</t>
  </si>
  <si>
    <t>Should the government spen more/less on:Education</t>
  </si>
  <si>
    <t>1: Spend more; 2: Spend less; 3: Same as now</t>
  </si>
  <si>
    <t>cc29</t>
  </si>
  <si>
    <t>Should the government spen more/less on:Ecology and Environment</t>
  </si>
  <si>
    <t>cc30</t>
  </si>
  <si>
    <t>Should the government spen more/less on:Religious institutions</t>
  </si>
  <si>
    <t>cc31</t>
  </si>
  <si>
    <t>Should the government spen more/less on:Health</t>
  </si>
  <si>
    <t>cc32</t>
  </si>
  <si>
    <t>Should the government spen more/less on:Security</t>
  </si>
  <si>
    <t>cc33</t>
  </si>
  <si>
    <t>Should the government spen more/less on:Immigration</t>
  </si>
  <si>
    <t>cc34</t>
  </si>
  <si>
    <t>Should the government spen more/less on:Support for the unemployed</t>
  </si>
  <si>
    <t>cc35</t>
  </si>
  <si>
    <t>Should the government spen more/less on:Settlements in the territories</t>
  </si>
  <si>
    <t>cc36</t>
  </si>
  <si>
    <t>Should the government spen more/less on:Arab population</t>
  </si>
  <si>
    <t>cc37</t>
  </si>
  <si>
    <t>Should the government spen more/less on:Supplying jobs</t>
  </si>
  <si>
    <t>cc38</t>
  </si>
  <si>
    <t>Should the government spen more/less on:Transportation/car accidents</t>
  </si>
  <si>
    <t>cc39</t>
  </si>
  <si>
    <t>Social-economic equality is insufficient</t>
  </si>
  <si>
    <t>1: Definitely agree; 2: Agree; 3: Do not agree; 4: Definitely do not agree</t>
  </si>
  <si>
    <t>cc40</t>
  </si>
  <si>
    <t>Ethnic discrimination in Israel today</t>
  </si>
  <si>
    <t>1: To very large extent; 2: To large extent; 3: To some extent; 4: Very little; 5: None or almost none</t>
  </si>
  <si>
    <t>cc41</t>
  </si>
  <si>
    <t>Personal experience with ethnic discrimination</t>
  </si>
  <si>
    <t>cc44</t>
  </si>
  <si>
    <t>National vs. citizens' personal interests</t>
  </si>
  <si>
    <t>cc45</t>
  </si>
  <si>
    <t>Frequency of discussing politics with friends/family</t>
  </si>
  <si>
    <t>1: Often; 2: Sometimes; 3: Little; 4: Never</t>
  </si>
  <si>
    <t>cc46</t>
  </si>
  <si>
    <t>Does your family vote like you?</t>
  </si>
  <si>
    <t>1: All vote the same; 2: Many vote like me; 3: Few vote like me; 4: No one votes like me; 5: Do not know how my family votes (not read)</t>
  </si>
  <si>
    <t>126</t>
  </si>
  <si>
    <t>cc48</t>
  </si>
  <si>
    <t>Civilians ability to influence government is</t>
  </si>
  <si>
    <t>1: Great; 2: Medial; 3: Little; 4: Not at all</t>
  </si>
  <si>
    <t>127</t>
  </si>
  <si>
    <t>cc49</t>
  </si>
  <si>
    <t>Should life be conducted by religious law?</t>
  </si>
  <si>
    <t>1: Definitely yes; 2: Maybe; 3: Do not think so; 4: Certainly not</t>
  </si>
  <si>
    <t>128</t>
  </si>
  <si>
    <t>cc50</t>
  </si>
  <si>
    <t>Ensure a Jewish majority</t>
  </si>
  <si>
    <t>1: Labor; 2: Likud; 3: Equally; 4: Neither</t>
  </si>
  <si>
    <t>WHICH PARTY SUITS EACH OF THESE DESCRIPTIONS?</t>
  </si>
  <si>
    <t>cc51</t>
  </si>
  <si>
    <t>Stand firm in a peace negotiations</t>
  </si>
  <si>
    <t>130</t>
  </si>
  <si>
    <t>cc52</t>
  </si>
  <si>
    <t>Maintain the democratic regime</t>
  </si>
  <si>
    <t>131</t>
  </si>
  <si>
    <t>cc53</t>
  </si>
  <si>
    <t>Lead to true peace with the Arabs</t>
  </si>
  <si>
    <t>cc54</t>
  </si>
  <si>
    <t>Effectively deal with terrorism</t>
  </si>
  <si>
    <t>cc55</t>
  </si>
  <si>
    <t>Narrow the ethnic gap</t>
  </si>
  <si>
    <t>134</t>
  </si>
  <si>
    <t>cc56</t>
  </si>
  <si>
    <t>Lead to separation between Israel-Palestinians</t>
  </si>
  <si>
    <t>135</t>
  </si>
  <si>
    <t>cc57</t>
  </si>
  <si>
    <t>Corrupted</t>
  </si>
  <si>
    <t>cc58</t>
  </si>
  <si>
    <t>Has experienced leaders</t>
  </si>
  <si>
    <t>cc59</t>
  </si>
  <si>
    <t>Maintain good relations with the U.S.</t>
  </si>
  <si>
    <t>cc60</t>
  </si>
  <si>
    <t>Narrow social gaps</t>
  </si>
  <si>
    <t>cc61</t>
  </si>
  <si>
    <t>Current personal situation</t>
  </si>
  <si>
    <t>cc62</t>
  </si>
  <si>
    <t>Personal situation 5 years ago</t>
  </si>
  <si>
    <t>cc63</t>
  </si>
  <si>
    <t>Evaluating personal situation in 5 years</t>
  </si>
  <si>
    <t>WHICH PM CANDID. BEST SUITS EACH DESCRIPTION?</t>
  </si>
  <si>
    <t>cc64</t>
  </si>
  <si>
    <t>Leadership ability</t>
  </si>
  <si>
    <t>1: Shimon Peres; 2: Binyamin Netanyahu; 3: Both equally; 4: Neither</t>
  </si>
  <si>
    <t>cc65</t>
  </si>
  <si>
    <t>Powerful</t>
  </si>
  <si>
    <t>cc66</t>
  </si>
  <si>
    <t>Reliable</t>
  </si>
  <si>
    <t>cc67</t>
  </si>
  <si>
    <t>Decisive</t>
  </si>
  <si>
    <t>cc68</t>
  </si>
  <si>
    <t>Prefers the good of the country over the good of his own party</t>
  </si>
  <si>
    <t>cc69</t>
  </si>
  <si>
    <t>Experienced</t>
  </si>
  <si>
    <t>cc70</t>
  </si>
  <si>
    <t>Initiative and creative</t>
  </si>
  <si>
    <t>cc71</t>
  </si>
  <si>
    <t>Good negotiator</t>
  </si>
  <si>
    <t>cc72</t>
  </si>
  <si>
    <t>Resistant to pressures</t>
  </si>
  <si>
    <t>cc73</t>
  </si>
  <si>
    <t>Can Israel achieve Jewish majority,Greater Israel,maintain democratic regime,Peace?</t>
  </si>
  <si>
    <t>1: Can achieve all objectives simultaneously; 2: Cannot achieve all objectives simultaneously</t>
  </si>
  <si>
    <t>cc74</t>
  </si>
  <si>
    <t>Frequency of reading a daily newspaper</t>
  </si>
  <si>
    <t>1: Almost never; 2: Rarely; 3: Once a week; 4: 2-3 times a week; 5: One newspaper almost every day; 6: More than one newspaper almost every day</t>
  </si>
  <si>
    <t>cc76</t>
  </si>
  <si>
    <t>Interest in election polls</t>
  </si>
  <si>
    <t>1: Most interested; 2: Quite interested; 3: Little interest; 4: Not at all</t>
  </si>
  <si>
    <t>ccc6</t>
  </si>
  <si>
    <t>Belief in election polls</t>
  </si>
  <si>
    <t>ccc7</t>
  </si>
  <si>
    <t>Believe that election polls influence voting</t>
  </si>
  <si>
    <t>ccc8</t>
  </si>
  <si>
    <t>Forbid publication of election polls?</t>
  </si>
  <si>
    <t>1: Certainly yes; 2: Yes; 3: No; 4: Certainly not</t>
  </si>
  <si>
    <t>ccc9</t>
  </si>
  <si>
    <t>Frequency of watching election ads on TV</t>
  </si>
  <si>
    <t>1: Every day; 2: Usually; 3: Sometimes; 4: Rarely; 5: Never watch it; 6: Not started yet</t>
  </si>
  <si>
    <t>ccc10</t>
  </si>
  <si>
    <t>Will election ads influence your vote?</t>
  </si>
  <si>
    <t>1: To a large extent; 2: To some extent; 3: Hardly; 4: Not at all</t>
  </si>
  <si>
    <t>ccc11</t>
  </si>
  <si>
    <t>Full retreat from the Golan H. for peace</t>
  </si>
  <si>
    <t>1: For the agreement; 2: Against the agreement</t>
  </si>
  <si>
    <t>161-162</t>
  </si>
  <si>
    <t>ccc12</t>
  </si>
  <si>
    <t>% of Israelis agreeing to return the Golan H.</t>
  </si>
  <si>
    <t>ccc14</t>
  </si>
  <si>
    <t>Future attitude on conceding the Golan H.</t>
  </si>
  <si>
    <t>1: More people will be willing to return territories; 2: More people will not be against returning territories</t>
  </si>
  <si>
    <t>ccc15</t>
  </si>
  <si>
    <t>National- unity government after the elections</t>
  </si>
  <si>
    <t>1: Strongly support; 2: Support; 3: Object; 4: Strongly object; 5: Only under the leadership of the Likud (not read); 6: Only under the leadership of the Labor (not read)</t>
  </si>
  <si>
    <t>ccc16</t>
  </si>
  <si>
    <t>Participated in demonstrations for peace during last 2 years?</t>
  </si>
  <si>
    <t>1: Never; 2: Only once or twice; 3: Three times or more</t>
  </si>
  <si>
    <t>ccc17</t>
  </si>
  <si>
    <t>Participated in demonstrations after Rabin's assassination in last 2 years?</t>
  </si>
  <si>
    <t>ccc19</t>
  </si>
  <si>
    <t>The direct election of the PM brings about</t>
  </si>
  <si>
    <t>1: A better system of government; 2: A worse system of government; 3: No change</t>
  </si>
  <si>
    <t>ccc20</t>
  </si>
  <si>
    <t>Inclusion of Arab parties in the government</t>
  </si>
  <si>
    <t>1: Strongly support; 2: Partly support; 3: Partly object; 4: Strongly object</t>
  </si>
  <si>
    <t>ccc21</t>
  </si>
  <si>
    <t>The primaries bring about</t>
  </si>
  <si>
    <t>ccc22</t>
  </si>
  <si>
    <t>Voted in primaries?</t>
  </si>
  <si>
    <t>1: No; 2: Yes, in the Likud; 3: Yes, in Labor; 4: Yes, in Meretz</t>
  </si>
  <si>
    <t>ccc23</t>
  </si>
  <si>
    <t>Vote for party, if elections were held today</t>
  </si>
  <si>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</si>
  <si>
    <t>176</t>
  </si>
  <si>
    <t>ccc27</t>
  </si>
  <si>
    <t>Would vote for Likud, Tzomet or Gesger?</t>
  </si>
  <si>
    <t>1: Likud; 2: Tzomet; 3: Gesher; 4: Another party; 5: Don't know</t>
  </si>
  <si>
    <t>ccc28</t>
  </si>
  <si>
    <t>Vote for PM, if elections were held today</t>
  </si>
  <si>
    <t>1: Binyamin Netanyahu; 2: Shimon Peres; 3: Blank note; 4: I will not vote; 5: Have not decided yet; 6: Refuses to answer</t>
  </si>
  <si>
    <t>ccc29</t>
  </si>
  <si>
    <t>Reasons for not voting/ voting a blank ballot</t>
  </si>
  <si>
    <t>1: Both candidates do not fit; 2: Protest; 3: Obeyed the order of my rabbi; 4: Technical problems; 5: Another reason</t>
  </si>
  <si>
    <t>179</t>
  </si>
  <si>
    <t>ccc30</t>
  </si>
  <si>
    <t>ccc31</t>
  </si>
  <si>
    <t>ccc32</t>
  </si>
  <si>
    <t>182-183</t>
  </si>
  <si>
    <t>ccc33</t>
  </si>
  <si>
    <t>Vote for party if the old election's method still existed today</t>
  </si>
  <si>
    <t>1: Likud-Tzomet-Gesher; 2: Labor; 3: Meretz; 4: Mafdal (National Religious Party); 5: Agudat Israel &amp; Degel HaTora (Yahadut HaTora); 6: Moledet (Homeland); 7: HaDerech Hashlishit; 8: Shas (Sefaradi Tora Guardians); 9: Immigrants party/ Israel BaAliya (Sharanski/Gur); 10: Hadash+The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Do not know; 21: Refuses to answer</t>
  </si>
  <si>
    <t>184</t>
  </si>
  <si>
    <t>ccc35</t>
  </si>
  <si>
    <t>Candidate who will win the PM's elections</t>
  </si>
  <si>
    <t>1: Netanyahu; 2: Peres; 3: Do not know (not read)</t>
  </si>
  <si>
    <t>ccc36</t>
  </si>
  <si>
    <t>Party that will be biggest in next Knesset</t>
  </si>
  <si>
    <t>1: Labor; 2: Likud; 3: Do not know (not read)</t>
  </si>
  <si>
    <t>ccc37</t>
  </si>
  <si>
    <t>Vote for party in last elections (1992)</t>
  </si>
  <si>
    <t>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t>
  </si>
  <si>
    <t>ccc39</t>
  </si>
  <si>
    <t>Vote for party in 1988</t>
  </si>
  <si>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</si>
  <si>
    <t>ccc41</t>
  </si>
  <si>
    <t>Vote in previous Histadrut elections</t>
  </si>
  <si>
    <t>1: Labor (Haim Haberfeld); 2: Ram (Haim Ramon); 3: Likud (Yaakov Shamai); 4: Hadash (Binyamin Gonen); 5: Did not vote, although was eligible; 6: Did not voted / not a Histadrut member</t>
  </si>
  <si>
    <t>191</t>
  </si>
  <si>
    <t>ccc42</t>
  </si>
  <si>
    <t>Personal connections with Arabs</t>
  </si>
  <si>
    <t>1: No connections; 2: Business connections; 3: 1-2 friends; 4: Many connections, including friends</t>
  </si>
  <si>
    <t>ccc44</t>
  </si>
  <si>
    <t>Interview by TV</t>
  </si>
  <si>
    <t>1: Definitely yes; 2: Yes; 3: Not sure; 4: No; 5: Definitely not</t>
  </si>
  <si>
    <t>ccc45</t>
  </si>
  <si>
    <t>Political activity in any of the parties</t>
  </si>
  <si>
    <t>1: None; 2: Supporter, but not an active member; 3: Party member; 4: Active party member; 5: Member and has a role in a party</t>
  </si>
  <si>
    <t>ccc46</t>
  </si>
  <si>
    <t>Political tendency</t>
  </si>
  <si>
    <t>ccc47</t>
  </si>
  <si>
    <t>Self- Identification</t>
  </si>
  <si>
    <t>1: Left; 2: Moderate left; 3: Center; 4: Moderate right; 5: Right; 6: Religious (not read); 7: None (not read)</t>
  </si>
  <si>
    <t>ccc48</t>
  </si>
  <si>
    <t>The second label to self-Identification</t>
  </si>
  <si>
    <t>1: Israeli; 2: Jewish; 3: Ethnic group; 4: Secular or religious</t>
  </si>
  <si>
    <t>ccc49</t>
  </si>
  <si>
    <t>The third label to self-Identification</t>
  </si>
  <si>
    <t>ccc50</t>
  </si>
  <si>
    <t>The forth label to self-Identification</t>
  </si>
  <si>
    <t>PERSONAL DATA</t>
  </si>
  <si>
    <t>204</t>
  </si>
  <si>
    <t>ccc55</t>
  </si>
  <si>
    <t>Ethnic self definition</t>
  </si>
  <si>
    <t>1: Ashkenazi; 2: Sephardi; 3: Neither</t>
  </si>
  <si>
    <t>205</t>
  </si>
  <si>
    <t>ccc56</t>
  </si>
  <si>
    <t>206-207</t>
  </si>
  <si>
    <t>ccc57</t>
  </si>
  <si>
    <t>208-209</t>
  </si>
  <si>
    <t>ccc59</t>
  </si>
  <si>
    <t>Continent of birth /of birth of father</t>
  </si>
  <si>
    <t>01: North Africa; 02: Asia; 03: Eastern Europe; 04: West and central Europe; 05: America, Australia, South Africa; 06: Israel/Israel; 07: Israel/North Africa; 08: Israel/Asia; 09: Israel/Eastern Europe; 10: Israel/West or central Europe; 11: Israel/America, Australia, South Africa</t>
  </si>
  <si>
    <t>210-211</t>
  </si>
  <si>
    <t>ccc61</t>
  </si>
  <si>
    <t>212-213</t>
  </si>
  <si>
    <t>ccc63</t>
  </si>
  <si>
    <t>214-215</t>
  </si>
  <si>
    <t>ccc65</t>
  </si>
  <si>
    <t>216-217</t>
  </si>
  <si>
    <t>ccc67</t>
  </si>
  <si>
    <t>218</t>
  </si>
  <si>
    <t>ccc69</t>
  </si>
  <si>
    <t>Military service in the territories</t>
  </si>
  <si>
    <t>1: Yes; 2: Served but not in territories; 3: Not served in the army</t>
  </si>
  <si>
    <t>219</t>
  </si>
  <si>
    <t>ccc70</t>
  </si>
  <si>
    <t>Obedience to Jewish religious tradition</t>
  </si>
  <si>
    <t>1: Thoroughly; 2: Much; 3: A little; 4: Do not keep the Jewish tradition at all</t>
  </si>
  <si>
    <t>220</t>
  </si>
  <si>
    <t>ccc71</t>
  </si>
  <si>
    <t>221</t>
  </si>
  <si>
    <t>ccc72</t>
  </si>
  <si>
    <t>1: Salaried worker; 2: Salaried clerk; 3: Salaried manager; 4: Self employed (small business); 5: Self employed, owner of a firm</t>
  </si>
  <si>
    <t>222</t>
  </si>
  <si>
    <t>ccc73</t>
  </si>
  <si>
    <t>Social class</t>
  </si>
  <si>
    <t>223</t>
  </si>
  <si>
    <t>ccc74</t>
  </si>
  <si>
    <t>PREFERENCE FOR PARTIES</t>
  </si>
  <si>
    <t>225-226</t>
  </si>
  <si>
    <t>cccc6</t>
  </si>
  <si>
    <t>The name of the party(1)</t>
  </si>
  <si>
    <t>1: Likud, Tzomet, Gesher; 2: Labor; 3: Meretz; 4: Mafdal: National Religious Party; 5: Agudat Israel &amp; Degel HaTora: Yahadut HaTora; 6: Moledet: Homeland; 7: HaDerech HaShlishit; 8: Shas; 9: Immigrants party/ Israel BaAliya; 10: Hadash + 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Refuses to answer</t>
  </si>
  <si>
    <t>227-228</t>
  </si>
  <si>
    <t>cccc8</t>
  </si>
  <si>
    <t>The name of the party(2)</t>
  </si>
  <si>
    <t>229-230</t>
  </si>
  <si>
    <t>cccc10</t>
  </si>
  <si>
    <t>The name of the party(3)</t>
  </si>
  <si>
    <t>cccc12</t>
  </si>
  <si>
    <t>The name of the party(4)</t>
  </si>
  <si>
    <t>cccc14</t>
  </si>
  <si>
    <t>Most preferred party</t>
  </si>
  <si>
    <t>1: Likud, Tzomet, Gesher; 2: Labor; 3: Meretz; 4: Mafdal: National Religious Party; 5: Agudat Israel &amp; Degel HaTora: Yahadut HaTora; 6: Moledet: Homeland; 7: HaDerech HaShlishit; 8: Shas; 9: Immigrants party/ Israel BaAliya; 10: Hadash + 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What the religious authority tells me; 21: Refuses to answer</t>
  </si>
  <si>
    <t>235-236</t>
  </si>
  <si>
    <t>cccc16</t>
  </si>
  <si>
    <t>The second most preferred party</t>
  </si>
  <si>
    <t>237-238</t>
  </si>
  <si>
    <t>cccc18</t>
  </si>
  <si>
    <t>The third most preferred party</t>
  </si>
  <si>
    <t>239-240</t>
  </si>
  <si>
    <t>cccc20</t>
  </si>
  <si>
    <t>Least preferred party</t>
  </si>
  <si>
    <t>241-242</t>
  </si>
  <si>
    <t>cccc22</t>
  </si>
  <si>
    <t>The second least-preferred party</t>
  </si>
  <si>
    <t>243-244</t>
  </si>
  <si>
    <t>cccc24</t>
  </si>
  <si>
    <t>The third least-preferred party</t>
  </si>
  <si>
    <t>245-246</t>
  </si>
  <si>
    <t>cccc26</t>
  </si>
  <si>
    <t>247-248</t>
  </si>
  <si>
    <t>cccc28</t>
  </si>
  <si>
    <t>10: Tel-Aviv; 11: Rosh-Haayin; 12: Ramat-Gan; 13: Rehovot; 14: Rishon Leziyyon; 15: Bene-Beraq; 16: Bat-Yam; 17: Mazkeret-Batya; 18: Ramat-Hasharon; 19: Ramla; 20: Ra'anana; 30: Jerusalem; 31: Bet-Shemesh; 32: Moshav (around Jerusalem); 40: Be'er Sheva; 41: Ofaqim; 42: Qiryat-Gat; 43: Dimona; 50: Haifa; 51: Qiryat-Bialik; 52: Qiryat-Yam; 53: Akko; 54: Tiberias; 55: Or-Aqiva; 56: Qiryat-Tiv'on; 57: Rekhasim</t>
  </si>
  <si>
    <t>251</t>
  </si>
  <si>
    <t>cccc41</t>
  </si>
  <si>
    <t>Interview group</t>
  </si>
  <si>
    <t>1: Jews; 2: Arabs</t>
  </si>
  <si>
    <t>252</t>
  </si>
  <si>
    <t>sephashk</t>
  </si>
  <si>
    <t>Ethnic group</t>
  </si>
  <si>
    <t>1: Sephardi; 2: Ashkenazi</t>
  </si>
  <si>
    <t>1992</t>
  </si>
  <si>
    <t>Study 1992</t>
  </si>
  <si>
    <t>Identification number</t>
  </si>
  <si>
    <t>a2</t>
  </si>
  <si>
    <t>General situation in Israel today</t>
  </si>
  <si>
    <t>1: Very good; 2: Good; 3: Not so good; 4: Not good; 5: Bad</t>
  </si>
  <si>
    <t>a3</t>
  </si>
  <si>
    <t>Way the government handles the nation's problems</t>
  </si>
  <si>
    <t>a4</t>
  </si>
  <si>
    <t>Evaluation of Israel's present national security</t>
  </si>
  <si>
    <t>1: Worst possible; 9: Best possible</t>
  </si>
  <si>
    <t>a5</t>
  </si>
  <si>
    <t>Evaluation of Israel's national security 5 years ago</t>
  </si>
  <si>
    <t>Evaluation of Israel's national security in 5 years</t>
  </si>
  <si>
    <t>The main problem the government has to take care of</t>
  </si>
  <si>
    <t>01: Economy; 02: Security; 03: Employment\Unemployment; 04: Intifada\occ.territories; 05: Peace\Political situation; 06: Education; 07: Domestic security; 08: Arabs; 09: Mortgages; 10: Poverty\soc. inequality; 11: Housing; 12: Religious coercion; 13: Peace making; 14: IDF budget shortage; 15: Neg. attitudes towards immigrants; 16: Nuclear weapon; 17: Discharged soldiers; 18: Immigration; 19: Society; 20: Corrupted administration; 21: Localities in occ. territories; 22: Risk of dictatorship; 23: Domestic issues; 24: Young couples\poor assistance; 25: Foreign issues; 26: Health; 27: Religious discrimination; 28: Religion - positive acts; 29: Election method</t>
  </si>
  <si>
    <t>13-14</t>
  </si>
  <si>
    <t>Party most capable of handling above issue</t>
  </si>
  <si>
    <t>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t>
  </si>
  <si>
    <t>a9</t>
  </si>
  <si>
    <t>Desired solution to territories issue</t>
  </si>
  <si>
    <t>1: Concede territories in return for peace treaty; 2: Annexation of territories; 3: Leave current situation unchanged</t>
  </si>
  <si>
    <t>Favorable solution of two possibilities</t>
  </si>
  <si>
    <t>1: Return most of Judea, Samaria and Gaza for peace; 2: Annexation of Judea, Samaria and Gaza</t>
  </si>
  <si>
    <t>Territorial concessions of Golan Heights for peace</t>
  </si>
  <si>
    <t>1: Total return of Golan; 2: Partial return; 3: No return</t>
  </si>
  <si>
    <t>Should Israel agree to Palestinian autonomy</t>
  </si>
  <si>
    <t>1: Definitely; 2: Probably; 3: Probably not; 4: Definitely not</t>
  </si>
  <si>
    <t>Should Israel agree to negotiate with P.L.O.</t>
  </si>
  <si>
    <t>Should Israel agree to negotiate with P.L.O. providing P.L.O. recognizes Israel and renounces terror</t>
  </si>
  <si>
    <t>Should Israel agree to the establishment a Palestinian in the occupied territories</t>
  </si>
  <si>
    <t>Rights to be given to Palestinians if territories annexed</t>
  </si>
  <si>
    <t>01: Full civil rights (including voting rights); 02: Civil rights (excluding voting rights); 03: Leave current situation unchanged; 04: Decrease from current rights</t>
  </si>
  <si>
    <t>Evaluation of government policy in territories</t>
  </si>
  <si>
    <t>1: Too harsh; 2: Appropriate; 3: Too permissive</t>
  </si>
  <si>
    <t>Emphasis to put in attempt to prevent war</t>
  </si>
  <si>
    <t>1: Take all measures towards peace treaty; 2: Increase military power</t>
  </si>
  <si>
    <t>Government should encourage Arab migration from Israel</t>
  </si>
  <si>
    <t>1: Strongly agree; 2: Agree; 3: Disagree; 4: Strongly disagree</t>
  </si>
  <si>
    <t>Possibility of Israeli-Arab peace in future</t>
  </si>
  <si>
    <t>1: Definitely possible; 2: Possible; 3: Impossible; 4: Definitely impossible</t>
  </si>
  <si>
    <t>Israel's ability to affect Arab peace policy</t>
  </si>
  <si>
    <t>01: Definitely capable; 02: Capable; 03: Incapable; 04: Definitely incapable</t>
  </si>
  <si>
    <t>Probability of signing Palestinian autonomy agreement</t>
  </si>
  <si>
    <t>1: High probability; 2: Likely; 3: Unlikely; 4: Most unlikely</t>
  </si>
  <si>
    <t>Probability of signing another peace treaty with an Arab country within 3 years</t>
  </si>
  <si>
    <t>Probability of Israeli-Arab war within 3 years</t>
  </si>
  <si>
    <t>Territorial concession to Jordan</t>
  </si>
  <si>
    <t>1: Almost no chance for war; 2: Very low probability; 3: Low probability; 4: Probable; 5: High Probability; 6: Very high probability; 7: Almost certainly</t>
  </si>
  <si>
    <t>Palestinian state</t>
  </si>
  <si>
    <t>Palestinian autonomy</t>
  </si>
  <si>
    <t>Annexation and full Israeli sovereignty</t>
  </si>
  <si>
    <t>Continuation of current situation</t>
  </si>
  <si>
    <t>Final outcome of Palestinian autonomy</t>
  </si>
  <si>
    <t>1: Israeli annexation of territories; 2: Palestinian state (with or without Jordan); 3: Palestinian autonomy under permanent Israeli sovereignty</t>
  </si>
  <si>
    <t>Total Israeli-Arab war</t>
  </si>
  <si>
    <t>1: Capable; 2: Incapable</t>
  </si>
  <si>
    <t>War with 'Eastern Front' states (Syria, Jordan and Iraq)</t>
  </si>
  <si>
    <t>War against Syria alone</t>
  </si>
  <si>
    <t>Increase in terrorist activity</t>
  </si>
  <si>
    <t>Israeli Arabs' civilian uprising</t>
  </si>
  <si>
    <t>Economic sanctions by U.N. supported by U.S.</t>
  </si>
  <si>
    <t>Decrease of American support</t>
  </si>
  <si>
    <t>Cessation of American support</t>
  </si>
  <si>
    <t>Estimate of Arabs' ultimate goal</t>
  </si>
  <si>
    <t>1: Partial return of territories taken in 1967; 2: Full return of territories taken in 1967; 3: Total takeover of Israel; 4: Total takeover of Israel&amp;destruction of majority of Jewish population</t>
  </si>
  <si>
    <t>Preference for rule of law vs. security interests</t>
  </si>
  <si>
    <t>1: Preference for security interests; 7: Preference for the rule of law</t>
  </si>
  <si>
    <t>Evaluation of moral effect of occupying territories</t>
  </si>
  <si>
    <t>1: Negative moral effect; 7: Positive moral effect</t>
  </si>
  <si>
    <t>Support for Israel's participation in peace talks</t>
  </si>
  <si>
    <t>1: Strongly supports; 2: Supports; 3: Disapproves; 4: Strongly disapproves</t>
  </si>
  <si>
    <t>Support of settlements in occupied territories</t>
  </si>
  <si>
    <t>1: Unconditional support; 2: Only in areas of security importance; 3: Total objection</t>
  </si>
  <si>
    <t>Personal Preference for solutions to Arab-Israeli conflict</t>
  </si>
  <si>
    <t>1: Establishment of Palestinian state in territories; 2: Jordanian-Palestinian federation in territories; 3: Alon program (return territories- Israeli occupying strategic areas); 4: Palestinian autonomy in territories; 5: Territories annexation-full civil rights to arabs; 6: Annexation of territories w\o voting rights for arabs; 7: Annexation and transfer of Palestinian population</t>
  </si>
  <si>
    <t>a471</t>
  </si>
  <si>
    <t>Arrangement considered most likely to take place</t>
  </si>
  <si>
    <t>a472</t>
  </si>
  <si>
    <t>Concern regarding personal injury by Arabs in daily life</t>
  </si>
  <si>
    <t>1: Highly concerned; 2: Concerned; 3: Not concerned; 4: Not concerned at all</t>
  </si>
  <si>
    <t>Extent of effect of territorial issue on interviewee's voting to Knesset</t>
  </si>
  <si>
    <t>1: Significant effect; 2: Certain effect; 3: Minor effect; 4: No effect</t>
  </si>
  <si>
    <t>Party best reflecting interviewee's stand on territories issue</t>
  </si>
  <si>
    <t>01: Labor; 02: Likud; 03: Meretz; 04: Tehiya; 05: Moledet; 06: Tzomet; 07: National Religious Party; 08: Agudat Israel/Degel Ha-Torah/Harav Peretz; 09: Shas; 10: Modai's party; 11: Russian Immigrants' Party; 12: Arab Democratic Party; 13: Hadash; 14: Progressive List for Peace; 15: Other party; 16: Does not know</t>
  </si>
  <si>
    <t>Evaluated differences between major parties on territories issues</t>
  </si>
  <si>
    <t>1: Very big differences; 2: Big differences; 3: Some differences; 4: Small differences; 5: Hardly any difference</t>
  </si>
  <si>
    <t>Interviewee's economic approach</t>
  </si>
  <si>
    <t>1: Definitely capitalistic; 2: More capitalist; 3: More socialist; 4: Definitely socialist</t>
  </si>
  <si>
    <t>Evaluated differences between major parties on economic issues</t>
  </si>
  <si>
    <t>Effect of economic issues on interviewee's voting to Knesset</t>
  </si>
  <si>
    <t>Identification with parties on economic issues</t>
  </si>
  <si>
    <t>1: With Labor; 2: With Likud; 3: Other</t>
  </si>
  <si>
    <t>Identification with parties on foreign and security issues</t>
  </si>
  <si>
    <t>Better team to handle economic problems</t>
  </si>
  <si>
    <t>1: Labor; 2: Likud; 3: Both parties equal; 4: Neither</t>
  </si>
  <si>
    <t>Better team to handle security/foreign problem</t>
  </si>
  <si>
    <t>Holds for national-unity-government formation after elections</t>
  </si>
  <si>
    <t>1: Definitely yes; 2: Probably yes; 3: Probably no; 4: Definitely no; 5: Yes, if headed by Likud party; 6: Yes, if headed by Labor party</t>
  </si>
  <si>
    <t>Frequency of political discussions with friends and relatives</t>
  </si>
  <si>
    <t>1: Often; 2: Sometimes; 3: Seldom; 4: Never</t>
  </si>
  <si>
    <t>Evaluation of ability to influence government policies</t>
  </si>
  <si>
    <t>1: To a great extent; 2: To a certain extent; 3: To a small extent; 4: None</t>
  </si>
  <si>
    <t>Most important factor influencing voting</t>
  </si>
  <si>
    <t>1: Identification with party; 2: Party's candidate for prime minister; 3: Party's policy on certain issues; 4: Party being in government or opposition</t>
  </si>
  <si>
    <t>Acceptance of tax increase to handle problems</t>
  </si>
  <si>
    <t>1: Willing; 2: Not willing</t>
  </si>
  <si>
    <t>Education</t>
  </si>
  <si>
    <t>1: Increase expenditure; 2: Decrease; 3: Leave as is</t>
  </si>
  <si>
    <t>Nature preservation and ecology</t>
  </si>
  <si>
    <t>Religious institutions and Yeshivot</t>
  </si>
  <si>
    <t>Health</t>
  </si>
  <si>
    <t>Security</t>
  </si>
  <si>
    <t>Immigrant absorption</t>
  </si>
  <si>
    <t>Unemployment aid</t>
  </si>
  <si>
    <t>Settlement in territories</t>
  </si>
  <si>
    <t>Increase jobs</t>
  </si>
  <si>
    <t>Existence of socio-economical inequality in Israel</t>
  </si>
  <si>
    <t>Importance of individual interests vs. public interest</t>
  </si>
  <si>
    <t>1: Public interest more important; 2: Equal importance; 3: Individual interest more important</t>
  </si>
  <si>
    <t>Most important value to interviewee</t>
  </si>
  <si>
    <t>1: Jewish majority in Israel; 2: Greater Israel; 3: Democratic state (equal political rights for all); 4: Peace (low risk of war)</t>
  </si>
  <si>
    <t>Value second in importance</t>
  </si>
  <si>
    <t>Third</t>
  </si>
  <si>
    <t>Fourth</t>
  </si>
  <si>
    <t>Government should see to it that public life conducted according to Jewish religious law</t>
  </si>
  <si>
    <t>1: Definitely; 2: Maybe; 3: Maybe not; 4: Definitely not</t>
  </si>
  <si>
    <t>Preferred arrangements in public swimming poolS</t>
  </si>
  <si>
    <t>1: Strongly support separate days for men and women; 2: Prefer separate days; 3: Days for separate and for joint swimming; 4: Prefers joint days; 5: Strongly support joint days</t>
  </si>
  <si>
    <t>Mandatory military service for all Jewish men in Israel</t>
  </si>
  <si>
    <t>Exemption of Yeshiva students from military service</t>
  </si>
  <si>
    <t>Public transportation on Sabbath</t>
  </si>
  <si>
    <t>1: Suits Labor party; 2: Suits Likud party; 3: Both parties; 4: Neither</t>
  </si>
  <si>
    <t>Concerned for weaker strata in society</t>
  </si>
  <si>
    <t>Secures Jewish majority in Israel</t>
  </si>
  <si>
    <t>Closes gaps between ethnic groups</t>
  </si>
  <si>
    <t>Contributed to building the country</t>
  </si>
  <si>
    <t>Promotes self-esteem of oriental Jews</t>
  </si>
  <si>
    <t>Can be firm in negotiations about peace and territories</t>
  </si>
  <si>
    <t>Will know how to preserve democracy</t>
  </si>
  <si>
    <t>Can achieve true peace with the Arabs</t>
  </si>
  <si>
    <t>Can regain quiet and order in territories</t>
  </si>
  <si>
    <t>Knows how to absorb immigration</t>
  </si>
  <si>
    <t>Knows how to decrease unemployment</t>
  </si>
  <si>
    <t>a98</t>
  </si>
  <si>
    <t>a99</t>
  </si>
  <si>
    <t>Can maintain good relations with U.S.</t>
  </si>
  <si>
    <t>a101</t>
  </si>
  <si>
    <t>Labor party</t>
  </si>
  <si>
    <t>1: Strong aversion (hate); 10: Strong affection (love)</t>
  </si>
  <si>
    <t>a102</t>
  </si>
  <si>
    <t>Likud party</t>
  </si>
  <si>
    <t>a103</t>
  </si>
  <si>
    <t>Yitzhak Shamir</t>
  </si>
  <si>
    <t>a104</t>
  </si>
  <si>
    <t>Yitzhak Rabin</t>
  </si>
  <si>
    <t>a105</t>
  </si>
  <si>
    <t>Shimon Peres</t>
  </si>
  <si>
    <t>a106</t>
  </si>
  <si>
    <t>Arabs</t>
  </si>
  <si>
    <t>a107</t>
  </si>
  <si>
    <t>Religious people</t>
  </si>
  <si>
    <t>a108</t>
  </si>
  <si>
    <t>Gush Emunim movement</t>
  </si>
  <si>
    <t>a109</t>
  </si>
  <si>
    <t>Peace Now movement</t>
  </si>
  <si>
    <t>a110</t>
  </si>
  <si>
    <t>Self rating on right-left scale</t>
  </si>
  <si>
    <t>1: Extreme right; 7: Extreme left</t>
  </si>
  <si>
    <t>a112</t>
  </si>
  <si>
    <t>Has leadership characteristics</t>
  </si>
  <si>
    <t>1: Suits Yitzhak Shamir; 2: Suits Yitzhak Rabin; 3: Both leaders; 4: Neither</t>
  </si>
  <si>
    <t>a113</t>
  </si>
  <si>
    <t>Strong</t>
  </si>
  <si>
    <t>a114</t>
  </si>
  <si>
    <t>a115</t>
  </si>
  <si>
    <t>a116</t>
  </si>
  <si>
    <t>Places benefit of the country before party</t>
  </si>
  <si>
    <t>a117</t>
  </si>
  <si>
    <t>Initiates and move things</t>
  </si>
  <si>
    <t>a118</t>
  </si>
  <si>
    <t>a119</t>
  </si>
  <si>
    <t>Can stand up under pressure</t>
  </si>
  <si>
    <t>a120</t>
  </si>
  <si>
    <t>Leader representing interviewee's stand on territories issues</t>
  </si>
  <si>
    <t>1: Yitzhak Shamir; 2: Yitzhak Rabin</t>
  </si>
  <si>
    <t>a122</t>
  </si>
  <si>
    <t>Placement of Yitzhak Shamir as head of the Likud party</t>
  </si>
  <si>
    <t>1: Has effect; 2: Has no effect</t>
  </si>
  <si>
    <t>a123</t>
  </si>
  <si>
    <t>Primaries held in Labor party</t>
  </si>
  <si>
    <t>125</t>
  </si>
  <si>
    <t>a124</t>
  </si>
  <si>
    <t>composition of Labor party list</t>
  </si>
  <si>
    <t>a125</t>
  </si>
  <si>
    <t>composition of Likud party list</t>
  </si>
  <si>
    <t>a126</t>
  </si>
  <si>
    <t>The process of electing seven candidates at a time in Likud</t>
  </si>
  <si>
    <t>a127</t>
  </si>
  <si>
    <t>Placement of Yitzhak Rabin as head of Labor party</t>
  </si>
  <si>
    <t>i2</t>
  </si>
  <si>
    <t>Probability of having national unity governmen</t>
  </si>
  <si>
    <t>Relations with United States</t>
  </si>
  <si>
    <t>Absorption of immigrants</t>
  </si>
  <si>
    <t>Unemployment</t>
  </si>
  <si>
    <t>Corruption in government and the report of the state controller</t>
  </si>
  <si>
    <t>The Intifada</t>
  </si>
  <si>
    <t>Initiation of peace talks</t>
  </si>
  <si>
    <t>Government's handling of peace talks</t>
  </si>
  <si>
    <t>Relations between religious and non-religious groups</t>
  </si>
  <si>
    <t>Settlement policy of the Likud</t>
  </si>
  <si>
    <t>Non conventional weapons in Arab countries</t>
  </si>
  <si>
    <t>1: Very threatening; 2: Threatening; 3: Not so threatening; 4: Not threatening at all</t>
  </si>
  <si>
    <t>State run by Jewish religious law</t>
  </si>
  <si>
    <t>Equal number of Jews and Arabs in Israel</t>
  </si>
  <si>
    <t>Separation of religion from state</t>
  </si>
  <si>
    <t>Returning the territories</t>
  </si>
  <si>
    <t>Non democratic regime in Israel</t>
  </si>
  <si>
    <t>Another war with the Arabs</t>
  </si>
  <si>
    <t>Halachic state</t>
  </si>
  <si>
    <t>1: High probability; 2: Low probability</t>
  </si>
  <si>
    <t>Israel's ability to achieve all important goals simultaneously</t>
  </si>
  <si>
    <t>At present</t>
  </si>
  <si>
    <t>Five years ago</t>
  </si>
  <si>
    <t>In five years</t>
  </si>
  <si>
    <t>Evaluation of ethnic discrimination in Israel</t>
  </si>
  <si>
    <t>1: Very strong discrimination; 2: Strong discrimination; 3: Medium extent; 4: Weak discrimination; 5: Not at all/hardly any</t>
  </si>
  <si>
    <t>Personal suffering due to ethnic discrimination</t>
  </si>
  <si>
    <t>1: Very big; 2: Big; 3: Medium; 4: Small; 5: Not at all/none</t>
  </si>
  <si>
    <t>Evaluation of personal election for prime ministry</t>
  </si>
  <si>
    <t>1: Better system; 2: Worse system; 3: No change</t>
  </si>
  <si>
    <t>Interviewee's guess on ruling party after elections</t>
  </si>
  <si>
    <t>1: Labor; 2: Likud; 3: National unity government; 4: National unity government headed by Labor; 5: National unity government headed by Likud; 6: Other</t>
  </si>
  <si>
    <t>Favored party to form next government</t>
  </si>
  <si>
    <t>42-43</t>
  </si>
  <si>
    <t>Vote if elections were held today</t>
  </si>
  <si>
    <t>01: Labor; 02: Likud; 03: Meretz (Ratz, Shinui and Mapam); 04: Tehiya; 05: Moledet; 06: Tzomet; 07: National Religious Party; 08: Agudat Israel/Degel Ha-Torah/Harav Peretz; 09: Shas; 10: Modai's Party; 11: Russian Immigrant's Party; 12: Arab Democratic Party; 13: Hadash; 14: Progressive List for Peace; 15: Other Party; 16: Undecided; 17: Would not vote</t>
  </si>
  <si>
    <t>Voting in 1988 Knesset elections</t>
  </si>
  <si>
    <t>01: Labor; 02: Likud; 03: Mapam; 04: Ratz; 05: Shinui Center Party; 06: Tehiya; 07: Tzomet; 08: Moledet; 09: National Religious Party; 10: Dovish Religious Party; 11: Agudat Israel; 12: Degel Ha-Torah; 13: Shas; 14: Arab Democratic Party; 15: Hadash; 16: Progressive Peace Party; 17: Other Party; 18: Did not vote, eligible to vote; 19: Did not vote, not eligible to vote</t>
  </si>
  <si>
    <t>Preferred candidate in personal elections</t>
  </si>
  <si>
    <t>Preferred party in personal elections</t>
  </si>
  <si>
    <t>01: Labor; 02: Likud; 03: Meretz (Ratz, Shinui and Mapam); 04: Tehiya; 05: Moledet; 06: Tzomet; 07: National Religious Party; 08: Agudat Israel/Degel Ha-Torah/Harav Peretz; 09: Shas; 10: Modai's Party; 11: Russian Immigrants Party; 12: Arab Democratic Party; 13: Hadash; 14: Progressive Peace Party; 15: Other Party; 16: Undecided; 17: Would not vote</t>
  </si>
  <si>
    <t>Connected to cable TV</t>
  </si>
  <si>
    <t>1: Yes; 2: No; 9: Does not have TV set</t>
  </si>
  <si>
    <t>Reception of channel 2 broadcasts</t>
  </si>
  <si>
    <t>Ownership of VCR</t>
  </si>
  <si>
    <t>Watching television elections broadcasts</t>
  </si>
  <si>
    <t>1: Daily; 2: Usually; 3: Sometimes; 4: Rarely; 5: Never</t>
  </si>
  <si>
    <t>Evaluation of effect of broadcasts on voting</t>
  </si>
  <si>
    <t>1: Strong effect; 2: Certain effect; 3: Small effect; 4: No effect</t>
  </si>
  <si>
    <t>Interviewee observes religious traditions</t>
  </si>
  <si>
    <t>1: Observes completely; 2: Observes to a great extent; 3: Observes to a small extent; 4: Does not observe at all</t>
  </si>
  <si>
    <t>Self ethnic definition</t>
  </si>
  <si>
    <t>1: Ashkenazi; 2: Sephardi; 3: Neither; 4: Both</t>
  </si>
  <si>
    <t>56-57</t>
  </si>
  <si>
    <t>01: North Africa; 02: Asia; 03: East Europe; 04: West/Center Europe; 05: America/Australia/South Africa; 06: Israel (Israel); 07: Israel (North Africa); 08: Israel (Asia); 09: Israel (East Europe); 10: Israel (West/Center Europe); 11: Israel (America/Australia/South Africa)</t>
  </si>
  <si>
    <t>58-59</t>
  </si>
  <si>
    <t>60-61</t>
  </si>
  <si>
    <t>Marital status</t>
  </si>
  <si>
    <t>1: Single; 2: Married; 3: Divorced; 4: Widowed</t>
  </si>
  <si>
    <t>Support and membership in a political party</t>
  </si>
  <si>
    <t>1: Does not support a particular party; 2: Supports a party only; 3: member but no office; 4: Member and unpaid office; 5: Member and paid office-holder</t>
  </si>
  <si>
    <t>1: Left wing; 2: Moderate left; 3: Center; 4: Moderate right; 5: Right; 6: Religious; 7: Does not identify with any political tendency</t>
  </si>
  <si>
    <t>Membership in Histadrut</t>
  </si>
  <si>
    <t>Reading daily newspaper</t>
  </si>
  <si>
    <t>1: Almost never; 2: Seldom; 3: Once a week; 4: 2-3 times a week; 5: Read one daily newspaper almost every day; 6: Read more then one daily newspaper almost every day</t>
  </si>
  <si>
    <t>Military service</t>
  </si>
  <si>
    <t>1: Will serve in the future; 2: Compulsory service today; 3: Permanent service today; 4: Served in past; 5: Did not serve</t>
  </si>
  <si>
    <t>Past service in territories since December 1987</t>
  </si>
  <si>
    <t>72-73</t>
  </si>
  <si>
    <t>Number of rooms in house</t>
  </si>
  <si>
    <t>74-75</t>
  </si>
  <si>
    <t>Number of persons in house</t>
  </si>
  <si>
    <t>Estimated monthly expenditure</t>
  </si>
  <si>
    <t>1: Way above average; 2: Somewhat above average; 3: Average; 4: Somewhat below average; 5: Way below average</t>
  </si>
  <si>
    <t>1: Salaried worker; 2: Salaried worker - clerk; 3: Salaried worker - manager; 4: Self-employed; 5: Self-employed - owns company; 6: Does not work</t>
  </si>
  <si>
    <t>Locality of interview</t>
  </si>
  <si>
    <t>Statistical area</t>
  </si>
  <si>
    <t>1988_Panel_N=416</t>
  </si>
  <si>
    <t>Study 1987-1988 panel</t>
  </si>
  <si>
    <t>2-5</t>
  </si>
  <si>
    <t>Which of the following 3 solutions to the problem of the territories is most acceptable</t>
  </si>
  <si>
    <t>1: Returning most of the occupied territories for a peace treaty; 2: Annexation of the territories to the state of Israel; 3: Keeping the situation as is</t>
  </si>
  <si>
    <t>Which of the 2 possibilities should Israel choose</t>
  </si>
  <si>
    <t>REASONS FOR KEEPING JUDEA, SAMARIA AND GAZA</t>
  </si>
  <si>
    <t>We have a right over Judea,Samaria and Gaza</t>
  </si>
  <si>
    <t>1: Best reason to keep Judea Samaria and Gaza; 4: Less important reason to keep Judea Samaria and Gaza</t>
  </si>
  <si>
    <t>Prevents establishment of a Palestinian state that will endanger our security</t>
  </si>
  <si>
    <t>Gives strategic depth in case of war in the east front</t>
  </si>
  <si>
    <t>Could be used in negotiating peace with Jordan</t>
  </si>
  <si>
    <t>The contribution of the settlements in Judea &amp; Samaria to the country's security</t>
  </si>
  <si>
    <t>1: The settlements contribute to the country's security; 4: The settlements do not influence the country's security; 7: The settlements harm the country's security</t>
  </si>
  <si>
    <t>The influence of our presence in the territories on the morale of the IDF</t>
  </si>
  <si>
    <t>1: Negative influence; 4: No influence; 7: Positive influence</t>
  </si>
  <si>
    <t>Whose voice should be heard regarding the future of the territories</t>
  </si>
  <si>
    <t>1: Present IDF generals; 2: Former IDF generals; 3: Political science professors; 4: Likud leaders; 5: Labour party leaders; 6: Rabbis; 7: Public opinion</t>
  </si>
  <si>
    <t>Evaluation of differences between two major parties on security issues</t>
  </si>
  <si>
    <t>1: Very far away from each other; 2: Far away from each other; 3: In some cases far, in others close; 4: In fact, they are close; 5: Very close</t>
  </si>
  <si>
    <t>Rights to be given to Palestinians if territories are annexed</t>
  </si>
  <si>
    <t>1: Full civil rights (including voting rights); 2: Civil rights (excluding voting rights); 3: Leave current situation unchanged; 4: Decrease current rights</t>
  </si>
  <si>
    <t>Should a Palestinian autonomy be established in Judea, Samaria and Gaza</t>
  </si>
  <si>
    <t>Should Israel agree to establishing a Palestinian state in the occupied territories</t>
  </si>
  <si>
    <t>Should Israel agree to concession of the Golan Heights for peace</t>
  </si>
  <si>
    <t>Possibility of ending Arab terror through military action alone</t>
  </si>
  <si>
    <t>1: It is possible to end the terror; 2: It can be diminished; 3: Military action has no effect on terror; 4: Military action will only increase terror</t>
  </si>
  <si>
    <t>What should be the main direction in fighting against terror</t>
  </si>
  <si>
    <t>1: A war initiated by us to hit the terrorists at their bases; 2: A defensive type of war, deterrent actions; 3: A response type war, initiating retaliation operations following terrorists attacks</t>
  </si>
  <si>
    <t>What should be the appropriate response in event of Katusha bombing of the Galilee</t>
  </si>
  <si>
    <t>1: Invade south Lebanon with large amount of forces and hold it for a long period; 2: Launch a bombing using air force and artillery; 3: Using a limited military force to destroy terrorists' nests; 4: Selective air bombing on terrorists' bases; 5: No military response but a political solution</t>
  </si>
  <si>
    <t>Was the war in Lebanon worth while considering the consequences</t>
  </si>
  <si>
    <t>1: Worth while; 2: Not worth while</t>
  </si>
  <si>
    <t>Should Israel agree to negotiate with P.L.O. taking into account the current situation</t>
  </si>
  <si>
    <t>In principle, is respondent for or against death penalty for terrorists</t>
  </si>
  <si>
    <t>1: For death penalty; 2: Against death penalty</t>
  </si>
  <si>
    <t>RESPONDENT'S ATTITUDE TOWARD THE FOLLOWING ACTIONS</t>
  </si>
  <si>
    <t>Attitude toward the destruction of houses whose owners hosted terrorists and knew that they are terrorists</t>
  </si>
  <si>
    <t>1: Definitely supports; 2: Supports; 3: Opposes; 4: Definitely opposes</t>
  </si>
  <si>
    <t>Attitude toward the deportation of people who have maintained contact with terrorists' organizations</t>
  </si>
  <si>
    <t>Retaliation against terrorists' bases if this does not endanger Arab civilians</t>
  </si>
  <si>
    <t>Bombing terrorists' bases even if civilians get hurt</t>
  </si>
  <si>
    <t>Terrorist' attacks on terrorists' leaders</t>
  </si>
  <si>
    <t>Retaliation against states who sponsor terror</t>
  </si>
  <si>
    <t>Should Israel exchange life-time sentenced terrorists for Israeli hostages</t>
  </si>
  <si>
    <t>1: Definitely agrees; 2: Agrees; 3: Opposes; 4: Definitely opposes</t>
  </si>
  <si>
    <t>Should Israel exchange life-time sentenced terrorists for IDF soldiers held by terrorists</t>
  </si>
  <si>
    <t>SHOULD ISRAEL INITIATE WAR IN EACH OF THE FOLLOWING SITUATIONS</t>
  </si>
  <si>
    <t>Should Israel initiate war as a defense against an attempt to destroy Israel</t>
  </si>
  <si>
    <t>1: Totally justified; 2: Justified; 3: Unjustified; 4: Totally justified</t>
  </si>
  <si>
    <t>Should Israel initiate war to prevent an attempt to resieze territories captured by us</t>
  </si>
  <si>
    <t>Should Israel initiate war to prevent or stop a war of attrition held against us</t>
  </si>
  <si>
    <t>Should Israel initiate war to destroy the military power of a strengthening enemy to prevent a future threat</t>
  </si>
  <si>
    <t>Should Israel initiate war to overthrow a hostile regime and set a lenient one to sign a peace treaty with</t>
  </si>
  <si>
    <t>Should Israel initiate war to capture strategic territories</t>
  </si>
  <si>
    <t>Following Information on intent to start a border incident</t>
  </si>
  <si>
    <t>Following a U.S. request for assistance in defending her interests</t>
  </si>
  <si>
    <t>To help friendly elements in the area (e.g. Lebanese Christians)</t>
  </si>
  <si>
    <t>To destroy terrorists' bases targeted against us</t>
  </si>
  <si>
    <t>Should Israel develop atomic weapons</t>
  </si>
  <si>
    <t>Are there circumstances where it would be justified to use atomic weapons</t>
  </si>
  <si>
    <t>1: Yes; 2: No, under no circumstances</t>
  </si>
  <si>
    <t>SHOULD ISRAEL USE ATOMIC WEAPON IN EACH OF THE FOLLOWING</t>
  </si>
  <si>
    <t>Should Israel use atomic weapon as a response to an atomic attack from another country</t>
  </si>
  <si>
    <t>Should Israel use atomic weapon to prevent defeat in a conventional war</t>
  </si>
  <si>
    <t>Should Israel use atomic weapon to save many people's lives</t>
  </si>
  <si>
    <t>Should Israel use atomic weapon to save some people's lives</t>
  </si>
  <si>
    <t>Should Israel use atomic weapon as a weapon, instead of using the regular army</t>
  </si>
  <si>
    <t>Does respondent think Israel has atomic weapons</t>
  </si>
  <si>
    <t>1: Certain there is; 2: Thinks there is, uncertain; 3: Thinks there isn't, uncertain; 4: Certain there isn't</t>
  </si>
  <si>
    <t>If Israel has atomic weapons, should it be kept a secret</t>
  </si>
  <si>
    <t>1: It should be kept a secret; 2: Should be announced to deter the enemy</t>
  </si>
  <si>
    <t>How would respondent define himself on the hawks and doves continuum</t>
  </si>
  <si>
    <t>1: Hawk; 7: Dove</t>
  </si>
  <si>
    <t>What should Israel emphasize to prevent a war against the Arab countries</t>
  </si>
  <si>
    <t>1: To do everything it can to start a peace process; 2: To increase its military power</t>
  </si>
  <si>
    <t>A peace process should be initiated, even at the price of territorial concessions</t>
  </si>
  <si>
    <t>Individuals should sacrifice personally,economically to ensure our strength</t>
  </si>
  <si>
    <t>Atomic weapons should be developed to deter the Arabs</t>
  </si>
  <si>
    <t>Israel should sign a defense treaty with the U.S. to prevent Arab aggression</t>
  </si>
  <si>
    <t>Israel should encourage Arab emigration</t>
  </si>
  <si>
    <t>1: Definitely capable; 2: Capable; 3: Incapable; 4: Definitely incapable</t>
  </si>
  <si>
    <t>Probability of signing a peace treaty with another Arab country within 3 years</t>
  </si>
  <si>
    <t>1: Most likely; 2: Likely; 3: Unlikely; 4: Most unlikely</t>
  </si>
  <si>
    <t>Most dangerous enemies of Israel</t>
  </si>
  <si>
    <t>1: Syria; 2: P.L.O; 3: Jordan; 4: The Shiites in Lebanon; 5: Libya; 6: Egypt; 7: Iraq; 8: Humeini's Iran; 9: Saudi-Arabia</t>
  </si>
  <si>
    <t>v701</t>
  </si>
  <si>
    <t>Second most dangerous enemies of Israel</t>
  </si>
  <si>
    <t>Today, are you for or against the peace agreement with Egypt</t>
  </si>
  <si>
    <t>1: For; 2: Against</t>
  </si>
  <si>
    <t>At the time were you for or against the peace agreement with Egypt</t>
  </si>
  <si>
    <t>THE EXTENT OF APPROVAL OF THE FOLLOWING SAYINGS</t>
  </si>
  <si>
    <t>Of all the viewpoints, there must be one and only one which is correct</t>
  </si>
  <si>
    <t>1: Definitely agrees; 2: Agrees; 3: Objects; 4: Definitely objects</t>
  </si>
  <si>
    <t>Under no circumstance should people take the law into their hands</t>
  </si>
  <si>
    <t>In cases where state interests interfere with personal ones the latter should prevail</t>
  </si>
  <si>
    <t>No returning of any of Israel's land is a must</t>
  </si>
  <si>
    <t>God will protect us if we are worthy even if we are unprepared for war</t>
  </si>
  <si>
    <t>v79</t>
  </si>
  <si>
    <t>To what extent do you believe in our exisence in Israel in the long run</t>
  </si>
  <si>
    <t>ISRAEL'S CAPABILITY OF COPING WITH VARIOUS SITUATIONS</t>
  </si>
  <si>
    <t>v81</t>
  </si>
  <si>
    <t>Israel's capability of total Israeli-Arab war</t>
  </si>
  <si>
    <t>v82</t>
  </si>
  <si>
    <t>Israel's capability of war against Syria alone</t>
  </si>
  <si>
    <t>v83</t>
  </si>
  <si>
    <t>Israel's capability of increase of terrorist activity</t>
  </si>
  <si>
    <t>v84</t>
  </si>
  <si>
    <t>Israel's capability of decrease of American support</t>
  </si>
  <si>
    <t>v85</t>
  </si>
  <si>
    <t>Israel's capability of Israeli Arabs' civilian uprising</t>
  </si>
  <si>
    <t>v86</t>
  </si>
  <si>
    <t>Israel's capability of territories Arabs' uprising</t>
  </si>
  <si>
    <t>v87</t>
  </si>
  <si>
    <t>USSR will assist Arab states against us</t>
  </si>
  <si>
    <t>v88</t>
  </si>
  <si>
    <t>What probability does respondent attach to Israel's destruction</t>
  </si>
  <si>
    <t>1: High; 2: Medium; 3: Low; 4: Non-existent</t>
  </si>
  <si>
    <t>v89</t>
  </si>
  <si>
    <t>Level of rationality of Israel's foreign and security policy</t>
  </si>
  <si>
    <t>1: Always rational; 2: Usually rational; 3: Some times rational at others not; 4: Usually irrational; 5: Always irrational</t>
  </si>
  <si>
    <t>v90</t>
  </si>
  <si>
    <t>Level of rationality of the Arab states' foreign and security policy</t>
  </si>
  <si>
    <t>v91</t>
  </si>
  <si>
    <t>Estimate of the Arabs' ultimate goal</t>
  </si>
  <si>
    <t>1: To retrieve part of the territories seized during the 6 Day War; 2: To retrieve all of the territories seized during the 6 Day War; 3: To conquer Israel; 4: To conquer Israel and annihilate most of the Jewish population</t>
  </si>
  <si>
    <t>WHICH OF THE FOLLOWING IS A REASON FOR THE ARABS OBJECTING TO ISRAEL'S EXISTENCE</t>
  </si>
  <si>
    <t>v93</t>
  </si>
  <si>
    <t>Reason for the arabs objecting to Israels' existence:They nurture hatred towards Jews</t>
  </si>
  <si>
    <t>1: Is a reason; 2: Is not a reason</t>
  </si>
  <si>
    <t>v94</t>
  </si>
  <si>
    <t>Reason for the arabs objecting to Israels' existence:Israel is an alien element in the Middle East</t>
  </si>
  <si>
    <t>v95</t>
  </si>
  <si>
    <t>Reason for the arabs objecting to Israels' existence:Our technological advantage scares them</t>
  </si>
  <si>
    <t>v96</t>
  </si>
  <si>
    <t>Reason for the arabs objecting to Israels' existence:They view Israeli land as Arab land which should be returned to owners</t>
  </si>
  <si>
    <t>v97</t>
  </si>
  <si>
    <t>Reason for the arabs objecting to Israels' existence:They only want to retrieve those lands which were taken during the 6 Day War</t>
  </si>
  <si>
    <t>v98</t>
  </si>
  <si>
    <t>Reason for the arabs objecting to Israels' existence:They fear future Israeli aggressiveness</t>
  </si>
  <si>
    <t>v99</t>
  </si>
  <si>
    <t>From the above list name main cause for their opposition to us</t>
  </si>
  <si>
    <t>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t>
  </si>
  <si>
    <t>v991</t>
  </si>
  <si>
    <t>From the above list name second main cause for their opposition to us</t>
  </si>
  <si>
    <t>WHICH OF THE FOLLOWING WOULD YOU BE WILLING TO GIVE TO MAINTAIN/STRENGTHEN THE SECURITY</t>
  </si>
  <si>
    <t>v101</t>
  </si>
  <si>
    <t>Willingness to have taxes raised so that the respondent pays more to increase security budget</t>
  </si>
  <si>
    <t>1: Is willing; 2: Is unwilling</t>
  </si>
  <si>
    <t>v102</t>
  </si>
  <si>
    <t>Willingness to serve more in the army</t>
  </si>
  <si>
    <t>v103</t>
  </si>
  <si>
    <t>Willingness to serve more in the reserve service</t>
  </si>
  <si>
    <t>v104</t>
  </si>
  <si>
    <t>Is the burden of the military service divided up justly</t>
  </si>
  <si>
    <t>1: Just; 2: Unjust</t>
  </si>
  <si>
    <t>v105</t>
  </si>
  <si>
    <t>Is the reserve military service used efficiently or wasted</t>
  </si>
  <si>
    <t>1: Usually used efficiently; 2: Usually wasted</t>
  </si>
  <si>
    <t>v106</t>
  </si>
  <si>
    <t>What is your opinion on the length of military service</t>
  </si>
  <si>
    <t>1: Too long; 2: Appropriate; 3: Too short</t>
  </si>
  <si>
    <t>v107</t>
  </si>
  <si>
    <t>What is your opinion of the defense budget</t>
  </si>
  <si>
    <t>1: It should be increased; 2: It should stay as is; 3: It should be cut</t>
  </si>
  <si>
    <t>v108</t>
  </si>
  <si>
    <t>What would be your opinion of the defense budget should economic state get worse</t>
  </si>
  <si>
    <t>v109</t>
  </si>
  <si>
    <t>What do you think of cutting social services to increase defense budget</t>
  </si>
  <si>
    <t>1: Definitely justified; 2: Justified; 3: Unjustified; 4: Totally unjustified</t>
  </si>
  <si>
    <t>v110</t>
  </si>
  <si>
    <t>What do you think of IDF increasing/decreasing its power in last 5 years</t>
  </si>
  <si>
    <t>1: Significant decrease; 2: Some decrease; 3: No change; 4: Some increase; 5: Significant increase</t>
  </si>
  <si>
    <t>v111</t>
  </si>
  <si>
    <t>Who should determine IDF's future weapon systems</t>
  </si>
  <si>
    <t>1: The government; 2: The Knesset; 3: The army; 4: Military industry/Air force industry; 5: Other</t>
  </si>
  <si>
    <t>v112</t>
  </si>
  <si>
    <t>What is your attitude towards the continuation of the Lavi project</t>
  </si>
  <si>
    <t>1: Definitely supports its continuation; 2: Supports its continuation; 3: Opposes its continuation; 4: Definitely opposes its continuation</t>
  </si>
  <si>
    <t>v113</t>
  </si>
  <si>
    <t>Are decisions regarding military matters affected by objective considerations</t>
  </si>
  <si>
    <t>1: Only objective considerations; 2: Also other considerations</t>
  </si>
  <si>
    <t>v114</t>
  </si>
  <si>
    <t>Who determines Israel's defense policy for the most part</t>
  </si>
  <si>
    <t>1: The prime minister; 2: The minister of defense; 3: The cabinet; 4: The government; 5: Foreign Affairs and Defense Committee; 6: IDF's general staff; 7: The media; 8: The U.S.; 9: The Israeli people; 10: Other</t>
  </si>
  <si>
    <t>v115</t>
  </si>
  <si>
    <t>Should security considerations override other social/ecconomic considerations</t>
  </si>
  <si>
    <t>1: Security considerations should override all others; 7: Security should not override</t>
  </si>
  <si>
    <t>v116</t>
  </si>
  <si>
    <t>Should security considerations override the law</t>
  </si>
  <si>
    <t>v117</t>
  </si>
  <si>
    <t>How does the current leadership view the security/law dichotomy</t>
  </si>
  <si>
    <t>1: Always prefers security considerations; 2: Usually prefers security considerations; 3: Usually prefers the law; 4: Always prefers the law</t>
  </si>
  <si>
    <t>v118</t>
  </si>
  <si>
    <t>How did the first years' leadership view the security/law dichotomy</t>
  </si>
  <si>
    <t>v119</t>
  </si>
  <si>
    <t>Is there enough supervision over the Mossad and the Shin-Beit</t>
  </si>
  <si>
    <t>1: Too much supervision; 2: Enough supervision; 3: Not enough supervision</t>
  </si>
  <si>
    <t>THE EXTENT OF APPROVAL OF THE FOLLOWING</t>
  </si>
  <si>
    <t>v121</t>
  </si>
  <si>
    <t>The keeper of Israel shall not sleep</t>
  </si>
  <si>
    <t>1: Definitely agrees; 2: Agrees; 3: Disagrees; 4: Definitely disagrees</t>
  </si>
  <si>
    <t>v122</t>
  </si>
  <si>
    <t>Massada will never fall again</t>
  </si>
  <si>
    <t>v123</t>
  </si>
  <si>
    <t>The whole world is against us</t>
  </si>
  <si>
    <t>v124</t>
  </si>
  <si>
    <t>The glory of Israel shall not die</t>
  </si>
  <si>
    <t>v125</t>
  </si>
  <si>
    <t>Israel has been and always will be isolated</t>
  </si>
  <si>
    <t>v126</t>
  </si>
  <si>
    <t>I would die for my country</t>
  </si>
  <si>
    <t>v127</t>
  </si>
  <si>
    <t>If he come to slay thee, forestall by slaying him</t>
  </si>
  <si>
    <t>v128</t>
  </si>
  <si>
    <t>The best defense is offense</t>
  </si>
  <si>
    <t>v129</t>
  </si>
  <si>
    <t>Military victory enhances the peace process</t>
  </si>
  <si>
    <t>v130</t>
  </si>
  <si>
    <t>The keeper of Israel shall not sleep-who is the keeper of Israel</t>
  </si>
  <si>
    <t>1: God; 2: IDF; 3: USA; 4: The state of Israel; 5: The people of Israel; 6: Every man to himself; 7: Other</t>
  </si>
  <si>
    <t>v131</t>
  </si>
  <si>
    <t>Should Israel supply non-democratic and hostile states (such as Iran)with weapons</t>
  </si>
  <si>
    <t>1: Weapons should be sold to anyone; 2: Weapons should be sold to anyone except to hostile states; 3: Weapons should be sold to states whose regime seems good to us; 4: Weapons should not be sold to other states</t>
  </si>
  <si>
    <t>v132</t>
  </si>
  <si>
    <t>Respondent's opinion of a peace conference with the sponsorship of the superpowers</t>
  </si>
  <si>
    <t>Should the government take public opinion into consideration when waging a war</t>
  </si>
  <si>
    <t>1: Definitely should; 2: Should; 3: Should not; 4: Definitely should not</t>
  </si>
  <si>
    <t>Support of government in security crisis even if disagreeing with it's way</t>
  </si>
  <si>
    <t>1: Definitely necessary; 2: Usually necessary; 3: Usually Unnecessary; 4: Never necessary</t>
  </si>
  <si>
    <t>IS A HIGH RANKING MILITARY MAN ENTITLED TO DO THE FOLLOWING</t>
  </si>
  <si>
    <t>Discuss his disapproval of government policy with his superiors</t>
  </si>
  <si>
    <t>1: Is entitled; 2: Is not entitled</t>
  </si>
  <si>
    <t>Send anonymous letters to the press</t>
  </si>
  <si>
    <t>Express his opinion openly in the media if it does not harm state security</t>
  </si>
  <si>
    <t>Request to release him from duty</t>
  </si>
  <si>
    <t>Refuse to follow orders concerning policy</t>
  </si>
  <si>
    <t>Media's treatment of security matters</t>
  </si>
  <si>
    <t>1: Totally responsibly; 2: Usually responsibly; 3: Usually irresponsibly; 4: Totally irresponsibly</t>
  </si>
  <si>
    <t>Media's coverage of security matters</t>
  </si>
  <si>
    <t>1: Not enough; 2: Enough; 3: Too much</t>
  </si>
  <si>
    <t>Reliability of statements made by the country's leaders on security matters</t>
  </si>
  <si>
    <t>1: Definitely trusts; 2: Trusts; 3: Does not trust; 4: Definitely distrusts</t>
  </si>
  <si>
    <t>Are security related decisions influenced by non-related considerations</t>
  </si>
  <si>
    <t>1: Only by related considerations; 2: Also by other considerations</t>
  </si>
  <si>
    <t>How well does the public understand security matters to be able to express an opinion</t>
  </si>
  <si>
    <t>1: Understands very well; 2: Understands; 3: Understands to a certain extent; 4: Understands very little; 5: Does not understand</t>
  </si>
  <si>
    <t>Frequency of expressing own opinion on security matters, including protest letters</t>
  </si>
  <si>
    <t>1: Often; 2: Sometimes; 3: Very rarely; 4: Never</t>
  </si>
  <si>
    <t>To what extent do you and your friends influence decisions on security matters</t>
  </si>
  <si>
    <t>1: A great deal; 2: To some extent; 3: Very little; 4: Not at all</t>
  </si>
  <si>
    <t>How well do you understand security matters to express an opinion</t>
  </si>
  <si>
    <t>1: Understands very well; 2: Understands; 3: Understansds to a certain extent; 4: Understands very little; 5: Does not understand</t>
  </si>
  <si>
    <t>FOR EACH OF THE FOLLOWING STATE "AGREE" OR "DISAGREE"</t>
  </si>
  <si>
    <t>In daily life the ends which are important to me justify the means</t>
  </si>
  <si>
    <t>The criticism of Israel stems mainly from anti-semitism</t>
  </si>
  <si>
    <t>Israel should take into consideration the gentiles' opinions</t>
  </si>
  <si>
    <t>Several strong leaders can do more good than any discussion or law</t>
  </si>
  <si>
    <t>TRY TO ANSWER THE FOLLOWING THE BEST YOU CAN</t>
  </si>
  <si>
    <t>What part of the government budget is the defense budget</t>
  </si>
  <si>
    <t>1: Less than 10%; 2: Between 10%-40%; 3: Between 40%-75%; 4: More than 75%</t>
  </si>
  <si>
    <t>Which country makes the F-16 aircraft</t>
  </si>
  <si>
    <t>1: Israel; 2: France; 3: U.S.; 4: Great Britain</t>
  </si>
  <si>
    <t>What is the U.S annual military aid to Israel</t>
  </si>
  <si>
    <t>1: Less than a billion dollars annually; 2: Between 1-3 billion dollars annually; 3: Between 3-5 billion dollars annually; 4: Over 5 billion annually</t>
  </si>
  <si>
    <t>Does IDF have submarines</t>
  </si>
  <si>
    <t>1: Certain they have; 2: I think they have but am not certain; 3: I think they don't but am not certain; 4: Certain they don't have</t>
  </si>
  <si>
    <t>How many terrorists were released following the agreement with Gibril (1985)</t>
  </si>
  <si>
    <t>1: 58; 2: 140; 3: 485; 4: 3900</t>
  </si>
  <si>
    <t>Do Arabs from the occupied territories have a right to appeal to the supreme court</t>
  </si>
  <si>
    <t>1: Certain they have the right; 2: I think they do but am uncertain; 3: I think they don't but am uncertain; 4: Certain they don't</t>
  </si>
  <si>
    <t>Do Arabs from the occupied territories have a right to vote for the Knesset</t>
  </si>
  <si>
    <t>Are most people trust-worthy or not</t>
  </si>
  <si>
    <t>1: Most people are trust worthy; 2: One should be careful when in contact with people</t>
  </si>
  <si>
    <t>Do you think most people tend more to look after other people or only after themselves</t>
  </si>
  <si>
    <t>1: Tend to help others; 2: Tend to help themselves</t>
  </si>
  <si>
    <t>Which of the following is most important to you</t>
  </si>
  <si>
    <t>1: Self fulfillment; 2: Self esteem; 3: Love, affection; 4: Certainty, confidence in life; 5: A comfortable life</t>
  </si>
  <si>
    <t>Which of the following reflects your stand on the society issue in Israel</t>
  </si>
  <si>
    <t>1: Our society needs to undergo a fundamental changes via a revolutionary act; 2: Our society needs to undergo gradual changes by reforms; 3: Our society should stay as is and should be protected from those who want to change it</t>
  </si>
  <si>
    <t>RESPONDENT'S ATTITUDE TOWARD THE FOLLOWING</t>
  </si>
  <si>
    <t>If a person does not look after himself, no one will</t>
  </si>
  <si>
    <t>1: Definitely agrees; 2: Agrees; 3: Uncertain; 4: Disagrees; 5: Definitely disagrees</t>
  </si>
  <si>
    <t>Life is mainly a struggle for survival</t>
  </si>
  <si>
    <t>Compromise with political rivals is dangerous-it leads to betrayal of principles</t>
  </si>
  <si>
    <t>A group which allows different ideas among members cannot survive</t>
  </si>
  <si>
    <t>People divide up into 2 groups: those who support the right views and those who don't</t>
  </si>
  <si>
    <t>Most ideas written today aren't worth the paper used</t>
  </si>
  <si>
    <t>It is better to choose friends whose ideas are similar to your own</t>
  </si>
  <si>
    <t>Most people don't know what's good for them</t>
  </si>
  <si>
    <t>THE FOLLOWING ARE QUESTIONS ON YOUR FEELINGS ABOUT ISRAEL-U.S RELATIONS</t>
  </si>
  <si>
    <t>What opinion do you have of the U.S</t>
  </si>
  <si>
    <t>1: A very good opinion; 2: A good opinion; 3: Neither good nor bad; 4: A bad opinion; 5: A very bad opinion</t>
  </si>
  <si>
    <t>Is your opinion of the U.S more for the good or bad</t>
  </si>
  <si>
    <t>1: A good opinion; 2: A bad opinion</t>
  </si>
  <si>
    <t>How would you describe current relations with the U.S.</t>
  </si>
  <si>
    <t>1: Very good; 2: Pretty good; 3: Normal; 4: Pretty bad; 5: Very bad</t>
  </si>
  <si>
    <t>How much can Israel depend on U.S. as a weapons' supplier</t>
  </si>
  <si>
    <t>1: Very much indeed; 2: Very much; 3: To some extent; 4: Very little; 5: Not at all</t>
  </si>
  <si>
    <t>Is Israel justified in spying in the US to get information relevant to her security</t>
  </si>
  <si>
    <t>1: Definitely justified; 2: Justified; 3: Unjustified; 4: Definitely unjustified</t>
  </si>
  <si>
    <t>Is the US justified in spying in Israel to get information relevant to her security</t>
  </si>
  <si>
    <t>The chances for another world war</t>
  </si>
  <si>
    <t>1: Certain there will be a war; 7: No danger of a war</t>
  </si>
  <si>
    <t>The main problem facing the government today</t>
  </si>
  <si>
    <t>01: Security (general); 02: The Palestinian issue, occupied territories; 03: The uprising in the occupied territories (Intifada); 04: Fighting Terror, security forces; 05: Israeli Arabs; 06: Foreign policy (general); 07: The peace (solving the Israeli Arab conflict); 08: Economy (general); 09: Inflation; 10: Depression, unemployment; 11: Internal affairs (general); 12: Social gap; 13: Young couples, housing; 14: Education; 15: Health; 16: Transportation, road accidents; 17: Immigration absorption; 18: Religious affairs, religious-secular relations; 19: Unity and moral of the people; 20: Other</t>
  </si>
  <si>
    <t>Are you satisfied with your life in general</t>
  </si>
  <si>
    <t>1: Very much; 2: Pretty satisfied; 3: Not so satisfied; 4: Not satisfied at all</t>
  </si>
  <si>
    <t>FOR EACH OF THE FOLLOWING GIVE A MARK FROM 1-9</t>
  </si>
  <si>
    <t>Your personal state</t>
  </si>
  <si>
    <t>1: Worst possible state; 9: Best possible state</t>
  </si>
  <si>
    <t>Your personal state 5 years ago</t>
  </si>
  <si>
    <t>Your personal state 5 years from now</t>
  </si>
  <si>
    <t>Do you support or are active in any party</t>
  </si>
  <si>
    <t>1: I don't support nor am active in any party; 2: I support a party but am not a member; 3: I am a party member; 4: I am an active member in a party; 5: I am a member and hold a post in the party</t>
  </si>
  <si>
    <t>Where do you place yourself in the left-right scale (1-7)</t>
  </si>
  <si>
    <t>1: Rightmost; 7: Leftmost</t>
  </si>
  <si>
    <t>What effect will the security situation have on your voting to the Knesset (closest)</t>
  </si>
  <si>
    <t>1: Will have a great effect; 2: Will have some effect; 3: Will have a very little effect; 4: Will have no effect</t>
  </si>
  <si>
    <t>Which party reflects your view on security matters</t>
  </si>
  <si>
    <t>01: Labour; 02: Likud; 03: Mapam; 04: Tehia; 05: Tzomet; 06: Shinui+Independent Liberals+The Liberal center; 07: Ratz+Sarid+Virsouvski; 08: National religious party; 09: Agudat Israel; 10: Shas; 11: Poalei Agudat Israel; 12: Kach (Kahane); 13: Hadash (Rakah); 14: The movement for progressive peace; 15: Other</t>
  </si>
  <si>
    <t>62-63</t>
  </si>
  <si>
    <t>If elections were held now who would you vote for</t>
  </si>
  <si>
    <t>01: Labour (Maarach) (Labour+Yahad); 02: Likud (Herut+Liberalim++La'am+Ometz+Tami); 03: Mapam; 04: Tehia; 05: Tzomet; 06: Shinui+Independent Liberals+The Liberal center; 07: Ratz+Sarid+Virsouvski; 08: National religious party(Mafdal)+Metzad; 09: Agudat Israel; 10: Shas; 11: Poalei Agudat Israel; 12: Kach (Kahane); 13: Hadash (Rakah); 14: The movement for progressive peace; 15: Other; 16: Has not decided yet; 17: Would not vote</t>
  </si>
  <si>
    <t>64-65</t>
  </si>
  <si>
    <t>For which party did you vote in the 1984 elections</t>
  </si>
  <si>
    <t>01: Labour; 02: Likud; 03: Mafdal; 04: Agudat Israel; 05: Shas; 06: Morasha; 07: Tami; 08: Yahad (Wiezman); 09: Shinui; 10: Ratz; 11: Hatchia+tzomet; 12: Lova Eliav; 13: Ometz; 14: Kach; 15: Hadash (Rakach); 16: The progressive movement for peace; 17: Other; 18: Did not vote though had the right; 19: Did not have the right to vote</t>
  </si>
  <si>
    <t>When did you first vote for the Knesset</t>
  </si>
  <si>
    <t>01: 1949; 02: 1951; 03: 1955; 04: 1959; 05: 1961; 06: 1965; 07: 1969; 08: 1973; 09: 1977; 10: 1981; 11: 1984; 12: I have not yet participated</t>
  </si>
  <si>
    <t>Which party did you vote for for the first time</t>
  </si>
  <si>
    <t>Which party did your father vote for during the last elections</t>
  </si>
  <si>
    <t>Which party did your mother vote for during last elections</t>
  </si>
  <si>
    <t>1: Bachelor/spinster; 2: Married; 3: Divorced; 4: Widow</t>
  </si>
  <si>
    <t>For which party did your spouse vote</t>
  </si>
  <si>
    <t>Do you think you are influenced by your family members' votes</t>
  </si>
  <si>
    <t>1: Yes, very much so; 2: Yes, a lot; 3: Yes, to some extent; 4: Yes, very little; 5: Not at all</t>
  </si>
  <si>
    <t>Who do you think influences your vote mostly</t>
  </si>
  <si>
    <t>1: My father; 2: My mother; 3: Brother/Sister; 4: Spouse; 5: Son/daughter; 6: Other; 7: Both my parents; 8: All my family equally; 9: None of them have any Influence</t>
  </si>
  <si>
    <t>Which of these social groups influences your vote mostly</t>
  </si>
  <si>
    <t>1: My family; 2: My close friends; 3: Friends from work; 4: Members of the movement/organization I belong to; 5: All the above groups equally; 6: None of these have influence over me</t>
  </si>
  <si>
    <t>To what extent is it important to you not to be considered a political anomaly</t>
  </si>
  <si>
    <t>1: Extremely so; 2: Very much; 3: To some extent; 4: Very little; 5: Not at all</t>
  </si>
  <si>
    <t>How often do you discuss political matters with your family</t>
  </si>
  <si>
    <t>1: Almost every day; 2: Once or twice a week; 3: Very rarely; 4: Never</t>
  </si>
  <si>
    <t>With whom do you discuss political matters for the most part</t>
  </si>
  <si>
    <t>1: With my father; 2: With my mother; 3: With my sister/brother; 4: With spouse; 5: With my children; 6: Other; 7: With both my parents equally; 8: With all my family equally; 9: With neither</t>
  </si>
  <si>
    <t>When you lived with your parents, with whom did you discuss political matters</t>
  </si>
  <si>
    <t>1: With my father; 2: With my mother; 3: With my sister/brother; 4: Other; 5: With both parents equally; 6: With all family members; 7: With no one; 8: I still live with my parents</t>
  </si>
  <si>
    <t>Are you satisfied with the way the the Israeli democracy functions</t>
  </si>
  <si>
    <t>1: Very satisfied; 2: Pretty satisfied; 3: Not so satisfied; 4: Not satisfied at all</t>
  </si>
  <si>
    <t>When you have a definite opinion on something do you try to convince others</t>
  </si>
  <si>
    <t>1: Yes, often; 2: Yes, sometimes; 3: Yes, rarely; 4: Never</t>
  </si>
  <si>
    <t>Do you want to live in Israel in the long run</t>
  </si>
  <si>
    <t>1: I am convinced that I do; 2: I want to but am not convinced; 3: I have doubts; 4: I am convinced that I don't</t>
  </si>
  <si>
    <t>What is the main cause for not wanting to live here</t>
  </si>
  <si>
    <t>1: The security situation; 2: The economic situation; 3: The social situation; 4: Rising of anti-democratic views; 5: The place religion has in the state</t>
  </si>
  <si>
    <t>How would you define your feeling today-would you say that you are happy</t>
  </si>
  <si>
    <t>1: Very happy; 2: Quite happy; 3: Not so happy</t>
  </si>
  <si>
    <t>Did you do active military service</t>
  </si>
  <si>
    <t>1: Haven't served yet but will serve; 2: I am doing compulsery service; 3: Professional military service; 4: I have served; 5: I have not served in the army</t>
  </si>
  <si>
    <t>Do you do reserve service</t>
  </si>
  <si>
    <t>90-91</t>
  </si>
  <si>
    <t>How many reserve duty days have you served last year</t>
  </si>
  <si>
    <t>During reserve service do you serve in a combat duty</t>
  </si>
  <si>
    <t>1: Combat duty; 2: Non-combat duty</t>
  </si>
  <si>
    <t>How long have you served in active military service</t>
  </si>
  <si>
    <t>1: Up to a year; 2: 1-1.5 years; 3: 1.5-2 years; 4: 2-2.5 years; 5: 2.5-3 years; 6: 3-6 years; 7: 6-15 years; 8: Over 15 years</t>
  </si>
  <si>
    <t>Did you serve in combat during army service</t>
  </si>
  <si>
    <t>1: Mainly in combat services; 2: Both in combat and non- combat services; 3: Mainly in non-combat services</t>
  </si>
  <si>
    <t>During army service/ reserve duty were you posted in the occupied territories</t>
  </si>
  <si>
    <t>1: Yes; 2: No; 3: Do not do reserve duty</t>
  </si>
  <si>
    <t>What is/was your military rank in army service (data is unavailable)</t>
  </si>
  <si>
    <t>Have you participated in any war (in combat)</t>
  </si>
  <si>
    <t>0: No; 1: Yes</t>
  </si>
  <si>
    <t>How satisfied were you of your army service</t>
  </si>
  <si>
    <t>1: Very satisfied; 2: Satisfied; 3: No opinion; 4: Unsatisfied; 5: Unsatisfied at all</t>
  </si>
  <si>
    <t>What is the reason for not serving in the army</t>
  </si>
  <si>
    <t>1: My recruiting date hasn't come; 2: I am in academic reserve; 3: I am a new immigrant; 4: I am not a citizen; 5: Because of religious reasons; 6: Because of conscience reasons; 7: Other</t>
  </si>
  <si>
    <t>Is a relative of yours in army service</t>
  </si>
  <si>
    <t>101-102</t>
  </si>
  <si>
    <t>How do you define yourself (ethnic group)</t>
  </si>
  <si>
    <t>1: Ashkenazi; 2: Sepharadic; 3: Neither</t>
  </si>
  <si>
    <t>104-105</t>
  </si>
  <si>
    <t>Country of birth or origin (values 1-5:country of birth)</t>
  </si>
  <si>
    <t>01: North Africa; 02: Asia; 03: Eastern Europe; 04: Central and Eastern Europe; 05: America, Australia, South Africa; 06: Born in Israel-Father born in Israel; 07: Born in Israel-Father born in North Africa; 08: Born in Israel-Father born in Asia; 09: Born in Israel-Father born in Eastern Europe; 10: Born in Israel-Father born in Western/Central Europe; 11: Born in Israel-Father born in America/Australia/South Africa</t>
  </si>
  <si>
    <t>Year of Aliya</t>
  </si>
  <si>
    <t>108-109</t>
  </si>
  <si>
    <t>a100</t>
  </si>
  <si>
    <t>To what extent do you observe religious tradition</t>
  </si>
  <si>
    <t>1: I observe all parts to the letter; 2: I observe most parts; 3: I observe some parts; 4: I don't observe any</t>
  </si>
  <si>
    <t>DO YOU HAVE CHILDREN IN EACH OF THE FOLLOWING AGE GROUPS</t>
  </si>
  <si>
    <t>Children ages 0-16</t>
  </si>
  <si>
    <t>1: No children; 2: Has a son/sons; 3: Has a daughter/daughters; 4: Has a son+daughter</t>
  </si>
  <si>
    <t>Children ages 16-18</t>
  </si>
  <si>
    <t>Children ages 19-23</t>
  </si>
  <si>
    <t>Monthly family expenditures (average-1,600 NIS for family of 4, Dec.,1987)</t>
  </si>
  <si>
    <t>1: A lot over average; 2: A little over average; 3: The same as the average; 4: A little under average; 5: A lot under average</t>
  </si>
  <si>
    <t>Number of rooms in household</t>
  </si>
  <si>
    <t>Number of persons living in household</t>
  </si>
  <si>
    <t>In which social class do you classify yourself</t>
  </si>
  <si>
    <t>1: Upper class; 2: Middle upper class; 3: Middle class; 4: Lower class</t>
  </si>
  <si>
    <t>Do you work outside the household</t>
  </si>
  <si>
    <t>1: Salaried worker; 2: Salaried clerk; 3: Salaried manager; 4: Independent (small); 5: Independent (owns a company)</t>
  </si>
  <si>
    <t>a111</t>
  </si>
  <si>
    <t>Reading daily newspapers</t>
  </si>
  <si>
    <t>1: Almost never; 2: Rarely; 3: About once a week; 4: About 2-3 times a week; 5: Almost every day</t>
  </si>
  <si>
    <t>Do you read literature on security matters</t>
  </si>
  <si>
    <t>When meeting with friends do you discuss political matters</t>
  </si>
  <si>
    <t>Have you been in a country under Nazi rule during the World War 2</t>
  </si>
  <si>
    <t>Has a family member been in a country under Nazi rule</t>
  </si>
  <si>
    <t>Has a member of your family been killed/hurt during Holocaust</t>
  </si>
  <si>
    <t>Have you or a family member been injured during army service</t>
  </si>
  <si>
    <t>1: I was badly hurt; 2: I was hurt but not badly; 3: A family member has been badly hurt; 4: A family member has been hurt but not badly</t>
  </si>
  <si>
    <t>Has a member of your family been killed during army service</t>
  </si>
  <si>
    <t>b2</t>
  </si>
  <si>
    <t>b3</t>
  </si>
  <si>
    <t>Way government handles nation's problems</t>
  </si>
  <si>
    <t>1: Very well; 2: Well; 3: Not so well; 4: Not well at all</t>
  </si>
  <si>
    <t>NATIONAL SECURITY SCALE</t>
  </si>
  <si>
    <t>b5</t>
  </si>
  <si>
    <t>Main problem government must take care of</t>
  </si>
  <si>
    <t>01: Labor; 02: Likud; 03: Hatehiya; 04: Tsomet; 05: Moledet(Gandi); 06: Kah(Kahana); 07: Tnu'at Hamerkaz-Shinui; 08: Mapam; 09: Ratz; 10: Mafdal; 11: Meimad(The Centre Religious Party); 12: Agudat Israel\Degel Hatora; 13: Shas\Yeshi; 14: Pagi-Morasha(The United Torah Camp); 15: Arab Democratic Party(Daraushe); 16: Hadash(Rakah); 17: The Progressive List; 18: Other party; 19: No opinion; 20: All parties together</t>
  </si>
  <si>
    <t>1: Conceding territories in return for peace; 2: Annexation of territories; 3: Leave current situation unchanged</t>
  </si>
  <si>
    <t>Which of the 2 solutions should Israel adopt if necessary</t>
  </si>
  <si>
    <t>1: Return most of Judea,Samaria and Gaza; 2: Annexation of Judea,Samaria and Gaza</t>
  </si>
  <si>
    <t>The largest territorial concession, if any, to be made in Judea and Samaria for peace</t>
  </si>
  <si>
    <t>1: No concession; 2: Concession of a small part; 3: Concession of a part; 4: Almost full concession; 5: Concession of all Judea and samaria for Peace treaty</t>
  </si>
  <si>
    <t>Should Israel agree to negotiate with PLO taking into account the current situation</t>
  </si>
  <si>
    <t>Should Israel be ready to negotiate with PLO providing PLO recognizes Israel and renounces terror</t>
  </si>
  <si>
    <t>Should Israel agree to establishment of Palestinian state in occupied territories</t>
  </si>
  <si>
    <t>1: Full civil rights(incl. suffrage); 2: Civil rights (excluding suffrage); 3: Leave current situation unchanged; 4: Decrease current rights</t>
  </si>
  <si>
    <t>Evaluation of government's policy in territories of maintaining tranquility</t>
  </si>
  <si>
    <t>b18</t>
  </si>
  <si>
    <t>Emphasis to put in attempt to prevent war between Israel and Arab states</t>
  </si>
  <si>
    <t>Government should encourage Arab emigration from Israel</t>
  </si>
  <si>
    <t>Possibility of Arab-Israeli peace in future</t>
  </si>
  <si>
    <t>b22</t>
  </si>
  <si>
    <t>Probability of signing another peace treaty with Arab country within 3 years</t>
  </si>
  <si>
    <t>THE TWO MOST DANGEROUS ENEMIES OF ISRAEL</t>
  </si>
  <si>
    <t>The most dangerous enemy</t>
  </si>
  <si>
    <t>1: Syria; 2: PLO; 3: Jordan; 4: Lebanese Shiites; 5: Libya; 6: Egypt; 7: Iraq; 8: Iran; 9: Saudi Arabia</t>
  </si>
  <si>
    <t>The second most dangerous enemy</t>
  </si>
  <si>
    <t>Belief in Israel's existence in long run</t>
  </si>
  <si>
    <t>1: Definitely believe; 2: Believe; 3: Disbelieve; 4: Definitely disbelieve</t>
  </si>
  <si>
    <t>Increase of terrorist activity</t>
  </si>
  <si>
    <t>Uprising of Arabs from occupied territories</t>
  </si>
  <si>
    <t>Massive Soviet assistance to Arab countries in war against us</t>
  </si>
  <si>
    <t>1: Partial return of territories; 2: Full return of territories; 3: Total takeover of Israel; 4: Total takeover of Israel and termination of major part of Jewish population</t>
  </si>
  <si>
    <t>Evaluation of the necessity of national security overriding other issues</t>
  </si>
  <si>
    <t>1: Primary preference over all other issues; 7: Security must not be reached at any price</t>
  </si>
  <si>
    <t>1: Preference for security interests; 7: Preference for rule of law</t>
  </si>
  <si>
    <t>Evaluation of role of settlements with respect to national security</t>
  </si>
  <si>
    <t>1: Contribute to national security; 4: Neither contribute nor disrupt; 7: Disrupt national security</t>
  </si>
  <si>
    <t>The influence of the occupation on IDF soldiers' morale</t>
  </si>
  <si>
    <t>1: Negative effect; 4: Neither positive nor negative; 7: Positive effect</t>
  </si>
  <si>
    <t>Evaluation of international peace conference with participation of great superpowers</t>
  </si>
  <si>
    <t>1: Strongly support; 2: Support; 3: Disaprove; 4: Strongly disaprove</t>
  </si>
  <si>
    <t>Support of government in security crisis while disagreeing with it's way</t>
  </si>
  <si>
    <t>1: Mandatory support; 2: Generally, support; 3: Generally, not support; 4: Never mandatory to support</t>
  </si>
  <si>
    <t>Change in IDF's power in last five years</t>
  </si>
  <si>
    <t>1: Substantial weakening; 2: Certain weakening; 3: No change; 4: Certain strengthening; 5: Substantial strengthening</t>
  </si>
  <si>
    <t>Self-evaluation as 'hawk' or as 'dove'</t>
  </si>
  <si>
    <t>EFFECT OF INTIFADAH ON FOLLOWING ISSUES</t>
  </si>
  <si>
    <t>Effect of Intifadah on evaluation of political situation and degree of security</t>
  </si>
  <si>
    <t>1: No change; 2: More ready for concessions; 3: Less ready for concessions</t>
  </si>
  <si>
    <t>Effect of intifada on interviewee's mood</t>
  </si>
  <si>
    <t>1: Improved; 2: Did not change; 3: Became worse</t>
  </si>
  <si>
    <t>Effect of intifada on national mood</t>
  </si>
  <si>
    <t>Effect of intifada on estimate of election results</t>
  </si>
  <si>
    <t>1: No change; 2: Likud's camp's chances improved; 3: Ma'arah's camp's chances improved; 4: Religious parties' chances improved</t>
  </si>
  <si>
    <t>Effect of intifada on interviewee's political activity</t>
  </si>
  <si>
    <t>1: Increased; 2: Did not change; 3: Decreased</t>
  </si>
  <si>
    <t>Effect of intifada on desire to live in Israel</t>
  </si>
  <si>
    <t>Effect of intifada on interviewee's vote</t>
  </si>
  <si>
    <t>1: Did not change; 2: Strong inclination to vote for Likud; 3: Strong inclination to vote for Labor; 4: Strong inclination to vote for religious parties</t>
  </si>
  <si>
    <t>Effect of intifada on interviewee's attitude towards Arabs</t>
  </si>
  <si>
    <t>1: More positive; 2: Did not change; 3: More negative</t>
  </si>
  <si>
    <t>Effect of territories issue on forthcoming elections</t>
  </si>
  <si>
    <t>1: Significant effect; 2: Certain effect; 3: Small effect; 4: No effect at all</t>
  </si>
  <si>
    <t>Effect of territories issue on Interviewee's vote to Knesset</t>
  </si>
  <si>
    <t>Party best reflecting Interviewee's stand on territories issue</t>
  </si>
  <si>
    <t>01: Ma'arah; 02: Likud; 03: Tehiya; 04: Tsomet; 05: Moledet(Gandi); 06: Kah(Kahana); 07: Tnu'at Hamerkaz-Shinui; 08: Mapam; 09: Ratz; 10: Mafdal; 11: Meimad(The Central Religious Party); 12: Agudat Israel\Degel Hatorah; 13: Shas\Yeshi; 14: Pagi(The United Torah Camp); 15: The Arab Democratic Party(Daraushe); 16: Hadash(Rakah); 18: Other; 19: Do not know</t>
  </si>
  <si>
    <t>Evaluation of differences between major parties on national security</t>
  </si>
  <si>
    <t>1: Very big difference; 2: Big difference; 3: Some difference; 4: Small difference; 5: Hardly any difference</t>
  </si>
  <si>
    <t>Degree of similarity of family members' views on territories and security issues to those of interviewee</t>
  </si>
  <si>
    <t>1: Everyone's views are similar; 2: Great part's views are similar; 3: Small part's views are similar; 4: No one's views are similar; 5: Ignorant of relatives' views</t>
  </si>
  <si>
    <t>Frequency of discussions on political matters with family members</t>
  </si>
  <si>
    <t>1: Almost every day; 2: Once or twice a week; 3: Infrequently; 4: Not at all</t>
  </si>
  <si>
    <t>Family member with whom discussions on political matters are most frequent</t>
  </si>
  <si>
    <t>1: Father; 2: Mother; 3: Brother\sister; 4: Spouse; 5: Children; 6: Other; 7: Both of the parents equally; 8: All the family members equally; 9: No one</t>
  </si>
  <si>
    <t>Interviewee's economical approach</t>
  </si>
  <si>
    <t>1: Definitely capitalist; 2: More capitalist than socialist; 3: More socialist than capitalist; 4: Definitely socialist</t>
  </si>
  <si>
    <t>Evaluation of Histadrut's holding of companies</t>
  </si>
  <si>
    <t>1: Definitely all right; 2: All right; 3: Not that good; 4: Definitely not good</t>
  </si>
  <si>
    <t>Evaluation of differences between parties on economical issues</t>
  </si>
  <si>
    <t>Effect of economic issues on forthcoming elections</t>
  </si>
  <si>
    <t>1: Significant effect; 2: Certain effect; 3: Minor effect; 4: No effect at all</t>
  </si>
  <si>
    <t>Effect of economic issues on interviewee's vote</t>
  </si>
  <si>
    <t>Identification with political parties on economical issues</t>
  </si>
  <si>
    <t>1: Labor(Ma'arah); 2: Likud; 3: Other</t>
  </si>
  <si>
    <t>1: Labor (Ma'arah); 2: Likud; 3: Other</t>
  </si>
  <si>
    <t>1: Ma'arah's team; 2: Likud's team; 3: Both equally; 4: None of them</t>
  </si>
  <si>
    <t>Better team to handle foreign and security problems</t>
  </si>
  <si>
    <t>Desirability of formation of national unity government after elections</t>
  </si>
  <si>
    <t>1: Definitely yes; 2: Probably yes; 3: Probably no; 4: definitely no; 5: Yes, if headed by Likud party; 6: Yes, if headed by Labor party</t>
  </si>
  <si>
    <t>Frequency of political discussions with friends</t>
  </si>
  <si>
    <t>1: Identification with party; 2: Party's candidate for prime minister; 3: Party's policies on certain issues; 4: Party being in government or in opposition</t>
  </si>
  <si>
    <t>Least favored controversial political group</t>
  </si>
  <si>
    <t>01: Neturei Kartha; 02: Rakah(Hadash); 03: Kah(Rabbi Kahana Movement); 04: Agudat Israel-Pagi; 05: Gush Emunim; 06: Progressive movement towards peace; 07: Other PLO supporting groups(e.g. 'Bnei Hakfar'); 08: Hatehiya; 09: Tsomet; 10: Moledet (Gandi movement); 11: Arab Democratic Party (Daraushe movement); 12: Shalom Ahshav; 13: Matzpen; 14: Yesh Gvul' movement; 15: Other</t>
  </si>
  <si>
    <t>APPROVAL OF FOLLOWING SAYINGS WITH RESPECT TO ABOVE SPECIFIED GROUP</t>
  </si>
  <si>
    <t>Should member of that group be banned from being prime minister</t>
  </si>
  <si>
    <t>1: Definitely agree; 2: Agree; 3: Not certain; 4: Disagree; 5: Definitely disagree</t>
  </si>
  <si>
    <t>That group should be declared outlaw</t>
  </si>
  <si>
    <t>Members of that group should be allowed to appear on TV</t>
  </si>
  <si>
    <t>The group members' phones should be tapped</t>
  </si>
  <si>
    <t>b80</t>
  </si>
  <si>
    <t>Members of that group should be allowed to demonstrate</t>
  </si>
  <si>
    <t>1: Definitely agrees; 2: Agrees; 3: Not certain; 4: Disagrees; 5: Definitely disagree</t>
  </si>
  <si>
    <t>APPROVAL OF DECLARING BELOW SPECIFIED GROUPS OUTLAW</t>
  </si>
  <si>
    <t>b82</t>
  </si>
  <si>
    <t>Progressive list for peace (Ha-Reshima Ha-Mitkademet Le-Shalom)</t>
  </si>
  <si>
    <t>1: Definitely approve; 2: Approve; 3: Not certain; 4: Disapprove; 5: Definitely disapprove</t>
  </si>
  <si>
    <t>Kah (Rabbi Kahana's movement)</t>
  </si>
  <si>
    <t>Rakah (Hadash)</t>
  </si>
  <si>
    <t>Gush Emunim</t>
  </si>
  <si>
    <t>b86</t>
  </si>
  <si>
    <t>Shalom Ahshav</t>
  </si>
  <si>
    <t>APPROVAL OF FOLLOWING SAYINGS ABOUT ISRAELI ARABS</t>
  </si>
  <si>
    <t>b88</t>
  </si>
  <si>
    <t>Arab should be banned from being prime minister</t>
  </si>
  <si>
    <t>Arabs should be allowed to deliver speeches in public and to appear on TV</t>
  </si>
  <si>
    <t>b90</t>
  </si>
  <si>
    <t>Arabs' phones should be tapped</t>
  </si>
  <si>
    <t>Arabs should be allowed to demonstrate</t>
  </si>
  <si>
    <t>b92</t>
  </si>
  <si>
    <t>Arabs should be encouraged to emigrate</t>
  </si>
  <si>
    <t>FOR EACH OF THE FOLLOWING STATE TO WHICH PARTY IT SUITS THE MOST</t>
  </si>
  <si>
    <t>b94</t>
  </si>
  <si>
    <t>Which party has experienced leaders</t>
  </si>
  <si>
    <t>1: Suits Labor; 2: Suits Likud; 3: Both equally; 4: Neither</t>
  </si>
  <si>
    <t>b95</t>
  </si>
  <si>
    <t>Which party provides adequate representation to Oriental Jews</t>
  </si>
  <si>
    <t>b96</t>
  </si>
  <si>
    <t>Which party secures country's future</t>
  </si>
  <si>
    <t>b97</t>
  </si>
  <si>
    <t>Which party secures Jewish majority in Israel</t>
  </si>
  <si>
    <t>b98</t>
  </si>
  <si>
    <t>Which party closes gaps between ethnic groups</t>
  </si>
  <si>
    <t>b99</t>
  </si>
  <si>
    <t>Which party contributed to building the country</t>
  </si>
  <si>
    <t>b100</t>
  </si>
  <si>
    <t>Which party fosters Oriental Jews' self esteem</t>
  </si>
  <si>
    <t>b101</t>
  </si>
  <si>
    <t>Which party will know how to stand firmly at peace and territories negotiations</t>
  </si>
  <si>
    <t>b102</t>
  </si>
  <si>
    <t>Which party will know how to preserve democratic regime</t>
  </si>
  <si>
    <t>b103</t>
  </si>
  <si>
    <t>Ethnic party</t>
  </si>
  <si>
    <t>b104</t>
  </si>
  <si>
    <t>Party to retain necessary amount of territories</t>
  </si>
  <si>
    <t>b105</t>
  </si>
  <si>
    <t>Which party can achieve true peace with Arabs</t>
  </si>
  <si>
    <t>b106</t>
  </si>
  <si>
    <t>Party to return tranquility and order to territories</t>
  </si>
  <si>
    <t>b107</t>
  </si>
  <si>
    <t>Party to know when and how to lead to successful war</t>
  </si>
  <si>
    <t>b108</t>
  </si>
  <si>
    <t>National party</t>
  </si>
  <si>
    <t>THERMOMETER SCALE TOWARDS PERSONS OR GROUPS (0-10 scale)</t>
  </si>
  <si>
    <t>b110</t>
  </si>
  <si>
    <t>Labor</t>
  </si>
  <si>
    <t>1: 1 Strong aversion; 10: 10 Strong affection</t>
  </si>
  <si>
    <t>b111</t>
  </si>
  <si>
    <t>Likud</t>
  </si>
  <si>
    <t>b112</t>
  </si>
  <si>
    <t>Shim'on Peres</t>
  </si>
  <si>
    <t>b113</t>
  </si>
  <si>
    <t>b114</t>
  </si>
  <si>
    <t>b115</t>
  </si>
  <si>
    <t>Ariel Sharon</t>
  </si>
  <si>
    <t>b116</t>
  </si>
  <si>
    <t>Religious persons</t>
  </si>
  <si>
    <t>b117</t>
  </si>
  <si>
    <t>Ashkenazi Jews</t>
  </si>
  <si>
    <t>b118</t>
  </si>
  <si>
    <t>David Levi</t>
  </si>
  <si>
    <t>b119</t>
  </si>
  <si>
    <t>Yitzhak Navon</t>
  </si>
  <si>
    <t>b120</t>
  </si>
  <si>
    <t>Sephardic Jews</t>
  </si>
  <si>
    <t>b121</t>
  </si>
  <si>
    <t>b122</t>
  </si>
  <si>
    <t>Menahem Begin</t>
  </si>
  <si>
    <t>b123</t>
  </si>
  <si>
    <t>b124</t>
  </si>
  <si>
    <t>b125</t>
  </si>
  <si>
    <t>Rabbi Kahana</t>
  </si>
  <si>
    <t>b126</t>
  </si>
  <si>
    <t>Self-evaluation as leftist or rightist</t>
  </si>
  <si>
    <t>APPROVAL OF FOLLOWING SAYINGS ON SOCIAL AND STATE MATTERS</t>
  </si>
  <si>
    <t>4</t>
  </si>
  <si>
    <t>Democracy is best form of rule</t>
  </si>
  <si>
    <t>Politicians do not consider common person's opinion</t>
  </si>
  <si>
    <t>Jews undertaking illegal actions against Arabs should get lighter punishment then Arabs hurting Jews</t>
  </si>
  <si>
    <t>Several strong leaders can do more good than any discussions and laws</t>
  </si>
  <si>
    <t>Every man should have equal rights notwithstanding his political views</t>
  </si>
  <si>
    <t>Minority groups should be allowed to act in order to achieve support of majority</t>
  </si>
  <si>
    <t>Belief in freedom of speech for everyone notwithstanding his views</t>
  </si>
  <si>
    <t>There are situations when it's better to take law in one's own hands</t>
  </si>
  <si>
    <t>Government should see to it that public life be conducted according to Jewish religious law</t>
  </si>
  <si>
    <t>Degree of ethnic discrimination in Israel</t>
  </si>
  <si>
    <t>1: Very high; 2: High; 3: Moderate; 4: Low; 5: Hardly any</t>
  </si>
  <si>
    <t>Degree of personal experience of ethnic discrimination</t>
  </si>
  <si>
    <t>Approval of partly constitutional system of elections to Knesset vs. present one</t>
  </si>
  <si>
    <t>1: Definitely go on with present system; 2: Probably go on with present system; 3: Probably shift to partly constitutional; 4: Definitely shift to partly constitutional; 5: No opinion; 6: Both systems are no good and shift to fully constitutional system</t>
  </si>
  <si>
    <t>Preferred party to form government</t>
  </si>
  <si>
    <t>01: Labor; 02: Likud; 03: Hatehiya; 04: Tsomet; 05: Moledet(Gandi); 06: Kah(Kahana); 07: Tnu'at Hamerkaz-Shinui; 08: Mapam; 09: Ratz; 10: Mafdal; 11: Meimad(Centrist Religious Party); 12: Agudat Israel\Degel Hatorah; 13: Shas\Yeshi; 14: Pagi(United Torah Camp); 15: Arab Democratic party(Daraushe); 16: Hadash(Rakah); 17: Progressive list for peace; 18: Other</t>
  </si>
  <si>
    <t>Estimate of party to form government</t>
  </si>
  <si>
    <t>01: Labor; 02: Likud; 03: Hatehiya; 04: Tsomet; 05: Moledet(Gandi); 06: Kah(Kahana); 07: Tnu'at Hamerkaz-Shinui; 08: Mapam; 09: Ratz; 10: Mafdal; 11: Meimad(Centrist Religious Party); 12: Agudat Israel\Degel Hatorah; 13: Shas\Yeshi; 14: Pagi(United Torah Camp); 15: Arab Democratic party(Daraushe); 16: Hadash(Rakah); 17: Progressive list for peace; 18: Other; 20: Do not know</t>
  </si>
  <si>
    <t>22-23</t>
  </si>
  <si>
    <t>Interviewee's vote if elections were held now</t>
  </si>
  <si>
    <t>01: Labor; 02: Likud; 03: Hatehiya; 04: Tsomet; 05: Moledet(Gandi); 06: Kah(Kahana); 07: Tnu'at Hamerkaz-Shinui; 08: Mapam; 09: Ratz; 10: Mafdal; 11: Meimad(Centrist Religious Party); 12: Agudat Israel\Degel Hatorah; 13: Shas\Yeshi; 14: Pagi(United Torah Camp); 15: Arab Democratic party(Daraushe); 16: Hadash(Rakah); 17: Progressive list for peace; 18: Other; 19: Blank note; 20: Did not decide yet; 21: No intention to vote</t>
  </si>
  <si>
    <t>24-25</t>
  </si>
  <si>
    <t>Interviewee's vote at last elections on July,1984</t>
  </si>
  <si>
    <t>01: Labor; 02: Likud; 03: Mafdal; 04: Agudat Israel; 05: Shas; 06: Morasha; 07: Tami; 08: Yahad(Weizman); 09: Shinui; 10: Ratz; 11: Hatehiya+Tsomet; 12: Lova Eliav; 13: Ometz(Horovitz); 14: Kah(Kahana); 15: Hadash(Rakah); 16: Progressive list for peace; 17: Other; 18: Did not vote despite having suffrage; 19: Did not vote due to absence of suffrage</t>
  </si>
  <si>
    <t>FOR WHICH PARTIES WOULD YOU VOTE FOR IF NO LIMITATION IS POSED</t>
  </si>
  <si>
    <t>26-27</t>
  </si>
  <si>
    <t>First party you would vote for if no limitation is posed</t>
  </si>
  <si>
    <t>28-29</t>
  </si>
  <si>
    <t>Second party you would vote for if no limitation is posed</t>
  </si>
  <si>
    <t>Interviewee's father's vote at forthcoming elections</t>
  </si>
  <si>
    <t>01: Labor; 02: Likud; 03: Hatehiya; 04: Tsomet; 05: Moledet(Gandi); 06: Kah(Kahana); 07: Tnu'at Hamerkaz-Shinui; 08: Mapam; 09: Ratz; 10: Mafdal; 11: Meimad(Centrist Religious Party); 12: Agudat Israel\Degel Hatorah; 13: Shas\Yeshi; 14: Pagi(United Torah Camp); 15: Arab Democratic party(Daraushe); 16: Hadash(Rakah); 17: Progressive list for peace; 18: Other; 19: Did not decide who to vote for; 20: Do not know; 21: Died,lives abroad,no suffrage</t>
  </si>
  <si>
    <t>Interviewee's mother's vote at forthcoming elections</t>
  </si>
  <si>
    <t>1: Not married; 2: Married; 3: Divorced; 4: Widowed</t>
  </si>
  <si>
    <t>Interviewee's spouse's vote at forthcoming elections</t>
  </si>
  <si>
    <t>Approval of canceling football matches on Sabbath</t>
  </si>
  <si>
    <t>1: Approve; 2: Disapprove</t>
  </si>
  <si>
    <t>38-39</t>
  </si>
  <si>
    <t>Estimate of percentage of citizens approving canceling matches on Sabbath</t>
  </si>
  <si>
    <t>00: Minority; 99: Majority</t>
  </si>
  <si>
    <t>40-41</t>
  </si>
  <si>
    <t>Basis for above estimate</t>
  </si>
  <si>
    <t>Approval of large Arab villages' status change from local councils to cities</t>
  </si>
  <si>
    <t>1: Approve change in status; 2: Disapprove change in status</t>
  </si>
  <si>
    <t>Estimate of percentage of Jewish population approving change in status</t>
  </si>
  <si>
    <t>Israel's usage of nuclear weapons</t>
  </si>
  <si>
    <t>1: There are conditions when usage is justified; 2: Under no conditions is usage justified</t>
  </si>
  <si>
    <t>48-49</t>
  </si>
  <si>
    <t>Estimate of percentage of public thinking that under no condition is nuclear weapons usage justified</t>
  </si>
  <si>
    <t>50-51</t>
  </si>
  <si>
    <t>Approval of breaking off relations with South-Africa</t>
  </si>
  <si>
    <t>Estimate of percentage of public approving breaking off relations with South-Africa,(Precise estimate)</t>
  </si>
  <si>
    <t>Fairness of distribution of reserve military service burden</t>
  </si>
  <si>
    <t>1: Fair; 2: Unfair</t>
  </si>
  <si>
    <t>Estimate of percentage of public thinking that above is fair</t>
  </si>
  <si>
    <t>GRADING OF BELOW VALUES ACCORDING TO THEIR IMPORTANCE</t>
  </si>
  <si>
    <t>Primary importance value</t>
  </si>
  <si>
    <t>1: Jewish majority state; 2: Greater Israel; 3: Democratic state (equal rights for all); 4: State of peace (low probability of war)</t>
  </si>
  <si>
    <t>Second value in importance</t>
  </si>
  <si>
    <t>Third value in importance</t>
  </si>
  <si>
    <t>Fourth value in importance</t>
  </si>
  <si>
    <t>To what extent interviewee observes religious laws</t>
  </si>
  <si>
    <t>1: Observe all religious laws to the letter; 2: Observe most of religious laws; 3: Observe some of religious laws; 4: Do not observe at all, totally free</t>
  </si>
  <si>
    <t>Self-definition as Ashkenazi or Sephardic Jew</t>
  </si>
  <si>
    <t>1: Ashkenazi; 2: Sephardic; 3: Neither; 4: Both</t>
  </si>
  <si>
    <t>01: North America; 02: Asia; 03: Eastern Europe; 04: Western or Central Europe; 05: America,Australia,South-Africa; 06: Israeli born(Father also); 07: Israeli born(Father in North America); 08: Israeli born(Father in Asia); 09: Israeli born(father in Eastern Europe); 10: Israeli born(father in Western or Central Europe); 11: Israeli born(father in America, Australia or South Africa)</t>
  </si>
  <si>
    <t>Year of Aliya(immigration)</t>
  </si>
  <si>
    <t>1: Israeli born; 2: Before 1948; 3: 1948-1954; 4: 1955-1960; 5: 1961-1966; 6: 1967-1972; 7: 1973-1977; 8: 1978-1983; 9: 1984+</t>
  </si>
  <si>
    <t>Does interviewee favor, is member of or hold position in any party</t>
  </si>
  <si>
    <t>1: No; 2: Favor but not member; 3: Member but no position; 4: Member and position but no compensation; 5: Member and position with compensation</t>
  </si>
  <si>
    <t>Identification with political trend</t>
  </si>
  <si>
    <t>1: Left; 2: Moderate left; 3: Center; 4: Moderate right; 5: Right; 6: Religious trend; 7: Do not identify with any</t>
  </si>
  <si>
    <t>1: Almost never; 2: Rarely; 3: Approximately once a week; 4: Twice-thrice a week; 5: One daily newspaper almost every day; 6: More than one daily newspaper almost every day</t>
  </si>
  <si>
    <t>Interviewee's active military service</t>
  </si>
  <si>
    <t>1: Not served yet but will in future; 2: Conscription; 3: Serving in regular service; 4: Served in IDF in past; 5: Did not serve in IDF</t>
  </si>
  <si>
    <t>c55</t>
  </si>
  <si>
    <t>Present reserve service</t>
  </si>
  <si>
    <t>Service in territories since uprising (Dec. 1987)</t>
  </si>
  <si>
    <t>78-79</t>
  </si>
  <si>
    <t>80-81</t>
  </si>
  <si>
    <t>Identification with social status</t>
  </si>
  <si>
    <t>1: High; 2: Middle-high; 3: Middle; 4: Low; 5: Workers' status; 6: Do not belong to any status</t>
  </si>
  <si>
    <t>No. of rooms in household</t>
  </si>
  <si>
    <t>No. of persons living in household</t>
  </si>
  <si>
    <t>1: Well above average; 2: Somewhat above average; 3: As average; 4: Somewhat below average; 5: Well below average</t>
  </si>
  <si>
    <t>1: Salaried worker; 2: Salaried clerk; 3: Salaried manager; 4: Independent\small business; 5: Independent-company owner; 6: Not working</t>
  </si>
  <si>
    <t>93-97</t>
  </si>
  <si>
    <t>Panel</t>
  </si>
  <si>
    <t>1988_N=873</t>
  </si>
  <si>
    <t>Study 1988 (full)</t>
  </si>
  <si>
    <t>f6</t>
  </si>
  <si>
    <t>f7</t>
  </si>
  <si>
    <t>f8</t>
  </si>
  <si>
    <t>f9</t>
  </si>
  <si>
    <t>f10</t>
  </si>
  <si>
    <t>f11</t>
  </si>
  <si>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</si>
  <si>
    <t>f13</t>
  </si>
  <si>
    <t>1: Labor; 2: Likud; 3: Hatehiya; 4: Tsomet; 5: Moledet(Gandi); 6: Kah(Kahana); 7: Tnu'at Hamerkaz-Shinui; 8: Mapam; 9: Ratz; 10: Mafdal; 11: Meimad(The Centre Religious Party); 12: Agudat Israel\Degel Hatora; 13: Shas\Yeshi; 14: Pagi-Morasha(The United Torah Camp); 15: Arab Democratic Party(Daraushe); 16: Hadash(Rakah); 17: The Progressive List; 18: Other party; 19: No opinion; 20: All parties together</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</si>
  <si>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</si>
  <si>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</si>
  <si>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</si>
  <si>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</si>
  <si>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</si>
  <si>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</si>
  <si>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</si>
  <si>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</si>
  <si>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</si>
  <si>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</si>
  <si>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</si>
  <si>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</si>
  <si>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</si>
  <si>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</si>
  <si>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</si>
  <si>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</si>
  <si>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</si>
  <si>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</si>
  <si>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</si>
  <si>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</si>
  <si>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</si>
  <si>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</si>
  <si>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</si>
  <si>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</si>
  <si>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</si>
  <si>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1: Partial return of territories; 2: Full return of territories; 3: Total takeover of Israel; 4: Total takeover of Israel and termination of major part of Je</t>
  </si>
  <si>
    <t>f40</t>
  </si>
  <si>
    <t>f41</t>
  </si>
  <si>
    <t>f42</t>
  </si>
  <si>
    <t>f43</t>
  </si>
  <si>
    <t>f44</t>
  </si>
  <si>
    <t>f45</t>
  </si>
  <si>
    <t>f46</t>
  </si>
  <si>
    <t>f47</t>
  </si>
  <si>
    <t>f48</t>
  </si>
  <si>
    <t>f49</t>
  </si>
  <si>
    <t>f50</t>
  </si>
  <si>
    <t>f51</t>
  </si>
  <si>
    <t>f52</t>
  </si>
  <si>
    <t>f53</t>
  </si>
  <si>
    <t>f54</t>
  </si>
  <si>
    <t>f55</t>
  </si>
  <si>
    <t>f56</t>
  </si>
  <si>
    <t>f57</t>
  </si>
  <si>
    <t>f58</t>
  </si>
  <si>
    <t>1: Ma'arah; 2: Likud; 3: Tehiya; 4: Tsomet; 5: Moledet(Gandi); 6: Kah(Kahana); 7: Tnu'at Hamerkaz-Shinui; 8: Mapam; 9: Ratz; 10: Mafdal; 11: Meimad(The Central Religious Party); 12: Agudat Israel\Degel Hatorah; 13: Shas\Yeshi; 14: Pagi(The United Torah Camp); 15: The Arab Democratic Party(Daraushe); 16: Hadash(Rakah); 18: Other; 19: Do not know</t>
  </si>
  <si>
    <t>f60</t>
  </si>
  <si>
    <t>f61</t>
  </si>
  <si>
    <t>f62</t>
  </si>
  <si>
    <t>f63</t>
  </si>
  <si>
    <t>f64</t>
  </si>
  <si>
    <t>f65</t>
  </si>
  <si>
    <t>f66</t>
  </si>
  <si>
    <t>f67</t>
  </si>
  <si>
    <t>f68</t>
  </si>
  <si>
    <t>f69</t>
  </si>
  <si>
    <t>f70</t>
  </si>
  <si>
    <t>f71</t>
  </si>
  <si>
    <t>f72</t>
  </si>
  <si>
    <t>f73</t>
  </si>
  <si>
    <t>f74</t>
  </si>
  <si>
    <t>f75</t>
  </si>
  <si>
    <t>f76</t>
  </si>
  <si>
    <t>f77</t>
  </si>
  <si>
    <t>1: Neturei Kartha; 2: Rakah(Hadash); 3: Kah(Rabbi Kahana Movement); 4: Agudat Israel-Pagi; 5: Gush Emunim; 6: Progressive movement towards peace; 7: Other PLO supporting groups(e.g. 'Bnei Hakfar'); 8: Hatehiya; 9: Tsomet; 10: Moledet (Gandi movement); 11: Arab Democratic Party (Daraushe movement); 12: Shalom Ahshav; 13: Matzpen; 14: Yesh Gvul' movement; 15: Other</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</si>
  <si>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</si>
  <si>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</si>
  <si>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</si>
  <si>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</si>
  <si>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</si>
  <si>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</si>
  <si>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</si>
  <si>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</si>
  <si>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</si>
  <si>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</si>
  <si>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</si>
  <si>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</si>
  <si>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</si>
  <si>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</si>
  <si>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</si>
  <si>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</si>
  <si>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</si>
  <si>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</si>
  <si>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</si>
  <si>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</si>
  <si>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</si>
  <si>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</si>
  <si>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</si>
  <si>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</si>
  <si>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</si>
  <si>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</si>
  <si>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</si>
  <si>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</si>
  <si>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</si>
  <si>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</si>
  <si>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</si>
  <si>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</si>
  <si>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</si>
  <si>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</si>
  <si>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</si>
  <si>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</si>
  <si>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</si>
  <si>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</si>
  <si>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</si>
  <si>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</si>
  <si>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</si>
  <si>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</si>
  <si>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</si>
  <si>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</si>
  <si>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</si>
  <si>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</si>
  <si>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</si>
  <si>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g6</t>
  </si>
  <si>
    <t>g7</t>
  </si>
  <si>
    <t>g8</t>
  </si>
  <si>
    <t>g9</t>
  </si>
  <si>
    <t>g10</t>
  </si>
  <si>
    <t>g11</t>
  </si>
  <si>
    <t>g12</t>
  </si>
  <si>
    <t>g13</t>
  </si>
  <si>
    <t>g14</t>
  </si>
  <si>
    <t>g15</t>
  </si>
  <si>
    <t>g16</t>
  </si>
  <si>
    <t>g17</t>
  </si>
  <si>
    <t>1: Definitely go on with present system; 2: Probably go on with present system; 3: Probably shift to partly constitutional; 4: Definitely shift to partly constitutional; 5: No opinion; 6: Both systems are no good and shift to fully constitutional s</t>
  </si>
  <si>
    <t>133-134</t>
  </si>
  <si>
    <t>g18</t>
  </si>
  <si>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t>
  </si>
  <si>
    <t>135-136</t>
  </si>
  <si>
    <t>g20</t>
  </si>
  <si>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20: Do not know</t>
  </si>
  <si>
    <t>137-138</t>
  </si>
  <si>
    <t>g22</t>
  </si>
  <si>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</si>
  <si>
    <t>139-140</t>
  </si>
  <si>
    <t>g24</t>
  </si>
  <si>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</si>
  <si>
    <t>141-142</t>
  </si>
  <si>
    <t>g26</t>
  </si>
  <si>
    <t>143-144</t>
  </si>
  <si>
    <t>g28</t>
  </si>
  <si>
    <t>145-146</t>
  </si>
  <si>
    <t>g30</t>
  </si>
  <si>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Did not decide who to vote for; 20: Do not know; 21: Died,lives abroad,no suffrage</t>
  </si>
  <si>
    <t>147-148</t>
  </si>
  <si>
    <t>g32</t>
  </si>
  <si>
    <t>g34</t>
  </si>
  <si>
    <t>g35</t>
  </si>
  <si>
    <t>g37</t>
  </si>
  <si>
    <t>153-154</t>
  </si>
  <si>
    <t>g38</t>
  </si>
  <si>
    <t>0: Minority; 99: Majority</t>
  </si>
  <si>
    <t>155-156</t>
  </si>
  <si>
    <t>g40</t>
  </si>
  <si>
    <t>g42</t>
  </si>
  <si>
    <t>158-159</t>
  </si>
  <si>
    <t>g43</t>
  </si>
  <si>
    <t>160-161</t>
  </si>
  <si>
    <t>g45</t>
  </si>
  <si>
    <t>g47</t>
  </si>
  <si>
    <t>163-164</t>
  </si>
  <si>
    <t>g48</t>
  </si>
  <si>
    <t>165-166</t>
  </si>
  <si>
    <t>g50</t>
  </si>
  <si>
    <t>g52</t>
  </si>
  <si>
    <t>168-169</t>
  </si>
  <si>
    <t>g53</t>
  </si>
  <si>
    <t>170-171</t>
  </si>
  <si>
    <t>g55</t>
  </si>
  <si>
    <t>g57</t>
  </si>
  <si>
    <t>173-174</t>
  </si>
  <si>
    <t>g58</t>
  </si>
  <si>
    <t>g60</t>
  </si>
  <si>
    <t>g62</t>
  </si>
  <si>
    <t>g63</t>
  </si>
  <si>
    <t>g64</t>
  </si>
  <si>
    <t>g65</t>
  </si>
  <si>
    <t>g66</t>
  </si>
  <si>
    <t>g67</t>
  </si>
  <si>
    <t>g68</t>
  </si>
  <si>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</si>
  <si>
    <t>g70</t>
  </si>
  <si>
    <t>186</t>
  </si>
  <si>
    <t>g71</t>
  </si>
  <si>
    <t>187</t>
  </si>
  <si>
    <t>g72</t>
  </si>
  <si>
    <t>188</t>
  </si>
  <si>
    <t>g73</t>
  </si>
  <si>
    <t>189</t>
  </si>
  <si>
    <t>g74</t>
  </si>
  <si>
    <t>g75</t>
  </si>
  <si>
    <t>g76</t>
  </si>
  <si>
    <t>192</t>
  </si>
  <si>
    <t>g77</t>
  </si>
  <si>
    <t>193-194</t>
  </si>
  <si>
    <t>g78</t>
  </si>
  <si>
    <t>195-196</t>
  </si>
  <si>
    <t>g80</t>
  </si>
  <si>
    <t>g82</t>
  </si>
  <si>
    <t>g83</t>
  </si>
  <si>
    <t>g84</t>
  </si>
  <si>
    <t>g85</t>
  </si>
  <si>
    <t>g86</t>
  </si>
  <si>
    <t>202-203</t>
  </si>
  <si>
    <t>g87</t>
  </si>
  <si>
    <t>204-205</t>
  </si>
  <si>
    <t>g89</t>
  </si>
  <si>
    <t>g91</t>
  </si>
  <si>
    <t>208-212</t>
  </si>
  <si>
    <t>g93</t>
  </si>
  <si>
    <t>g104</t>
  </si>
  <si>
    <t>g106</t>
  </si>
  <si>
    <t>Status of interview</t>
  </si>
  <si>
    <t>1: Real panel; 2: Would be panel unmatched; 3: Panel with changes on questionnaire; 4: Not panel; 5: Missing info; 6: Almost empty; 7: Repeats</t>
  </si>
  <si>
    <t>1984</t>
  </si>
  <si>
    <t>Study 1984</t>
  </si>
  <si>
    <t>Identity number</t>
  </si>
  <si>
    <t>Way the government handles the nations problems</t>
  </si>
  <si>
    <t>2: Well; 3: Not so well; 4: Not well at all</t>
  </si>
  <si>
    <t>0: Other; 1: Security; 2: Economy; 3: Social inequality; 4: Peace; 5: Young couples; 6: Inflation; 7: Immigrant absorption; 8: Education; 9: Lack of leadership</t>
  </si>
  <si>
    <t>Differences exist in party stands on issue mentioned above</t>
  </si>
  <si>
    <t>1: Very great differences; 2: Great differences; 3: Certain differences; 4: Small differences; 5: Very small differences; 6: No differences at all</t>
  </si>
  <si>
    <t>10-11</t>
  </si>
  <si>
    <t>Party best able to handle this issue</t>
  </si>
  <si>
    <t>01: Alignment; 02: Likud; 03: National Religious Party; 04: Agudat Yisrael; 05: Morasha; 06: Tami; 07: Yachad (Ezer Weizman); 08: Shinui; 09: Ratz; 10: Tehiya; 11: Ometz; 12: Hadash; 13: Other party; 14: Does not know</t>
  </si>
  <si>
    <t>Proposals for a long term settlement of Judea, Samaria and Gaza Strip problem</t>
  </si>
  <si>
    <t>1: Return of Judea, Samari and Gaza for peace; 2: Annexation of Judea, Samaria and Gaza; 3: Status quo, keeping situation as is</t>
  </si>
  <si>
    <t>Of two proposals, which interviewee most agrees to</t>
  </si>
  <si>
    <t>1: Return of Judea, Samari and Gaza for peace; 2: Annexation of Judea, Samaria and Gaza</t>
  </si>
  <si>
    <t>Territorial concession should be made in Judea and Samaria</t>
  </si>
  <si>
    <t>1: No part should be conceded; 2: Only a small part should be conceded; 3: A part should be conceded; 4: Almost all should be conceded; 5: All should be conceded to achieve peace</t>
  </si>
  <si>
    <t>Increase/decrease civil rights for territories' inhabitants as long as a settlement for Judea and Samaria is not reached</t>
  </si>
  <si>
    <t>1: Increase rights, incl. Knesset vote; 2: Increase rights, not incl. Knesset vote; 3: Leave the situation as it is; 4: Decrease civil rights</t>
  </si>
  <si>
    <t>Differences exist in party stands on the issue of territorial concession</t>
  </si>
  <si>
    <t>To what extent territorial concessions issue will influence the results of the coming Knesset elections</t>
  </si>
  <si>
    <t>1: To a great extent; 2: To a certain extent; 3: To a small extent; 4: Not at all</t>
  </si>
  <si>
    <t>To what extent the territories issue will influence intervieweess vote in the coming Knesset elections</t>
  </si>
  <si>
    <t>Party best reflecting interviewee's stand on the territories issue</t>
  </si>
  <si>
    <t>Way government handles the nation's economic problems</t>
  </si>
  <si>
    <t>2: Well; 3: So-so; 4: Not so well; 5: Not at all</t>
  </si>
  <si>
    <t>To what extent inflation issue will influence the results of the coming Knesset elections</t>
  </si>
  <si>
    <t>To what extent the inflation issue will influence interviewee's vote in coming Knesset elections</t>
  </si>
  <si>
    <t>Differences exist in party stands on the economic issue</t>
  </si>
  <si>
    <t>Party best relecting interviewee's stand on the ecnomic issue</t>
  </si>
  <si>
    <t>Party stand interviewee is closest to on economic issues,Alignments's or Likud's</t>
  </si>
  <si>
    <t>1: Alignment; 2: Likud; 3: Other party</t>
  </si>
  <si>
    <t>Party stand interviewee is closest to on defense and foreign affairs, Alignment or Likud</t>
  </si>
  <si>
    <t>The Alignment team or the Likud team will better handle the nation's economic problems</t>
  </si>
  <si>
    <t>1: Alignment; 2: Likud; 3: Both equally; 4: Neither</t>
  </si>
  <si>
    <t>The Alignment team or the Likud team will better handle the nation's foreign affairs and defense problems</t>
  </si>
  <si>
    <t>All in all, the Alignment team or the Likud team will better handle the nation's problems</t>
  </si>
  <si>
    <t>Acceptable that the Histadrut has established enterprises like Koor, Solel Boneh, supermarkets, etc.</t>
  </si>
  <si>
    <t>1: Certainly acceptable; 2: Acceptable; 3: Not acceptable; 4: Not at all acceptable</t>
  </si>
  <si>
    <t>In terms of the economic structure of the country, supports a socialist or a capitalist approach</t>
  </si>
  <si>
    <t>1: Certainly capitalist; 2: Capitalist; 3: Socialist; 4: Certainly socialist</t>
  </si>
  <si>
    <t>STATEMENTS TO WHICH INTERVIEWEE AGREES/DISAGREES</t>
  </si>
  <si>
    <t>Democracy is the best form of government</t>
  </si>
  <si>
    <t>1: Certainly agrees; 2: Agrees; 3: Not sure; 4: Does not agree; 5: Certainly does not agree</t>
  </si>
  <si>
    <t>Politicians tend not to take into account the opinion of the man in the street</t>
  </si>
  <si>
    <t>Lighter punishments should be given to Jews that break the law when acting against Arabs than to Arabs when acting against Jews</t>
  </si>
  <si>
    <t>A few strong leaders could do the country more good than all the laws and debates</t>
  </si>
  <si>
    <t>The belief in freedom of expression for all people, regardless of their opinions</t>
  </si>
  <si>
    <t>There are situations in which it seems better for people to take the law into their own hands</t>
  </si>
  <si>
    <t>It would be best to tear down all the institutions and begin anew</t>
  </si>
  <si>
    <t>Main factor influencing interviewee's vote</t>
  </si>
  <si>
    <t>1: Identifies with party; 2: Party's candidate for prime minister; 3: Party's stand on specific issues; 4: Party's place in govt. or opposition</t>
  </si>
  <si>
    <t>Family members vote like interviewee in Knesset elections</t>
  </si>
  <si>
    <t>1: All of them do; 2: A large portion of them do; 3: A small portion of them do; 4: None of them do; 5: Does not know how they vote</t>
  </si>
  <si>
    <t>Friends vote like interviewee in Knesset elections</t>
  </si>
  <si>
    <t>Co-workers vote like interviewee in Knesset elections</t>
  </si>
  <si>
    <t>To what extent interviewee and friends can influence government policy</t>
  </si>
  <si>
    <t>The public's votes can actually change government or state policy</t>
  </si>
  <si>
    <t>1: Can change policy to a great extent; 2: Can change policy to a certain extent; 3: Cannot change policy to a certain extent; 4: Cannot change policy to a great extent</t>
  </si>
  <si>
    <t>POLITICAL RATING ON GRADED SCALE (1) EXTREME RIGHT TO (7) EXTREME LEFT</t>
  </si>
  <si>
    <t>Interviewee's general self-evaluation</t>
  </si>
  <si>
    <t>Interviewee's stand on defense and foreign affairs</t>
  </si>
  <si>
    <t>Interviewee's stand on economic problems</t>
  </si>
  <si>
    <t>INTERVIEWEE'S CONCEPTION OF THE IDEAL POLITICAL PARTY GRADED SCALE 1-7</t>
  </si>
  <si>
    <t>Conception of the ideal political party</t>
  </si>
  <si>
    <t>1: Young; 7: Old</t>
  </si>
  <si>
    <t>1: Strong; 7: Weak</t>
  </si>
  <si>
    <t>1: Right-wing; 7: Left-wing</t>
  </si>
  <si>
    <t>1: Out-dated; 7: Innovative</t>
  </si>
  <si>
    <t>1: Middle class; 7: Working class</t>
  </si>
  <si>
    <t>1: Sephardic; 7: Ashkenazi</t>
  </si>
  <si>
    <t>1: Cares mainly for itself; 7: Cares mainly for citizen</t>
  </si>
  <si>
    <t>1: Inexperienced; 7: Experienced</t>
  </si>
  <si>
    <t>1: Dovish, moderate; 7: Hawkish, immoderate</t>
  </si>
  <si>
    <t>INTERVIEWEE EVALUATION OF THE ALIGNMENT ON GRADED SCALE 1-7</t>
  </si>
  <si>
    <t>Evaluation of the alignment</t>
  </si>
  <si>
    <t>1: Honest; 7: Dishonest</t>
  </si>
  <si>
    <t>1: Not trustworthy; 7: Trustworthy</t>
  </si>
  <si>
    <t>INTERVIEWEE EVALUATION OF THE LIKUD ON GRADED SCALE 1-7</t>
  </si>
  <si>
    <t>Evaluation of the Likud</t>
  </si>
  <si>
    <t>PARTY CHARACTERIZATIONS SUITING ALIGNMENT OR LIKUD</t>
  </si>
  <si>
    <t>Party with experienced leaders</t>
  </si>
  <si>
    <t>1: Suits Alignment better; 2: Suits Likud better; 3: Suits both equally; 4: Suits neither</t>
  </si>
  <si>
    <t>Party that gives suitable representation to Sephardim</t>
  </si>
  <si>
    <t>Party that ensures the country's future</t>
  </si>
  <si>
    <t>Party that ensures a Jewish majority in the country</t>
  </si>
  <si>
    <t>Party that reduces the ethnic gap between Sephardim and Ashkenazim</t>
  </si>
  <si>
    <t>Party that contributed to the building of the country</t>
  </si>
  <si>
    <t>Party that cultivates self-respect for Sephardim</t>
  </si>
  <si>
    <t>Party that will know how to stand firm in negotiations over the territories and for peace</t>
  </si>
  <si>
    <t>Party that appoints suitable people to key positions,regardless of their ethnic background</t>
  </si>
  <si>
    <t>Party that will know how to get out of Lebanon and ensure the Northern border</t>
  </si>
  <si>
    <t>Party that uses Sephardim for political needs</t>
  </si>
  <si>
    <t>Party that will keep the democratic regime in the country</t>
  </si>
  <si>
    <t>To what extent interviewee believes there is ethnic-based discrimination in Israel</t>
  </si>
  <si>
    <t>1: Very great extent; 2: Great extent; 3: Medium extent; 4: Small extent; 5: Not at all/almost not at all</t>
  </si>
  <si>
    <t>To what extent interviewee has personally suffered from ethnic discrimination</t>
  </si>
  <si>
    <t>1: Very great extent; 2: Great extent; 3: Medium extet; 4: Small extent; 5: Not at all/almost not at all</t>
  </si>
  <si>
    <t>Alignment or Likud responsible for violence</t>
  </si>
  <si>
    <t>Alignment or Likud responsible for emigration from Israel (Yeridah)</t>
  </si>
  <si>
    <t>Alignment or Likud responsible for high inflation</t>
  </si>
  <si>
    <t>Alignment or Likud responsible for low moral standards (corruption)</t>
  </si>
  <si>
    <t>Alignment or Likud responsible for crime in the country</t>
  </si>
  <si>
    <t>Alignment or Likud responsible for ethnic gap</t>
  </si>
  <si>
    <t>INTERVIEWEE REACTION SCALE TO PUBLIC FIGURES, GROUPS OF PEOPLE OR POLITICAL GROUPS, FROM SUPPORT (10) TO REPULSION (0)</t>
  </si>
  <si>
    <t>Alignment</t>
  </si>
  <si>
    <t>1: 1 Repulsion; 10: 10 Support</t>
  </si>
  <si>
    <t>The religious (orthodox)</t>
  </si>
  <si>
    <t>Ashkenazim</t>
  </si>
  <si>
    <t>David Levy</t>
  </si>
  <si>
    <t>Sephardim</t>
  </si>
  <si>
    <t>Menachem Begin</t>
  </si>
  <si>
    <t>Peace Now</t>
  </si>
  <si>
    <t>Party interviewee would vote for if elections held today</t>
  </si>
  <si>
    <t>01: Alignment; 02: Likud; 03: National Religious Party; 04: Agudat Yisrael+Shas; 05: Morasha; 06: Tami; 07: Yachad (Ezer Weizman); 08: Shinui; 09: Ratz; 10: Tehiya; 11: Hadash(Rakah); 12: Flato Sharon; 13: Lova Eliav; 14: Ometz; 15: Ben Porat; 16: Ethnic party; 17: Other party; 18: Will cast a blank ballot; 19: Undecided; 20: Would not vote,even if present in Israel</t>
  </si>
  <si>
    <t>To what extent interviewee is sure of his vote</t>
  </si>
  <si>
    <t>1: Absolutely sure; 2: Thinks so/not sure; 3: Not at all sure</t>
  </si>
  <si>
    <t>Party interviewee will vote for if not for above mentioned party</t>
  </si>
  <si>
    <t>Second choice</t>
  </si>
  <si>
    <t>Party interviewee voted for in last Knesset elections (June 1981)</t>
  </si>
  <si>
    <t>01: Alignment; 02: Likud; 03: National Religious Party; 04: Agudat Yisrael/A.Y. Workers; 05: Tami; 06: Telem; 07: Shinui; 08: Ratz; 09: Tehiya; 10: Sheli; 11: Other party; 12: Not eligible to vote; 13: Did not vote, eligible to vote</t>
  </si>
  <si>
    <t>Party interviewee voted for in last Histadrut elections-1981</t>
  </si>
  <si>
    <t>01: Alignment; 02: Religious Worker; 03: Likud or Shlomzion; 04: Independent Liberals; 05: Democratic Movement for Change; 06: Shai; 07: Panthers; 08: Sheli; 09: Rakach; 10: Other party; 11: Was not in the country; 12: Did not vote, was in the country; 13: Not a Histadrut member</t>
  </si>
  <si>
    <t>Interviewee defines himself as Ashkenazi or Sephardi</t>
  </si>
  <si>
    <t>1: Observes completely; 2: Observes to a great extent; 3: Observes to a small extent; 4: Does not observe them at all, secular</t>
  </si>
  <si>
    <t>Place of birth/father's place of birth</t>
  </si>
  <si>
    <t>1: Israel/Israel; 2: Israel/Asia-Africa; 3: Israel/Europe-America; 4: Asia-Africa/Asia-Africa; 5: Europe-America/Europe-America</t>
  </si>
  <si>
    <t>Year of immigration (Aliyah)</t>
  </si>
  <si>
    <t>1: Born in Israel; 2: Before 1948; 3: 1948-1954; 4: 1955-1960; 5: 1961-1966; 6: 1967-1972; 7: 1973-1977; 8: 1978-1979; 9: 1980+</t>
  </si>
  <si>
    <t>Interviewee supports a party, is a party member and/or a paid functionary</t>
  </si>
  <si>
    <t>1: Member and paid functionary; 2: Member and unpaid; 3: Member without a function; 4: Supports a party only; 5: Does not support a particular party</t>
  </si>
  <si>
    <t>Political tendency interviewee identifies with</t>
  </si>
  <si>
    <t>1: Left; 2: Moderate left; 3: Center; 4: Moderate right; 5: Right; 6: Religous; 7: Does not identify with any tendency</t>
  </si>
  <si>
    <t>1: None; 2: Up to 4 years; 3: 5-8 years; 4: 9-10; 5: 11; 6: 12; 7: 13+, without academic degree; 8: Full university education</t>
  </si>
  <si>
    <t>Average family monthly expenditure as compared with 4 in Israel</t>
  </si>
  <si>
    <t>1: Way below average; 2: Somewhat below average; 3: Average; 4: Somewhat above average; 5: Way above average</t>
  </si>
  <si>
    <t>1: Upper middle or upper class; 2: Middle class; 3: Working class; 4: Lower class; 5: Does not belong to any class</t>
  </si>
  <si>
    <t>Housing density</t>
  </si>
  <si>
    <t>Works outside of household</t>
  </si>
  <si>
    <t>1: Works outside of household; 2: Does not work oustide of household</t>
  </si>
  <si>
    <t>Interviewee's description of role at work</t>
  </si>
  <si>
    <t>To what extent interviewee believes his place of work is better/worse than similar places of work in the same field</t>
  </si>
  <si>
    <t>1: Better; 2: Same; 3: Worse</t>
  </si>
  <si>
    <t>To what extent the management in interviewee's place of work takes workers into consideration</t>
  </si>
  <si>
    <t>1: To a very great extent; 2: To a great extent; 3: To a certain extent; 4: To a small extent; 5: Not at all</t>
  </si>
  <si>
    <t>If there is national management, to what extent it takes workers into consideration</t>
  </si>
  <si>
    <t>1: To a very great extent; 2: To a great extent; 3: To a certain extent; 4: To a small extet; 5: Not at all</t>
  </si>
  <si>
    <t>To what extent interviewee's working conditions and salary are better or worse than in similar places of work in the same field</t>
  </si>
  <si>
    <t>1: Tel-Aviv; 2: Jerusalem; 3: Haifa; 4: Beer Sheva; 5: Ramat Gan; 6: Bnei Braq; 7: Hertzliya; 8: Holon; 9: Petah Tikva; 10: Netania; 11: Rishon Le-Tzion; 12: Pardes Hana; 13: Tiberia; 14: Ramla; 15: Ashdod; 16: Acco; 17: Yavne; 18: Rosh Ha-Ain; 19: Raanana; 20: Qiryat Yam; 21: Afula; 22: Beit Shean; 23: Beit Shemesh; 24: Dimona; 25: Kefar Biyalik; 26: Avital; 27: Mavo Beitar; 28: Shaar Efraim; 29: Neve Yerek; 30: Gilat</t>
  </si>
  <si>
    <t>1981_1</t>
  </si>
  <si>
    <t>Study 1981, first phase</t>
  </si>
  <si>
    <t>1: Very good; 2: Good; 3: Good enough; 4: Not good; 5: Not good at all</t>
  </si>
  <si>
    <t>Way government handles the problems in Israel today</t>
  </si>
  <si>
    <t>The main problem the government</t>
  </si>
  <si>
    <t>0: Other; 1: Security; 2: Economy; 3: Social inequality; 4: Peace; 5: Young couples; 6: Inflation; 7: Immigrants absorption; 8: Education; 9: Lack of leadership</t>
  </si>
  <si>
    <t>Differences in party stands on this issue</t>
  </si>
  <si>
    <t>1: Very big differences; 2: Big differences; 3: Certain differences; 4: Small differences; 5: Very small differences; 6: No differences in party stands</t>
  </si>
  <si>
    <t>Party that will best handle this issue</t>
  </si>
  <si>
    <t>0: Rakach; 1: Alignment; 2: Likud; 3: Moshe Dayan; 4: National Religious Party; 5: Agudat Yisrael/A.Y. Workers; 6: Shulamit Aloni; 7: Shinui; 8: Sheli; 9: Tehiya; &amp;: Does not know; -: Other party</t>
  </si>
  <si>
    <t>To what extent Israel should be</t>
  </si>
  <si>
    <t>1: Not at all; 2: To a small extent; 3: To a certain extent; 4: To a great extent</t>
  </si>
  <si>
    <t>Maximum Israel has to give up in Judea and</t>
  </si>
  <si>
    <t>1: Nothing at all; 2: A small part; 3: Part of Judea and Samaria; 4: Almost all of it; 5: All of Judea and Samaria</t>
  </si>
  <si>
    <t>Differences in party stands on</t>
  </si>
  <si>
    <t>1: Very big differences; 2: Big differences; 3: Certain differences; 4: Small differences; 5: Very small differences; 6: No differences</t>
  </si>
  <si>
    <t>To what extent giving back territories will</t>
  </si>
  <si>
    <t>Party best representing interviewee stand</t>
  </si>
  <si>
    <t>0: Rakach; 1: Alignment; 2: Likud; 3: Moshe Dayan; 4: National Religious Party; 5: Agudat Yisrael/A.Y. Workers; 6: Shulamit Aloni; 7: Shinui; 8: Sheli; 9: Tehiya; &amp;: Does not know; -: Other Party</t>
  </si>
  <si>
    <t>Way government handles Israel's economic problems</t>
  </si>
  <si>
    <t>1: Very well; 2: Well; 3: Well enough; 4: Not so well; 5: Not well at all</t>
  </si>
  <si>
    <t>To what extent inflation issue will</t>
  </si>
  <si>
    <t>To what extent inflation issue will vote</t>
  </si>
  <si>
    <t>Differences in party stands on economic issues</t>
  </si>
  <si>
    <t>Party best representing interviewee's</t>
  </si>
  <si>
    <t>0: Rakach; 1: Alignment; 2: Likud; 3: Moshe Dayan; 4: National Religious Party; 5: Agudat Yisrael/A.Y. Workers; 6: Shulamit Aloni; 7: Shinui; 8: Sheli; 9: Tehiya; &amp;: Unknown; -: Other party</t>
  </si>
  <si>
    <t>Interviewee usually participates</t>
  </si>
  <si>
    <t>1: Yes, often; 2: Yes, rarely; 3: No, never</t>
  </si>
  <si>
    <t>Interviewee usually participates in</t>
  </si>
  <si>
    <t>Interviewee discusses political issues</t>
  </si>
  <si>
    <t>To what extent the election campaign will help the</t>
  </si>
  <si>
    <t>To what extent radio broadcasts will help</t>
  </si>
  <si>
    <t>To what extent the press will help interviewee decide whom to vote for</t>
  </si>
  <si>
    <t>To what extent television broadcasts will help interviewee decide whom to vote for</t>
  </si>
  <si>
    <t>GRADED SCALE RATING LIFE AS BEST (10) TO WORST (1)</t>
  </si>
  <si>
    <t>Interviewee's situation today</t>
  </si>
  <si>
    <t>1: Best; 10: Worst</t>
  </si>
  <si>
    <t>Interviewee's situation four years ago</t>
  </si>
  <si>
    <t>Interviewee's situation in another four years</t>
  </si>
  <si>
    <t>GRADED SCALE RATING THE NATION'S SECURITY AS BEST (10) TO WORST (1)</t>
  </si>
  <si>
    <t>The nation's security today</t>
  </si>
  <si>
    <t>The nation's security four years ago</t>
  </si>
  <si>
    <t>The nation's security in another four years</t>
  </si>
  <si>
    <t>GRADED SCALE RATING THE NATION'S ECONOMIC SITUATION AS BEST (10) TO WORST (1)</t>
  </si>
  <si>
    <t>The nation's economic situation</t>
  </si>
  <si>
    <t>The nation's economic situation four years ago</t>
  </si>
  <si>
    <t>The nation's economic situation in another four years</t>
  </si>
  <si>
    <t>Main reason for watching election broadcasts on television</t>
  </si>
  <si>
    <t>0: Other; 1: To hear background material for debates; 2: To get to know the political leaders; 3: To know the parties leaders; 4: To decide whom to vote for; 5: To retry favoured party's position; 6: To evaluate the success of the parties; 7: To update general political situation; 8: Enjoys political debate; 9: The only broadcast on TV at the time; -: Does not know</t>
  </si>
  <si>
    <t>Main reason for not watching election broadcasts on T.V.</t>
  </si>
  <si>
    <t>0: Other; 1: Not interested in politics; 2: Prefers entertainment on T.V.; 3: Does not believe in party platforms; 4: Some parties take audience for granted; 5: Already decided whom to vote for; 6: Often not clear what parties are saying; 7: Dislikes political propaganda in home; 8: The parties have nothing new to say; 9: Does not like politicians; -: Does not know</t>
  </si>
  <si>
    <t>Main factor influencing interviewee's decision to vote for a specific party</t>
  </si>
  <si>
    <t>1: Identifies with a specific party; 2: The party's candidate; 3: Party stands on specific issues; 4: Chances party will head government</t>
  </si>
  <si>
    <t>ARGUMENTS CONVINCING ENOUGH TO VOTE FOR THE LIKUD</t>
  </si>
  <si>
    <t>For Likud four years not enough to build up what the Alignment destroyed in 30 years</t>
  </si>
  <si>
    <t>The Likud has good leaders</t>
  </si>
  <si>
    <t>The Likud's policy will increase the chances for peace</t>
  </si>
  <si>
    <t>The Likud will know how to stand firmly during negotiations for peace and the territories</t>
  </si>
  <si>
    <t>The Likud will better handle the economic/social problems</t>
  </si>
  <si>
    <t>The Alignment's leaders cannot be trusted</t>
  </si>
  <si>
    <t>The Likud is the least of all evils</t>
  </si>
  <si>
    <t>The Alignment got the nation in a bad state and they should not be allowed to return to power</t>
  </si>
  <si>
    <t>The Alignment and Moshe Dayan's party do not have defined foreign and security policies</t>
  </si>
  <si>
    <t>The Alignment's Jordanian Option and Dayan's beliefs will bring about the establishment of a Palestinian State</t>
  </si>
  <si>
    <t>ARGUMENTS CONVINCING ENOUGH TO VOTE FOR THE ALIGNMENT</t>
  </si>
  <si>
    <t>The Alignment has experience in government</t>
  </si>
  <si>
    <t>The Alignment has good leaders</t>
  </si>
  <si>
    <t>The Alignment proposes new leaders and good ideas for solving the nation's problems</t>
  </si>
  <si>
    <t>The Alignment's policy will increase the chances for peace</t>
  </si>
  <si>
    <t>The Alignment can better handle the economic and social problems</t>
  </si>
  <si>
    <t>The Alignment is renewing itself and can again be trusted</t>
  </si>
  <si>
    <t>The Alignment is the least of all evils</t>
  </si>
  <si>
    <t>After Yigal Yadin's party,there is no reason to vote for new parties</t>
  </si>
  <si>
    <t>The Likud does not have good leaders</t>
  </si>
  <si>
    <t>Begin's autonomy plan and Dayan's beliefs will cause the establishment of a Palestinian state</t>
  </si>
  <si>
    <t>REASONS CONVINCING ENOUGH TO VOTE FOR MOSHE DAYAN'S PARTY</t>
  </si>
  <si>
    <t>Dayan proposes a strong leadership</t>
  </si>
  <si>
    <t>Dayan's policy will increase the chances for peace</t>
  </si>
  <si>
    <t>Dayan's party will better handle the economic/social problems</t>
  </si>
  <si>
    <t>Dayan's party is the least of all evils</t>
  </si>
  <si>
    <t>The Alignment and the Likud are all the same</t>
  </si>
  <si>
    <t>Dayan can bring about real change in the nation</t>
  </si>
  <si>
    <t>The Alignment and Likud leaders have proven incompetent leadership</t>
  </si>
  <si>
    <t>Begin's Autonomy plan and the Alignment's Jordanian option will cause the establishment of a Palestinian State</t>
  </si>
  <si>
    <t>To what extent the elections influence government policy</t>
  </si>
  <si>
    <t>Some say a number of strong leaders will help the nation more than debates and laws</t>
  </si>
  <si>
    <t>1: Absolutely agrees; 2: Agrees; 3: Disagrees; 4: Absolutly disagrees</t>
  </si>
  <si>
    <t>1: Left; 2: Moderate left; 3: Center; 4: Moderate right; 5: Right; 6: Religious</t>
  </si>
  <si>
    <t>CHARACTERIZATION OF SHIMON PERES, GRADED SCALE 1-6</t>
  </si>
  <si>
    <t>1: Strong; 6: Weak</t>
  </si>
  <si>
    <t>1: Can work with others; 6: Cannot work with others</t>
  </si>
  <si>
    <t>1: Honest; 6: Dishonest</t>
  </si>
  <si>
    <t>1: Decisive; 6: Indecisive</t>
  </si>
  <si>
    <t>1: Can withstand pressure; 6: Cannot withstand pressure</t>
  </si>
  <si>
    <t>CHARACTERIZATION OF MENACHEM BEGIN, GRADED SCALE 1-6</t>
  </si>
  <si>
    <t>CHARACTERIZATION OF MOSHE DAYAN, GRADED SCALE 1-6</t>
  </si>
  <si>
    <t>Moshe Dayan</t>
  </si>
  <si>
    <t>v92</t>
  </si>
  <si>
    <t>Politicians take into consideration what the man in the street thinks</t>
  </si>
  <si>
    <t>Interviewee's family votes as he votes</t>
  </si>
  <si>
    <t>1: Everyone votes as he votes; 2: Most do; 3: Some do; 4: None do; 5: Does not know how family votes</t>
  </si>
  <si>
    <t>Interviewee's friends votes as he votes</t>
  </si>
  <si>
    <t>1: Everyone votes as he votes; 2: Most do; 3: Some do; 4: None do; 5: Does not know how friends vote</t>
  </si>
  <si>
    <t>The first of two groups interviewee would like to have larger representation in party he intends to votes for</t>
  </si>
  <si>
    <t>1: Young people; 2: Women; 3: Oriental jews; 4: Intellectuals; 5: Workers; 6: Army people; 7: Business men; 8: New immigrants; 9: No group</t>
  </si>
  <si>
    <t>The second group</t>
  </si>
  <si>
    <t>To what extent Aridor's economic policy will successfully improve the nation's economic situation</t>
  </si>
  <si>
    <t>1: Not at all; 2: Not so successful; 3: Somewhat successful; 4: Greatly successful</t>
  </si>
  <si>
    <t>If the Likud stays in power, the chances Aridor's economic policy will continue</t>
  </si>
  <si>
    <t>1: Very possible; 2: Slightly possible; 3: Not possible; 4: No chance at all</t>
  </si>
  <si>
    <t>The social strata Aridor's economic policy helps most</t>
  </si>
  <si>
    <t>1: Mainly lower social strata; 2: Mainly middle social strata; 3: Mainly rich social strata; 4: All of the nation's citizens</t>
  </si>
  <si>
    <t>v100</t>
  </si>
  <si>
    <t>To what extent Aridor's policy helps interviewee's personal economic status</t>
  </si>
  <si>
    <t>1: Improves it greatly; 2: Improves it to a certain extent; 3: Does not really improve it; 4: Not at all</t>
  </si>
  <si>
    <t>Interviewee bought recently/plans to buy car, colour TV,home furniture/elec. appliances reduced in price due to treasury policy</t>
  </si>
  <si>
    <t>1: Yes; 2: No; 3: Does not know/undecided</t>
  </si>
  <si>
    <t>Party that says it is strong and capable or one that warns voters of hard times is more attractive to interviewee</t>
  </si>
  <si>
    <t>1: A strong party is most attractive; 2: Strong party more or less attractive; 3: Cautious party more or less attractive; 4: A cautious party is most attractive</t>
  </si>
  <si>
    <t>The government should be run by a party with an absolute majority (more than 60%) / an absolute majority endangers democracy</t>
  </si>
  <si>
    <t>1: Govt. certainly needs absolute majority; 2: Govt. may need absolute majority; 3: Abs. majority may endanger democracy; 4: Abs. majority certainly endangers democ.</t>
  </si>
  <si>
    <t>Interviewee's preference for Prime Minister</t>
  </si>
  <si>
    <t>1: Yitzhak Rabin; 2: Menachem Begin; 3: Shimon Peres; 4: Moshe Dayan; 5: Yitzhak Shamir; 6: Ezer Weizman; 7: David Levy; 8: Arik Sharon</t>
  </si>
  <si>
    <t>To what extent interviewee supports/opposes the establishment of a Palestinian state</t>
  </si>
  <si>
    <t>1: Absolutely opposes; 2: Opposes to a certain extent; 3: Supports to a certain extent; 4: Absolutely supports</t>
  </si>
  <si>
    <t>Interviewee supports status quo in religious affairs,further application of Halacha or liberalization</t>
  </si>
  <si>
    <t>1: Further application of the Halacha; 2: The status quo; 3: Further liberalization; 4: Has no opinion</t>
  </si>
  <si>
    <t>Dayan is too old and made too many mistakes/Dayan has good ideas and is the type of leader Israel needs</t>
  </si>
  <si>
    <t>1: Certain he is too old and made mistakes; 2: Thinks he is too old and made mistakes; 3: Thinks he is type of leader Israel needs; 4: Certain he is leader Israel needs</t>
  </si>
  <si>
    <t>To what extent interviewee wants to see N.R.P. in the next government</t>
  </si>
  <si>
    <t>1: Certainly not; 2: Not really; 3: To a certain extent; 4: Absolutely</t>
  </si>
  <si>
    <t>To what extent Likud has proven it is able to replace the Alignment in government</t>
  </si>
  <si>
    <t>To what extent interviewee is sure whom he will vote for</t>
  </si>
  <si>
    <t>1: To a great extent; 2: To a certain extet; 3: To a small extent; 4: Not at all</t>
  </si>
  <si>
    <t>Interviewee will vote in support of a specific party or use his vote to protest against a different party</t>
  </si>
  <si>
    <t>1: Will vote for a specific party; 2: Will vote against a different party; 3: Will use his vote for both purposes; 4: Does not know/did not think of this</t>
  </si>
  <si>
    <t>The Alignment's most serious rival</t>
  </si>
  <si>
    <t>1: Likud; 2: Moshe Dayan's party</t>
  </si>
  <si>
    <t>The government should make sure that public life in Israel is in accordance with religious Jewish tradition</t>
  </si>
  <si>
    <t>1: Certainly; 2: Maybe; 3: Does not think so; 4: Certainly not</t>
  </si>
  <si>
    <t>Interviewee supports socialistic/capitalistic approach to the economic structure of the nation</t>
  </si>
  <si>
    <t>1: Certainly capitalistic; 2: More capitalistic than socialistic; 3: More socialistic than capitalistic; 4: Certainly socialistic</t>
  </si>
  <si>
    <t>Interviewee is closer to Alignment's or Likud's policy on economic affairs</t>
  </si>
  <si>
    <t>1: Alignment's; 2: Likud's; 3: Other party's position</t>
  </si>
  <si>
    <t>Interviewee is politically right or left</t>
  </si>
  <si>
    <t>Interviewee's views on security and foreign affairs</t>
  </si>
  <si>
    <t>Interviewee's views on economic problems</t>
  </si>
  <si>
    <t>Interviewee will vote as he usually votes in the coming elections</t>
  </si>
  <si>
    <t>1: Yes; 2: No; 3: Did not vote before</t>
  </si>
  <si>
    <t>v120</t>
  </si>
  <si>
    <t>Party interviewee would like to see form next government</t>
  </si>
  <si>
    <t>0: Rakach; 1: Alignment; 2: Likud; 3: Moshe Dayan's party; 4: N.R.P.; 5: Agudat Yisrael, A.Y. Workers; 6: Shulamit Aloni; 7: Shinui; 8: Sheli; 9: Tehiya; &amp;: No opinion; -: Other party</t>
  </si>
  <si>
    <t>Interviewee's estimation which party will form next government</t>
  </si>
  <si>
    <t>0: Rakach; 1: Alignment; 2: Likud; 3: Moshe Dayan's party; 4: N.R.P.; 5: Agudat Yisrael, A.Y. Workers; 6: Shulamit Aloni; 7: Sheli; 8: Tehiya; 9: Israel Workers Party (Rafi); &amp;: Undecided/would not vote; -: Other party</t>
  </si>
  <si>
    <t>Parties between which interviewee is debating</t>
  </si>
  <si>
    <t>1: Alignment and Likud; 2: Alignment and Rafi; 3: Likud and Rafi; 4: Alignment and other party; 5: Likud and other party; 6: Waiting for further developments; 7: Not debating between two parties</t>
  </si>
  <si>
    <t>Party interviewee would vote for if Moshe Dayan were to establish an independent party</t>
  </si>
  <si>
    <t>0: Rafi; 1: Alignmet; 2: Likud; 3: N.R.P.; 4: Agudat Yisrael, A.Y. Workers; 5: Moshe Dayan's new party; 6: Shulamit Aloni; 7: Shinui; 8: Sheli; 9: Tehiya; &amp;: Undecided/would not vote; -: Other party</t>
  </si>
  <si>
    <t>Party interviewee would vote for if Alignment were to get a large majority in Histadrut elections</t>
  </si>
  <si>
    <t>0: Rakach; 1: Alignment; 2: Likud; 3: N.R.P.; 4: Agudat Yisrael, A.Y. Workers; 5: Shulamit Aloni; 6: Shinui; 7: Sheli; 8: Tehiya; 9: Rafi; &amp;: Undecided, would not vote; -: Other party</t>
  </si>
  <si>
    <t>Party interviewee voted for in last Knesset elections(May 1977)</t>
  </si>
  <si>
    <t>0: Other; 1: Alignment; 2: Likud; 3: N.R.P.; 4: Agudat Yisrael, A.Y. Workers; 5: Party for Democratic Change; 6: Sheli; 7: Shulamit Aloni; 8: Independent Liberals; 9: Rakach, Hadash; &amp;: Unknown; -: Did not vote</t>
  </si>
  <si>
    <t>Party interviewee voted for in 1973 elections</t>
  </si>
  <si>
    <t>0: Did not vote; 1: Alignment; 2: Likud; 3: N.R.P.; 4: Agudat Yisrael, A.Y. Workers; 5: Independent Liberals; 6: Moked; 7: Shulamit Aloni; 8: Rakach; 9: Other party</t>
  </si>
  <si>
    <t>Agrees/disagrees that the Histadrut owns factories as well as representing the workers</t>
  </si>
  <si>
    <t>1: Certainly agrees; 2: Agrees; 3: Does not really agree; 4: Certainly disagrees</t>
  </si>
  <si>
    <t>To what extent Histadrut elections will influence interviewee's vote in Knesset elections</t>
  </si>
  <si>
    <t>Interviewee is member of General Workers Histadrut (Clalit)</t>
  </si>
  <si>
    <t>Party interviewee would vote for if Histadrut elections held today (for Histadrut members only)</t>
  </si>
  <si>
    <t>0: Other; 1: Alignment; 2: Religious Worker; 3: Likud/Shlomzion; 4: Independent Liberals; 5: Party for Democratic Change; 6: Shai; 7: Panthers; 8: Sheli; 9: Rakach; &amp;: Would not vote; -: Undecided</t>
  </si>
  <si>
    <t>Interviewee will vote for same party in Histadrut and Knesset elections</t>
  </si>
  <si>
    <t>1: Yes; 2: No; 3: Undecided; 4: Will not vote</t>
  </si>
  <si>
    <t>v133</t>
  </si>
  <si>
    <t>Party interviewee voted for in last Histadrut elections(June 1977)</t>
  </si>
  <si>
    <t>0: Other party; 1: Alignment; 2: Religious workers; 3: Likud/Shlomzion; 4: Independent Liberals; 5: Party for Democratic Change; 6: Shai; 7: Panthers; 8: Sheli; 9: Rakach; &amp;: Unknown; -: Did not vote</t>
  </si>
  <si>
    <t>v134</t>
  </si>
  <si>
    <t>v135</t>
  </si>
  <si>
    <t>v136</t>
  </si>
  <si>
    <t>1: Did not study; 2: Up to 4 years; 3: 5-8; 4: 9-10; 5: 11; 6: 12; 7: 13+, without academic degree; 8: University degree</t>
  </si>
  <si>
    <t>v137</t>
  </si>
  <si>
    <t>1: Israel/Israel; 2: Israel/Asia-Africa; 3: Israel/Europe-America; 4: Asia-Africa/Asia-Africa; 5: Europe-America/Europe-America; 6: Any other combination</t>
  </si>
  <si>
    <t>v138</t>
  </si>
  <si>
    <t>Year of Aliyah (immigration)</t>
  </si>
  <si>
    <t>0: 1980+; 1: Born in Israel; 2: Before 1948; 3: 1948-1954; 4: 1955-1960; 5: 1961-1966; 6: 1967-1972; 7: 1973-1977; 8: 1978-1978</t>
  </si>
  <si>
    <t>v139</t>
  </si>
  <si>
    <t>1: Salaried worker; 2: Independent; 3: Member of cooperative; 4: Pensioned; 5: Housewife; 6: Soldier, student; 7: Unemployed</t>
  </si>
  <si>
    <t>v140</t>
  </si>
  <si>
    <t>Spouse's status at work</t>
  </si>
  <si>
    <t>v141</t>
  </si>
  <si>
    <t>1: Upper, upper-middle class; 2: Middle class; 3: Working class; 4: Lower class; 5: Does not belong to any class</t>
  </si>
  <si>
    <t>v142</t>
  </si>
  <si>
    <t>1: Single; 2: Married without children; 3: Married with one child; 4: Married with 2 children; 5: Married with 3+ children; 6: Divorced without children; 7: Divorced with children; 8: Widowed without children; 9: Widowed with children</t>
  </si>
  <si>
    <t>v143</t>
  </si>
  <si>
    <t>Observes religious traditions</t>
  </si>
  <si>
    <t>1: Observes them strictly; 2: To a great extent; 3: To some extent; 4: Secular</t>
  </si>
  <si>
    <t>v144</t>
  </si>
  <si>
    <t>Number of rooms in dwelling</t>
  </si>
  <si>
    <t>1: One room; 2: 2 rooms; 9: 9+</t>
  </si>
  <si>
    <t>v145</t>
  </si>
  <si>
    <t>1: One person; 2: 2 people; 9: 9+</t>
  </si>
  <si>
    <t>v146</t>
  </si>
  <si>
    <t>Interviewee usually reads daily newspaper</t>
  </si>
  <si>
    <t>1: Ma'ariv; 2: Yedioth Aharonoth; 3: Ha'Aretz; 4: Davar; 5: Other Hebrew newspaper; 6: Foreign language newspaper; 7: Does not read daily newspaper</t>
  </si>
  <si>
    <t>v147</t>
  </si>
  <si>
    <t>v148</t>
  </si>
  <si>
    <t>v149</t>
  </si>
  <si>
    <t>Radio station interviewee usually listens to</t>
  </si>
  <si>
    <t>1: The light wave (HaGal HaKal); 2: Reshet Gimel; 3: Galei Tzahal; 4: Reshet Aleph; 5: Kol HaShalom; 6: Does not listen to radio</t>
  </si>
  <si>
    <t>v150</t>
  </si>
  <si>
    <t>Average monthly household expenditure</t>
  </si>
  <si>
    <t>0: 7001+; 1: Up to 1000 shekels (old shekels); 2: 1001-1500; 3: 1501-2000; 4: 2001-2500; 5: 2501-3000; 6: 3001-4000; 7: 4001-5000; 8: 5001-6000; 9: 6001-7000</t>
  </si>
  <si>
    <t>v151</t>
  </si>
  <si>
    <t>Interview locality</t>
  </si>
  <si>
    <t>v152</t>
  </si>
  <si>
    <t>1981_3</t>
  </si>
  <si>
    <t>Study 1981, third phase</t>
  </si>
  <si>
    <t>1: Very good; 2: Good; 3: Not so good; 4: Not good; 5: Not good at all</t>
  </si>
  <si>
    <t>Way government handles present problems in Israel</t>
  </si>
  <si>
    <t>b4</t>
  </si>
  <si>
    <t>Differences in parties' ability to deal with these problems</t>
  </si>
  <si>
    <t>1: Very big differences; 2: Big differences; 3: Certain differences; 4: Small differences; 5: Very small differences; 6: No differences at all</t>
  </si>
  <si>
    <t>Shimon Peres/Menachem Begin can better handle the nation's problems</t>
  </si>
  <si>
    <t>1: Peres; 2: Begin</t>
  </si>
  <si>
    <t>Main problem government has to solve</t>
  </si>
  <si>
    <t>Differences in party stands on security issues</t>
  </si>
  <si>
    <t>The importance of a Jewish majority in the State of Israel</t>
  </si>
  <si>
    <t>1: Very important; 2: Important; 3: Not important; 4: Absolutely not important</t>
  </si>
  <si>
    <t>Interviewee agrees/disagrees that Judea and Samaria will have to be compromised in order to preserve the Jewish majority</t>
  </si>
  <si>
    <t>1: Absolutely agrees; 2: Agrees; 3: Disagrees; 4: Absolutely disagrees</t>
  </si>
  <si>
    <t>In light of the large Arab population in Judea and Samaria,interviewee supports/does not support compromising these territories</t>
  </si>
  <si>
    <t>1: Supports compromising all of Jud.&amp; Sam.; 2: Supports compromising a large part; 3: Supports compromising a small part; 4: Does not support compromising any part</t>
  </si>
  <si>
    <t>To what extent security issues will influence the coming Knesset election results</t>
  </si>
  <si>
    <t>To what extent security issues will influence interviewee's vote in coming Knesset elections</t>
  </si>
  <si>
    <t>Party best representing interviewee's position on security issues</t>
  </si>
  <si>
    <t>0: Rakach; 1: Alignment; 2: Likud; 3: Moshe Dayan's party; 4: National Religious Party; 5: Agudat Yisrael, A.Y. Workers; 6: Shulamit Aloni; 7: Shinui; 8: Sheli; 9: Tehiya; &amp;: Unknown; -: Other party</t>
  </si>
  <si>
    <t>Haim Bar-Lev or Arik Sharon can better handle the nation's security problems</t>
  </si>
  <si>
    <t>1: Haim Bar-Lev; 2: Arik Sharon</t>
  </si>
  <si>
    <t>Party best representing interviewee's position on economic issues</t>
  </si>
  <si>
    <t>Yoram Aridor or Haim Ben-Shachar can better handle the nation's economic problems</t>
  </si>
  <si>
    <t>1: Aridor; 2: Ben-Shachar</t>
  </si>
  <si>
    <t>To what extent Aridor's economic plan is clear to interviewee</t>
  </si>
  <si>
    <t>1: Very clear; 2: Clear; 3: Clear enough; 4: Not so clear; 5: Not clear; 6: Not clear at all</t>
  </si>
  <si>
    <t>To what extent Ben-Shachar's economic plan is clear to interviewee</t>
  </si>
  <si>
    <t>To what extent Aridor's plan helps those like interviewee</t>
  </si>
  <si>
    <t>1: To a very great extet; 2: To a great extent; 3: To certain extent; 4: To a small extent; 5: Not at all</t>
  </si>
  <si>
    <t>To what extent Ben-Shachar's plan helps those like interviewee</t>
  </si>
  <si>
    <t>To what extent Aridor's plan helps Israel's economy</t>
  </si>
  <si>
    <t>To what extent Ben-Shachar's plan helps Israel's economy</t>
  </si>
  <si>
    <t>To what extent Aridor's plan will influence the coming Knesset election results</t>
  </si>
  <si>
    <t>To what extent Aridor's plan will influence interviewee's vote</t>
  </si>
  <si>
    <t>Interviewee's position on economic issues</t>
  </si>
  <si>
    <t>1: Closer to Alignment's position; 2: Closer to Likud's position; 3: Closer to other party's position</t>
  </si>
  <si>
    <t>Interviewee's position on security and foreign affairs</t>
  </si>
  <si>
    <t>Differences between parties lie in what they say and not in what they do</t>
  </si>
  <si>
    <t>1: Differences lie in what they say; 2: Differences lie in what they do; 3: Differences lie in both; 4: No differences between the two</t>
  </si>
  <si>
    <t>CHARACTERISTICS SUITING ALIGNMENT OR LIKUD</t>
  </si>
  <si>
    <t>Strong party</t>
  </si>
  <si>
    <t>1: Suits Alignment much more than Likud; 2: Suits Alignment more than Likud; 3: Suits both parties equally; 4: Suits Likud more than Alignment; 5: Suits Likud much more than Alignment; 6: Does not suit either party</t>
  </si>
  <si>
    <t>Experienced party</t>
  </si>
  <si>
    <t>Modern, innovative party</t>
  </si>
  <si>
    <t>Young party</t>
  </si>
  <si>
    <t>Represents Ashenazim and Sepharadim</t>
  </si>
  <si>
    <t>1: Suits Alignment much more than Likud; 2: Suits Alignment more than Likud; 3: Suits both parties equally; 4: Suits Likud more than Alignment; 5: Suits Likud much more than Alignment</t>
  </si>
  <si>
    <t>Mainly watches out for the citizens' interests</t>
  </si>
  <si>
    <t>Honest party</t>
  </si>
  <si>
    <t>Trustworthy party</t>
  </si>
  <si>
    <t>1: Suits Alignment much more than Likud; 2: Suits Alignment more than Likud; 3: Suits both parties equally; 4: Suits Likud more than Alignment; 5: Suits Likud much more than Likud; 6: Does not suit either party</t>
  </si>
  <si>
    <t>Ensures the nation's future</t>
  </si>
  <si>
    <t>Ensures a Jewish majority in Israel</t>
  </si>
  <si>
    <t>Contributed to the building of the country</t>
  </si>
  <si>
    <t>The Likud is a hawkish or dovish party</t>
  </si>
  <si>
    <t>1: Hawkish to a great extent; 2: Hawkish; 3: Neither hawkish nor dovish; 4: Dovish; 5: Dovish to a great extent</t>
  </si>
  <si>
    <t>The Alignment is a hawkish or dovish party</t>
  </si>
  <si>
    <t>INTERVIEWEE CHARACTERIZATION OF MENACHEM BEGIN GRADED SCALE 1-7</t>
  </si>
  <si>
    <t>1: Benefits the nation; 7: Harms the nation</t>
  </si>
  <si>
    <t>1: Weighs his words carefully; 7: Does not weigh his words carefully</t>
  </si>
  <si>
    <t>1: Stable; 7: Unstable</t>
  </si>
  <si>
    <t>1: His time has passed; 7: His time has not passed</t>
  </si>
  <si>
    <t>1: A bad prime minister; 7: An excellent prime minister</t>
  </si>
  <si>
    <t>1: A bad defense minister; 7: An excellent prime minister</t>
  </si>
  <si>
    <t>1: Moody; 7: Not moody</t>
  </si>
  <si>
    <t>1: Health is incapacitating; 7: Health is not incapacitating</t>
  </si>
  <si>
    <t>1: Adventurer; 7: Balanced and sensible</t>
  </si>
  <si>
    <t>1: Belongs in opposition; 7: Belongs in government</t>
  </si>
  <si>
    <t>It is the obligation of all the Jews to immigrate to Israel</t>
  </si>
  <si>
    <t>1: Definitely an obligation; 2: It would help if all Jews immigrate; 3: No obligation as such exists; 4: Not desirable for all Jews to immigrate</t>
  </si>
  <si>
    <t>Separation of religion and state</t>
  </si>
  <si>
    <t>1: Definitely should not be separated; 2: Not sure, should not be separated; 3: Not sure, should be separated; 4: Definitely should be separated</t>
  </si>
  <si>
    <t>Personal interests or the nation's interest should be more important to the citizen</t>
  </si>
  <si>
    <t>1: National interests much more important; 2: National interests more important; 3: Both are equally important; 4: Personal interests more important; 5: Personal interests much more important</t>
  </si>
  <si>
    <t>LIFE SITUATION EVALUATED AS BEST (1) TO WORST (10)</t>
  </si>
  <si>
    <t>Interviewee's situation 4 years ago</t>
  </si>
  <si>
    <t>Interviewee's situation in another 4 years</t>
  </si>
  <si>
    <t>NATION'S SECURITY EVALUATED AS BEST (1) TO WORST (10)</t>
  </si>
  <si>
    <t>Nation's security today</t>
  </si>
  <si>
    <t>Nation's security 4 years ago</t>
  </si>
  <si>
    <t>Nation's security in another 4 years</t>
  </si>
  <si>
    <t>NATION'S FOREIGN RELATIONS EVALUATED AS BEST (1) TO WORST (10)</t>
  </si>
  <si>
    <t>Nation's foreign relations today</t>
  </si>
  <si>
    <t>Nation's foreign relations 4 years ago</t>
  </si>
  <si>
    <t>Nation's foreign relations in another 4 years</t>
  </si>
  <si>
    <t>NATION'S ECONOMY EVALUATED AS BEST (1) TO WORST (10)</t>
  </si>
  <si>
    <t>Nation's economy today</t>
  </si>
  <si>
    <t>Nation's economy 4 years ago</t>
  </si>
  <si>
    <t>Nation's economy in another 4 years</t>
  </si>
  <si>
    <t>73-75</t>
  </si>
  <si>
    <t>Main differences between left and right wings in politics</t>
  </si>
  <si>
    <t>The definitions left and right in politics have meaning in Israel today</t>
  </si>
  <si>
    <t>1: Certainly yes; 2: Thinks so; 3: Not so much; 4: Does not think so; 5: Certainly not</t>
  </si>
  <si>
    <t>POLITICAL RATING FROM EXTREME RIGHT (1) TO EXTREME LEFT (7)</t>
  </si>
  <si>
    <t>Interviewee's gereral rating</t>
  </si>
  <si>
    <t>Interviewee's position on security issues</t>
  </si>
  <si>
    <t>Interviewee's attitude towards foreign policy</t>
  </si>
  <si>
    <t>Interviewee's position on economic problems and issues</t>
  </si>
  <si>
    <t>Interviewee reads results of opinion surveys on elections in the newspaper</t>
  </si>
  <si>
    <t>1: Often; 2: Seldom; 3: Never; 4: Has not heard of opinion surveys</t>
  </si>
  <si>
    <t>Opinion surveys can be trusted</t>
  </si>
  <si>
    <t>1: Yes, always; 2: Yes, usually; 3: Usually not; 4: Never; 5: Has not heard of election surveys</t>
  </si>
  <si>
    <t>Election surveys have an impact on the voting public</t>
  </si>
  <si>
    <t>1: Great impact; 2: Certain impact; 3: Small impact; 4: No impact; 5: Has not heard of election surveys</t>
  </si>
  <si>
    <t>Election surveys have an impact on politicians</t>
  </si>
  <si>
    <t>Interviewee plans to be abroad in summer/will be in Israel on election day</t>
  </si>
  <si>
    <t>1: Will not be abroad; 2: Will be abroad, but in Israel for elec.; 3: Will be abroad, not in Israel for elec.</t>
  </si>
  <si>
    <t>1: Alignment; 2: Likud; 3: Independent Liberals; 4: National Religious Party; 5: Agudat Israel-Poalei Agudat Israel; 6: Sheli; 7: RatzTelem, Moshe Dayan's list; 8: Shinui; 9: Independent Liberals; 10: Tehiya; 11: Abu Hatzira's list; 12: Rakah; 13: Shmuel Flatto Sharon; 14: An ethnic party; 15: Other party; 16: Would cast a blank ballot; 17: Undecided; 18: Would not vote; 19: Refuses to answer</t>
  </si>
  <si>
    <t>Second party choice if elections held today</t>
  </si>
  <si>
    <t>0: Other party; 1: Alignment; 2: Likud; 3: National Religious Party; 4: Agudat Yisrael/A.Y.Workers; 5: Moshe Dayan's party; 6: Shinui; 7: Tehiya; 8: Abu Hatzeira's party; 9: Shulamit Aloni (Ratz); &amp;: Would not vote; -: Undecided</t>
  </si>
  <si>
    <t>To what extent interviewee is sure who he will vote for in Knesset elections</t>
  </si>
  <si>
    <t>Party interviewee feels closest to</t>
  </si>
  <si>
    <t>1: Alignment; 2: Likud; 3: Moshe Dayan party; 4: National Religious Party; 5: Shinui/Ratz; 6: Other party; 7: No party, will not vote; 8: Undecided; 9: Refuses to answer</t>
  </si>
  <si>
    <t>When interviewee will decide whom to vote for</t>
  </si>
  <si>
    <t>1: One day before the elections; 2: A few days before the elections; 3: Two weeks before the elections; 4: 3 weeks before the elections; 5: In the next few days; 6: Does not know</t>
  </si>
  <si>
    <t>Party interviewee thought of voting for before Lebanon crisis, after announcement of Aridor's economic plan</t>
  </si>
  <si>
    <t>0: Other party; 1: Alignment; 2: Likud; 3: National Religious Party; 4: Agudat Yisrael/A.Y. Workers; 5: Moshe Dayan party; 6: Shinui; 7: Tehiya; 8: Sheli; 9: Shulamit Aloni (Ratz); &amp;: Was not going to vote; -: Undecided</t>
  </si>
  <si>
    <t>As compared to one month ago, interviewee today knows more or less which party he will vote for</t>
  </si>
  <si>
    <t>1: More; 2: Less; 3: Same; 4: Does not know</t>
  </si>
  <si>
    <t>Party interviewee would not vote for under any circumstances</t>
  </si>
  <si>
    <t>0: Other party; 1: Alignment; 2: Likud; 3: National Religious Party; 4: Agudat Yisrael/A.Y. Workers; 5: Moshe Dayan party; 6: Shinui; 7: Tehiya; 8: Sheli; 9: Ratz; -: Does not know</t>
  </si>
  <si>
    <t>Party interviewee voted for in last Knesset elections (1977)</t>
  </si>
  <si>
    <t>0: Did not vote - eligible; 1: Alignment; 2: Likud, incl. Shlomzion; 3: National Religious Party; 4: Agudat Yisrael/A.Y. Workers; 5: Democratic Movement for Change; 6: Sheli; 7: Ratz; 8: Independent Liberals; 9: Other party; &amp;: Refuses to answer; -: Not eligible to vote</t>
  </si>
  <si>
    <t>Party interviewee voted for in 1973 Knesset elections</t>
  </si>
  <si>
    <t>0: Did not vote - eligible; 1: Alignment; 2: Likud; 3: National Religious Party; 4: Agudat Yisrael/A.Y. Workers; 5: Independent Liberals; 6: Moked; 7: Ratz; 8: Meri; 9: Other party; &amp;: Refuses to answer; -: Not eligible to vote</t>
  </si>
  <si>
    <t>Party interviewee voted for in 1969 Knesset elections</t>
  </si>
  <si>
    <t>0: Refuses to answer; 1: Alignment; 2: Herut-Liberals Block; 3: National Religious Party; 4: Agudat Yisrael/A.Y. Workers; 5: Independent Liberals; 6: Reshima Mamlachtit; 7: Other party; 8: Did not vote - eligible to vote; 9: Not eligible to vote</t>
  </si>
  <si>
    <t>Interviewee preference for Prime Minister after the elections</t>
  </si>
  <si>
    <t>1: Yitzhak Rabin; 2: Menachem Begin; 3: Shimon Peres; 4: Moshe Dayan; 5: Yitzhak Shamir; 6: Ezer Weizman; 7: David Levy; 8: Arik Sharon; 9: Abba Eban</t>
  </si>
  <si>
    <t>Interviewee preference for Defense Minister after the elections</t>
  </si>
  <si>
    <t>1: Yitzhak Rabin; 2: Menachem Begin; 3: Shimon Peres; 4: Moshe Dayan; 5: Ezer Weizman; 6: Haim Bar-Lev; 7: Arik Sharon; 8: Motta Gur</t>
  </si>
  <si>
    <t>Interviewee preference for Finance Minister after the elections</t>
  </si>
  <si>
    <t>1: Yaacov Levinson; 2: Gad Yaacobi; 3: Yoram Aridor; 4: Haim Ben-Shachar; 5: Naphtali Blumenthal; 6: Yigal Horowitz; 7: Simcha Erlich; 8: Yitzhak Modai; 9: Gideon Pat</t>
  </si>
  <si>
    <t>Interviewee preference for Foreign Affairs Minister after the elections</t>
  </si>
  <si>
    <t>1: Yosef Burg; 2: Abba Eban; 3: Yitzhak Rabin; 4: Moshe Dayan; 5: Yitzhak Shamir; 6: Haim Herzog; 7: Yitzhak Modai; 8: Moshe Arens</t>
  </si>
  <si>
    <t>Party interviewee thinks will form next government</t>
  </si>
  <si>
    <t>1: Alignment; 2: Likud; 3: Moshe Dayans Party; 4: National Religious Party; 5: Agudat Yisrael/A.Y. Workers; 6: Ratz; 7: Shinui; 8: Sheli; 9: Other party</t>
  </si>
  <si>
    <t>To what extent interviewee wants to see the N.R.P. in the next government</t>
  </si>
  <si>
    <t>1: Definitely not; 2: Not so much; 3: To a certain extent; 4: Definitely yes</t>
  </si>
  <si>
    <t>Which of the two big parties (Alignment or Likud) interviewee wants to see form the next government</t>
  </si>
  <si>
    <t>1: Likud to a great extent; 2: Likud to a certain extent; 3: Does not matter; 4: Alignment to a certain extent; 5: Alignment to a great extent</t>
  </si>
  <si>
    <t>Interviewee reads campaign advertisements in the press</t>
  </si>
  <si>
    <t>1: Reads them often; 2: Reads them once in a while; 3: Never reads them</t>
  </si>
  <si>
    <t>To what extent advertisements influence interviewee's decision whom to vote for</t>
  </si>
  <si>
    <t>1: To a great extent; 2: To a certain extent; 3: To a small extent; 4: Almost none; 5: Not at all</t>
  </si>
  <si>
    <t>Interviewee evaluation of the election campaign</t>
  </si>
  <si>
    <t>1: Positive; 7: Negative</t>
  </si>
  <si>
    <t>1: Short; 7: Long</t>
  </si>
  <si>
    <t>1: Educational; 7: Non-educational</t>
  </si>
  <si>
    <t>1: Helps decide whom to vote for; 7: Does not help decide whom to vote for</t>
  </si>
  <si>
    <t>1: Helps to understand national problems; 7: Does not help to understand national problems</t>
  </si>
  <si>
    <t>1: Helps differentiate between parties; 7: Does not help differentiate between parties</t>
  </si>
  <si>
    <t>1: Unifies the nation; 7: Dissloves the nation</t>
  </si>
  <si>
    <t>1: Helps get to know leaders; 7: Does not help get to know leaders</t>
  </si>
  <si>
    <t>1: Gives a feeling of belonging to the state; 7: Does not give a feeling of belonging to the state</t>
  </si>
  <si>
    <t>1: Wasteful; 7: Worth the investment</t>
  </si>
  <si>
    <t>1: Crucial; 7: Does not change much</t>
  </si>
  <si>
    <t>1: Important; 7: Unimportant</t>
  </si>
  <si>
    <t>Alignment/Likud won in the last Histadrut elections</t>
  </si>
  <si>
    <t>1: Alignment; 2: Likud; 3: Both parties; 4: Neither party</t>
  </si>
  <si>
    <t>Member of the General Federation of Workers(Histadrut Clalit)</t>
  </si>
  <si>
    <t>Party interviewee voted for in last Histadrut elections</t>
  </si>
  <si>
    <t>1: Alignment; 2: Likud; 3: Shinui; 4: Sheli; 5: Independent Liberals; 6: Rakach - Hadash; 7: Other party; 8: Did not vote, Histadrut member; 9: Refuses to answer</t>
  </si>
  <si>
    <t>INTERVIEWEE EVALUATION OF THE STATE OF ISRAEL</t>
  </si>
  <si>
    <t>Interviewee evaluation of the state of Israel</t>
  </si>
  <si>
    <t>b127</t>
  </si>
  <si>
    <t>1: Gives hope; 7: Causes despair</t>
  </si>
  <si>
    <t>b128</t>
  </si>
  <si>
    <t>1: Just; 7: Unjust</t>
  </si>
  <si>
    <t>b129</t>
  </si>
  <si>
    <t>1: The place interviewee wants to live in; 7: Not the place interviewee wants to live in</t>
  </si>
  <si>
    <t>b130</t>
  </si>
  <si>
    <t>1: The place all Jews should immigrate to; 7: Not the place all Jews should immigrate to</t>
  </si>
  <si>
    <t>b131</t>
  </si>
  <si>
    <t>1: Democratic; 7: Undemocratic</t>
  </si>
  <si>
    <t>b132</t>
  </si>
  <si>
    <t>1: A state with social justice; 7: A state without social justice</t>
  </si>
  <si>
    <t>b133</t>
  </si>
  <si>
    <t>1: Ready to live in peace with the Arab countries; 7: Not ready to live in peace with the Arab countries</t>
  </si>
  <si>
    <t>b134</t>
  </si>
  <si>
    <t>1: Peacemaker; 7: War monger</t>
  </si>
  <si>
    <t>b135</t>
  </si>
  <si>
    <t>1: The realization of the Zionist dream; 7: Not the realization of the Zionist dream</t>
  </si>
  <si>
    <t>b137</t>
  </si>
  <si>
    <t>b138</t>
  </si>
  <si>
    <t>b139</t>
  </si>
  <si>
    <t>1: Did not study; 2: Up tp 4 years; 3: 5-8; 4: 9-10; 5: 11; 6: 12; 7: 13+, without academic degree; 8: Full university education</t>
  </si>
  <si>
    <t>b140</t>
  </si>
  <si>
    <t>Place of birth/ father's place of birth</t>
  </si>
  <si>
    <t>b141</t>
  </si>
  <si>
    <t>b142</t>
  </si>
  <si>
    <t>1: Salaried worker; 2: Independent; 3: Member of cooperative; 4: Pensioned; 5: Housewife; 6: Student, soldier; 7: Unemployed</t>
  </si>
  <si>
    <t>b143</t>
  </si>
  <si>
    <t>1: Upper-middle, upper class; 2: Middle class; 3: Working class; 4: Lower class; 5: Does not belong to any class</t>
  </si>
  <si>
    <t>b144</t>
  </si>
  <si>
    <t>b145</t>
  </si>
  <si>
    <t>To what extent interviewee observes religious traditions</t>
  </si>
  <si>
    <t>1: Observes them strictly; 2: Observes them to a great extent; 3: Observes some of the traditions; 4: Does not observe them at all, secular</t>
  </si>
  <si>
    <t>b146</t>
  </si>
  <si>
    <t>Travels on the Sabbath</t>
  </si>
  <si>
    <t>b147</t>
  </si>
  <si>
    <t>Eats only Kosher food</t>
  </si>
  <si>
    <t>b148</t>
  </si>
  <si>
    <t>Number of times interviewee goes to synagogue during the year</t>
  </si>
  <si>
    <t>1: Every day; 2: Almost every Sabbath and holiday; 3: A few times; 4: Only on Yom Kippur; 5: Never</t>
  </si>
  <si>
    <t>b149</t>
  </si>
  <si>
    <t>1: One room; 2: 2; 3: 3; 4: 4; 5: 5; 6: 6; 7: 7; 8: 8; 9: 9+</t>
  </si>
  <si>
    <t>b151</t>
  </si>
  <si>
    <t>1: One person; 2: 2; 3: 3; 4: 4; 5: 5; 6: 6; 7: 7; 8: 8; 9: 9+</t>
  </si>
  <si>
    <t>b152</t>
  </si>
  <si>
    <t>Interviewee usually reads daily newspapers</t>
  </si>
  <si>
    <t>1: Ma'ariv; 2: Yedioth Aharonoth; 3: Ha'aretz; 4: Davar; 5: Other Hebrew newspaper; 6: Foreign language newspaper; 7: Does not usually read daily newspaper</t>
  </si>
  <si>
    <t>b153</t>
  </si>
  <si>
    <t>b154</t>
  </si>
  <si>
    <t>b155</t>
  </si>
  <si>
    <t>Radio station interviewee especially listens to</t>
  </si>
  <si>
    <t>1: HaGal HaKal; 2: Reshet Gimel; 3: Galei Tzahal; 4: Reshet Aleph; 5: Kol HaShalom; 6: Does not listen to the radio</t>
  </si>
  <si>
    <t>b156</t>
  </si>
  <si>
    <t>Supports, is a member or paid functionary for a political party</t>
  </si>
  <si>
    <t>1: Member and paid functionary; 2: Member, unpaid functionary; 3: Member, no function; 4: Supports only; 5: Does not support any specific party</t>
  </si>
  <si>
    <t>b157</t>
  </si>
  <si>
    <t>1: Left; 2: Moderate left; 3: Center; 4: Moderate right; 5: Right; 6: Religious; 7: Does not identify with any tendency</t>
  </si>
  <si>
    <t>b158</t>
  </si>
  <si>
    <t>Averatge monthly household expenditure</t>
  </si>
  <si>
    <t>0: 7001+; 1: Up to 1000 Shekels; 2: 1001-1500; 3: 1501-2000; 4: 2001-2500; 5: 2501-3000; 6: 3001-4000; 7: 4001-5000; 8: 5001-6000; 9: 6001-7000</t>
  </si>
  <si>
    <t>b159</t>
  </si>
  <si>
    <t>b160</t>
  </si>
  <si>
    <t>1977_1</t>
  </si>
  <si>
    <t>Study 1977, phase 1</t>
  </si>
  <si>
    <t>Place of interview</t>
  </si>
  <si>
    <t>1: Jerusalem; 2: Tel Aviv; 3: Haifa; 4: Ramat Gan; 5: Givatayim; 6: Bnei Brak; 7: Holon; 8: Bat Yam; 9: Beer Sheva</t>
  </si>
  <si>
    <t>1: Thursday, 3.3.77; 2: Friday, 4.3.77; 3: Sunday, 6.3.77; 4: Monday, 7.3.77; 5: Tuesday, 8.3.77; 6: Wednesday, 9.3.77</t>
  </si>
  <si>
    <t>0: No answer; 1: Very good; 2: Good; 3: Not so good; 4: Not good; 5: Not good at all</t>
  </si>
  <si>
    <t>Way government handles problems of present situation</t>
  </si>
  <si>
    <t>0: No answer; 1: It is handling them very well; 2: It is handling them well; 3: Not so well; 4: Not well at all</t>
  </si>
  <si>
    <t>Main problem government has to take care of</t>
  </si>
  <si>
    <t>0: No answer; 1: Security; 2: Economy; 3: Social inequality; 4: Peace; 5: Young couples; 6: Changing the electoral system; 7: Immigrants absorption; 8: Education; 9: Other</t>
  </si>
  <si>
    <t>0: No answer; 1: Very big differences; 2: Big differences; 3: Certain differences; 4: Small differences; 5: Very small differences; 6: No differences</t>
  </si>
  <si>
    <t>Differences are clear to interviewee</t>
  </si>
  <si>
    <t>0: No answer; 1: Very clear; 2: Clear; 3: Not so clear; 4: Not at all</t>
  </si>
  <si>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</si>
  <si>
    <t>To what extent Israel should be ready to talk with P.L.O.</t>
  </si>
  <si>
    <t>0: No answer; 1: To a great extent; 2: To a certain extent; 3: To a small extent; 4: Not at all</t>
  </si>
  <si>
    <t>Maximum Israel has to give up in Judea and Samaria to achieve peace agreement</t>
  </si>
  <si>
    <t>0: No answer; 1: All of Judea and Samaria; 2: Almost all of it; 3: A part of it; 4: A small part of it; 5: Nothing at all</t>
  </si>
  <si>
    <t>Differences in party stands on territories issue</t>
  </si>
  <si>
    <t>1: Very clear; 2: Clear; 3: Not so clear; 4: Not at all</t>
  </si>
  <si>
    <t>To what extent giving back territories will influence election results</t>
  </si>
  <si>
    <t>To what extent will territories issue influence interviewee's vote</t>
  </si>
  <si>
    <t>Party best representing interviewee stand on territory issue</t>
  </si>
  <si>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No party will be able to handle it; 19: Does not know</t>
  </si>
  <si>
    <t>Interviewee will vote for different party if party changes its stand on territories issue</t>
  </si>
  <si>
    <t>0: No answer; 1: Certainly will; 2: Thinks so; 3: Does not think so; 4: Certainly not; 5: Has not decided whom to vote for yet</t>
  </si>
  <si>
    <t>To what extent the corruption issue will influence election results</t>
  </si>
  <si>
    <t>To what extent corruption issue will influence interviewee's vote</t>
  </si>
  <si>
    <t>Way government handles the economic problems of Israel</t>
  </si>
  <si>
    <t>0: No answer; 1: Very well; 2: Well; 3: Well enough; 4: Not so well; 5: Not well at all</t>
  </si>
  <si>
    <t>To what extent economy issue will influence election results</t>
  </si>
  <si>
    <t>To what extent economy issue will influence interviewee's vote</t>
  </si>
  <si>
    <t>Party best representing interviewee stand on economy issue</t>
  </si>
  <si>
    <t>Interviewee's knowledge of proposal for a change in the electoral system</t>
  </si>
  <si>
    <t>0: No answer; 1: Knows details of the proposal; 2: Knows general lines; 3: Knows very little about it; 4: Knows nothing about it</t>
  </si>
  <si>
    <t>Existing electoral system should be kept or changed according to this proposal</t>
  </si>
  <si>
    <t>0: No answer; 1: Present system should certainly be kept; 2: Present system should be kept; 3: System should be changed as proposed; 4: Should certainly be changed as proposed; 5: Has no opinion on the subject; 6: Supports change to regional elections</t>
  </si>
  <si>
    <t>To what extent interviewee discusses politics with family</t>
  </si>
  <si>
    <t>To what extent interviewee discusses politics with friends</t>
  </si>
  <si>
    <t>Family members vote like interviewee</t>
  </si>
  <si>
    <t>0: No answer; 1: They all do; 2: Most of them do; 3: Some of them do; 4: None of them do; 5: Does not know how they vote</t>
  </si>
  <si>
    <t>Friends vote like interviewee</t>
  </si>
  <si>
    <t>To what extent interviewee/friends can influence policy making</t>
  </si>
  <si>
    <t>To what extent votes affect policy</t>
  </si>
  <si>
    <t>Politicians take into consideration what the 'man in the street' thinks</t>
  </si>
  <si>
    <t>0: No answer; 1: They don't take it into consideration; 2: They do only to a small extent; 3: They do to a certain extent; 4: They do to a great extent</t>
  </si>
  <si>
    <t>To what extent interviewee interested in influencing policy</t>
  </si>
  <si>
    <t>A district electoral system will increase/decrease interviewee's ability to affect policy</t>
  </si>
  <si>
    <t>0: No answer; 1: Increase to a great extent; 2: Increase to a certain extent; 3: Increase to a small extent; 4: Decrease to a small extent; 5: Decrease to a certain extent; 6: Decrease to a great extent; 7: It won't make a difference; 8: Does not know</t>
  </si>
  <si>
    <t>Main factor influencing interviewee's party choice</t>
  </si>
  <si>
    <t>0: No answer; 1: Identification with the party; 2: The party's candidate; 3: Party's stand on specific issues; 4: Its being in government/in opposition</t>
  </si>
  <si>
    <t>ARGUMENTS CONVINVING ENOUGH TO VOTE FOR THE LIKUD</t>
  </si>
  <si>
    <t>It is important to give a new element the opportunity to try its strength in government to vote For the Likud</t>
  </si>
  <si>
    <t>The Likud proposes a refreshing new leadership</t>
  </si>
  <si>
    <t>The Likud will know how to stand firmly during negotiations over peace and the territories</t>
  </si>
  <si>
    <t>The Likud will be more effective in stopping corruption in Israel</t>
  </si>
  <si>
    <t>The Likud institutions are democratic</t>
  </si>
  <si>
    <t>The Alignment's leaders have contributed to the corruption in Israel</t>
  </si>
  <si>
    <t>The Alignment and the DMC do not have a clear foreign and security policy</t>
  </si>
  <si>
    <t>The Likud will help interviewee get a better job or a promotion</t>
  </si>
  <si>
    <t>The Likud will help interviewee with personal problems such as, housing, getting help from government offices, etc.</t>
  </si>
  <si>
    <t>0: No answer; 1: To great extent; 2: To a certain extent; 3: To a small extent; 4: Not at all</t>
  </si>
  <si>
    <t>The Alignment proposes a refreshing new leadership</t>
  </si>
  <si>
    <t>The Alignment's flexibility on the subject of the territories may bring us peace</t>
  </si>
  <si>
    <t>The Alignment can better handle the economic/social problems</t>
  </si>
  <si>
    <t>The Alignment will be more effective in stopping the corruption in Israel</t>
  </si>
  <si>
    <t>The Alignment is for a change in the electoral system</t>
  </si>
  <si>
    <t>The Alignment is renewing itself and becoming more democratic</t>
  </si>
  <si>
    <t>Concern about the Likud's extremism</t>
  </si>
  <si>
    <t>The DMC is just like the Alignment, so why try something new</t>
  </si>
  <si>
    <t>The Likud and the DMC do not have experienced leaders</t>
  </si>
  <si>
    <t>The Alignment will help interviewee get a better job or a promotion</t>
  </si>
  <si>
    <t>The Alignment will help interviewee with personal problems such as housing, getting help from government offices, etc.</t>
  </si>
  <si>
    <t>ARGUMENTS CONVINCING ENOUGH TO VOTE FOR THE DMC</t>
  </si>
  <si>
    <t>It is important to let a new element try its strength in government for the DMC</t>
  </si>
  <si>
    <t>The DMC has good leaders</t>
  </si>
  <si>
    <t>The DMC offers a refreshing new leadership</t>
  </si>
  <si>
    <t>The DMC's policy will increase the chances for peace</t>
  </si>
  <si>
    <t>The DMC's policy on the occupied territories may bring peace</t>
  </si>
  <si>
    <t>The DMC can better handle the economic/social problems</t>
  </si>
  <si>
    <t>The DMC will be more effective in stopping corruption</t>
  </si>
  <si>
    <t>The DMC is for a change in the electoral system</t>
  </si>
  <si>
    <t>The DMC is a democratic movement</t>
  </si>
  <si>
    <t>v80</t>
  </si>
  <si>
    <t>The DMC is the least of all evils</t>
  </si>
  <si>
    <t>The DMC has the ability to bring real change to the country</t>
  </si>
  <si>
    <t>Alignment and Likud leaders have contributed to corruption in the country</t>
  </si>
  <si>
    <t>Neither the Likud or the Alignment can improve life in this country</t>
  </si>
  <si>
    <t>The DMC will help interviewee get a better job or promotion</t>
  </si>
  <si>
    <t>The DMC will help interviewee with personal problems such as, housing, getting help from government officies, etc.</t>
  </si>
  <si>
    <t>Interviewee will change vote if party he supports changes its position on an issue that seems important to him</t>
  </si>
  <si>
    <t>0: No answer; 1: Certainly will; 2: Thinks so; 3: Does not think so; 4: Certainly will not; 5: Will not vote at all; 6: Does not intend to vote anyway; 7: Does not support any specific party</t>
  </si>
  <si>
    <t>Interviewee will still vote for same party if the candidate he supports does not have a place or is not included in the party list</t>
  </si>
  <si>
    <t>0: No answer; 1: Certainly will; 2: Thinks so; 3: Thinks he will vote for another party; 4: Will certainly vote for another party; 5: Will not vote at all; 6: Does not intend to vote anyway; 7: Does not have a candidate; 8: Does not support any specific party</t>
  </si>
  <si>
    <t>THE TWO GROUPS INTERVIEWEE WOULD LIKE TO HAVE A LARGER REPRESENTATION IN THE PARTY HE INTENDS TO VOTE FOR</t>
  </si>
  <si>
    <t>The first of the two groups</t>
  </si>
  <si>
    <t>0: No answer; 1: Young people; 2: Women; 3: Oriental Jews; 4: Intellectuals; 5: Workers; 6: Army people; 7: Businessmen; 8: New immigrants; 9: No group</t>
  </si>
  <si>
    <t>The second of the two groups</t>
  </si>
  <si>
    <t>0: No answer; 1: Young people; 2: Women; 3: Oriental Jews; 4: Intellectuals; 5: Workers; 6: Army people; 7: Businessmen; 8: New immigrants; 9: No second group</t>
  </si>
  <si>
    <t>Some say if Mapam leaves the Alignment it will influence election results.results</t>
  </si>
  <si>
    <t>The competition inside the Labour Party strengthened or weakened the party</t>
  </si>
  <si>
    <t>0: No answer; 1: Strengthened very much; 2: Strengthened it; 3: Strengthened a little; 4: Weakened a little; 5: Weakened it; 6: Weakened it very much; 7: Neither strengthened nor weakened; 8: Does not know</t>
  </si>
  <si>
    <t>The competition inside the Labour Party strengthened or weakened its democratic character</t>
  </si>
  <si>
    <t>0: No answer; 1: Strengthened it very much; 2: Strengthened it; 3: Strengthened a little; 4: Weakened a little; 5: Weakened it; 6: Weakened it very much; 7: Neither strengthened nor weakened; 8: Does not know</t>
  </si>
  <si>
    <t>The Alignment's strongest competitor (interviewee opinion)</t>
  </si>
  <si>
    <t>0: No answer; 1: Likud; 2: DMC</t>
  </si>
  <si>
    <t>The government of Israel has to make sure that the public life of the country is in accordance with Jewish tradition</t>
  </si>
  <si>
    <t>0: No answer; 1: Certainly yes; 2: Interviewee thinks so; 3: Interviewee does not think so; 4: Certainly not; 5: Does not know</t>
  </si>
  <si>
    <t>Interviewee supports a more capitalistic or a more socialistic approach for the country's economic structure</t>
  </si>
  <si>
    <t>0: No answer; 1: Absolutely capitalistic; 2: More capitalistic than socialistic; 3: More socialistic than capitalistic; 4: Asolutely socialistic; 5: Does not know</t>
  </si>
  <si>
    <t>To what extent election campaign will help interviewee decide whom to vote for</t>
  </si>
  <si>
    <t>Interviewee's preference for Prime Minister after the elections</t>
  </si>
  <si>
    <t>0: No answer; 1: Itzhak Rabin; 2: Menachem Begin; 3: Shimon Peres; 4: Abba Eban; 5: Golda Meir; 6: Yigal Yadin; 7: Yigal Alon; 8: Arik Sharon; 9: Other</t>
  </si>
  <si>
    <t>To what extent interviewee is certain whom he will vote for in the coming elections</t>
  </si>
  <si>
    <t>110-111</t>
  </si>
  <si>
    <t>The party interviewee thinks will form the next government</t>
  </si>
  <si>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Does not know; 19: Refuses to answer</t>
  </si>
  <si>
    <t>112-113</t>
  </si>
  <si>
    <t>Party interviewee would like to see form the next government</t>
  </si>
  <si>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Has not decided yet; 19: Does not know; 20: Refuses to answer</t>
  </si>
  <si>
    <t>Interviewee is closer to which party's position on foreign and security affairs</t>
  </si>
  <si>
    <t>0: No answer; 1: The Alignment's; 2: The Likud's; 3: The Left's</t>
  </si>
  <si>
    <t>0: No answer; 1: Left; 2: Moderate left; 3: Center; 4: Moderate right; 5: Religious; 6: Does not identify with specific tendency</t>
  </si>
  <si>
    <t>0: No answer; 01: Likud; 02: Independent Liberals; 03: Alignment; 04: Religious Front; 05: NRP; 06: Meri; 07: Moked; 08: Rakach; 09: Shulamit Aloni; 10: Israeli Democrats (Panthers); 11: Other; 12: Did not vote</t>
  </si>
  <si>
    <t>118-119</t>
  </si>
  <si>
    <t>Party interviewee voted for in the 1969 elections, 8 yrs ago</t>
  </si>
  <si>
    <t>0: No answer; 1: Free Center; 2: Gahal; 3: Independent Liberals; 4: Alignmet; 5: Poalei Agudat Israel; 6: NRP; 7: Agudat Israel; 8: HaOlam HaZeh; 9: Reshima Mamlachtit; 10: Israeli Communist Party; 11: Rakach; 12: Other; 13: Did not vote</t>
  </si>
  <si>
    <t>Party interviewee would vote for if elections held today For party codes, see codebook in file</t>
  </si>
  <si>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Will not vote for the Knesset; 19: Has not decided yet; 20: Does not know; 21: Refuses to answer</t>
  </si>
  <si>
    <t>Interviewee would vote for Labour Party or Mapam if the Alignment were to split</t>
  </si>
  <si>
    <t>0: No answer; 1: Mapam; 2: Labour Party; 3: Neither of them</t>
  </si>
  <si>
    <t>Interviewee is a member of the Histadrut</t>
  </si>
  <si>
    <t>0: No answer; 1: Yes; 2: No</t>
  </si>
  <si>
    <t>Interviewee supports a specific party/is a member or office-holder in one of the parties</t>
  </si>
  <si>
    <t>0: No answer; 1: Member and paid worker; 2: Member and voluntary worker; 3: Member only; 4: Supporter only; 5: Does not support any specific party</t>
  </si>
  <si>
    <t>1: No schooling; 2: Up to 4 years; 3: 5-8; 4: 9-10; 5: 11; 6: 12; 7: 13+, without University degree; 8: Full University education</t>
  </si>
  <si>
    <t>1: One person; 9: 9+</t>
  </si>
  <si>
    <t>Interviewee's gross monthly income</t>
  </si>
  <si>
    <t>0: No answer; 1: Up to 999 IL/month; 2: 1000-1499; 3: 1500-1999; 4: 2000-2499; 5: 2500-2999; 6: 3000-3499; 7: 3500-3999; 8: 4000-4999; 9: 5000+</t>
  </si>
  <si>
    <t>Gross monthly income of entire household</t>
  </si>
  <si>
    <t>Interviewee's social class</t>
  </si>
  <si>
    <t>0: No answer; 1: Upper or upper middle class; 2: Middle class; 3: Working class; 4: Lower class; 5: Does not belong to any class</t>
  </si>
  <si>
    <t>0: No answer; 1: Observes them thoroughly; 2: To a great extent; 3: To a small extent; 4: Not at all</t>
  </si>
  <si>
    <t>Interviewee works</t>
  </si>
  <si>
    <t>0: No answer; 1: Works as a salaried worker; 2: Independent; 3: Unemployed</t>
  </si>
  <si>
    <t>Spouse works</t>
  </si>
  <si>
    <t>0: No answer; 1: Salaried worker; 2: Independent; 3: Unemployed; 4: Does not have a spouse</t>
  </si>
  <si>
    <t>Place of birth: interviewee/interviewee's father</t>
  </si>
  <si>
    <t>Year of Aliya (immigration)</t>
  </si>
  <si>
    <t>0: No answer; 1: Israeli born; 2: Before 1930; 3: 1931-1940; 4: 1941-1947; 5: 1948-1954; 6: 1955-1960; 7: 1961-1964; 8: 1965-1967; 9: 1968+</t>
  </si>
  <si>
    <t>Interviewee has a phone at home</t>
  </si>
  <si>
    <t>1977_2</t>
  </si>
  <si>
    <t>Study 1977, phase 2</t>
  </si>
  <si>
    <t>Most important problem government should take care of</t>
  </si>
  <si>
    <t>0: No answer; 1: Security; 2: Economy; 3: Social inequality; 4: Peace; 5: Young couples; 6: Change in the electoral system; 7: Immigrants absorption; 8: Education; 9: Other</t>
  </si>
  <si>
    <t>Preferable to prevent unemployment or to stop inflation, even if the prevention of one usually causes an increase in the other</t>
  </si>
  <si>
    <t>0: No answer; 1: Certainly more imp. to prevent unemploy; 2: More important to prevent unemployment; 3: More important to stop inflation; 4: Certainly more import. to stop inflation</t>
  </si>
  <si>
    <t>To what extent ministers in charge of economic affairs are suitable for taking care of the economic problems facing the country</t>
  </si>
  <si>
    <t>Party position interviewee is closer to on economic and social issues</t>
  </si>
  <si>
    <t>0: No answer; 1: The Alignment's; 2: The Likud's; 3: The DMC's; 4: The Left's</t>
  </si>
  <si>
    <t>Interviewee usually reads the different parties' campaign advertisements</t>
  </si>
  <si>
    <t>0: No answer; 1: Reads all/most of them by most parties; 2: Reads some by all parties,most by Likud; 3: Reads some by all parties, most Alignmt; 4: Reads some by all parties, most by DMC; 5: Reads some by all parties, equally; 6: Reads only the Likud's; 7: Reads only the Alignment's; 8: Reads only the DMC's; 9: Does not read them at all</t>
  </si>
  <si>
    <t>To what extent those advertisements are an important factor in interviewee's decision whom to vote for</t>
  </si>
  <si>
    <t>Party interviewee voted for in the 1973 Knesset elections</t>
  </si>
  <si>
    <t>0: No answer; 01: Likud; 02: Moked; 03: Independent Liberals; 04: Alignment; 05: Religious Front; 06: NRP; 07: Meri; 08: Rakach; 09: Democrats and Black Panthers; 10: Shulamit Aloni; 11: Ethnic list; 12: Other; 13: Did not vote</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</si>
  <si>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</si>
  <si>
    <t>Interviewee has decided which party to vote for or is still debating between parties</t>
  </si>
  <si>
    <t>1: Has already decided; 2: Is debating between DMC and the Likud; 3: Between the DMC and the Alignment; 4: Between the Alignment and the Likud; 5: Between the three above parties; 6: Between the Alignment and Sheli; 7: Between the Likud and Shlomzion; 9: Other combination</t>
  </si>
  <si>
    <t>Rabin stepping down and Peres becoming Alignment's PM candidate has made interviewee more/less certain whom to vote for</t>
  </si>
  <si>
    <t>0: No answer; 1: Much more uncertain; 2: More uncertain; 3: Less uncertain; 4: Much less uncertain; 5: Had no doubts before and has none now; 6: Is as uncertain as before</t>
  </si>
  <si>
    <t>1: Up to 8 years of schooling; 4: 9-12 years; 7: 13+ years</t>
  </si>
  <si>
    <t>0: No answer; 1: Up to 999 IL/month; 2: 1000-1499; 3: 1500-1999; 4: 2000-2499; 5: 2500-2999; 6: 3000-3499; 7: 3500-3999; 8: 4000-4900; 9: 5000+</t>
  </si>
  <si>
    <t>0: No answer; 1: 20-29; 3: 30-39; 5: 40-49; 7: 50+</t>
  </si>
  <si>
    <t>0: No answer; 1: Up to 1499 IL/month; 2: 1500-2499; 3: 2500-2999; 4: 3000-3499; 5: 3500-3999; 6: 4000-4999; 7: 5000-5499; 8: 5500-5999; 9: 6000+</t>
  </si>
  <si>
    <t>0: No answer; 1: As an employee; 2: Independent; 3: Unemployed</t>
  </si>
  <si>
    <t>0: No answer; 1: As an employee; 2: Independent; 3: Unemployed; 4: Does not have a spouse</t>
  </si>
  <si>
    <t>Place of birth of interviewee/interviewee's father</t>
  </si>
  <si>
    <t>1977_3</t>
  </si>
  <si>
    <t>Study 1977, phase 3</t>
  </si>
  <si>
    <t>The most important problem the government has to take care of</t>
  </si>
  <si>
    <t>Before peace agreemt. giving back territory in West Bank issigned, elections should be held/govt. has authority to decide w/o elections</t>
  </si>
  <si>
    <t>0: No answer; 1: New elections have to be held; 2: New elections should be held; 3: The govt. has the authority to decide; 4: Gov-t certainly has authority w/o elctns</t>
  </si>
  <si>
    <t>Interviewee watches parties' advertisements on television</t>
  </si>
  <si>
    <t>0: No answer; 1: Usually watches all/most ads,all parties; 2: Watches mainly the Likud's ads; 3: Watches mainly the Alignments's ads; 4: Watches mainly the NRP's ads; 5: Watches mainly the DMC's ads; 6: Watches mainly the other parties' ads; 7: Watches only a few of them; 8: Does not watch them at all; 9: Does not have/does not usually watch TV</t>
  </si>
  <si>
    <t>Interviewee's preference for Prime Minister after coming elections</t>
  </si>
  <si>
    <t>0: No answer; 1: Abba Eban; 2: Yigal Alon; 3: Menachem Begin; 4: Yigael Yadin; 5: Golda Meir; 6: Shimon Peres; 7: Yitzhak Rabin; 8: Arik Sharon; 9: Other</t>
  </si>
  <si>
    <t>9-10</t>
  </si>
  <si>
    <t>Party interviewee thinks will form the next government</t>
  </si>
  <si>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Doesn't know; 17: Refuses to answer</t>
  </si>
  <si>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Has not decided yet; 17: Doesn't know; 18: Refuses to answer</t>
  </si>
  <si>
    <t>Assuming that it will be necessary to form a coalition govt. parties interviewee would like to see in such a government</t>
  </si>
  <si>
    <t>0: No answer; 1: Alignment, Likud, DMC; 2: Alignment, Likud; 3: Alignment, DMC; 4: Alignment, NRP; 5: Likud, DMC; 6: Likud, NRP; 7: Likud, DMC, NRP; 8: Alignment, DMC, NRP; 9: Alignment, Likud, DMC, NRP</t>
  </si>
  <si>
    <t>14-15</t>
  </si>
  <si>
    <t>Which party did you vote in the 1973 Knesset elections?</t>
  </si>
  <si>
    <t>0: No answer; 1: Likud; 2: Moked; 3: Independent Liberals; 4: Alignment; 5: Religious Front(Agudat Israel+Poalei Agudat Israel); 6: National Religious Party; 7: Meri; 8: Rakah; 9: Democrats and Black Panthers; 10: Shulamit Aloni; 11: Other Ethnic List; 12: Other; 13: Has not decided yet</t>
  </si>
  <si>
    <t>0: No answer; 1: Has already decided; 2: Is debating between DMC and the Likud; 3: Between the DMC and the Alignment; 4: Between the Alignment and the Likud; 5: Between the three above parties; 6: Between the Alignment and Sheli; 7: Between the Likud and Shlomzion; 9: Other</t>
  </si>
  <si>
    <t>1: No schooling; 2: Up to 4 years; 3: 5-8 years; 4: 9-10; 5: 11; 6: 12; 7: 13+ without University degree; 8: Full University education</t>
  </si>
  <si>
    <t>0: No answer; 1: 20-24; 2: 25-29; 3: 30-34; 4: 35-39; 5: 40-44; 6: 45-49; 7: 50-54; 8: 55-64; 9: 65+</t>
  </si>
  <si>
    <t>0: No answer; 1: Works as an employee; 2: As an independent; 3: Unemployed</t>
  </si>
  <si>
    <t>0: No answer; 1: As an employee; 2: As an independent; 3: Unemployed; 4: Does not have a spouse</t>
  </si>
  <si>
    <t>1: Israeli born; 2: Before 1930; 3: 1931-1940; 4: 1941-1947; 5: 1948-1954; 6: 1955-1960; 7: 1961-1964; 8: 1965-1967; 9: 1968+</t>
  </si>
  <si>
    <t>1977_4</t>
  </si>
  <si>
    <t>Study 1977, phase 4</t>
  </si>
  <si>
    <t>c2</t>
  </si>
  <si>
    <t>Factors greatly influencing interviewee's vote</t>
  </si>
  <si>
    <t>0: No answer; 1: Television advertisements; 2: Radio advertisements; 3: Newspaper advertisements; 4: Street advertisements; 5: House meetings; 6: General meetings; 7: Talking with friends and relatives; 8: Other or combination of several factors; 9: None of the factors mentioned here</t>
  </si>
  <si>
    <t>The success of the Likud's election campaign</t>
  </si>
  <si>
    <t>0: No answer; 1: Very successful; 2: Successful; 3: Not so successful; 4: Not at all successful</t>
  </si>
  <si>
    <t>The success of the Alignment's election campaign</t>
  </si>
  <si>
    <t>To what extent a government headed by the Likud will strengthen or weaken the country's economic and social situation</t>
  </si>
  <si>
    <t>0: No answer; 1: Strengthen it to a great extent; 2: Strengthen it to a certain extent; 3: Weaken it to a certain extent; 4: Weaken it to a great extent; 5: Neither strengthen nor weaken it</t>
  </si>
  <si>
    <t>To what extent a government headed by the Likud will improve or worsen the country's chances for peace</t>
  </si>
  <si>
    <t>0: No answer; 1: Improve them to a great extent; 2: Improve them to a certain extent; 3: Worsen them to a certain extent; 4: Worsen them to a great extent; 5: Will neither improve nor worsen them</t>
  </si>
  <si>
    <t>The greatest amount of territory in the West Bank that is to be given back in order to achieve a peace agreement</t>
  </si>
  <si>
    <t>0: No answer; 1: All of the West Bank; 2: Almost all of it; 3: Part of it; 4: A small part of it; 5: Nothing at all</t>
  </si>
  <si>
    <t>Factor having greatest influence on interviewee's vote for the Knesset</t>
  </si>
  <si>
    <t>0: No answer; 1: Trust in leadership of party voted for; 2: Lack of trust in govt. headed by Alignmt; 3: Wish to protest against Alignment govt.; 4: Wish to support the Alignment government; 5: Concern with the Likud's extremism</t>
  </si>
  <si>
    <t>The problem facing the country that was most important for interviewee's decision whom to vote for in last Knesset elections</t>
  </si>
  <si>
    <t>0: No answer; 1: Abba Eban; 2: Yigal Alon; 3: Menachem Begin; 4: Yigal Yadin; 5: Golda Meir; 6: Shimon Peres; 7: Yitzhak Rabin; 8: Arik Sharon; 9: Other</t>
  </si>
  <si>
    <t>To what extent interviewee is satisfied with the Knesset election results</t>
  </si>
  <si>
    <t>To what extent interviewee is certain he will continue to support the same party he supported these last elections</t>
  </si>
  <si>
    <t>Party position interviewee is closer to on foreign and security issues</t>
  </si>
  <si>
    <t>17-18</t>
  </si>
  <si>
    <t>19-20</t>
  </si>
  <si>
    <t>Party interviewee voted for in the 1977 Knesset elections</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</si>
  <si>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casted a blank ballot; 18: Did not vote; 19: Refuses to answer; 20: Other</t>
  </si>
  <si>
    <t>Party interviewee voted for in the 1973 Histadrut elections</t>
  </si>
  <si>
    <t>0: No answer; 01: Likud; 02: Independent Liberals; 03: Alignment; 04: Religious Worker; 05: Meri; 06: Moked; 07: Rakach; 08: Israeli Democrats (Panthers); 09: Other; 10: Not Histadrut member; 11: Histadrut member but did not vote</t>
  </si>
  <si>
    <t>Party interviewee voted for in the last Histadrut elections</t>
  </si>
  <si>
    <t>0: No answer; 01: Likud; 02: Independent Liberals - Shulamit Aloni; 03: Alignment; 04: DMC; 05: Religious Worker; 06: Sheli; 07: Rakach; 08: Hadash (Panthers); 09: Hilel Zeidel's list; 10: Other; 11: Not Histadrut member; 12: Histadrut member but did not vote</t>
  </si>
  <si>
    <t>1: Up to 8 years of schooling; 4: 9-12 years; 7: 13+</t>
  </si>
  <si>
    <t>Number of rooms in dqwelling</t>
  </si>
  <si>
    <t>0: No answer; 1: Works as an employee; 2: As an independent; 3: Does not work</t>
  </si>
  <si>
    <t>0: No answer; 1: As an employee; 2: As an independent; 3: Does not work; 4: Does not have a spouse</t>
  </si>
  <si>
    <t>1973_1</t>
  </si>
  <si>
    <t>Study 1973, phase 1</t>
  </si>
  <si>
    <t>May 1973</t>
  </si>
  <si>
    <t>Respondent number</t>
  </si>
  <si>
    <t>Interviewee's general situation today in comparison to his situation 4 years ago-improved/gotten worse</t>
  </si>
  <si>
    <t>0: No answer; 1: Improved; 2: Stayed the same; 3: Gotten worse</t>
  </si>
  <si>
    <t>The country's situation has improved/gotten worse</t>
  </si>
  <si>
    <t>To what extent interviewee is interested in politics</t>
  </si>
  <si>
    <t>Interviewee generally attends lectures on political subjects</t>
  </si>
  <si>
    <t>0: No answer; 1: Often; 2: Sometimes; 3: Never</t>
  </si>
  <si>
    <t>In the period before the elections,interviewee participates in meetings organized by the parties</t>
  </si>
  <si>
    <t>0: No answer; 1: Often; 2: Rarely; 3: Never; 4: Has not yet voted</t>
  </si>
  <si>
    <t>Two main sources of information on political affairs</t>
  </si>
  <si>
    <t>0: No answer; 1: First radio, then television; 2: First television, then radio; 3: First newspapers, then radio; 4: First newspapers, then television; 5: First radio, then newspapers; 6: First television, then newspapers; 7: Only newspapers; 8: Only television; 9: Only radio</t>
  </si>
  <si>
    <t>To what extent interviewee talks about politics with friends</t>
  </si>
  <si>
    <t>Interviewee votes like friends</t>
  </si>
  <si>
    <t>0: No answer; 1: Usually like most of his friends; 2: Usually not like most of his friends; 3: Has not yet voted</t>
  </si>
  <si>
    <t>Spouse votes like interviewee</t>
  </si>
  <si>
    <t>0: No answer; 1: Yes; 2: No; 3: Not married; 4: Has not yet voted</t>
  </si>
  <si>
    <t>To what extent interviewee discusses politics with close relatives</t>
  </si>
  <si>
    <t>Most of interviewee's relatives vote like him</t>
  </si>
  <si>
    <t>0: No answer; 1: Yes; 2: No; 3: Has not yet voted</t>
  </si>
  <si>
    <t>Main reason why interviewee votes</t>
  </si>
  <si>
    <t>0: No answer; 1: To feel like part of the people; 2: To show solidarity with supported party; 3: To choose who will be in government; 4: To criticize the government; 5: To be like friends who vote; 6: To fulfill duty towards country; 7: Does not vote</t>
  </si>
  <si>
    <t>The opposition serves the country in the same way the party in government does</t>
  </si>
  <si>
    <t>0: No answer; 1: Certainly yes; 2: Maybe yes; 3: Maybe not; 4: Definitely not</t>
  </si>
  <si>
    <t>Elections, making people vote for different parties, hurt the unity of the nation</t>
  </si>
  <si>
    <t>Politicians use the elections to take advantage of the people</t>
  </si>
  <si>
    <t>0: No answer; 1: Absolutely agrees; 2: Agrees; 3: Disagrees; 4: Absolutely disagrees</t>
  </si>
  <si>
    <t>Youth movement interviewee participated in</t>
  </si>
  <si>
    <t>0: No answer; 1: Hanoar haoved ve'halomed; 2: Hat'nuah ha meuchedet; 3: Tsofim; 4: Hashomer Hatsair; 5: B'nei Akiva; 6: Hanoar Hadati Haoved; 7: Hanoar Haoved Haleumi; 8: Macabi Hatsair; 9: Dror-Machnot Olim; 10: Beitar; 11: Ezra; 12: Noar Tsioni; 13: Tseirei Agudat Israel; 14: Benot Agudat Israel; 15: Another movement abroad; 16: Another movement; 17: Did not participate in any movement</t>
  </si>
  <si>
    <t>Party interviewee supports or tends to support is similar to the youth movement he belonged to</t>
  </si>
  <si>
    <t>0: No answer; 1: Yes; 2: No; 3: Was not a member of a youth movement</t>
  </si>
  <si>
    <t>Interviewee's father is interested in politics</t>
  </si>
  <si>
    <t>0: No answer; 1: Very interested; 2: Interested; 3: Not so interested; 4: Not at all; 5: Father passed away</t>
  </si>
  <si>
    <t>Interviewee usually discusses/ed politics with father</t>
  </si>
  <si>
    <t>0: No answer; 1: Very often; 2: Sometimes; 3: Rarely; 4: Not at all; 5: Father passed away</t>
  </si>
  <si>
    <t>Interviewee definition of the ideal political party</t>
  </si>
  <si>
    <t>1: Rightwing; 7: Leftwing</t>
  </si>
  <si>
    <t>1: Conservative; 7: Progressive</t>
  </si>
  <si>
    <t>1: Middle-class; 7: Proletariat</t>
  </si>
  <si>
    <t>The first of the two most important problems the government should be taking care of</t>
  </si>
  <si>
    <t>0: No answer; 1: Security (occupied territories); 2: Peace; 3: Economy; 4: Social and domestic problems; 5: Immigration and absorption; 6: Socio-economic inequality; 7: Young couples and housing; 8: Education; 9: Other</t>
  </si>
  <si>
    <t>The second problem</t>
  </si>
  <si>
    <t>0: No answer; 1: Security; 2: Peace; 3: Economy; 4: Social and domestic problems; 5: Immigration and absorption; 6: Socio-economic inequality; 7: Young couples and housing; 8: Education; 9: Other</t>
  </si>
  <si>
    <t>Government will soon find a solution for the above mentioned two problems</t>
  </si>
  <si>
    <t>0: No answer; 1: It will solve both of them soon; 2: It will solve the first one soon; 3: It will solve the second one soon; 4: It will not solve either of them soon</t>
  </si>
  <si>
    <t>Party stands on the first issue differ</t>
  </si>
  <si>
    <t>0: No answer; 1: Differ greatly; 2: Differ; 3: Differ little; 4: Differ very little; 5: Do not differ</t>
  </si>
  <si>
    <t>Party stands on the second issue differ</t>
  </si>
  <si>
    <t>Interviewee identifies with a specific party's stand on the first problem/this influences way he votes</t>
  </si>
  <si>
    <t>0: No answer; 1: Greatly influences way he votes; 2: Influences; 3: Influences a little; 4: Has no influence; 5: Does not identify with spec. party stand</t>
  </si>
  <si>
    <t>Interviewee identifies with a specific party's stand on the second problem/this influences way he votes</t>
  </si>
  <si>
    <t>0: No answer; 1: Greatly influences; 2: Influences; 3: Influences a little; 4: Has no influence; 5: Does not identify with spec. party stand</t>
  </si>
  <si>
    <t>When interviewee decided to vote</t>
  </si>
  <si>
    <t>0: No answer; 1: Decided early; 2: Waited to the last minute</t>
  </si>
  <si>
    <t>Factor making interviewee decide whom to vote for, for those who wait to decide</t>
  </si>
  <si>
    <t>0: No answer; 1: Party platform; 2: The candidates; 3: Party's behaviour; 4: Propaganda (radio, television, etc.); 5: The country's situation (economy, etc.); 7: Unknown; 8: No party to vote for/no reason to decide; 9: Already decided</t>
  </si>
  <si>
    <t>To what extent election campaign helps decide whom to vote for</t>
  </si>
  <si>
    <t>To what extent radio broadcasts help decide whom to vote for</t>
  </si>
  <si>
    <t>To what extent the press helps decide whom to vote for</t>
  </si>
  <si>
    <t>To what extent television helps decide whom to vote for</t>
  </si>
  <si>
    <t>Interviewee is interested in the subject of social and economic inequality in Israel</t>
  </si>
  <si>
    <t>0: No answer; 1: Very interested; 2: Interested; 3: Not so interested; 4: Not at all</t>
  </si>
  <si>
    <t>To what extent interviewee agrees that there is too much social and economic inequality in Israel</t>
  </si>
  <si>
    <t>To what extent the issue of socio-economic inequality will influence the results of the election</t>
  </si>
  <si>
    <t>To what extent the parties differ in their stands on socio-economic inequality</t>
  </si>
  <si>
    <t>0: No answer; 1: To a great extent; 2: To a certain extent; 3: To a small extent; 4: No differences</t>
  </si>
  <si>
    <t>Party whose stand on socio-economic inequality interviewee identifies with</t>
  </si>
  <si>
    <t>0: No answer; 01: Free Center; 02: Gahal; 03: Independent Liberals; 04: Alignment Labor-Mapam; 05: Poalei Agudat Yisrael; 06: National Religious Party; 07: Agudat Yisrael; 08: Israel Communist Party; 09: Rakach; 10: HaOlam HaZeh; 11: Reshima Mamlachtit; 12: Ethnic list; 13: Does not identify with any party</t>
  </si>
  <si>
    <t>Party whose stand on socio-economic inequality is very far from interviewee's stand</t>
  </si>
  <si>
    <t>0: No answer; 01: Free Center; 02: Gahal; 03: Independent Liberals; 04: Alignment Labor-Mapam; 05: Poalei Agudat Yisrael; 06: National Religious Party; 07: Agudat Yisrael; 08: HaOlam HaZeh; 09: Reshima Mamlachtit; 10: Ethnic list; 11: No party very far from interviewee stand</t>
  </si>
  <si>
    <t>How the issue of socio-economic inequality will influence interviewee's vote in next election</t>
  </si>
  <si>
    <t>0: No answer; 1: Very much; 2: Somewhat; 3: A little; 4: Not at all</t>
  </si>
  <si>
    <t>Interviewee will withdraw support for party if it changes its stand on this issue</t>
  </si>
  <si>
    <t>0: No answer; 1: Certainly yes; 2: Thinks so; 3: Does not think so; 4: Certainly not</t>
  </si>
  <si>
    <t>Interviewee is usually interested in security problems</t>
  </si>
  <si>
    <t>Israel has to give up occupied territories if wants to maintain Jewish character&amp;come closer to peace</t>
  </si>
  <si>
    <t>0: No answer; 1: Israel has to give up all territoriess; 2: Has to give up part of territories; 3: Has to give up small part of territories; 4: Should not give anything back</t>
  </si>
  <si>
    <t>To what extent territories issue will influence results of next election</t>
  </si>
  <si>
    <t>To what extent party stands differ on territories issue</t>
  </si>
  <si>
    <t>Party whose stand on territories issue interviewee identifies with</t>
  </si>
  <si>
    <t>Party whose stand on territories issue is very far from interviewee's stand</t>
  </si>
  <si>
    <t>0: No answer; 01: Free Center; 02: Gahal; 03: Independent Liberals; 04: Alignment Labor-Mapam; 05: Poalei Agudat Yisrael; 06: National Religious Party; 07: Agudat Yisrael; 08: HaOlam HaZeh; 09: Reshima Mamlachtit; 10: Ethnic list; 11: No party stand is very far from his</t>
  </si>
  <si>
    <t>How the territories issue will influence interviewee's vote in next election</t>
  </si>
  <si>
    <t>If party supported changes its stand on territories issue interviewee will vote for different party</t>
  </si>
  <si>
    <t>INTERVIEWEE DEFINITION OF GAHAL - GRADED SCALE 1-7</t>
  </si>
  <si>
    <t>Interviewee definition of voters</t>
  </si>
  <si>
    <t>1: Sephardic; 7: Ahskenazi</t>
  </si>
  <si>
    <t>1: Honest; 7: Corrupt</t>
  </si>
  <si>
    <t>The Histadrut should be at the same time factory owner and workers' representative</t>
  </si>
  <si>
    <t>0: No answer; 1: Certainly agrees; 2: Agrees; 3: Disagrees; 4: Absolutely agrees</t>
  </si>
  <si>
    <t>To what extent interviewee and friends can influence policy-making</t>
  </si>
  <si>
    <t>To what extent the elections can influence policy-making</t>
  </si>
  <si>
    <t>A few strong leaders can help the country more than all the discussions and laws</t>
  </si>
  <si>
    <t>0: No answer; 1: Left; 2: Moderate left; 3: Center; 4: Right; 5: Religious; 6: None</t>
  </si>
  <si>
    <t>INTERVIEWEE DEFINITION OF THE ALIGNMENT, GRADED SCALE 1-7</t>
  </si>
  <si>
    <t>Interviewee definition of the Alignment</t>
  </si>
  <si>
    <t>Record type</t>
  </si>
  <si>
    <t>1: Sepharadic; 7: Ashkenazi</t>
  </si>
  <si>
    <t>Important for interviewee to vote in elections</t>
  </si>
  <si>
    <t>0: No answer; 1: Very important; 2: Important; 3: Not so important; 4: Not at all</t>
  </si>
  <si>
    <t>To what extent Gahal presents a possible substitute for the Labour Party in government</t>
  </si>
  <si>
    <t>Gahal winning the election would bring a change for the better or for the worse regarding social and economic inequality</t>
  </si>
  <si>
    <t>0: No answer; 1: For the better; 2: No change; 3: For the worse</t>
  </si>
  <si>
    <t>Gahal winning the elections would bring a change for the better or for the worse with regard to security policies</t>
  </si>
  <si>
    <t>0: No answer; 1: Change for the better; 2: No change; 3: Change for the worse</t>
  </si>
  <si>
    <t>Interviewee supports, is a member or an official of a party</t>
  </si>
  <si>
    <t>0: No answer; 1: Member and salaried official; 2: Member and unsalaried official; 3: Member, holds no office; 4: Supporter; 5: Does not support any specific party</t>
  </si>
  <si>
    <t>Interviewee intends to vote in coming elections</t>
  </si>
  <si>
    <t>Interviewee's opinion of the National Religious Party</t>
  </si>
  <si>
    <t>0: No answer; 1: Its candidates are good; 2: Its candidates are bad; 3: Its stands are like interviewee's; 4: Its stands are very diff. from interview; 5: Its members are like interviewee; 6: Its members are different from interview; 7: It can be trusted; 8: It cannot be trusted</t>
  </si>
  <si>
    <t>Interviewee's opinion of Gahal</t>
  </si>
  <si>
    <t>0: No answer; 1: Its candidates are good; 2: Its candidates are bad; 3: Its stands are like interviewee's; 4: Its stands are very diff. from interview; 5: Its people are like interviewee; 6: Its people are different from interviewe; 7: It can be trusted; 8: It cannot be trusted</t>
  </si>
  <si>
    <t>Interviewee's opinion about the Alignment Labour-Mapam</t>
  </si>
  <si>
    <t>To what extent interviewee is sure about the party he will vote for in the Knesset elections</t>
  </si>
  <si>
    <t>0: No answer; 1: Very sure; 2: Sure; 3: Not so sure; 4: Not at all sure</t>
  </si>
  <si>
    <t>The most important problem the municipality has to deal with</t>
  </si>
  <si>
    <t>0: No answer; 1: Improvement of services; 2: Development and enlargement of city; 3: Providing income sources (hotels, indus); 4: Other</t>
  </si>
  <si>
    <t>Daily newspaper interviewee reads during the week</t>
  </si>
  <si>
    <t>0: No answer; 01: Ma'ariv; 02: Yedioth Aharonoth; 03: Ha'Aretz; 04: Davar; 05: Jerusalem Post; 06: Other Hebrew newspaper; 07: Other foreign language newspaper; 08: Ma'ariv and Ha'Aretz; 09: Yedioth Aharonoth and Ha'Aretz; 10: Two other newspapers; 11: Only reads newspapers on Friday; 12: Never reads the newspaper</t>
  </si>
  <si>
    <t>Number of hours a week interviewee watches Israeli television</t>
  </si>
  <si>
    <t>0: No answer; 1: Does not watch Israeli television; 2: 1-2 hours per week; 3: 3-5; 4: 6-10; 5: 11-15; 6: 16-20; 7: 21+</t>
  </si>
  <si>
    <t>0: No answer; 01: Free Center; 02: Gahal; 03: Independent Liberals; 04: Alignment Labour-Mapam; 05: Poalei Agudat Yisael; 06: National Religious Party; 07: Agudat Yisrael; 08: Israeli Communist Party; 09: Rakach; 10: HaOlam HaZeh; 11: Reshima Mamlachtit; 12: Reshima Ezrachit</t>
  </si>
  <si>
    <t>Party interviewee usually votes for if not the one mentioned above</t>
  </si>
  <si>
    <t>0: No answer; 01: Same party as mentioned above; 02: Free Center; 03: Gahal; 04: Independent Liberals; 05: Alignment Labour-Mapam; 06: Poalei Agudat Yisrael; 07: National Religous Party; 08: Agudat Yisrael; 09: Israeli Communist Party; 10: Rakach; 11: HaOlam HaZeh; 12: Reshima Mamlahtit; 13: Reshima Ezrachit; 14: First-time voter</t>
  </si>
  <si>
    <t>Party interviewee's farther usually votes for in Israel</t>
  </si>
  <si>
    <t>0: No answer; 19: Other; 20: Never voted in Israel</t>
  </si>
  <si>
    <t>Head of household</t>
  </si>
  <si>
    <t>1: Interviewee; 2: Husband; 3: Father; 4: Son; 5: Other</t>
  </si>
  <si>
    <t>1: 20-24; 2: 25-29; 3: 30-34; 4: 35-39; 5: 40-44; 6: 45-49; 7: 50-54; 8: 55-64; 9: 65+</t>
  </si>
  <si>
    <t>0: No answer; 1: Did not study; 2: Studied up to 4 years; 3: 5-8 years; 4: 9-10; 5: 11; 6: 12; 7: Post secondary education, no Univ.degree; 8: Completed University</t>
  </si>
  <si>
    <t>Years of schooling of father</t>
  </si>
  <si>
    <t>0: No answer; 1: Did not study; 2: Studied up to 4 years; 3: 5-8 Years; 4: 9-10; 5: 11; 6: 12; 7: Post secondary, no University degree; 8: Completed University</t>
  </si>
  <si>
    <t>Occupation</t>
  </si>
  <si>
    <t>0: Unemployed; 1: Free professional with University degree; 2: Free professional without Univ. degree; 3: Business owner or manager w/11+ workers; 4: Business owner or manager w/3-10 workers; 5: Business owner or manager w/0-2 workers; 6: Skilled worker; 7: Unskilled worker; 8: Student; 9: Other</t>
  </si>
  <si>
    <t>0: No answer; 1: Employee; 2: Independent, employer; 3: Independent, not employer; 4: Member of cooperative; 5: Other; 6: Unemployed, looking for work; 7: Housewife; 8: Retired; 9: Other</t>
  </si>
  <si>
    <t>Occupation of head of household</t>
  </si>
  <si>
    <t>1: Free professional w/university degree; 2: Free professional without univ. degree; 3: Business owner/manager with 11+ workers; 4: Business owner/manager with 3-10 workers; 5: Business owner/manager with 0-2 workers; 6: Skilled worker; 7: Unskilled worker; 8: Other; 9: Unemployed</t>
  </si>
  <si>
    <t>Status at work of head of household, if employed</t>
  </si>
  <si>
    <t>0: No answer; 1: Salaried worker; 2: Independent, employer; 3: Independent, not employer; 4: Member of cooperative; 5: Other; 6: Unemployed, seeking employment; 7: Housewife; 8: Retired; 9: Other reason for unemployment</t>
  </si>
  <si>
    <t>Owner of place of work</t>
  </si>
  <si>
    <t>0: No answer; 1: Interviewee, head of household; 2: Private owners; 3: Histadrut; 4: Public sector; 5: Other; 6: Does not work</t>
  </si>
  <si>
    <t>Interviewee works in the industrial sector</t>
  </si>
  <si>
    <t>0: No answer; 1: Yes; 2: No; 6: Does not work</t>
  </si>
  <si>
    <t>Gross monthly income of interviewee alone</t>
  </si>
  <si>
    <t>0: No answer; 1: 0-199 IL/month; 2: 200-399; 3: 400-599; 4: 600-799; 5: 800-999; 6: 1000-1249; 7: 1250-1499; 8: 1500-1749; 9: 1750+</t>
  </si>
  <si>
    <t>Gross monthly income of interviewee and household</t>
  </si>
  <si>
    <t>Interviewee or head of household is a member of the Histadrut/medical insurance plan if not</t>
  </si>
  <si>
    <t>0: No answer; 1: Yes; 2: National Workers Kupat Holim; 3: Kupat Holim Maccabbee; 4: Kupat Holim Merkazit (General Zionists); 5: Kupat Holim Amamit; 6: Other; 7: Receives medical treatment from welfare; 8: Receives medical treatment privately; 9: Receives medical treatment in other way</t>
  </si>
  <si>
    <t>0: No answer; 1: Observes them thoroughly; 2: To a great extent; 3: To a small extent; 4: Does not observe them at all</t>
  </si>
  <si>
    <t>0: No answer; 1: Israel/Israel; 2: Israel/Asia-Africa; 3: Israel/Europe-America; 4: Asia-Africa/Asia-Africa; 5: Europe-America/Europe-America; 6: Any other combination</t>
  </si>
  <si>
    <t>0: No answer; 1: Born in Israel; 2: Before 1930; 3: 1931-1940; 4: 1941-1947; 5: 1948-1954; 6: 1955-1959; 7: 1960-1965; 8: 1966+</t>
  </si>
  <si>
    <t>0: Does not live in an apartment; 1: One room; 9: 9+</t>
  </si>
  <si>
    <t>Number of people usually living in apartment</t>
  </si>
  <si>
    <t>0: Does not live in an apartment; 1: One person; 9: 9+</t>
  </si>
  <si>
    <t>Density of living conditions</t>
  </si>
  <si>
    <t>0: Does not live in an apartment; 1: Up to 1.00; 2: 1.00-1.49; 3: 1.50-1.99; 4: 2.00-2.49; 5: 2.50-2.99; 6: 3.00-3.49; 7: 3.50-3.99; 8: 4.00+</t>
  </si>
  <si>
    <t>0: No answer; 1: Single; 2: Widowed/divorced, without children; 3: Married without children; 4: Widowed/divorced, with 1-2 children; 5: Widowed/divorced, with 3 children; 6: Widowed/divorced, with 4 children; 7: Married with 1-2 children; 8: Married with 3 children; 9: Married with 4+ children</t>
  </si>
  <si>
    <t>1973_2</t>
  </si>
  <si>
    <t>Study 1973, phase 2</t>
  </si>
  <si>
    <t>September 1973</t>
  </si>
  <si>
    <t>During elections time, do you get more interested in politics than usually</t>
  </si>
  <si>
    <t>0: No answer; 1: Much more interested; 2: More interested; 3: Less interested; 4: Much less interested; 5: Just as much</t>
  </si>
  <si>
    <t>How interested are you in Histadrut elections</t>
  </si>
  <si>
    <t>0: No answer; 1: Very interested; 2: To a certain extent; 3: To a small extent; 4: Not at all</t>
  </si>
  <si>
    <t>How interested are you in municipal elections</t>
  </si>
  <si>
    <t>How interested are you in Knesset elections</t>
  </si>
  <si>
    <t>Are you statisfied with the way elections for the Knesset are held</t>
  </si>
  <si>
    <t>0: No answer; 1: Very satisfied; 2: Satisfied; 3: Not so satisfied; 4: Not at all</t>
  </si>
  <si>
    <t>Why</t>
  </si>
  <si>
    <t>0: No answer; 1: Not satisfied: prefer direct personal elections; 2: Not satisfied: it's a waste of money; 3: Not satisfied: because of the accusations, lies and promises in the air; 4: Not satisfied: badly done propaganda; 5: Not satisfied: I'm not interested, don't understand; 6: Other; 7: Satisfied: they're held in a democratic and honest way; 8: Satisfied: other</t>
  </si>
  <si>
    <t>During elections do you read more about politics than usually</t>
  </si>
  <si>
    <t>0: No answer; 1: Much more; 2: More; 3: Less; 4: Much less; 5: Don't read about politics; 6: Read the same as usual</t>
  </si>
  <si>
    <t>What political subjects interest you the most</t>
  </si>
  <si>
    <t>0: No answer; 1: Security, territories, peace; 2: Economy; 3: Social problems (poverty, etc.); 4: Other domestic problems (religion, education, etc.); 5: Combination of foreign (security) and domestic (security and economy)problems; 6: Other; 7: None</t>
  </si>
  <si>
    <t>Do you read party advertisements in the newspapers</t>
  </si>
  <si>
    <t>0: No answer; 1: Often; 2: Sometimes; 3: Rarely; 4: Never</t>
  </si>
  <si>
    <t>Do you read the elections column in the newspapers</t>
  </si>
  <si>
    <t>To what extent do party advertisements help you decide whom to vote for</t>
  </si>
  <si>
    <t>Have you heard party advertisements on the radio</t>
  </si>
  <si>
    <t>If yes, which party's advertisements have you mainly heard</t>
  </si>
  <si>
    <t>0: No answer; 1: Independant Liberals; 2: Alignment Labor-Mapam; 3: Poalei Agudat Israel; 4: National Religious Party; 5: Agudat Israel; 6: Moked (Communist Party and Meir Pail); 7: Rakach; 8: Haolam Haze; 9: Israeli Democrats (Panthers); 10: Likud (Gahal, Free Center, Reshima Mamlachtit); 11: Gahal; 12: Reshima Mamlachtit; 13: Free center; 14: Other; 15: All of them; 19: Didn't hear</t>
  </si>
  <si>
    <t>To what extent did these advertisements help you decide whom to vote for</t>
  </si>
  <si>
    <t>Have you seen party advertisements on television</t>
  </si>
  <si>
    <t>If yes, which party's advertisements have you mainly seen</t>
  </si>
  <si>
    <t>To what extent did the T.V. advertisements help you decide whom to vote for</t>
  </si>
  <si>
    <t>Who are the leaders you'd like to see most on television (first priority)</t>
  </si>
  <si>
    <t>0: No answer; 1: Golda Meir; 2: Moshe Dayan; 3: Menachem Begin; 4: Shmuel Tamir; 5: Igal Alon; 6: Arik Sharon; 7: Other; 8: Doesn't want to see anyone</t>
  </si>
  <si>
    <t>Who are the leaders you'd like to see most on television (second priority)</t>
  </si>
  <si>
    <t>How would you like to see your first priority on television advertisements</t>
  </si>
  <si>
    <t>0: No answer; 1: In his political activities; 2: In his private life</t>
  </si>
  <si>
    <t>How would you like to see your second priority on television advertisements</t>
  </si>
  <si>
    <t>Have you participated in house-meetings in this period</t>
  </si>
  <si>
    <t>To what extent did those house meetings help you decide whom to vote for</t>
  </si>
  <si>
    <t>To what extent do you talk with your friends about politics</t>
  </si>
  <si>
    <t>To what extent are you interested in politics in general</t>
  </si>
  <si>
    <t>How do you see politics in Israel</t>
  </si>
  <si>
    <t>Do you think politicians take advantage of the public through elections for their purposes</t>
  </si>
  <si>
    <t>0: No answer; 1: Absolutely agree; 2: Agree; 3: Have reservations; 4: Absolutely disagree</t>
  </si>
  <si>
    <t>Do you think the opposition serves the country as much as parties in government</t>
  </si>
  <si>
    <t>0: No answer; 1: Absolutely yes; 2: Maybe yes; 3: Maybe no; 4: Absolutely disagree</t>
  </si>
  <si>
    <t>Some people want to influence government policy and some don't. How about you?</t>
  </si>
  <si>
    <t>0: No answer; 1: Absolutely want to influence; 2: Want to influence; 3: To a small extent; 4: Not at all</t>
  </si>
  <si>
    <t>Do you think your vote influences the results of the Knesset elections</t>
  </si>
  <si>
    <t>Do you think the party in government has to be substisuted even if it is doing well</t>
  </si>
  <si>
    <t>0: No answer; 1: Absolutely agree; 2: Agree; 3: Disagree; 4: Absolutely disagree</t>
  </si>
  <si>
    <t>Would you say that election day is a holiday for the country and for the people</t>
  </si>
  <si>
    <t>Is it important that everybody participates in the elections for the Knesset</t>
  </si>
  <si>
    <t>Did you vote in the last elections in Israel</t>
  </si>
  <si>
    <t>What are the differences between elections in Israel and in foreign countries (if voted there)</t>
  </si>
  <si>
    <t>0: No answer; 1: Elections are democratic here; 2: No difference; 3: Other; 9: Never voted in another country</t>
  </si>
  <si>
    <t>Do you think there are differences between the parties in Israel</t>
  </si>
  <si>
    <t>0: No answer; 1: Very big differences; 2: Big difference; 3: Small differences; 4: Very small differences; 5: No differences</t>
  </si>
  <si>
    <t>Do you think these differences are in what they say mainly or what they do</t>
  </si>
  <si>
    <t>0: No answer; 1: It's in what they say; 2: It's in what they do; 3: There are differences in both; 9: There are no differences</t>
  </si>
  <si>
    <t>To what extent is it important to better understand the country's political problems</t>
  </si>
  <si>
    <t>To what extent is it important to better know the parties'stands on political problems</t>
  </si>
  <si>
    <t>To what extent is it important to better know the political leaders</t>
  </si>
  <si>
    <t>To what extent is it important to you to better understand how democracy works</t>
  </si>
  <si>
    <t>To what extent is it important to you to give your children a political education</t>
  </si>
  <si>
    <t>To what extent is it important to you to know which party is closer to your ideas</t>
  </si>
  <si>
    <t>To what extent is it important to you to feel you are part of the people (+country)</t>
  </si>
  <si>
    <t>To what extent is it important to you to express your opinions on political matters</t>
  </si>
  <si>
    <t>To what extent is it important to you to identify with political personalities</t>
  </si>
  <si>
    <t>To what extent is it important to you to behave like your friends</t>
  </si>
  <si>
    <t>To what extent is it important to you to identify with the party you support</t>
  </si>
  <si>
    <t>To what extent is it important to you to influence which party will govern</t>
  </si>
  <si>
    <t>The first problem the government should take care of</t>
  </si>
  <si>
    <t>0: No answer; 1: Security (territories); 2: Peace; 3: Economy; 4: Social and domestic problems; 5: Immigration and absorption; 6: Social inequality (poverty, etc.); 7: Young couples, housing; 8: Education; 9: Other</t>
  </si>
  <si>
    <t>The second problem the government should take care of</t>
  </si>
  <si>
    <t>Do you believe the government'll solve these 2 problems in the near future</t>
  </si>
  <si>
    <t>0: No answer; 1: It will soon solve both; 2: It will soon solve the first; 3: It will soon solve the second; 4: It will solve neither in the near future</t>
  </si>
  <si>
    <t>Are there differences in the parties' stands on the first problem you metioned above</t>
  </si>
  <si>
    <t>0: No answer; 1: Very big differences; 2: Big differences; 3: Small differences; 4: Very small differences; 5: No differences</t>
  </si>
  <si>
    <t>Are there differences in the parties' stands on the second problem you metioned above</t>
  </si>
  <si>
    <t>Do you identify with a specific party's stand on the 1st problem-if yes does it influence your vote                                                                                10</t>
  </si>
  <si>
    <t>0: No answer; 1: Very much; 2: It influences; 3: Not so much; 4: Not at all; 5: I don't identify with any party's stand</t>
  </si>
  <si>
    <t>Do you identify with a specific party's stand on the 2nd problem-if yes does it influence your vote                                                                                10</t>
  </si>
  <si>
    <t>To what extent do you agree that there is too much social and economic inequality in Israel</t>
  </si>
  <si>
    <t>Is there a party with whose stand on this subject you identify-if yes which</t>
  </si>
  <si>
    <t>0: No answer; 1: Independant Liberals; 2: Alignment Labor-Mapam; 3: Poalei Agudat Israel; 4: National Religious Party; 5: Agudat Israel; 6: Moked (communist party and Meir Pail); 7: Rakah; 8: Haolam Haze; 9: Israeli Democrats; 10: Likud; 11: Gahal; 12: Reshima Mamlachtit; 13: Free Centre; 14: Other; 15: I don't identify with any party's stand</t>
  </si>
  <si>
    <t>To what extent will this issue influence your voting in the next elections</t>
  </si>
  <si>
    <t>Do you think that to maintain Jewish character and to achieve peace we should give up territories                                                                                  11</t>
  </si>
  <si>
    <t>0: No answer; 1: We shouldn't give anything back; 2: We should give back only a small part; 3: We should give back a large part; 4: We should give everything back</t>
  </si>
  <si>
    <t>Is there a party with whose stand on occupied territories you identify-which</t>
  </si>
  <si>
    <t>To what extent will this issue influence your next vote</t>
  </si>
  <si>
    <t>DO YOU AGREE WITH THE FOLLOWING STATEMENT</t>
  </si>
  <si>
    <t>Corruption and waste were brought into the open. We cannot avoid such incidents</t>
  </si>
  <si>
    <t>Opposition parties attack the government on the corruption issue-do you think</t>
  </si>
  <si>
    <t>0: No answer; 1: In a situation of economic development it is impossible to avoid such incidents; 2: These incidents point out to a moral degeneration that has to be stopped at its root</t>
  </si>
  <si>
    <t>d2</t>
  </si>
  <si>
    <t>To what extent do you think corruption will influence the election results</t>
  </si>
  <si>
    <t>d3</t>
  </si>
  <si>
    <t>To what extent do you think there are differences between parties on corruption</t>
  </si>
  <si>
    <t>0: No answer; 1: There certainly are differences; 2: There are differences; 3: Maybe there are differences; 4: There are no differences</t>
  </si>
  <si>
    <t>7-8</t>
  </si>
  <si>
    <t>d4</t>
  </si>
  <si>
    <t>Whose party's stand on this issue do you identify with</t>
  </si>
  <si>
    <t>To what extent can you and your friends influence government policy</t>
  </si>
  <si>
    <t>d7</t>
  </si>
  <si>
    <t>To what extent do you think the elections have an influence on government's policy</t>
  </si>
  <si>
    <t>Do you believe what the parties say during election campaign</t>
  </si>
  <si>
    <t>d9</t>
  </si>
  <si>
    <t>To what extent are you interested in election campaign as a sport competition</t>
  </si>
  <si>
    <t>Are you active in the present election campaign</t>
  </si>
  <si>
    <t>0: No answer; 1: Very active; 2: Active; 3: Not so active; 4: Not at all</t>
  </si>
  <si>
    <t>To what extent does being active in campaign make you more respected by your friends</t>
  </si>
  <si>
    <t>0: No answer; 1: To a great extent; 2: To a certain extent; 3: To a small extent; 4: Not at all; 9: Not active</t>
  </si>
  <si>
    <t>d12</t>
  </si>
  <si>
    <t>To what extent does being active in campaign help in meeting people, material benifits etc</t>
  </si>
  <si>
    <t>To what extent does this campaign help you better understand our political problems</t>
  </si>
  <si>
    <t>To what extent does this campaign help you know the party's stands on political issues</t>
  </si>
  <si>
    <t>To what extent does this campaign help you know better the political leaders</t>
  </si>
  <si>
    <t>To what extent does this campaign help you understand better how democracy works</t>
  </si>
  <si>
    <t>To what extent does this campaign help you give your children a political education</t>
  </si>
  <si>
    <t>o what extent does this campaign help you know which party's stands are closer to you</t>
  </si>
  <si>
    <t>Do you think it is more important to vote in general or to vote for a particular party</t>
  </si>
  <si>
    <t>0: No answer; 1: Voting in general is important; 2: Voting for a particular party is more important</t>
  </si>
  <si>
    <t>Do you think voting for different parties prevents unity so there should be only one</t>
  </si>
  <si>
    <t>Do you think that if the voter doesn't support any specific party he shouldn't vote</t>
  </si>
  <si>
    <t>0: No answer; 1: He shouldn't vote; 2: He should; 3: He should vote for some party</t>
  </si>
  <si>
    <t>d22</t>
  </si>
  <si>
    <t>To what extent does participation in the elections make you feel part of the people</t>
  </si>
  <si>
    <t>To what extent does participation in the elections give the opportunity of expressing your ideas</t>
  </si>
  <si>
    <t>To what extent does participation in the elections give the opportunity to identify with political personas</t>
  </si>
  <si>
    <t>To what extent does participation in the elections give you the opportunity to behave like your friends</t>
  </si>
  <si>
    <t>To what extent does participation in the elections allow you to identify with the party you support</t>
  </si>
  <si>
    <t>To what extent does participation in the elections allow you to influence which party will be in govmnt</t>
  </si>
  <si>
    <t>To what extent does participation in the elections give you pleasure because it is a happy event</t>
  </si>
  <si>
    <t>To what extent does participation in the elections allows you to fulfill obligation to your country</t>
  </si>
  <si>
    <t>To what extent does participation in the elections give you the opportunity to protest against government</t>
  </si>
  <si>
    <t>With what political tendency do you identify</t>
  </si>
  <si>
    <t>0: No answer; 1: Left; 2: Moderate left; 3: Center; 4: Right; 5: Religious</t>
  </si>
  <si>
    <t>d32</t>
  </si>
  <si>
    <t>Is it important for you personally to vote in the Knesset election</t>
  </si>
  <si>
    <t>Have you heard of the new Likud</t>
  </si>
  <si>
    <t>Do you know which are the parties in this new Likud</t>
  </si>
  <si>
    <t>0: No answer; 1: Knew the three parties; 2: Knew two parties; 3: Knew one party; 4: Gave a wrong answer; 5: Din not know</t>
  </si>
  <si>
    <t>d35</t>
  </si>
  <si>
    <t>Do you think it is good that these parties should run together for the Knesset</t>
  </si>
  <si>
    <t>0: No answer; 1: Very good; 2: Good; 3: Not so good; 4: Not at all</t>
  </si>
  <si>
    <t>Do you think the Likud is leftwing, right-wing or center</t>
  </si>
  <si>
    <t>0: No answer; 1: Leftwing; 2: Rightwing; 3: Center; 4: Didn't understand the question</t>
  </si>
  <si>
    <t>Will the creation of the Likud influence your vote to the Knesset</t>
  </si>
  <si>
    <t>0: No answer; 1: Will influence very much; 2: Will influence; 3: Not so much; 4: Not at all</t>
  </si>
  <si>
    <t>To what extent can the Likud/Gahal represent a subsitute for the Labor party in government</t>
  </si>
  <si>
    <t>d39</t>
  </si>
  <si>
    <t>If the Likud rises to government would that change socio-economic for better or worse</t>
  </si>
  <si>
    <t>0: No answer; 1: For better; 2: No changes; 3: For worse</t>
  </si>
  <si>
    <t>Would this rising change security policy for better or for worse</t>
  </si>
  <si>
    <t>d41</t>
  </si>
  <si>
    <t>Would this rising change waste and corruption for better or for worse</t>
  </si>
  <si>
    <t>d42</t>
  </si>
  <si>
    <t>Do you support a party,are you a member of one or do you hold a job in one</t>
  </si>
  <si>
    <t>0: No answer; 1: Member and holds a job; 2: Member and holds a non-paying job; 3: Member; 4: Supporter; 5: Doesn't support any party</t>
  </si>
  <si>
    <t>d43</t>
  </si>
  <si>
    <t>Are you active in any public organization(workers union, Wizo, B'nei Brith, etc)</t>
  </si>
  <si>
    <t>d44</t>
  </si>
  <si>
    <t>Will a change in government bring a change in your personal situation</t>
  </si>
  <si>
    <t>0: No answer; 1: It will directly affect my personal situation; 2: It will change the country's situation, therefore mine too; 3: It won't affect my situation</t>
  </si>
  <si>
    <t>d45</t>
  </si>
  <si>
    <t>Do you intend to vote in the Knesset elections</t>
  </si>
  <si>
    <t>0: No answer; 1: Certainly yes; 2: I think so; 3: I don't think so; 4: Certainly not</t>
  </si>
  <si>
    <t>d46</t>
  </si>
  <si>
    <t>To what extent are you certain about whom you'll vote for</t>
  </si>
  <si>
    <t>d47</t>
  </si>
  <si>
    <t>Why aren't you certain about whom you'll vote for</t>
  </si>
  <si>
    <t>0: No answer; 1: There is no one to vote for; 2: I haven't made up my mind yet; 3: Other; 9: Already know who to vote for</t>
  </si>
  <si>
    <t>d48</t>
  </si>
  <si>
    <t>When do you think you'll decide whom you'll vote for</t>
  </si>
  <si>
    <t>0: No answer; 1: In a few days; 2: Within a month; 3: Closer to election time; 9: Already know who to vote for</t>
  </si>
  <si>
    <t>d49</t>
  </si>
  <si>
    <t>What will help you make up your mind</t>
  </si>
  <si>
    <t>0: No answer; 1: The media (newspapers, T.V., Radio); 2: Nothing specific; 3: Other; 4: Doesn't indend to vote; 9: Already know who to vote for</t>
  </si>
  <si>
    <t>d50</t>
  </si>
  <si>
    <t>Will you vote in the Histadrut elections</t>
  </si>
  <si>
    <t>0: No answer; 1: Certainly yes; 2: I think so; 3: I don't think so; 4: Certainly not; 5: Does not have right to vote</t>
  </si>
  <si>
    <t>d51</t>
  </si>
  <si>
    <t>If yes-whom will you vote for</t>
  </si>
  <si>
    <t>0: No answer; 1: Alignment Labor-Mapam; 2: Haoved Hadati; 3: Brit Smol (Leftist Alliance; 4: Moked (Meir Pail and communist party); 5: Meri (Haolam Haze); 6: Likud (Gahal, Reshima Mamlachtit, Free center); 7: Achva (Brotherhood); 8: Tnuat Avoda Liberalim (Independant Liberals); 9: Other</t>
  </si>
  <si>
    <t>d52</t>
  </si>
  <si>
    <t>If no why</t>
  </si>
  <si>
    <t>0: Does not have right to vote; 1: There's no one to vote for; 2: The Histadrut is inefficient; 3: Other</t>
  </si>
  <si>
    <t>d53</t>
  </si>
  <si>
    <t>We interviewed you a month ago.Is it clearer to you now whom you'll vote for</t>
  </si>
  <si>
    <t>0: No answer; 1: Much clearer; 2: Clearer; 3: Less clear; 4: Much less clear; 5: Just as clear</t>
  </si>
  <si>
    <t>d54</t>
  </si>
  <si>
    <t>Why do you think so</t>
  </si>
  <si>
    <t>0: No answer; 1: Clearer: because of the media (radio, T.V., newspapers advertisements); 2: Clearer: it's closer to elections (time factor); 3: Clear: other; 4: Less clear: I don't like any of the parties; 5: Less clear: other</t>
  </si>
  <si>
    <t>d55</t>
  </si>
  <si>
    <t>The first party (out of 3) closest to you</t>
  </si>
  <si>
    <t>0: No answer; 1: Independant Liberals; 2: Alignment Labor-Mapam; 3: Poalei Agudat Israel; 4: National Religious Party; 5: Agudat Israel; 6: Moked (communist party and Meir Pail); 7: Rakah; 8: Meri (Haolam Haze); 9: Israeli Democrats; 10: Likud (Gahal, Reshima Mamlachtit, Free center)</t>
  </si>
  <si>
    <t>d56</t>
  </si>
  <si>
    <t>The second party (out of 3) closest to you</t>
  </si>
  <si>
    <t>0: No answer; 1: Independant Liberals; 2: Alignment Labor-Mapam; 3: Poalei Agudat Israel; 4: National Religious Party; 5: Agudat Israel; 6: Moked; 7: Rakah; 8: Meri (Haolam Haze); 9: Israeli Democrats; 10: Likud</t>
  </si>
  <si>
    <t>d57</t>
  </si>
  <si>
    <t>The third party (out of 3) closest to you</t>
  </si>
  <si>
    <t>0: No answer; 1: Independant Liberals; 2: Alignment Labor-Mapam; 3: Poalei Agudat Israel; 4: National Religious Party; 5: Agudat Israel; 6: Moked; 7: Rakah; 8: Meri; 9: Israeli Democrats; 10: Likud</t>
  </si>
  <si>
    <t>d58</t>
  </si>
  <si>
    <t>The first party (out of 3) furthest from you</t>
  </si>
  <si>
    <t>d59</t>
  </si>
  <si>
    <t>The second party (out of 3) furthest from you</t>
  </si>
  <si>
    <t>d60</t>
  </si>
  <si>
    <t>The third party (out of 3)furthest from you</t>
  </si>
  <si>
    <t>d61</t>
  </si>
  <si>
    <t>HOW WOULD YOU CLASSFIFY THE OTHER PARTIES BY PROXIMITY TO YOUR VIEWPOINTS</t>
  </si>
  <si>
    <t>5-6</t>
  </si>
  <si>
    <t>e3</t>
  </si>
  <si>
    <t>The first one</t>
  </si>
  <si>
    <t>e4</t>
  </si>
  <si>
    <t>The second one</t>
  </si>
  <si>
    <t>e5</t>
  </si>
  <si>
    <t>The third one</t>
  </si>
  <si>
    <t>e6</t>
  </si>
  <si>
    <t>The fourth one</t>
  </si>
  <si>
    <t>e7</t>
  </si>
  <si>
    <t>If the elections were held today, whom would you vote for</t>
  </si>
  <si>
    <t>0: No answer; 1: Independant Liberals; 2: Alignment Labor-Mapam; 3: Poalei Agudat Israel; 4: National Religious Party; 5: Agudat Israel; 6: Moked; 7: Rakah; 8: Meri; 9: Israeli Democrats; 10: Likud; 11: Gahal; 12: Reshima Mamlachtit; 13: Free Center; 14: Other</t>
  </si>
  <si>
    <t>e8</t>
  </si>
  <si>
    <t>Will you vote for the same party you voted for last time</t>
  </si>
  <si>
    <t>0: No answer; 1: Yes; 2: No; 3: Didn't vote before</t>
  </si>
  <si>
    <t>e9</t>
  </si>
  <si>
    <t>If yes, to what extent did you take into con-sideration loyalty to the party voted previously</t>
  </si>
  <si>
    <t>e10</t>
  </si>
  <si>
    <t>If no, why did you change your mind</t>
  </si>
  <si>
    <t>0: No answer; 1: Disappointment with the party; 2: Emergence of a new party; 3: Other</t>
  </si>
  <si>
    <t>e11</t>
  </si>
  <si>
    <t>What do you think is the most important problem the mayor should take care of</t>
  </si>
  <si>
    <t>0: No answer; 1: Services improvement; 2: City developmen and enlargement; 3: Sources of income (industries, hotels); 4: Other</t>
  </si>
  <si>
    <t>e12</t>
  </si>
  <si>
    <t>What party is capable of solving the city's most important problem</t>
  </si>
  <si>
    <t>0: No answer; 1: Independant Liberals; 2: Alignment Labor-Mapam; 3: Poalei Agudat Israel; 4: National Religious Party; 5: Agudat Israel; 6: Moked; 7: Rakah; 8: Meri; 9: Israeli Democrats; 10: Likud; 11: Gahal; 12: Reshima Mamlachtit; 13: Free Center; 14: Other; 15: No party can solve it</t>
  </si>
  <si>
    <t>e13</t>
  </si>
  <si>
    <t>To what extent are you satisfied with the services you receive from city hall</t>
  </si>
  <si>
    <t>e14</t>
  </si>
  <si>
    <t>Do you think it would be good to have a new mayor in your city</t>
  </si>
  <si>
    <t>e15</t>
  </si>
  <si>
    <t>For which public service provided by the municipality would you agree to pay more taxes</t>
  </si>
  <si>
    <t>0: No answer; 1: Welfare; 2: Children's education; 3: Garbage collecting; 4: Streets cleaning; 5: Medical care; 6: Cultural activities; 7: Youth Activities; 8: Non of the above</t>
  </si>
  <si>
    <t>e16</t>
  </si>
  <si>
    <t>e17</t>
  </si>
  <si>
    <t>e18</t>
  </si>
  <si>
    <t>1: Single; 2: Widow/devorcee without children; 3: Married without children; 4: Widow/divorcee 1-2 children; 5: Widow/divorcee 3-4 children; 6: Widow/divorcee 4+ children; 7: Married with 1-2 children; 8: Married with 3-4 children; 9: Married with 4+ children</t>
  </si>
  <si>
    <t>e19</t>
  </si>
  <si>
    <t>Where were you and your father born</t>
  </si>
  <si>
    <t>0: No answer; 1: Interviewee:Israel,father:Israel; 2: Interviewee:Israel,father:Asia Africa; 3: Interviewee:Israel,father:Europe-America; 4: Interviewee:Asia-Africa,father:Asia- Africa; 5: Interviewee:Europe-America,father:Europe America; 6: Any other combination</t>
  </si>
  <si>
    <t>e20</t>
  </si>
  <si>
    <t>1973_3</t>
  </si>
  <si>
    <t>Study 1973, phase 3</t>
  </si>
  <si>
    <t>November 1973</t>
  </si>
  <si>
    <t>f2</t>
  </si>
  <si>
    <t>To what extent Israel's situation changed for better or for worse as a consequence of the Yom Kippur War</t>
  </si>
  <si>
    <t>1: Changed a lot for better; 2: Changed for better; 3: Did not change; 4: Changed for worse; 5: Changed a lot for worse</t>
  </si>
  <si>
    <t>f3</t>
  </si>
  <si>
    <t>To what extent the government is responsible for the change in Israel's situation</t>
  </si>
  <si>
    <t>f4</t>
  </si>
  <si>
    <t>To what extent the top echelon of the army is responsible for the change in Israel's situation</t>
  </si>
  <si>
    <t>f5</t>
  </si>
  <si>
    <t>To what extent the Arab countries are responsible for Israel's present situation</t>
  </si>
  <si>
    <t>To what extent the great powers are responsible for Israel's present situation</t>
  </si>
  <si>
    <t>To what extent, from the Six Day War to the Yom Kippur War,gov.policy on foreign, security and peace affairs was justified</t>
  </si>
  <si>
    <t>In that period, to what extent the government showed readiness to compromise</t>
  </si>
  <si>
    <t>There should be a National Unity Government now</t>
  </si>
  <si>
    <t>1: Certainly yes; 2: Thinks so; 3: Does not think so; 4: Certainly not</t>
  </si>
  <si>
    <t>To what extent politicization of the army is harmful to democracy</t>
  </si>
  <si>
    <t>Haim Bar-Lev's interview with the foreign press is something positive or negative</t>
  </si>
  <si>
    <t>1: Very positive; 2: Positive; 3: Negative; 4: Very negative</t>
  </si>
  <si>
    <t>f12</t>
  </si>
  <si>
    <t>Elections should be held on December 31st or should be postponed</t>
  </si>
  <si>
    <t>1: Certainly should be held on time; 2: Thinks they should be held on time; 3: Thinks they should be postponed; 4: Certainly should be postponed</t>
  </si>
  <si>
    <t>Period for which elections should be postponed</t>
  </si>
  <si>
    <t>1: A few weeks; 2: A few months; 3: A year; 4: More than a year; 5: Should not be postponed</t>
  </si>
  <si>
    <t>f14</t>
  </si>
  <si>
    <t>Interviewee intends to vote in next Knesset elections</t>
  </si>
  <si>
    <t>To what extent interviewee is certain whom he is going to vote for</t>
  </si>
  <si>
    <t>1: To a great extent; 2: To a certain extent; 3: To a small extent; 4: Not at all; 5: Not voting</t>
  </si>
  <si>
    <t>Reasons for not voting in next elections</t>
  </si>
  <si>
    <t>1: Technical difficulties; 2: Indifference, not interested in politics; 3: Does not know which party to vote for; 4: As a protest; 5: The date is not suitable for elections; 9: Will vote</t>
  </si>
  <si>
    <t>Main factor helping interviewee whom to vote for</t>
  </si>
  <si>
    <t>It is necessary to have an election campaign today</t>
  </si>
  <si>
    <t>1: Absolutely necessary; 2: Necessary; 3: Not so necessary; 4: Not at all necessary</t>
  </si>
  <si>
    <t>To what extent the election campaign will help interviewee whom to vote for</t>
  </si>
  <si>
    <t>To what extent parties' ads in the press will help decide whom to vote for</t>
  </si>
  <si>
    <t>To what extent house meetings will help decide whom to vote for</t>
  </si>
  <si>
    <t>To what extent general party meetings will help decide whom to vote for</t>
  </si>
  <si>
    <t>Leader interviewee would rather see in party advertisements on television</t>
  </si>
  <si>
    <t>01: Golda Meir; 02: Moshe Dayan; 03: Arik Sharon; 04: Haim Bar-Lev; 05: Yigal Allon; 06: Menachem Begin; 07: Abba Eban; 08: Pinchas Sapir; 09: Shmuel Tamir; 10: Aharon Yariv; 11: Uri Avineri; 12: Yitzhak Raphael; 13: Other; 21: Does not want to see any leader</t>
  </si>
  <si>
    <t>Type of television ads for elections interviewee prefers</t>
  </si>
  <si>
    <t>1: Ads for each party separately; 2: Debates between different parties</t>
  </si>
  <si>
    <t>Interviewee changed his mind about which party to vote for as a consequence of the Yom Kippur War</t>
  </si>
  <si>
    <t>1: Yes; 2: No; 3: Undecided</t>
  </si>
  <si>
    <t>Interviewee will vote for same party he voted for in 1969 Knesset elections</t>
  </si>
  <si>
    <t>1: Yes; 2: No; 3: Did not vote in 1969</t>
  </si>
  <si>
    <t>Golda Meir</t>
  </si>
  <si>
    <t>1: Had a positive opinion,remains positive; 2: Had a negative opinion,remains negative; 3: Had a positive opinion,now negative; 4: Had a negative opinion, now positive</t>
  </si>
  <si>
    <t>1: Had a positive opinion,remains positive; 2: Had a negative opinion,remains negative; 3: Had a positive opinion, now negative; 4: Had a negative opinion, now positive</t>
  </si>
  <si>
    <t>Pinchas Sapir</t>
  </si>
  <si>
    <t>Arik Sharon</t>
  </si>
  <si>
    <t>Haim Bar-Lev</t>
  </si>
  <si>
    <t>Arieh (Luba) Eliav</t>
  </si>
  <si>
    <t>Meir Pa'il</t>
  </si>
  <si>
    <t>The Yom Kippur War had an influence on the Alignment's chances in Knesset elections as compared to its chances before the war</t>
  </si>
  <si>
    <t>1: Its chances are much greater; 2: Its chances are greater; 3: Its chances are smaller; 4: Its chances are much smaller; 5: Its chances are the same</t>
  </si>
  <si>
    <t>The Yom Kippur War had an influence on the Likud's chances in Knesset elections as compared to its chances before the war</t>
  </si>
  <si>
    <t>The Yom Kippur War influenced the chances of parties like Moked,Meri,Shulamit Aloni,Panthers in Kness.elec. as compared to before war</t>
  </si>
  <si>
    <t>1: Their chances are much greater; 2: Their chances are greater; 3: Their chances are smaller; 4: Their chances are much smaller; 5: Their chances are the same</t>
  </si>
  <si>
    <t>Interviewee preference for Prime Minister</t>
  </si>
  <si>
    <t>1: Golda Meir; 2: Moshe Dayan; 3: Menachem Begin; 4: Pinchas Sapir; 5: Abba Eban; 6: Haim Bar-Lev; 7: Yigal Allon; 8: Other from the coalition parties; 9: Other from non-government parties</t>
  </si>
  <si>
    <t>Interviewee preference for Defense Minister</t>
  </si>
  <si>
    <t>1: Moshe Dayan; 2: Haim Bar-Lev; 3: Arik Sharon; 4: Yitzhak Rabin; 5: Aharon Yariv; 6: Ezer Weizman; 7: Yigal Allon; 8: Other from coalition parties; 9: Other from non-government parties</t>
  </si>
  <si>
    <t>Interviewee preference for Foreign Minister</t>
  </si>
  <si>
    <t>1: Abba Eban; 2: Shimon Peres; 3: Aharon Yariv; 4: Yigal Allon; 5: Menachem Begin; 6: Yitzhak Rabin; 7: Other from coalition parties; 8: Other from non-government parties</t>
  </si>
  <si>
    <t>To what extent interivewee believed and trusted the govt's work under Golda Meir's leadership for the last four years</t>
  </si>
  <si>
    <t>The first of the two most important problems the governmnent should take care of</t>
  </si>
  <si>
    <t>1: Security; 2: Peace; 3: Economy; 4: Immigration and absorption; 5: Education; 6: Social inequality; 7: Housing for young couples; 8: Other domestic problems</t>
  </si>
  <si>
    <t>The second problem government should take care of</t>
  </si>
  <si>
    <t>People should vote for the oppositon, even if they do not agree with it, since it is important to have a strong opposition</t>
  </si>
  <si>
    <t>1: Should certainly vote for opposition; 2: Should vote for opposition; 3: Do not have to vote for opposition; 4: Should certainly not vote for opposition</t>
  </si>
  <si>
    <t>The party in government has to be substituted even if it is doing a good job</t>
  </si>
  <si>
    <t>1: Certainly agrees; 2: Agrees; 3: Disagrees; 4: Certainly disagrees</t>
  </si>
  <si>
    <t>To what extent the Likud can substitute the Labour Party in government</t>
  </si>
  <si>
    <t>Party stand interviewee identifies with most on foreign and security issues</t>
  </si>
  <si>
    <t>1: The Alignment's; 2: The Likud's; 3: The Leftist parties (Moked, Meri, etc.)</t>
  </si>
  <si>
    <t>A difference exists between the Alignment and the Likud in their approach to foreign and security issues</t>
  </si>
  <si>
    <t>1: A very big difference; 2: A big difference; 3: A small difference; 4: No difference</t>
  </si>
  <si>
    <t>01: Free Center; 02: Gahal; 03: Independent Liberals; 04: Alignment; 05: Poalei Agudat Yisrael; 06: National Religious Party; 07: Agudat Yisrael; 08: HaOlam HaZeh; 09: Reshima Mamlachtit; 10: Israeli Communist Party; 11: Rakach; 12: Other; 13: Did not vote</t>
  </si>
  <si>
    <t>Party interviewee intends to vote for in coming Knesset elections</t>
  </si>
  <si>
    <t>01: Likud; 02: Independent Liberals; 03: Alignment; 04: Poalei Agudat Yisrael/Agudat Yisrael; 05: National Religious Party; 06: Meri/HaOlam HaZeh; 07: Moked (Israel Communists,Meir Pa'il); 08: Rakach; 09: Shulamit Aloni; 10: Israeli Democrats (Panthers); 11: Other</t>
  </si>
  <si>
    <t>01: Likud; 02: Independent Liberals; 03: Alignment; 04: Religious Worker; 05: Meri; 06: Moked; 07: Rakach; 08: Israeli Democrats; 09: Other; 10: Did not vote; 11: Not a Histadrut member</t>
  </si>
  <si>
    <t>1: Did not study; 2: Up to 4 years; 3: 5-8 years; 4: 9-10; 5: 11; 6: 12; 7: 13+, without University degree; 8: Full University education</t>
  </si>
  <si>
    <t>Gross monthly household income</t>
  </si>
  <si>
    <t>1: 0-559 IL/month; 2: 600-799; 3: 800-999; 4: 1000-1249; 5: 1250-1499; 6: 1500-1749; 7: 1750-1999; 8: 2000-2499; 9: 2500+</t>
  </si>
  <si>
    <t>1: Observes them thoroughly; 2: Observes most of them; 3: Observes some of them; 4: Does not observe them at all</t>
  </si>
  <si>
    <t>1: Free profession with University degree; 2: Free profession without Univ. degree; 3: Manager/business owner with 11+ workers; 4: Manager/business owner with 3-10 workers; 5: Manager/business owner with 0-2 workers; 6: Skilled worker; 7: Unskilled worker; 8: Student; 9: Housewife</t>
  </si>
  <si>
    <t>1973_4</t>
  </si>
  <si>
    <t>Study 1973, phase 4</t>
  </si>
  <si>
    <t>December 1973</t>
  </si>
  <si>
    <t>g2</t>
  </si>
  <si>
    <t>The first of the two most important problems the government has to take care of</t>
  </si>
  <si>
    <t>g3</t>
  </si>
  <si>
    <t>g4</t>
  </si>
  <si>
    <t>Interviewee is satisfied with way election campaign for Knesset is being conducted</t>
  </si>
  <si>
    <t>1: Very satisfied; 2: Satisfied; 3: Not so satisfied; 4: Not at all satisfied</t>
  </si>
  <si>
    <t>g5</t>
  </si>
  <si>
    <t>To what extent election campaign has helped interviewee decide whom to vote for</t>
  </si>
  <si>
    <t>To what extent present election campaign helps to better understand the political problems of the country</t>
  </si>
  <si>
    <t>To what extent present election campaign helps to better know the parties' stands on political issues</t>
  </si>
  <si>
    <t>To what extent present election campaign helps to better know the political leaders</t>
  </si>
  <si>
    <t>To what extent present election campaign helps to better understand how democracy works</t>
  </si>
  <si>
    <t>To what extent present election campaign helps give your children a political education</t>
  </si>
  <si>
    <t>To what extent present election campaign helps interviewee know with which political party he identifies most</t>
  </si>
  <si>
    <t>In general, interviewee reads more about political matters during election time</t>
  </si>
  <si>
    <t>1: Much more; 2: More; 3: Less; 4: Much less</t>
  </si>
  <si>
    <t>Interviewee reads advertisements by party(ies) with which he identifies</t>
  </si>
  <si>
    <t>1: Yes, everyday; 2: Often; 3: Seldom; 4: Never</t>
  </si>
  <si>
    <t>Interviewee reads advertisements by parties with which he does not identify</t>
  </si>
  <si>
    <t>To what extent party advertisements help interviewee decide whom to vote for</t>
  </si>
  <si>
    <t>Interviewee has heard party ads on radio</t>
  </si>
  <si>
    <t>If yes, party whose ads interviewee mainly heard</t>
  </si>
  <si>
    <t>01: Independent Liberals; 02: Alignment; 03: Poalei Agudat Yisrael; 04: National Religious Party; 05: Agudat Yisrael; 06: Moked; 07: Rakach; 08: Meri; 09: Israeli Democrats; 10: Likud; 11: Gahal; 12: Reshima Mamlactit; 13: Free Center; 14: Other; 15: Several parties</t>
  </si>
  <si>
    <t>To what extent the radio ads helped interviewee decide whom to vote for</t>
  </si>
  <si>
    <t>g19</t>
  </si>
  <si>
    <t>Interviewee sees party ads on television</t>
  </si>
  <si>
    <t>1: Yes, every evening; 2: Often; 3: Seldom; 4: Never</t>
  </si>
  <si>
    <t>If yes, party whose ads interviewee mainly sees</t>
  </si>
  <si>
    <t>01: Independent Liberals; 02: Alignment; 03: Poalei Agudat Yisrael; 04: National Religious Party; 05: Agudat Yisrael; 06: Moked; 07: Rakach; 08: Meri; 09: Israeli Democrats; 10: Likud; 11: Gahal; 12: Reshima Mamlachtit; 13: Free Center; 14: Other; 15: Several parties</t>
  </si>
  <si>
    <t>g21</t>
  </si>
  <si>
    <t>To what extent television advertisements help interviewee decide whom to vote for</t>
  </si>
  <si>
    <t>Main reason for watching television advertisements</t>
  </si>
  <si>
    <t>1: To hear arguments for political debates; 2: To get to know the political leaders; 3: To get to know parties' polit. platforms; 4: To help decide whom to vote for; 5: Renew identification w/supported party; 6: To help evaluate chances of diff.parties; 7: To be up to date w/political situation; 8: Enjoys political struggle, discussions; 9: This is the only transmission on TV</t>
  </si>
  <si>
    <t>g23</t>
  </si>
  <si>
    <t>Main reason for not watching television advertisements</t>
  </si>
  <si>
    <t>1: Disinterest in politics; 2: Prefers entertainment programs; 3: Does not believe what parties say; 4: Some parties do not take public seriousl; 5: Already knows party he is voting for; 6: Sometimes hard to understand ads; 7: Not want to open home to poli.propaganda; 8: The parties have nothing new to say; 9: Not like being deceived by politicians</t>
  </si>
  <si>
    <t>In their campaigns, the parties deal with the country's most important issues</t>
  </si>
  <si>
    <t>g25</t>
  </si>
  <si>
    <t>Interviewee believes what parties say during the election campaign</t>
  </si>
  <si>
    <t>To what extent interviewee is interested in the election campaign because of its similarity to a sports competition</t>
  </si>
  <si>
    <t>g27</t>
  </si>
  <si>
    <t>Interviewee is active in present election campaign</t>
  </si>
  <si>
    <t>1: Very active; 2: Active; 3: Not so active; 4: Not at all</t>
  </si>
  <si>
    <t>To what extent interviewee takes advice from his/her wife/husband on whom to vote for</t>
  </si>
  <si>
    <t>g29</t>
  </si>
  <si>
    <t>It is harder today than before the war to find someone close to ask for advice on whom to vote for</t>
  </si>
  <si>
    <t>1: It's much harder today; 2: It's harder today; 3: It's just as hard today; 4: It's easier today; 5: It's much easier today</t>
  </si>
  <si>
    <t>Interviewee takes into consideration her husband's wish when deciding whom to vote for (for women only)</t>
  </si>
  <si>
    <t>1: Certainly yes; 2: Thinks so; 3: Does not think so; 4: Absolutely not; 5: Husband doesn't know party she votes for; 6: Does not matter to husband which party; 7: The interviewee is a man</t>
  </si>
  <si>
    <t>g31</t>
  </si>
  <si>
    <t>Interviewee thinks most of his friends are voting for the same party as he is voting for</t>
  </si>
  <si>
    <t>1: Most of them are; 2: Most of them are not; 3: Does not know</t>
  </si>
  <si>
    <t>1: Yes; 2: No; 3: Not married</t>
  </si>
  <si>
    <t>g33</t>
  </si>
  <si>
    <t>To what extent can interviewee and friends influence government policy</t>
  </si>
  <si>
    <t>To what extent the elections have an influence on govt. policy</t>
  </si>
  <si>
    <t>Interviewee wants to influence government policy</t>
  </si>
  <si>
    <t>1: Wants to influence; 2: Certainly wants to influence; 3: Does not want to so much; 4: Does not at all want to</t>
  </si>
  <si>
    <t>g36</t>
  </si>
  <si>
    <t>Interviewee thinks his vote will influence the result of the Knesset election</t>
  </si>
  <si>
    <t>Interviewee intends to vote in the coming elections</t>
  </si>
  <si>
    <t>1: Certainly yes; 2: Thinks so; 3: Does not think so; 4: Absolutely not</t>
  </si>
  <si>
    <t>To what extent interviewee is certain about whom to vote for</t>
  </si>
  <si>
    <t>1: To a great extent; 2: To a certain extent; 3: To a small extent; 4: Not at all; 5: Will not vote</t>
  </si>
  <si>
    <t>g39</t>
  </si>
  <si>
    <t>When interviewee decided/will decide whom to vote for</t>
  </si>
  <si>
    <t>1: A long time ago; 2: Since the war; 3: At the beginning of the elec. campaign; 4: Today; 5: Will decide in a few days; 6: Will decide on election day; 7: Will not vote</t>
  </si>
  <si>
    <t>The Yom Kippur War made interviewee change his mind whom to vote for</t>
  </si>
  <si>
    <t>1: Yes; 2: No; 3: Hesitant</t>
  </si>
  <si>
    <t>g41</t>
  </si>
  <si>
    <t>Interviewee intends to vote for same party he voted for in 1969 Knesset elections</t>
  </si>
  <si>
    <t>1: Yes; 2: No; 3: Did not vote then</t>
  </si>
  <si>
    <t>If the voter does not support a specific party he should not vote</t>
  </si>
  <si>
    <t>1: He should not vote; 2: He should cast a blank ballot; 3: He has to vote for some party</t>
  </si>
  <si>
    <t>Main reason why interviewee intends to vote</t>
  </si>
  <si>
    <t>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t>
  </si>
  <si>
    <t>g44</t>
  </si>
  <si>
    <t>It is important to interviewee to participate in the Knesset elections</t>
  </si>
  <si>
    <t>1: Very important; 2: Important; 3: Not so important; 4: Not at all important</t>
  </si>
  <si>
    <t>The act of voting is more important or the choosing of a party is more important</t>
  </si>
  <si>
    <t>1: The act of voting is more important; 2: Choosing a party is more important</t>
  </si>
  <si>
    <t>g46</t>
  </si>
  <si>
    <t>The way the government is handling affairs now will help Israel achieve peace</t>
  </si>
  <si>
    <t>The way the government is handling affairs now will lead Israel to surrender</t>
  </si>
  <si>
    <t>The committee formed to investigate events of war will have a concrete influence on future govt. action on foreign and security matters</t>
  </si>
  <si>
    <t>1: Absolutely yes; 2: Thinks so; 3: Does not think so; 4: Absolutely not</t>
  </si>
  <si>
    <t>g49</t>
  </si>
  <si>
    <t>A National Unity Government should be formed today</t>
  </si>
  <si>
    <t>The party in government should be replaced even if it is doing a good job</t>
  </si>
  <si>
    <t>1: Absolutley agrees; 2: Agrees; 3: Disagrees; 4: Absolutely disagrees</t>
  </si>
  <si>
    <t>g51</t>
  </si>
  <si>
    <t>To what extent the Likud can be a substitute for the Labour Party in government</t>
  </si>
  <si>
    <t>Party position on foreign and security affairs interviewee identifies with most</t>
  </si>
  <si>
    <t>1: The Alignment's; 2: The Likud's; 3: The Left's</t>
  </si>
  <si>
    <t>A difference exists between the Likud's and the Alignment's approach to foreign and security affairs</t>
  </si>
  <si>
    <t>g54</t>
  </si>
  <si>
    <t>The best candidate for Prime Minister</t>
  </si>
  <si>
    <t>1: Golda Meir; 2: Moshe Dayan; 3: Menachem Begin; 4: Pinchas Sapir; 5: Abba Eban; 6: Haim Bar-Lev; 7: Yigal Allon; 8: Other from the coalition parties; 9: Other from the opposition parties</t>
  </si>
  <si>
    <t>Party interviewee voted for in 1969 elections</t>
  </si>
  <si>
    <t>1: Free Center; 2: Gahal; 3: Independent Liberals; 4: Alignment; 5: Poalei Agudat Yisrael; 6: National Religious Party; 7: Agudat Yisrael; 8: HaOlam HaZeh; 9: Reshima Mamlachtit; 10: Israeli Communist Party; 11: Rakach; 12: Other; 13: Did not vote</t>
  </si>
  <si>
    <t>g56</t>
  </si>
  <si>
    <t>Party interviewee intends to vote for in the coming election</t>
  </si>
  <si>
    <t>1: Likud; 2: Independent Liberals; 3: Alignment; 4: Poalei Agudat Yisrael/Agudat Yisrael; 5: National Religious Party; 6: Meri; 7: Moked; 8: Rakach; 9: Shulamit Aloni; 10: Israeli Democrats; 11: Other</t>
  </si>
  <si>
    <t>1: Likud; 2: Independent Liberals; 3: Alignment; 4: Religious Worker; 5: Meri; 6: Moked; 7: Rakach; 8: Israeli Democrats; 9: Other; 10: Not a Hisadrut member; 11: Did not vote</t>
  </si>
  <si>
    <t>Interviewee is a supporter, member and/or office-holder in a party</t>
  </si>
  <si>
    <t>1: Member and paid worker; 2: Member and voluntary worker; 3: Member; 4: Supporter; 5: Does not support any specific party</t>
  </si>
  <si>
    <t>g59</t>
  </si>
  <si>
    <t>Interviewee's husband is in the army</t>
  </si>
  <si>
    <t>1: He has been for two months; 2: He has been for one month; 3: He has been for two weeks; 4: He has been for less than two weeks; 5: He is not in the army; 6: Not married</t>
  </si>
  <si>
    <t>g61</t>
  </si>
  <si>
    <t>Total gross monthly income for household</t>
  </si>
  <si>
    <t>1: 0-599 IL/month; 2: 600-799; 3: 800-999; 4: 1000-1249; 5: 1250-1499; 6: 1500-1749; 7: 1750-1999; 8: 2000-2499; 9: 2500+</t>
  </si>
  <si>
    <t>1: Free professional with University degree; 2: Free professional without Univ. degree; 3: Manager/business owner with 11+ workers; 4: Manager/business owner with 3-10 workers; 5: Manager/business owner with 0-2 workers; 6: Skilled worker; 7: Unskilled worker; 8: Student; 9: Housewife</t>
  </si>
  <si>
    <t>1: Jerusalem; 2: Tel-Aviv area; 3: Haifa area</t>
  </si>
  <si>
    <t>1: Wednesday, December 19, 1973; 2: Thursday, December 20, 1973; 3: Friday, December 21, 1973</t>
  </si>
  <si>
    <t>1973_5</t>
  </si>
  <si>
    <t>Study 1973, phase 5</t>
  </si>
  <si>
    <t>January 1974</t>
  </si>
  <si>
    <t>POSSIBLE REASONS FOR VOTING FOR THE LIKUD, THE 3 MOST CONVINCING ARGUMENTS AND THE TWO LEAST CONVINCING ARGUMENTS</t>
  </si>
  <si>
    <t>h3</t>
  </si>
  <si>
    <t>The Alignment failed in social and economic issues</t>
  </si>
  <si>
    <t>1: First; 2: Second; 3: Third; 5: Not mentioned; 7: One before last; 8: Last</t>
  </si>
  <si>
    <t>h4</t>
  </si>
  <si>
    <t>The Likud will not give up territories</t>
  </si>
  <si>
    <t>h5</t>
  </si>
  <si>
    <t>Alignment leaders are not trustworthy</t>
  </si>
  <si>
    <t>h6</t>
  </si>
  <si>
    <t>The Alignment is responsible for the setbacks of the war</t>
  </si>
  <si>
    <t>h7</t>
  </si>
  <si>
    <t>The Likud will know how to take a firm stand at the Geneva conference</t>
  </si>
  <si>
    <t>h8</t>
  </si>
  <si>
    <t>The Alignment does not have a clear foreign and security policy</t>
  </si>
  <si>
    <t>h9</t>
  </si>
  <si>
    <t>The Likud has better leaders to offer</t>
  </si>
  <si>
    <t>h10</t>
  </si>
  <si>
    <t>The Likud proposes a National Unity Government</t>
  </si>
  <si>
    <t>POSSIBLE REASONS FOR VOTING FOR THE ALIGNMENT, THE 3 MOST CONVINCING ONES AND THE TWO LEAST CONVINCING ONES</t>
  </si>
  <si>
    <t>h12</t>
  </si>
  <si>
    <t>h13</t>
  </si>
  <si>
    <t>h14</t>
  </si>
  <si>
    <t>The Alignment might succeed in bringing peace</t>
  </si>
  <si>
    <t>h15</t>
  </si>
  <si>
    <t>Apprehension about the Likud's extremism</t>
  </si>
  <si>
    <t>h16</t>
  </si>
  <si>
    <t>The Alignment can take care of socio-economic problems</t>
  </si>
  <si>
    <t>h17</t>
  </si>
  <si>
    <t>The Alignment proposes good leaders</t>
  </si>
  <si>
    <t>h18</t>
  </si>
  <si>
    <t>Fear of sudden changes in the country</t>
  </si>
  <si>
    <t>POLITICAL LEADERS AND HOW INTERVIEWEE RELATES TO THEM, HOW IMPORTANT THIS FACTOR WAS TO INTERVIEWEE'S VOTE</t>
  </si>
  <si>
    <t>h20</t>
  </si>
  <si>
    <t>1: Positively, very important; 2: Positively, not very important; 3: Negatively, very important; 4: Negatively, not very important; 5: Neither positively nor negatively</t>
  </si>
  <si>
    <t>h21</t>
  </si>
  <si>
    <t>h22</t>
  </si>
  <si>
    <t>h23</t>
  </si>
  <si>
    <t>h24</t>
  </si>
  <si>
    <t>h25</t>
  </si>
  <si>
    <t>Yigal Allon</t>
  </si>
  <si>
    <t>h26</t>
  </si>
  <si>
    <t>Interviewee voted now for the same party he voted for in 1969</t>
  </si>
  <si>
    <t>1: Yes; 2: No; 3: Did not vote in 1969; 4: Did not vote now</t>
  </si>
  <si>
    <t>h27</t>
  </si>
  <si>
    <t>Interviewee changed his mind about which party to vote for because of the Yom Kippur War</t>
  </si>
  <si>
    <t>1: Yes; 2: No; 3: Did not vote</t>
  </si>
  <si>
    <t>h28</t>
  </si>
  <si>
    <t>To what extent interviewee is certain in the future he will continue to support party he supported these elections</t>
  </si>
  <si>
    <t>1: Very certain; 2: Certain; 3: Not so certain; 4: Not at all</t>
  </si>
  <si>
    <t>h29</t>
  </si>
  <si>
    <t>When interviewee decided whom to vote for</t>
  </si>
  <si>
    <t>1: A long time ago; 2: At the time of the war; 3: Close to election day; 4: On election day; 5: Did not vote</t>
  </si>
  <si>
    <t>h30</t>
  </si>
  <si>
    <t>To what extent deciding whom to vote for was difficult</t>
  </si>
  <si>
    <t>1: Very difficult; 2: Difficult; 3: Not so difficult; 4: Not at all</t>
  </si>
  <si>
    <t>h31</t>
  </si>
  <si>
    <t>To what extent it is a duty to participate in the Knesset elections</t>
  </si>
  <si>
    <t>h32</t>
  </si>
  <si>
    <t>1: To identify with political personalities; 2: To behave like friends; 3: To identify with supported party; 4: To influence which party to be in govt.; 5: To feel a part of the country/the people; 6: To express opinion on political matters; 7: Enjoys participating in the happy event; 8: To fulfill obligation towards country; 9: To protest against the government</t>
  </si>
  <si>
    <t>h33</t>
  </si>
  <si>
    <t>Interviewee's position if the government supports a peace agreement that includes giving back most of occupied territories</t>
  </si>
  <si>
    <t>1: Certainly would support the government; 2: Thinks would support the government; 3: Thinks would be against government; 4: Certainly would be against government; 5: No opinion</t>
  </si>
  <si>
    <t>h34</t>
  </si>
  <si>
    <t>Interviewee's postion if the government is against such an agreement</t>
  </si>
  <si>
    <t>1: Certainly would support government; 2: Thinks would support government; 3: Thinks would be against government; 4: Certainly would be against government; 5: No opinion</t>
  </si>
  <si>
    <t>h35</t>
  </si>
  <si>
    <t>Interviewee would support a peace agreement that involves giving back most of the territories</t>
  </si>
  <si>
    <t>1: Certainly would support it; 2: Thinks would support it; 3: Thinks would be against it; 4: Certainly would be against it; 5: No opinion</t>
  </si>
  <si>
    <t>h36</t>
  </si>
  <si>
    <t>Interviewee would support holding on to most of the territories even if it eliminates the chance for a peace agreement</t>
  </si>
  <si>
    <t>1: Certainly would support this; 2: Thinks would support this; 3: Thinks would be against this; 4: Certainly would be against this; 5: No opinion</t>
  </si>
  <si>
    <t>h37</t>
  </si>
  <si>
    <t>To what extent interviewee believes a peace agreement with the Arabs is possible within the next few years</t>
  </si>
  <si>
    <t>h38</t>
  </si>
  <si>
    <t>There should be a change in Alignment members forming the cabinet if the coalition partners in next govt. are same as in outgoing govt</t>
  </si>
  <si>
    <t>1: Some of them should be substituted; 2: Some ministers should have diff. roles; 3: New ministers, important minis. remain; 4: No significant changes necessary</t>
  </si>
  <si>
    <t>h39</t>
  </si>
  <si>
    <t>To what extent the election campaign helped interviewee decide whom to vote for</t>
  </si>
  <si>
    <t>h40</t>
  </si>
  <si>
    <t>To what extent party advertisements helped interviewee decide whom to vote for</t>
  </si>
  <si>
    <t>h41</t>
  </si>
  <si>
    <t>To what extent radio advertisements helped interviewee decide whom to vote for</t>
  </si>
  <si>
    <t>h42</t>
  </si>
  <si>
    <t>To what extent television advertisements helped interviewee decide whom to vote for</t>
  </si>
  <si>
    <t>h43</t>
  </si>
  <si>
    <t>To what extent talking to other people helped interviewee decide whom to vote for</t>
  </si>
  <si>
    <t>h44</t>
  </si>
  <si>
    <t>1: To hear arguments useful for discussions; 2: To get to know the political leaders; 3: To get to know the parties' platforms; 4: To help decide whom to vote for; 5: Renew identification with favored party; 6: To help evaluate chances of diff.parties; 7: To be up to date with polit. situation; 8: Enjoys political struggle, discussions; 9: Only transmission receives on television</t>
  </si>
  <si>
    <t>h45</t>
  </si>
  <si>
    <t>1: Not interested in politics; 2: Prefers entertainment programs; 3: Does not believe what parties say; 4: Some candidates take public for granted; 5: Already decided whom to vote for; 6: Often candidates are hard to understand; 7: Does not want to open home to propaganda; 8: Parties have nothing new to say; 9: Not like being deceived by politicians</t>
  </si>
  <si>
    <t>h46</t>
  </si>
  <si>
    <t>Interviewee was satisfied with the way the election campaign for the Knesset was conducted</t>
  </si>
  <si>
    <t>1: Very satisfied; 2: Satisfied; 3: Not so satisfied; 4: Not at all</t>
  </si>
  <si>
    <t>h47</t>
  </si>
  <si>
    <t>In their campaigns, the parties deal with the most important problems of the nation</t>
  </si>
  <si>
    <t>h48</t>
  </si>
  <si>
    <t>Interviewee believes what the parties say during the election campaign</t>
  </si>
  <si>
    <t>h49</t>
  </si>
  <si>
    <t>The campaign was necessary before the elections</t>
  </si>
  <si>
    <t>1: Very necessary; 2: Necessary; 3: Not so necessary; 4: Not at all</t>
  </si>
  <si>
    <t>h50</t>
  </si>
  <si>
    <t>To what extent interviewee read public opinion polls before the elections</t>
  </si>
  <si>
    <t>h51</t>
  </si>
  <si>
    <t>To what extent those polls helped interviewee decide whom to vote for</t>
  </si>
  <si>
    <t>h52</t>
  </si>
  <si>
    <t>Party position interviewee identifies with on foreign and security affairs</t>
  </si>
  <si>
    <t>h53</t>
  </si>
  <si>
    <t>Party interviewee voted for in the 1969 Knesset elections</t>
  </si>
  <si>
    <t>h54</t>
  </si>
  <si>
    <t>Party interviewee voted for in last elections</t>
  </si>
  <si>
    <t>01: Likud; 02: Independent Liberals; 03: Alignment; 04: Agudat Yisrael/A. Y. Workers; 05: National Religious Party; 06: Meri (HaOlam HaZeh); 07: Moked (ICP and Meir Pa'il); 08: Rakach; 09: Shulamit Aloni; 10: Israeli Democrats; 11: Other; 12: Did not vote</t>
  </si>
  <si>
    <t>h55</t>
  </si>
  <si>
    <t>Interviewee voted for same party in municipal and Knesset elections</t>
  </si>
  <si>
    <t>1: Yes; 2: No; 3: Municipal party not run in Knesset elec.; 4: Did not vote for the Knesset; 5: Did not vote for municipal government; 6: Did not vote for either</t>
  </si>
  <si>
    <t>h56</t>
  </si>
  <si>
    <t>Following election results, party interviewee would vote for if elections were held again</t>
  </si>
  <si>
    <t>01: Likud; 02: Independent Liberals; 03: Alignment; 04: Agudat Yisrael/A. Y. Workers; 05: National Religious Party; 06: Meri; 07: Moked; 08: Rakach; 09: Shulamit Aloni; 10: Israeli Democrats; 11: Other; 12: Independent Liberals-Shulamit Aloni</t>
  </si>
  <si>
    <t>h57</t>
  </si>
  <si>
    <t>h58</t>
  </si>
  <si>
    <t>Interviewee was in reserves during or because of Yom Kippur War</t>
  </si>
  <si>
    <t>1: Was not in reserves; 2: Was in for less than two weeks; 3: From two weeks to a month; 4: From one month to one month and a half; 5: From one and a half months to 2 months; 6: From 2 months to 2 and a half months; 7: From 2 and a half months to 3 months; 8: More than 3 months</t>
  </si>
  <si>
    <t>h59</t>
  </si>
  <si>
    <t>h60</t>
  </si>
  <si>
    <t>1: 20-24; 2: 25-29; 3: 30-34; 4: 35-39; 6: 45-49; 7: 50-54; 8: 55-64; 9: 65+</t>
  </si>
  <si>
    <t>h61</t>
  </si>
  <si>
    <t>Total gross monthly income for entire household</t>
  </si>
  <si>
    <t>h62</t>
  </si>
  <si>
    <t>h63</t>
  </si>
  <si>
    <t>1: Free professional w/University degree; 2: Free professional w/out Univ. degree; 3: Business manager/owner w/11+ workers; 4: Business manager/owner w/3-10 workers; 5: Business manager/owner w/0-2 workers; 6: Skilled worker; 7: Unskilled worker; 8: Student; 9: Housewife</t>
  </si>
  <si>
    <t>h64</t>
  </si>
  <si>
    <t>1: Israel/Israel; 2: Israel/Asia-Africa; 3: Israel/Europe-America; 4: Asia--Africa/Asia-Africa; 5: Europe-America/Europe-America; 6: Any other combination</t>
  </si>
  <si>
    <t>h65</t>
  </si>
  <si>
    <t>1: Jerusalem; 2: Tel Aviv area; 3: Haifa area</t>
  </si>
  <si>
    <t>h66</t>
  </si>
  <si>
    <t>1: Sunday, January 13, 1974; 2: Monday, January 14, 1974; 3: Tuesday, January 15, 1974</t>
  </si>
  <si>
    <t>1969_1</t>
  </si>
  <si>
    <t>Study 1969, phase 1</t>
  </si>
  <si>
    <t>Participation in political lectures</t>
  </si>
  <si>
    <t>0: No answer; 1: Often; 2: Rarely; 3: Never</t>
  </si>
  <si>
    <t>Participation in pre-election party meetings</t>
  </si>
  <si>
    <t>Participation in pre-election 'house-meetings'</t>
  </si>
  <si>
    <t>Hosting of pre-election 'house-meetings'</t>
  </si>
  <si>
    <t>Reading opinion poll results in newspapers</t>
  </si>
  <si>
    <t>0: No answer; 1: Often; 2: Rarely; 3: Never; 4: Unaware of existence of such polls</t>
  </si>
  <si>
    <t>0: No answer; 1: Yes, always; 2: In general, yes; 3: In general, no; 4: Never; 5: Unaware of existence of such polls</t>
  </si>
  <si>
    <t>Extent these polls influence the voting public</t>
  </si>
  <si>
    <t>0: No answer; 1: Great influence; 2: Some influence; 3: Little influence; 4: No influence; 5: Unaware of existence of such polls</t>
  </si>
  <si>
    <t>Extent these polls influence the politicians</t>
  </si>
  <si>
    <t>Listening to the radio daily</t>
  </si>
  <si>
    <t>0: No answer; 1: 8 hours a day or more; 2: 5-8 hours a day; 3: 3-5 hours a day; 4: 1-3 hours a day; 5: Less than an hour a day; 6: Does not listen every day</t>
  </si>
  <si>
    <t>Ranking of preference of radio programmes</t>
  </si>
  <si>
    <t>0: No answer; 1: Entertainment, culture, information; 2: Entertainment, information, culture; 3: Culture, information, entertainment; 4: Culture, entertainment, information; 5: Information, entertainment, culture; 6: Information, culture, entertainment</t>
  </si>
  <si>
    <t>DO YOU READ A NEWSPAPER? IF, SO WHICH OF THE FOLLOWING DO YOU READ, AND HOW OFTEN?</t>
  </si>
  <si>
    <t>Do you read 'Haaretz'?</t>
  </si>
  <si>
    <t>0: No answer; 1: Every day; 2: Several times a week; 3: Once a week; 4: Less frequently; 5: Does not read</t>
  </si>
  <si>
    <t>Do you read 'Davar'?</t>
  </si>
  <si>
    <t>Do you read 'Omer'?</t>
  </si>
  <si>
    <t>Do you read 'Lamerchav'?</t>
  </si>
  <si>
    <t>Do you read 'Al Hamishmar'?</t>
  </si>
  <si>
    <t>Do you read 'Hayom'?</t>
  </si>
  <si>
    <t>Do you read 'Kol Haam'?</t>
  </si>
  <si>
    <t>Do you read 'Hatsofeh', 'Sharim', 'Ha-modiya'?</t>
  </si>
  <si>
    <t>Do you read 'Maariv'?</t>
  </si>
  <si>
    <t>Do you read 'Yediot Acharonot'?</t>
  </si>
  <si>
    <t>Do you read 'Jerusalem Post'?</t>
  </si>
  <si>
    <t>Do you read other foreign language newspaper?</t>
  </si>
  <si>
    <t>Do you read another newspaper?</t>
  </si>
  <si>
    <t>Watching television</t>
  </si>
  <si>
    <t>0: No answer; 1: Daily or almost daily; 2: 2-3 times a week; 3: Once a week; 4: 2-3 times a month; 5: Once a month; 6: Less frequently; 7: Never watch</t>
  </si>
  <si>
    <t>Ranking of preference of television programmes</t>
  </si>
  <si>
    <t>0: No answer; 1: Entertainment, culture, information; 2: Entertainment, information, culture; 3: Culture, information, entertainment; 4: Culture, entertainment, information; 5: Information, entertainment, culture; 6: Information, culture, entertainment; 7: Unspecified source of percentage</t>
  </si>
  <si>
    <t>Where you stand at present in terms of your life?</t>
  </si>
  <si>
    <t>0: No answer; 1: 0,1 Worst; 9: 9,10 Best</t>
  </si>
  <si>
    <t>Where did you stand 4 years ago?</t>
  </si>
  <si>
    <t>Where do you expect to stand in 4 years time?</t>
  </si>
  <si>
    <t>Comparison - present to past</t>
  </si>
  <si>
    <t>0: Irrelevant; 1: Present lower than past; 2: No change; 3: Present higher than past</t>
  </si>
  <si>
    <t>Comparison - present to future</t>
  </si>
  <si>
    <t>0: Irrelevant; 1: Present higher than future; 2: No change; 3: Present lower than future</t>
  </si>
  <si>
    <t>Israel's present political and security situation</t>
  </si>
  <si>
    <t>Israel's political and security situation 4 years ago</t>
  </si>
  <si>
    <t>Israel's poitical and security situation in 4 years time</t>
  </si>
  <si>
    <t>Israel's present economic situation</t>
  </si>
  <si>
    <t>Israel's economic situation 4 years ago</t>
  </si>
  <si>
    <t>Israel's economic situation in 4 years time</t>
  </si>
  <si>
    <t>Israel's present social situation</t>
  </si>
  <si>
    <t>Israel's social situation 4 years ago</t>
  </si>
  <si>
    <t>Israel's social situation in 4 years time</t>
  </si>
  <si>
    <t>0: Irrelevant; 1: Presnet higher than future; 2: No change; 3: Present lower than future</t>
  </si>
  <si>
    <t>Extent of interest in Israel's foreign &amp; security affairs</t>
  </si>
  <si>
    <t>0: No answer; 1: Greatly interested; 2: Interested to some extent; 3: A little interested; 4: Not at all interested</t>
  </si>
  <si>
    <t>Extent of interest the average Israeli citizen should have in foreign affairs</t>
  </si>
  <si>
    <t>0: No answer; 1: A great interest; 2: Some interest; 3: A little interest; 4: No need to take any interest</t>
  </si>
  <si>
    <t>Extent of interest in Israel's economic problems</t>
  </si>
  <si>
    <t>Extent of interest average Israeli citizen should have in economic problems</t>
  </si>
  <si>
    <t>Extent of interest in Israel's social problems</t>
  </si>
  <si>
    <t>Extent of interest average citizen should have in social problems</t>
  </si>
  <si>
    <t>Extent of interest in local politics</t>
  </si>
  <si>
    <t>Extent of interest average citizen should take in local politics</t>
  </si>
  <si>
    <t>Extent to which you/friends can influence government policy</t>
  </si>
  <si>
    <t>0: No answer; 1: To a very great extent; 2: To a great extent; 3: To some extent; 4: To a little extent; 5: Not at all</t>
  </si>
  <si>
    <t>FREQUENCY OF DISCUSSING THE FOLLOWING ISRAELI TOPICS WITH ACQUAINTANCES/FRIENDS/COLLEAGUES/FAMILY:</t>
  </si>
  <si>
    <t>Frequency of discussing foreign policy and security</t>
  </si>
  <si>
    <t>0: No answer; 1: Very often; 2: Sometimes; 3: Rarely; 4: Does not discuss at all</t>
  </si>
  <si>
    <t>Frequency of discussing economic topics</t>
  </si>
  <si>
    <t>Frequency of discussing social topics</t>
  </si>
  <si>
    <t>Extent to which others ask your opinion on political matters</t>
  </si>
  <si>
    <t>0: No answer; 1: To a great extent; 2: To some extent; 3: To a little extent; 4: Not at all</t>
  </si>
  <si>
    <t>Extent to which you ask others their opininons on political matters</t>
  </si>
  <si>
    <t>Opinion on the government's way of conducting affairs of state</t>
  </si>
  <si>
    <t>0: No answer; 1: Very well conducted; 2: Well conducted; 3: Not so well conducted; 4: Badly conducted; 5: Very badly conducted</t>
  </si>
  <si>
    <t>Extent to which you are clear how gov.should conduct its affairs</t>
  </si>
  <si>
    <t>0: No answer; 1: Absolutely clear; 2: Clear; 3: Not so clear; 4: Not at all clear</t>
  </si>
  <si>
    <t>Opinion on the municipality's way of conducting city affairs</t>
  </si>
  <si>
    <t>Extent to which you are clear about how city affairs should be run</t>
  </si>
  <si>
    <t>Extent of belief in political information received from friends</t>
  </si>
  <si>
    <t>0: No answer; 1: Generally, yes; 2: Sometimes yes, sometimes no; 3: Generally, no; 4: Never; 5: Does not receive information</t>
  </si>
  <si>
    <t>Extent of belief in political information received from newspapers</t>
  </si>
  <si>
    <t>Extent of belief in political information received from Israeli radio/TV</t>
  </si>
  <si>
    <t>Card number</t>
  </si>
  <si>
    <t>Phase number</t>
  </si>
  <si>
    <t>5: Phase I</t>
  </si>
  <si>
    <t>Extent of agreement the ruling party does enough incorporate young people</t>
  </si>
  <si>
    <t>0: No answer; 1: Absolutely agree; 2: Agree to some extent; 3: Have reservations; 4: Absolutely disagree; 5: No opinion</t>
  </si>
  <si>
    <t>Opinion regarding personal election of Knesset members vs. party list</t>
  </si>
  <si>
    <t>0: No answer; 1: Absolutely prefer individual elections; 2: Prefer individual elections; 3: Prefer party lists; 4: Absolutely prefer party lists; 5: No opinion</t>
  </si>
  <si>
    <t>Opinion regarding the marketing of non-kosher meat in Israel</t>
  </si>
  <si>
    <t>0: No answer; 1: Absolutely for permitting marketing of such meat; 2: It's possible to permit marketing of such meat; 3: It's preferable to forbid marketign of such meat; 4: Absolutely for forbidding marketing of such meat; 5: No opinion</t>
  </si>
  <si>
    <t>Which of the following best suits your position?</t>
  </si>
  <si>
    <t>0: No answer; 1: Jews of the world are one religion and one nation; 2: Jews of the world are one religion but not a nation; 3: Jews of the world are one nation only; 4: Jews of the world are neither a nation nor a religion; 5: No opinion</t>
  </si>
  <si>
    <t>Opinion regarding politicians' tendency not to consider man on street's opinion</t>
  </si>
  <si>
    <t>0: No answer; 1: They absolutely do not take it into consideration; 2: They tend not to take it into consideration; 3: Perhaps they tend to take it into consideration; 4: They absolutely do take it into consideration; 5: No opinion</t>
  </si>
  <si>
    <t>Opinion regarding personal election of mayors vs party list</t>
  </si>
  <si>
    <t>Extent agreement we should announce willingness return territories as basis</t>
  </si>
  <si>
    <t>0: No answer; 1: Absolutely should announce it; 2: Maybe it should be announced; 3: Maybe it should not be announced; 4: Absolutely should not announce it; 5: No opinion</t>
  </si>
  <si>
    <t>Agreement with the Histadrut's industrial initiative and plant supervision</t>
  </si>
  <si>
    <t>0: No answer; 1: Absolutely agree; 2: Agree to soem extent; 3: Have reservations; 4: Absolutely disagree; 5: No opinion</t>
  </si>
  <si>
    <t>Extent of agreement with the placing of gen.social interests above ind.interests</t>
  </si>
  <si>
    <t>0: No answer; 1: The general interest is absolutely more important; 2: The general interest is possibly more important; 3: Both types of interests are equally important; 4: Individual interests are possibly more important; 5: Individual interests are absolutely more important; 6: Depends upon the circumstances; 7: No opinion</t>
  </si>
  <si>
    <t>Opinion regarding separation of religion and state</t>
  </si>
  <si>
    <t>0: No answer; 1: Absolutely think they should be separate; 2: Perhaps it's better to separate them; 3: Perhaps it's better not to separarte them; 4: They should absolutely not be separated; 5: No opinion</t>
  </si>
  <si>
    <t>Opinion regarding changing the party in power even it's doing good job</t>
  </si>
  <si>
    <t>0: No answer; 1: Absolutely should be changed; 2: Perhaps it's better to change it; 3: Perhaps there's no need to change it; 4: There's no need to change it; 5: No opinion</t>
  </si>
  <si>
    <t>SUPPORT OR OPPOSITION FOR GOVERNMENT OWNERSHIP OF THE FOLLOWING:</t>
  </si>
  <si>
    <t>Support/opposition for gov. ownership post office</t>
  </si>
  <si>
    <t>0: No answer; 1: Support government ownership; 2: Oppose government ownership</t>
  </si>
  <si>
    <t>Support/opposition for gov. ownership the train</t>
  </si>
  <si>
    <t>Support/opposition for gov. ownership electric company</t>
  </si>
  <si>
    <t>Support/opposition for gov. ownership wholesale marketing of food</t>
  </si>
  <si>
    <t>Support/opposition for gov. ownership radio and television</t>
  </si>
  <si>
    <t>Support/opposition for gov. ownership Kupat Holim (health services)</t>
  </si>
  <si>
    <t>Support/opposition for gov. ownership telephone</t>
  </si>
  <si>
    <t>Extent you are clear on what Israel's most important basic problems are</t>
  </si>
  <si>
    <t>0: No answer; 1: Absolutely clear to me; 2: Clear to me; 3: Not so clear to me; 4: Not clear to me at all</t>
  </si>
  <si>
    <t>The most important basic problem for Israel today</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</si>
  <si>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t>
  </si>
  <si>
    <t>The second most important problem for Israel today</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</si>
  <si>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 13: Respondent cited just one important problem</t>
  </si>
  <si>
    <t>The third most important problem for Israel today</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</si>
  <si>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 13: Respondent cited just one or two important problems</t>
  </si>
  <si>
    <t>The most important topic in terms of determining polit.party you support</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</si>
  <si>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None of the above topics; 13: I don't support any party</t>
  </si>
  <si>
    <t>Extent you are clear on party differences on foreign &amp; security issues</t>
  </si>
  <si>
    <t>0: No answer; 1: Absolutely clear; 2: Clear; 3: Not so clear; 4: Not at all clear; 5: No differences between them</t>
  </si>
  <si>
    <t>Extent you are clear on party differences on econonmic topics</t>
  </si>
  <si>
    <t>Extent you are clear on party differences on social topics</t>
  </si>
  <si>
    <t>The main candidate on list of party you will vote for Knesset</t>
  </si>
  <si>
    <t>0: No answer; 1: Golda Meir; 2: Moshe Dayan; 3: Yigal Allon; 4: Pinchas Sapir; 5: Meir Ya'ari; 6: Haim Moshe Shapira; 7: Menachem Begin; 8: Shmuel Tamir; 9: Uri Avneri; 10: Moshe Sneh; 11: Another candidate. Which?; 12: Does not know the names of candidates; 13: Did not yet decide for which party to vote; 14: Does not plan to vote for any party; 15: Unknown</t>
  </si>
  <si>
    <t>Supporter, member or official of any party</t>
  </si>
  <si>
    <t>0: No answer; 1: Member and salaried official; 2: Member and unsalaried official; 3: Member, holds no office; 4: Supporter; 5: Does not especially support any one party</t>
  </si>
  <si>
    <t>The party you support</t>
  </si>
  <si>
    <t>0: No answer; 1: Free Center; 2: Mapam; 3: Independent libereals; 4: Labour Party; 5: Herut; 6: An ethnic party; 7: Religious Labour Party; 8: Israeli Communist Party; 9: National Religious Party; 10: Liberals; 11: Agudath Yisrael; 12: Rakach; 13: Haolam Hazeh; 14: Other party. Which?; 15: Does not especially support any one party</t>
  </si>
  <si>
    <t>Will you vote in next Knesset elections?For which party?</t>
  </si>
  <si>
    <t>0: No answer; 1: Free Center; 2: Gahal; 3: Indepedent Liberals; 4: Alignment: Labour-Mapam; 5: Religious Labour Party; 6: National Religious Party; 7: Agudath Yisrael; 8: Israeli Communist Party; 9: Rakach; 10: Haolam Hazeh; 11: An ethnic party; 12: Other party. Which?; 13: Did not yet decide for what party to vote; 14: Did not yet decide if he will vote or not; 15: Will not vote; 16: White slip (blank ballot)</t>
  </si>
  <si>
    <t>Identification with Candidate/Party's stand on-most import.factor in determ. vote?</t>
  </si>
  <si>
    <t>0: No answer; 1: One factor is much more important than the others; 2: One factor is somewhat more important than the others; 3: All the factors are equally important; 4: None of the factors are important</t>
  </si>
  <si>
    <t>The most important factor in determining Knesset vote</t>
  </si>
  <si>
    <t>0: No answer; 1: Identification with the party; 2: The party's candidate; 3: The party's stand on various issues; 4: The party's position in government/opposition; 5: None of the factors is important; 6: Another factor is important. Which?; 7: All the factors are equally important</t>
  </si>
  <si>
    <t>Changing your vote if party changed position on subject chosen above</t>
  </si>
  <si>
    <t>0: No answer; 1: Yes, I would change my vote; 2: No, I wouldn't change my vote; 3: I wouldn't vote at all; 4: Did not cite a subject in previous question; 5: Will not vote</t>
  </si>
  <si>
    <t>Voting for party in which your chosen candidate will not receive realistic position</t>
  </si>
  <si>
    <t>0: No answer; 1: Yes, I would still vote for the same party; 2: No, I wouldn't vote for it; 3: I wouldn't vote at all; 4: Did not cite candidate in previous question; 5: Dependent on candidate; 6: Unknown</t>
  </si>
  <si>
    <t>Chance the party you'll vote for will be influent.&amp;important in next Knesset</t>
  </si>
  <si>
    <t>0: No answer; 1: Very great chance; 2: Great chance; 3: Mediocre chance; 4: Small chance; 5: No chance at all; 6: I haven't yet decided for which party to vote; 7: I haven't yet decided if I'll vote at all; 8: I don't plan to vote</t>
  </si>
  <si>
    <t>Will you vote in the municipal elections?</t>
  </si>
  <si>
    <t>0: No answer; 1: Yes, I plan to vote; 2: No, I don't plan to vote; 3: I haven't yet decided if I'll vote</t>
  </si>
  <si>
    <t>Will you vote for the same party for the Knesset and the municipality?</t>
  </si>
  <si>
    <t>0: No answer; 1: Yes, I'll vote for the same party; 2: No I'll vote for different parties; 3: I don't plan to vote for the municipality; 4: Haven't decided which party to vote for for municipality; 5: I won't vote for the Knesset; 6: Haven't decided which party to vote for for Knesset; 7: Haven't decided if I'll vote for municipality; 8: Haven't decided if I'll vote for Knesset</t>
  </si>
  <si>
    <t>Which party will you vote for for the municipality?</t>
  </si>
  <si>
    <t>0: No answer; 1: Free Center; 2: Gahal; 3: Independent Liberals; 4: Alignment: Labour-Mapam; 5: Religious Labour Party; 6: National Religious Party; 7: Agudath Yisrael; 8: Israeli Communist Party; 9: Rakach; 10: Haolam Hazeh; 11: An ethnic party; 12: Local party; 13: Another party. Which?; 14: Respondent will vote for same party for Knesset; 15: Respondent hasn't decided which party; 16: Respondent won't vote for municipality</t>
  </si>
  <si>
    <t>Identif.with Candidate/Party's stand on-most import.factor in determi.munic.vote?</t>
  </si>
  <si>
    <t>The most important factor in determining municipality vote</t>
  </si>
  <si>
    <t>0: No answer; 1: Identification with the party; 2: The party's candidate; 3: The party's stand on various issues; 4: The party's position; 5: None of the factors is important; 6: Another factor is important. Which?; 7: All the factors are equally important; 8: I don't know</t>
  </si>
  <si>
    <t>Respondent's vote for Knesset party in 1965</t>
  </si>
  <si>
    <t>0: No answer; 1: Religious Labour Party; 2: Haolam Hazeh; 3: Mapam; 4: Alignment: Labour-Ahdut Haavodah; 5: Independent Liberals; 6: Gahal; 7: National Religious Party; 8: Rakach; 9: Agudath Yisrael; 10: Israeli Communist Party; 11: An ethnic party; 12: Another party. Which?; 13: I didn't vote; 14: Rafi</t>
  </si>
  <si>
    <t>Respondent's vote for municipality party in 1965</t>
  </si>
  <si>
    <t>0: No answer; 1: Religious Labour Party; 2: Haolam Hazeh; 3: Mapam; 4: Alignment: Labour-Ahdut Haavodah; 5: Independent Liberals; 6: Gahal; 7: National Religious Party; 8: Rakach; 9: Agudath Yisrael; 10: Israeli Communist Party; 11: An ethnic party; 12: Local party; 13: Another party. Which?; 14: I didn't vote; 15: Rafi</t>
  </si>
  <si>
    <t>The first of two extra parties you would vote for</t>
  </si>
  <si>
    <t>0: No answer; 1: Free Center; 2: Gahal; 3: Independent Liberals; 4: Alignment: Labour - Mapam; 5: Religious Labour Party; 6: National Religious Party; 7: Agudath Yisrael; 8: Israeli Communist Party; 9: Rakach; 10: Haolam Hazeh; 11: An ethnic party; 12: Another party. Which?; 13: Did not mention another party; 14: Did not decide for which party to vote; 15: Will not vote at all</t>
  </si>
  <si>
    <t>The second of two extra parties you would vote for</t>
  </si>
  <si>
    <t>The first of two parties you would never vote for</t>
  </si>
  <si>
    <t>0: No answer; 1: Free Center; 2: Gahal; 3: Independent Liberals; 4: Alignment: Labour - Mapam; 5: Religious Labour Party; 6: National Religious Party; 7: Agudath Yisrael; 8: Israeli Communist Party; 9: Rakach; 10: Haolam Hazeh; 11: An ethnic party; 12: Another party. Which?; 13: There is no such party</t>
  </si>
  <si>
    <t>The second of two parties you would never vote for</t>
  </si>
  <si>
    <t>0: No answer; 1: Free Center; 2: Gahal; 3: Independent Liberals; 4: Alignment: Labour - Mapam; 5: Religious Labour Party; 6: National Religious Party; 7: Agudath Yisrael; 8: Israeli Communist Party; 9: Rakach; 10: Haolam Hazeh; 11: An ethnic party; 12: Another party. Which?; 13: Did not cite any such party/cited only one</t>
  </si>
  <si>
    <t>Voting for Knesset as your family members do</t>
  </si>
  <si>
    <t>0: No answer; 1: I vote like them; 2: I don't vote like them; 3: I don't know how they vote; 4: They don't all vote the same</t>
  </si>
  <si>
    <t>Voting for the Knesset as your superiors do</t>
  </si>
  <si>
    <t>Voting for the Knesset as your friends do</t>
  </si>
  <si>
    <t>The Alignment's main supporting group</t>
  </si>
  <si>
    <t>0: No answer; 1: The young; 2: The old; 3: No special age groups, or others</t>
  </si>
  <si>
    <t>The Alignment's supporting ethnic group</t>
  </si>
  <si>
    <t>0: No answer; 1: North Africans + Middle Easterners; 2: Europeans; 3: No special ethnic group, or others</t>
  </si>
  <si>
    <t>The Alignment's supporting occupational group</t>
  </si>
  <si>
    <t>0: No answer; 1: Workers; 2: Merchants, agents, businessmen; 3: Men of letters and scientists; 4: No special occupational group, or others</t>
  </si>
  <si>
    <t>Herut's main supporting group</t>
  </si>
  <si>
    <t>0: No answer; 1: The young; 2: The old; 3: No special age group, or others</t>
  </si>
  <si>
    <t>Herut's supporting ethnic group</t>
  </si>
  <si>
    <t>Herut's supporting occupational group</t>
  </si>
  <si>
    <t>0: No answer; 1: Workers; 2: Merchants, agents, businessmen; 3: Men of letters; 4: No special occupational group, or others</t>
  </si>
  <si>
    <t>Ha'olam Hazeh's main supporting group</t>
  </si>
  <si>
    <t>Ha'olam Hazeh's supporting ethnic group</t>
  </si>
  <si>
    <t>Ha'olam Hazeh's supporting occupational group</t>
  </si>
  <si>
    <t>Agreement with need for Israel be assured of support of world power</t>
  </si>
  <si>
    <t>Agreement with having policy of gov.subsidies for Histadrut economic sector</t>
  </si>
  <si>
    <t>Preferable economic system-Soviet Union or that of United States</t>
  </si>
  <si>
    <t>0: No answer; 1: That of the United States is absolutely preferable; 2: That of the United States is preferable; 3: That of the Soviet Union is preferable; 4: That of the Soviet Union is absolutely preferable</t>
  </si>
  <si>
    <t>Agreement-laws of marriage/divorce under Rabbinate's exclusive jurisdiction</t>
  </si>
  <si>
    <t>Agreement with government's aggresive policy towards Arab states</t>
  </si>
  <si>
    <t>Is it worthwhile for a worker to join the Histadrut?</t>
  </si>
  <si>
    <t>0: No answer; 1: Absolutely worthwhile; 2: Seems to be worthwhile; 3: Seems not to be worthwhile; 4: Absolutely not worthwhile</t>
  </si>
  <si>
    <t>Agreement with having policy of gov.subsidies for private enterprises</t>
  </si>
  <si>
    <t>Extent of limitation of the Histadrut's areas of activity</t>
  </si>
  <si>
    <t>0: No answer; 1: The Histadrut's activities should be limited to very specific areas; 2: The Histadrut's activities should be limited; 3: The Histadrut's activities should not be limited; 4: The Histadrut should be encouraged to extend the areas of activity</t>
  </si>
  <si>
    <t>Agreement with existence of obligatory arbitration law concerning strikes</t>
  </si>
  <si>
    <t>Willingness to live in house with people from different ethnic group</t>
  </si>
  <si>
    <t>0: No answer; 1: Absolutely willing; 2: Willing; 3: Have reservations; 4: Unwilling; 5: Absolutely unwilling</t>
  </si>
  <si>
    <t>Willingness to be friends with people from diff.ethnic group</t>
  </si>
  <si>
    <t>Do you have Jews from ethnic groups other than yours among close friends?</t>
  </si>
  <si>
    <t>Willingness to marry someone from a different ethnic group</t>
  </si>
  <si>
    <t>Willingness to live in a house with an Arab family</t>
  </si>
  <si>
    <t>Willingness to be friends with an Arab</t>
  </si>
  <si>
    <t>Agreement-even if Arabs greatly progress they never reach level of Jews</t>
  </si>
  <si>
    <t>Which of the following is your opinion?</t>
  </si>
  <si>
    <t>0: No answer; 1: All Israeli Arabs are antagonistic to the Jews; 2: Most Israeli Arabs are antagonistic to the Jews; 3: Some Israeli Arabs are antagonistic to the Jews; 4: No Israeli Arabs are antagonistic to the Jews</t>
  </si>
  <si>
    <t>0: No answer; 1: All Israeli Arabs are hostile to the State of Israel; 2: Most Israeli Arabs are hostile to the State of Israel; 3: Some Israeli Arabs are hostile to the State of Israel; 4: No Israeli Arabs are hostile to the State of Israel</t>
  </si>
  <si>
    <t>Agreement with opinion-elections do not actually affect policy</t>
  </si>
  <si>
    <t>0: No answer; 1: Absolutely agree with this opinion; 2: Agree; 3: Have reservations; 4: Absolutely disagree</t>
  </si>
  <si>
    <t>Opinion regarding returning the territories</t>
  </si>
  <si>
    <t>0: No answer; 1: In my opinion, not one inch should be returned; 2: A small part of the territories should be returned; 3: Most of the territories should be returned; 4: All the territories should be returned</t>
  </si>
  <si>
    <t>Agreement with opinion-few strong leaders more useful than debates</t>
  </si>
  <si>
    <t>0: No answer; 1: Absolutely agree; 2: Agree to some extent; 3: Have reservations; 4: Absolutely disagree</t>
  </si>
  <si>
    <t>Is it obligation of every Jew in the world to immigrate to Israel?</t>
  </si>
  <si>
    <t>0: No answer; 1: Absolutely, it's every Jews obligation; 2: It would be good if they all came; 3: It's not an obligation for them to live in Israel; 4: It's not at all desirable that they all come to live in Israel</t>
  </si>
  <si>
    <t>Agreement-better not vote if the election results are deemed not important</t>
  </si>
  <si>
    <t>0: No answer; 1: Left; 2: Moderate left; 3: Center; 4: Right; 5: Religious; 6: I don't identify with any trend; 7: Other</t>
  </si>
  <si>
    <t>Do you usually observe religious tradition?</t>
  </si>
  <si>
    <t>0: No answer; 1: Yes, absolutely,I try to observe it in detail; 2: To a great extent, I observe most religious ritual; 3: I observe a little of the tradition; 4: I don't observe at all, absolutely liberal</t>
  </si>
  <si>
    <t>Do you have a washing machine in your home?</t>
  </si>
  <si>
    <t>Do you have a telephone in your home?</t>
  </si>
  <si>
    <t>Do you own a car?</t>
  </si>
  <si>
    <t>Do you have a television in your home?</t>
  </si>
  <si>
    <t>0: No answer; 1: Up to and including 1.00; 2: 1.00 - 1.99; 3: 2.00 - 2.99; 4: 3.00 - 3.99; 5: 4.00 and more</t>
  </si>
  <si>
    <t>Self ranking of social position</t>
  </si>
  <si>
    <t>0: No answer; 1: Upper middle; 2: Middle; 3: Lower; 4: Upper; 5: Worker; 6: Other; 7: Does not categorize himself in any social position</t>
  </si>
  <si>
    <t>Are you a member of the Histadrut?</t>
  </si>
  <si>
    <t>During 1965 elections, did you live where you live now?</t>
  </si>
  <si>
    <t>0: No answer; 1: Lived in the same place; 2: Lived somewhere else</t>
  </si>
  <si>
    <t>Membership in a youth movement - Which?</t>
  </si>
  <si>
    <t>0: No answer; 1: Tsofim; 2: Ha-t'nuah ha-m'uchedet; 3: Noar oved; 4: Machanot Olim; 5: Hashomer Hatsa'ir; 6: Beitar; 7: B'nei Akiva; 8: Communist; 9: Ha-maccabi ha-tsair; 10: Another movement; 11: Was not a member of a movement</t>
  </si>
  <si>
    <t>Were you a member of a kibbutz - From what movement?</t>
  </si>
  <si>
    <t>0: No answer; 1: Member of an 'Ihud Ha-Kvutsot veha-Kibbutzim' kibbutz; 2: Member of a 'Ha-Kibbutz ha-Me'uchad' kibbutz; 3: Member of a 'Ha-Shomer ha-Tsair' kibbutz; 4: Member of a 'Ha-Kibbutz ha-Dati' kibbutz; 5: Member of a 'Ha-Noar ha-Tsiyoni' kibbutz; 6: Member of an unaffiliated kibbutz; 7: Another movement; 8: Was not a member of a kibbutz</t>
  </si>
  <si>
    <t>Service in I.D.F/pre-I.D.F Israeli military organization</t>
  </si>
  <si>
    <t>0: No answer; 1: Deferment to a later date for various reasons; 2: Medical exemption; 3: Exemption for personal-family reasons; 4: Exemption following marriage (for women); 5: The respondent emigrated when older; 6: When I.D.F was set up, repondent was over draft age; 7: Exemption - unspecified; 8: Another reason; 9: Respondent served in I.D.F or another organization</t>
  </si>
  <si>
    <t>Gross monthly income of household</t>
  </si>
  <si>
    <t>0: No answer; 1: 0-199 lira a month; 2: 200-399 lira a month; 3: 400-599 lira a month; 4: 600-799 lira a month; 5: 800-999 lira a month; 6: 1000-1249 lira a month; 7: 1250-1499 lira a month; 8: 1500-1749 lira a month; 9: 1750 lira a month or more</t>
  </si>
  <si>
    <t>Do you ride on the Sabbath?</t>
  </si>
  <si>
    <t>Do you eat only kosher food?</t>
  </si>
  <si>
    <t>0: No answer; 1: Yes, I eat only kosher food; 2: No, I also eat non-kosher food</t>
  </si>
  <si>
    <t>0: No answer; 1: Male; 2: Female</t>
  </si>
  <si>
    <t>0: No answer; 1: Israel; 2: Central and Eastern Europe; 3: Southern Europe; 4: Western Europe; 5: English-speaking countries; 6: North African countries; 7: Near and Middle Eastern countries; 8: Far Eastern countries; 9: South and Central America</t>
  </si>
  <si>
    <t>Father's country of birth</t>
  </si>
  <si>
    <t>Place of birth and father's place of birth</t>
  </si>
  <si>
    <t>0: Irrelevant; 1: Native of Asia or North Africa; 2: Native of Europe or Anglo-Saxon countries; 3: Native Israeli-father born in Asia/N. Africa; 4: Native Israeli-father born in Europe/Anglo-Saxon countries; 5: Native Israeli-father also Israeli native</t>
  </si>
  <si>
    <t>Mother's country of birth</t>
  </si>
  <si>
    <t>0: No answer; 1: Israel; 2: Central and Eastern Europe; 3: Southern Europe; 4: Western Europe; 5: English-speaking countries; 6: North African countries; 7: Near and Middle Eastern countries; 8: Far Eastern countries; 9: South and Gentral America</t>
  </si>
  <si>
    <t>c79</t>
  </si>
  <si>
    <t>0: No answer; 1: 18 - 24; 2: 25 - 29; 3: 30 - 34; 4: 35 - 39; 5: 40 - 44; 6: 45 - 49; 7: 50 - 54; 8: 55 - 64; 9: 65 +</t>
  </si>
  <si>
    <t>0: No answer; 1: Single; 2: Married, without children; 3: Married, with children; 4: Widowed, divorced, without children; 5: Widowed, divorced, with children</t>
  </si>
  <si>
    <t>Spouse's country of birth</t>
  </si>
  <si>
    <t>00: No answer; 01: Israel; 02: Central and Eastern Europe; 03: Southern Europe; 04: Western Europe; 05: English-speaking countries; 06: North African countries; 07: Near and Middle Eastern countries; 08: Far Eastern countries; 09: South and Central America; 10: Respondent unmarried</t>
  </si>
  <si>
    <t>Year of emigration to Israel</t>
  </si>
  <si>
    <t>0: No answer; 1: Native; 2: Before 1930; 3: 1931 - 1940; 4: 1941 - 1947; 5: 1948 - 1954; 6: 1955 - 1959; 7: 1960 - 1965; 8: 1966 +</t>
  </si>
  <si>
    <t>c85</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</si>
  <si>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t>
  </si>
  <si>
    <t>Spouse's education</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</si>
  <si>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Unmarried</t>
  </si>
  <si>
    <t>Father's education</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</si>
  <si>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Religious</t>
  </si>
  <si>
    <t>Mother's education</t>
  </si>
  <si>
    <t>c91</t>
  </si>
  <si>
    <t>Language primarily spoken in your home</t>
  </si>
  <si>
    <t>0: No answer; 1: Hebrew; 2: Yiddish; 3: Arabic, Turkish, other Asian languages; 4: Eatsern European languages; 5: Central or Western European languages; 6: Latin or Balkan languages; 7: Other language</t>
  </si>
  <si>
    <t>c95</t>
  </si>
  <si>
    <t>1969_2</t>
  </si>
  <si>
    <t>Study 1969, phase 2</t>
  </si>
  <si>
    <t>Respondent ID</t>
  </si>
  <si>
    <t>Viewing of television electoral broadcasts</t>
  </si>
  <si>
    <t>0: No answer; 1: All the parties or the majority; 2: Partly; 3: Another party; 4: Did not watch (respondent has a television); 5: Did not watch (respondent has no television)</t>
  </si>
  <si>
    <t>Influence of broadcasts on political attitude</t>
  </si>
  <si>
    <t>0: No answer; 1: Strengthened my attitude; 2: Did not influence; 3: Changed my attitude; 4: Did not watch</t>
  </si>
  <si>
    <t>The best possible life,where do you stand at present?</t>
  </si>
  <si>
    <t>1: Present higher than future; 2: No change; 3: Present lower than future; 4: Irrelevant</t>
  </si>
  <si>
    <t>6: Phase II</t>
  </si>
  <si>
    <t>b1</t>
  </si>
  <si>
    <t>1: Present lower than past; 2: No change; 3: Present higher than past; 4: Irrelevant</t>
  </si>
  <si>
    <t>Extent of interest avr.Israeli citizen should have in economic problems</t>
  </si>
  <si>
    <t>1: A great interest; 2: Some interest; 3: A little interest; 4: No need to take any interest; 5: No answer</t>
  </si>
  <si>
    <t>1: To a very great extent; 2: To a great extent; 3: To some extent; 4: To a little extent; 5: Not at all; 6: No answer</t>
  </si>
  <si>
    <t>Opinion regarding politicians tendency not consider man on street's opinion</t>
  </si>
  <si>
    <t>Extent of agreement with placing of gen.social interests above indiv.interests</t>
  </si>
  <si>
    <t>Opinion regarding changing party in power even if it is doing good job</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</si>
  <si>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</si>
  <si>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important problem</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</si>
  <si>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or two important problems</t>
  </si>
  <si>
    <t>Most important topic in terms of determining polit.party you support</t>
  </si>
  <si>
    <t>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None of the above topics; 13: I don't support any party; 14: No answer</t>
  </si>
  <si>
    <t>Extent you are clear on party differ. on foreign policy/security issues</t>
  </si>
  <si>
    <t>1: Absolutely clear; 2: Clear; 3: Not so clear; 4: Not at all clear; 5: No differences between them; 6: No answer</t>
  </si>
  <si>
    <t>Main candidate on list of party which you will vote for Knesset</t>
  </si>
  <si>
    <t>1: Golda Meir; 2: Moshe Dayan; 3: Yigal Allon; 4: Pinchas Sapir; 5: Meir Ya'ari; 6: Haim Moshe Shapira; 7: Menachem Begin; 8: Shmuel Tamir; 9: Uri Avneri; 10: Moshe Sneh; 11: Another candidate; 12: Does not know the names of candidates; 13: Did not yet decide for which party to vote; 14: Does not plan to vote for any party; 15: Unknown; 22: No answer</t>
  </si>
  <si>
    <t>Extent you are sure which party you'll vote for the Knesset</t>
  </si>
  <si>
    <t>1: Very sure; 2: Sure; 3: Not so sure; 4: Not at all sure; 5: I will not vote for the Knesset; 6: No answer</t>
  </si>
  <si>
    <t>1: Member and salaried official; 2: Member and unsalaried official; 3: Member, holds no office; 4: Supporter; 5: Does not especially support any one party; 6: No answer</t>
  </si>
  <si>
    <t>1: Free Center; 2: Mapam; 3: Independent liberals; 4: Labour Party; 5: Herut; 6: An ethnic party; 7: Religious Labour Party; 8: Israeli Communist Party; 9: National Religious Party; 10: Liberals; 11: Agudath Yisrael; 12: Rakach; 13: Haolam Hazeh; 14: Other party; 15: Does not especially support any one party; 16: No answer</t>
  </si>
  <si>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</si>
  <si>
    <t>Identif.with Candidate/Party's stand on-most import.in determining Knesset vote</t>
  </si>
  <si>
    <t>1: One factor is much more important than the others; 2: One factor is somewhat more important than the others; 3: All the factors are equally important; 4: None of the factors are important; 5: No answer</t>
  </si>
  <si>
    <t>0: No answer; 1: Identification with the party; 2: The party's candidate; 3: The party's stand on various issues; 4: The party's position in government/opposition; 5: None of the factors is important; 6: Another factor is important; 8: All the factors are equally important</t>
  </si>
  <si>
    <t>Changing your vote if party changed its position on subject chosen above</t>
  </si>
  <si>
    <t>Voting for party in which your chosen candidate will not receive real.position</t>
  </si>
  <si>
    <t>0: Unknown; 1: Yes, I would still vote for the same party; 2: No, I wouldn't vote for it; 3: I wouldn't vote at all; 4: Did not cite candidate in previous question; 5: Dependent on candidate; 6: No answer</t>
  </si>
  <si>
    <t>Chance that party you'll vote for will be influential/important in next Knesset</t>
  </si>
  <si>
    <t>Will you vote for same party for Knesset and municipality?</t>
  </si>
  <si>
    <t>0: No answer; 1: Free Center; 2: Gahal; 3: Independent Liberals; 4: Alignment: Labour-Mapam; 5: Religious Labour Party; 6: National Religious Party; 7: Agudath Yisrael; 8: Israeli Communist Party; 9: Rakach; 10: Haolam Hazeh; 11: An ethnic party; 12: Local party; 13: Another party; 14: Respondent will vote for same party for Knesset; 15: Respondent hasn't decided which party; 16: Respondent won't vote for municipality</t>
  </si>
  <si>
    <t>0: No answer; 1: Identification with the party; 2: The party's candidate; 3: The party's stand on various issues; 4: The party's position; 5: None of the factors is important; 6: Another factor is important; 7: All the factors are equally important; 8: I don't know</t>
  </si>
  <si>
    <t>0: No answer; 1: Religious Labour Party; 2: Haolam Hazeh; 3: Mapam; 4: Alignment: Labour-Ahdut Haavodah; 5: Independent Liberals; 6: Gahal; 7: National Religious Party; 8: Rakach; 9: Agudath Yisrael; 10: Israeli Communist Party; 11: An ethnic party; 12: Another party; 13: I didn't vote; 14: Rafi</t>
  </si>
  <si>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</si>
  <si>
    <t>0: No answer; 1: Free Center; 2: Gahal; 3: Independent Liberals; 4: Alignment: Labour - Mapam; 5: Religious Labour Party; 6: National Religious Party; 7: Agudath Yisrael; 8: Israeli Communist Party; 9: Rakach; 10: Haolam Hazeh; 11: An ethnic party; 12: Another party; 13: Did not mention another party; 14: Did not decide for which party to vote; 15: Will not vote at all; 17: Doesn't know</t>
  </si>
  <si>
    <t>0: No answer; 1: Free Center; 2: Gahal; 3: Independent Liberals; 4: Alignment: Labour - Mapam; 5: Religious Labour Party; 6: National Religious Party; 7: Agudath Yisrael; 8: Israeli Communist Party; 9: Rakach; 10: Haolam Hazeh; 11: An ethnic party; 12: Another party; 13: Did not mention another party; 14: Did not decide for which party to vote; 15: Will not vote at all; 17: Doesn't know; 18: State List</t>
  </si>
  <si>
    <t>0: No answer; 1: Free Center; 2: Gahal; 3: Independent Liberals; 4: Alignment: Labour - Mapam; 5: Religious Labour Party; 6: National Religious Party; 7: Agudath Yisrael; 8: Israeli Communist Party; 9: Rakach; 10: Haolam Hazeh; 11: An ethnic party; 12: Another party; 13: There is no such party</t>
  </si>
  <si>
    <t>0: No answer; 1: Free Center; 2: Gahal; 3: Independent Liberals; 4: Alignment: Labour - Mapam; 5: Religious Labour Party; 6: National Religious Party; 7: Agudath Yisrael; 8: Israeli Communist Party; 9: Rakach; 10: Haolam Hazeh; 11: An ethnic party; 12: Another party; 13: Did not cite any such party/cited only one</t>
  </si>
  <si>
    <t>1: I vote like them; 2: I don't vote like them; 3: I don't know how they vote; 4: They don't all vote the same; 5: No answer</t>
  </si>
  <si>
    <t>Voting for Knesset as those who are in charge of you do</t>
  </si>
  <si>
    <t>1: The young; 2: The old; 3: No special age groups, or others; 4: No answer</t>
  </si>
  <si>
    <t>1: North Africans + Middle Easterners; 2: Europeans; 3: No special ethnic group, or others; 4: No answer</t>
  </si>
  <si>
    <t>1: Workers; 2: Merchants, agents, businessmen; 3: Men of letters and scientists; 4: No special occupational group, or others; 5: No answer</t>
  </si>
  <si>
    <t>1: The young; 2: The old; 3: No special age group, or others; 4: No answer</t>
  </si>
  <si>
    <t>1: Workers; 2: Merchants, agents, businessmen; 3: Men of letters; 4: No special occupational group, or others; 5: No answer</t>
  </si>
  <si>
    <t>Did you vote for the Histadrut?For which party?</t>
  </si>
  <si>
    <t>0: Not a member. Did not vote; 1: Free Center; 2: Gahal; 3: Independent Liberals; 4: Alignment: Labour-Mapam; 5: Haoved Hadati; 6: Israeli Communist Party; 7: Ha'olam Hazeh Koach Hadash; 8: Rafi; 9: Another Party</t>
  </si>
  <si>
    <t>Influence of electoral campaign on your vote for the Histadrut</t>
  </si>
  <si>
    <t>0: Did not vote for the Histadrut; 1: Strengthened my decision to vote for my party; 2: Did not influence my decision; 3: Influenced me in changing my vote</t>
  </si>
  <si>
    <t>Reason for not voting in the Histadrut elections</t>
  </si>
  <si>
    <t>0: I am not a member of the Histadrut; 1: It is not important; 2: I didn't know which party to vote for; 3: No party suits mt ideals; 4: Because of the heat; 5: Other reason (Illness, family reasons, army service etc.); 6: Refused to answer; 7: I voted in the Histadrut elections</t>
  </si>
  <si>
    <t>Influence of electoral campaign on your voting decision for Knesset</t>
  </si>
  <si>
    <t>1: Strengthened my decision to vote for the party I chose; 2: Did not influence my decision; 3: Influenced my decision in changing my vote; 4: No answer</t>
  </si>
  <si>
    <t>c1</t>
  </si>
  <si>
    <t>Elections not actually affect policy</t>
  </si>
  <si>
    <t>1: Absolutely agree with this opinion; 2: Agree; 3: Have reservations; 4: Absolutely disagree; 5: No answer</t>
  </si>
  <si>
    <t>Few strong leaders more useful for State than debates/laws</t>
  </si>
  <si>
    <t>1: Absolutely agree; 2: Agree to some extent; 3: Have reservations; 4: Absolutely disagree; 5: No answer</t>
  </si>
  <si>
    <t>Better not vote than vote but not think results are important</t>
  </si>
  <si>
    <t>The first of two groups of professions you most admire</t>
  </si>
  <si>
    <t>0: Professionals (lawyers,doctors,engineers, tc.); 1: Communications experts - radio,journalism,TV; 2: Politicians and government officials; 3: Intellectuals and well-known artists; 4: Labour unions leaders; 5: Army commanders; 6: Professors and Lecturers; 7: High School teachers; 8: Businessmen; 9: Youth leaders</t>
  </si>
  <si>
    <t>The second of two groups of professions you most admire</t>
  </si>
  <si>
    <t>0: Professionals (lawyers,doctors,engineers,etc.); 1: Communications experts - radio,journalism,TV; 2: Politicians and government officials; 3: Intellectuals and well-known artists; 4: Labour unions leaders; 5: Army commanders; 6: Professors and Lecturers; 7: High School teachers; 8: Businessmen; 9: Youth leaders</t>
  </si>
  <si>
    <t>The group which greatly influences public opinion</t>
  </si>
  <si>
    <t>The next group which influences public opinion</t>
  </si>
  <si>
    <t>The group which greatly influences government policy</t>
  </si>
  <si>
    <t>The next group which influences government policy</t>
  </si>
  <si>
    <t>Group greatly influences the mood on social/polit.matters</t>
  </si>
  <si>
    <t>0: Professionals (lawyers, doctors,engineers,etc.); 1: Communications experts - radio,journalism,TV; 2: Politicians and government officials; 3: Intellectuals and well-known artists; 4: Labour unions leaders; 5: Army commanders; 6: Professors and Lecturers; 7: High School teachers; 8: Businessmen; 9: Youth leaders</t>
  </si>
  <si>
    <t>Group which influences the mood on social/polit.matters</t>
  </si>
  <si>
    <t>TWO NON-FAMILY MEMBERS WHO GREATLY INFLUENCE YOU ON IMPORTANT SOCIAL AND POLITICAL SUBJECTS</t>
  </si>
  <si>
    <t>Country of birth of first influential person</t>
  </si>
  <si>
    <t>0: There is no such person, no answer; 1: Israel; 2: Central and Eastern Europe; 3: Southern Europe; 4: Western Europe; 5: English-speaking countries; 6: North-African countries; 7: Near and Middle Eastern countries; 8: Far Eastern countries; 9: South America</t>
  </si>
  <si>
    <t>Profession of first influential person</t>
  </si>
  <si>
    <t>0: There is no such person, no answer; 1: Professionals, scientists,technicians and similar; 2: Administrators and clerks; 3: Businessmen, agents and salesmen; 4: Farmers, fishermen and similar; 5: Transportation and communication employees; 6: Builders, stonecutters, miners; 7: Artisans and similar; 8: Service,sports,entertainment employees; 9: Unemployed</t>
  </si>
  <si>
    <t>Age of first influential person</t>
  </si>
  <si>
    <t>0: 18-20, no such person; 1: 21-24; 2: 25-29; 3: 30-34; 4: 35-39; 5: 40-44; 6: 45-49; 7: 50-54; 8: 55-64; 9: 65+</t>
  </si>
  <si>
    <t>Country of birth of second influential person</t>
  </si>
  <si>
    <t>0: There is no such person,no answer; 1: Israel; 2: Central and Eastern Europe; 3: Southern Europe; 4: Western Europe; 5: English-speaking countries; 6: North-African countries; 7: Near and Middle Eastern countries; 8: Far Eastern countries; 9: South America</t>
  </si>
  <si>
    <t>Profession of second influential person</t>
  </si>
  <si>
    <t>0: There is no such person,no answer; 1: Professionals,scientists,technicians,similar; 2: Administrators and clerks; 3: Businessmen, agents and salesmen; 4: Farmers, fishermen and similar; 5: Transportation and communication employees; 6: Builders, stonecutters,miners; 7: Artisans and similar; 8: Service, sports and entertainment employees; 9: Unemployed</t>
  </si>
  <si>
    <t>Age of second influential person</t>
  </si>
  <si>
    <t>0: 18-20,no such person; 1: 21-24; 2: 25-29; 3: 30-34; 4: 35-39; 5: 40-44; 6: 45-49; 7: 50-54; 8: 55-64; 9: 65+</t>
  </si>
  <si>
    <t>How often do you go to the synagogue?</t>
  </si>
  <si>
    <t>1: Every day; 2: Almost every Sabbath and feast; 3: Several times a year; 4: Only Yom Kippur (Day of Atonement); 5: Never; 6: Refused to answer</t>
  </si>
  <si>
    <t>1: Yes,absolutely,I try to observe it in detail; 2: To a great extent, I observe most religious ritual; 3: I observe a little of the tradition; 4: I don't observe at all, absolutely liberal; 5: No answer</t>
  </si>
  <si>
    <t>Should gov.ensure that pub.life conduct.accord.to Jewish rel.tradition?</t>
  </si>
  <si>
    <t>0: No answer; 1: Absolutely, the government should see to it; 2: Perhaps the government should see to it; 3: Perhaps the government should not see to it; 4: The government should absolutely not see to it; 5: No opinion</t>
  </si>
  <si>
    <t>Socialist/capitalist approach country's econo.structure</t>
  </si>
  <si>
    <t>0: No answer; 1: Absolutely capitalist; 2: More capitalist than socialist; 3: More socialist than capitalist; 4: Absolutely socialist</t>
  </si>
  <si>
    <t>Limiting Histadrut's areas of activity concer.country's econ.problems</t>
  </si>
  <si>
    <t>0: Doesn't know, no answer; 1: Histadrut should be limited to very specific areas; 2: Histadrut's activities should not extend unsuit.areas; 3: THistadrut shouldn't be limited in particular; 4: Histadrut should be encouraged to extend activities</t>
  </si>
  <si>
    <t>Extent of support aggressive Israeli policy towards Arab states</t>
  </si>
  <si>
    <t>0: No answer; 1: To a great extent; 2: To a certain extent; 3: Doesn't support; 4: Absolutely doesn't support</t>
  </si>
  <si>
    <t>Considered steps be taken to urge peace with Arab countries?</t>
  </si>
  <si>
    <t>0: No answer; 1: Yes, many times; 2: Yes, several times; 3: Almost not; 4: Never</t>
  </si>
  <si>
    <t>Extent clear what relationship with Arab minority should be?</t>
  </si>
  <si>
    <t>0: No answer; 1: Not at all clear; 2: Not so clear; 3: Clear; 4: Very clear</t>
  </si>
  <si>
    <t>1: Left; 2: Moderate left; 3: Center; 4: Right; 5: Religious; 6: I don't identify with any trend; 7: Other; 8: No answer</t>
  </si>
  <si>
    <t>1: Upper middle; 2: Middle; 3: Lower; 4: Upper; 5: Worker; 6: Other; 7: Not categorize himself; 8: No answer</t>
  </si>
  <si>
    <t>d1</t>
  </si>
  <si>
    <t>0: Irrelevant; 1: Native of Asia/North Africa; 2: Native of Europe/Anglo-Saxon countries; 3: Native Israeli-father born in Asia/N.Africa; 4: Native Israeli-father born in Europe/Anglo-Saxon countries; 5: Native Israeli-father also Israeli native</t>
  </si>
  <si>
    <t>0: No answer; 1: 18-24; 2: 25-29; 3: 30-34; 4: 35-39; 5: 40-44; 6: 45-49; 7: 50-54; 8: 55-64; 9: 65+</t>
  </si>
  <si>
    <t>0: No answer; 1: Single; 2: Married,without children; 3: Married,with children; 4: Widowed,divorced,without children; 5: Widowed,divorced,with children</t>
  </si>
  <si>
    <t>0: No answer; 1: Native; 2: before 1930; 3: 1931-1940; 4: 1941-1947; 5: 1948-1954; 6: 1955-1959; 7: 1960-1965; 8: 1966+</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</si>
  <si>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</si>
  <si>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Unmarried</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</si>
  <si>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</si>
  <si>
    <t>0: No answer; 1: Hebrew; 2: Yiddish; 3: Arabic,Turkish,other Asian languages; 4: Eatsern European languages; 5: Central or Western European languages; 6: Latin or Balkan languages; 7: Other language</t>
  </si>
  <si>
    <t>0: No answer; 1: Professional,scientists,technicians,similar; 2: Administrators, clerks; 3: Businessmen,agents and salesmen; 4: Farmers, fishermen and similar; 5: Transport and communication employees; 6: Builders, stonecutters, miners; 7: Artisans and similar; 8: Service, sports and entertainment employees; 9: Unemployed</t>
  </si>
  <si>
    <t>0: No answer; 1: Up to and including 1.00; 2: 1.00-1.99; 3: 2.00-2.99; 4: 3.00-3.99; 5: 4.00 and more</t>
  </si>
  <si>
    <t>0: No answer; 1: Jerusalem; 2: Tel Aviv-Jaffa; 3: Givataim,Ramat Gan,Bnei Brak,Bat-Yam,Holon; 4: Haifa; 5: Be'er Sheva</t>
  </si>
  <si>
    <t>Week of interview</t>
  </si>
  <si>
    <t>0: No answer; 1: 1-5 September; 2: 7-12 September; 3: 15-19 September; 4: 23-26 September; 5: 28 September-3 October; 6: Another period</t>
  </si>
  <si>
    <t>0: No answer; 1: Sunday; 2: Monday; 3: Tuesday; 4: Wednesday; 5: Thursday; 6: Friday; 7: Saturday</t>
  </si>
  <si>
    <t>Number of visits for interview</t>
  </si>
  <si>
    <t>0: No answer; 1: One visit; 2: Two visits; 3: Three visits; 4: Four visits or more</t>
  </si>
  <si>
    <t>Other persons present during interview</t>
  </si>
  <si>
    <t>0: No answer; 1: No; 2: Yes</t>
  </si>
  <si>
    <t>Length of interview</t>
  </si>
  <si>
    <t>0: No answer; 1: Less than 20 minutes; 2: 21-30 minutes; 3: 31-40 minutes; 4: 41-50 minutes; 5: 51-60 minutes; 6: 1 hour-1 hour and 15 minutes; 7: 1 hour and 15 minutes-1 hour and a half; 8: 1 hour and a half-1 hour and 45 minutes; 9: More than 1 hour and 45 minutes</t>
  </si>
  <si>
    <t>Sheet Name</t>
  </si>
  <si>
    <t>Cell Address</t>
  </si>
  <si>
    <t>Comment</t>
  </si>
  <si>
    <t>finalType</t>
  </si>
  <si>
    <t>Content Only</t>
  </si>
  <si>
    <t>דמוגרפיה</t>
  </si>
  <si>
    <t>$L$3</t>
  </si>
  <si>
    <t>יניב שפירא:
1 = ינואר
2 = פברואר</t>
  </si>
  <si>
    <t>scale</t>
  </si>
  <si>
    <t>1 = ינואר
2 = פברואר</t>
  </si>
  <si>
    <t>$A$5</t>
  </si>
  <si>
    <t>יניב שפירא:
שאלה 145
אין קידוד בstata
גם ב2020 וגם ב2019
גם ב2021</t>
  </si>
  <si>
    <t>שאלה 145
אין קידוד בstata
גם ב2020 וגם ב2019
גם ב2021</t>
  </si>
  <si>
    <t>$D$6</t>
  </si>
  <si>
    <t>יניב שפירא:
1 = יהודי
2 = ערבי</t>
  </si>
  <si>
    <t>1 = יהודי
2 = ערבי</t>
  </si>
  <si>
    <t>$F$8</t>
  </si>
  <si>
    <t>יניב שפירא:
1 = גרסה A
2 = גרסה B</t>
  </si>
  <si>
    <t>1 = גרסה A
2 = גרסה B</t>
  </si>
  <si>
    <t>$I$8</t>
  </si>
  <si>
    <t>יניב שפירא:
a , b, c</t>
  </si>
  <si>
    <t>a , b, c</t>
  </si>
  <si>
    <t>$L$9</t>
  </si>
  <si>
    <t>יניב שפירא:
1 = עברית
2 = ערבית
3 = רוסית</t>
  </si>
  <si>
    <t>1 = עברית
2 = ערבית
3 = רוסית</t>
  </si>
  <si>
    <t>$W$10</t>
  </si>
  <si>
    <t>יניב שפירא:
1 = 20-25
2 = 25-29
3 = 30-34
4 = 35-39
5 = 40-44
6 = 45-49
7 = 50-54
8 = 55-64
9 = 65+</t>
  </si>
  <si>
    <t>1 = 20-25
2 = 25-29
3 = 30-34
4 = 35-39
5 = 40-44
6 = 45-49
7 = 50-54
8 = 55-64
9 = 65+</t>
  </si>
  <si>
    <t>$AB$10</t>
  </si>
  <si>
    <t>יניב שפירא:
1 = 20-24
2 = 25-29
3 = 30-34
4 = 35-39
5 = 40-44
6 = 45-49
7 = 50-54
8 = 55-64
9 = 65+</t>
  </si>
  <si>
    <t>1 = 20-24
2 = 25-29
3 = 30-34
4 = 35-39
5 = 40-44
6 = 45-49
7 = 50-54
8 = 55-64
9 = 65+</t>
  </si>
  <si>
    <t>$AH$10</t>
  </si>
  <si>
    <t>יניב שפירא:
1 = 18-24
2 = 25-29
3 = 30-34
4 = 35-39
5 = 40-44
6 = 45-49
7 = 50-54
8 = 55-64
9 = 65+</t>
  </si>
  <si>
    <t>1 = 18-24
2 = 25-29
3 = 30-34
4 = 35-39
5 = 40-44
6 = 45-49
7 = 50-54
8 = 55-64
9 = 65+</t>
  </si>
  <si>
    <t>$D$12</t>
  </si>
  <si>
    <t>יניב שפירא:
1 = 18-22
2 = 23-29
3 = 30-39
4 = 40-49
5 = 50-59
6 = 60-69
7 = 70-79
8 = 80 ומעלה</t>
  </si>
  <si>
    <t>1 = 18-22
2 = 23-29
3 = 30-39
4 = 40-49
5 = 50-59
6 = 60-69
7 = 70-79
8 = 80 ומעלה</t>
  </si>
  <si>
    <t>$D$13</t>
  </si>
  <si>
    <t>יניב שפירא:
1 = male
2 = female</t>
  </si>
  <si>
    <t>1 = male
2 = female</t>
  </si>
  <si>
    <t>$M$13</t>
  </si>
  <si>
    <t>יניב שפירא:
1 = אישה
2 = גבר</t>
  </si>
  <si>
    <t>1 = אישה
2 = גבר</t>
  </si>
  <si>
    <t>$N$13</t>
  </si>
  <si>
    <t>יניב שפירא:
1 = זכר
2 = נקבה</t>
  </si>
  <si>
    <t>1 = זכר
2 = נקבה</t>
  </si>
  <si>
    <t>$O$13</t>
  </si>
  <si>
    <t>$T$13</t>
  </si>
  <si>
    <t>יניב שפירא:
1 = גבר
2 = אישה</t>
  </si>
  <si>
    <t>1 = גבר
2 = אישה</t>
  </si>
  <si>
    <t>$D$14</t>
  </si>
  <si>
    <t>יניב שפירא:
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</si>
  <si>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</si>
  <si>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$S$15</t>
  </si>
  <si>
    <t>יניב שפירא:
1 = לא למד בכלל
2 = עד 4 שנים
3 = 5-8
4 = 9-10
5 = 11
6 = 12
7 = 13 + (בלי תואר)
8 = בעל תואר</t>
  </si>
  <si>
    <t>1 = לא למד בכלל
2 = עד 4 שנים
3 = 5-8
4 = 9-10
5 = 11
6 = 12
7 = 13 + (בלי תואר)
8 = בעל תואר</t>
  </si>
  <si>
    <t>$D$16</t>
  </si>
  <si>
    <t>יניב שפירא:
1 = yes
2 = no</t>
  </si>
  <si>
    <t>1 = yes
2 = no</t>
  </si>
  <si>
    <t>$A$17</t>
  </si>
  <si>
    <t>יניב שפירא:
שאלה פתוחה</t>
  </si>
  <si>
    <t>open</t>
  </si>
  <si>
    <t>שאלה פתוחה</t>
  </si>
  <si>
    <t>$I$17</t>
  </si>
  <si>
    <t>יניב שפירא:
קידוד לתשובות תחת
nv176</t>
  </si>
  <si>
    <t>קידוד לתשובות תחת
nv176</t>
  </si>
  <si>
    <t>$AF$17</t>
  </si>
  <si>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</si>
  <si>
    <t>1 = צבר
2 = אירופה התיכונית והמזרחית
3 = אירופה הדרומית
4 = אירופה המערבית
5 = ארצות דוברות אנגלית
6 = צפון אפריקה
7 = המזרח התיכון
8 = המזרח הרחוק
9 = דרום אמריקה</t>
  </si>
  <si>
    <t>$A$18</t>
  </si>
  <si>
    <t>יניב שפירא:
יהודים בלבד</t>
  </si>
  <si>
    <t>sector</t>
  </si>
  <si>
    <t>יהודים בלבד</t>
  </si>
  <si>
    <t>$D$18</t>
  </si>
  <si>
    <t>יניב שפירא: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</si>
  <si>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</si>
  <si>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$F$18</t>
  </si>
  <si>
    <t>יניב שפירא:
1 = ישראל
2 = אסיה או אפריקה
3 = אירופה או אמריקה
4 = בהר"מ/חבר העמים</t>
  </si>
  <si>
    <t>1 = ישראל
2 = אסיה או אפריקה
3 = אירופה או אמריקה
4 = בהר"מ/חבר העמים</t>
  </si>
  <si>
    <t>$L$18</t>
  </si>
  <si>
    <t>יניב שפירא: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</si>
  <si>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</si>
  <si>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$T$18</t>
  </si>
  <si>
    <t>יניב שפירא:
1 = ישראל-ישראל
2 = ישראל- אסיה/אפריקה
3 = ישראל- אירופה/אמריקה
4 = אסיה/אפריקה-אסיה/אפריקה
5 = אירופה/אמריקה- אירופה/אמריקה
6 = כל צירוף אחר</t>
  </si>
  <si>
    <t>1 = ישראל-ישראל
2 = ישראל- אסיה/אפריקה
3 = ישראל- אירופה/אמריקה
4 = אסיה/אפריקה-אסיה/אפריקה
5 = אירופה/אמריקה- אירופה/אמריקה
6 = כל צירוף אחר</t>
  </si>
  <si>
    <t>$AF$18</t>
  </si>
  <si>
    <t>יניב שפירא:
1 = אסיה וצפון אפריקה
2 = אירופה ואנגלו-סכסיות
3 = ישראל והאב מאסיה צפון אפריקה
4 = ישראל והאב אירופה או האנגלו-סכסיות
5 = ישראל וגם האב ישראל</t>
  </si>
  <si>
    <t>1 = אסיה וצפון אפריקה
2 = אירופה ואנגלו-סכסיות
3 = ישראל והאב מאסיה צפון אפריקה
4 = ישראל והאב אירופה או האנגלו-סכסיות
5 = ישראל וגם האב ישראל</t>
  </si>
  <si>
    <t>$A$19</t>
  </si>
  <si>
    <t>$Q$19</t>
  </si>
  <si>
    <t>יניב שפירא:
1 = יליד הארץ
2 = לפני 1948
3 = 1948-1954
4 = 1955-1960
5 = 61-66
6 = 67-72
7 = 73-77
8 = 78-83
9 = 1984 ומעלה</t>
  </si>
  <si>
    <t>1 = יליד הארץ
2 = לפני 1948
3 = 1948-1954
4 = 1955-1960
5 = 61-66
6 = 67-72
7 = 73-77
8 = 78-83
9 = 1984 ומעלה</t>
  </si>
  <si>
    <t>$T$19</t>
  </si>
  <si>
    <t>יניב שפירא:
1 = יליד הארץ
2 = לפני 1948
3 = 1948-1954
4 = 1955-1960
5 = 61-66
6 = 67-72
7 = 73-77
8 = 78-79
9 = 1980 ואלך</t>
  </si>
  <si>
    <t>1 = יליד הארץ
2 = לפני 1948
3 = 1948-1954
4 = 1955-1960
5 = 61-66
6 = 67-72
7 = 73-77
8 = 78-79
9 = 1980 ואלך</t>
  </si>
  <si>
    <t>$A$20</t>
  </si>
  <si>
    <t>$B$20</t>
  </si>
  <si>
    <t>adi:
1 = אשכנזי
2 = ספרדי
3 = מזרחי
4 = אחר (פרט):_____</t>
  </si>
  <si>
    <t>1 = אשכנזי
2 = ספרדי
3 = מזרחי
4 = אחר (פרט):_____</t>
  </si>
  <si>
    <t>$D$20</t>
  </si>
  <si>
    <t>יניב שפירא:
1 = אשכנזי
2 = ספרדי
3 = מזרחי
4 = אחר
5 = מעורב
6 = לא זה ולא זה, לא מגדיר את עצמי לפי מוצא עדתי</t>
  </si>
  <si>
    <t>1 = אשכנזי
2 = ספרדי
3 = מזרחי
4 = אחר
5 = מעורב
6 = לא זה ולא זה, לא מגדיר את עצמי לפי מוצא עדתי</t>
  </si>
  <si>
    <t>$N$20</t>
  </si>
  <si>
    <t>יניב שפירא:
1 = אשכנזי
2 = ספרדי
3 = לא זה ולא זה</t>
  </si>
  <si>
    <t>1 = אשכנזי
2 = ספרדי
3 = לא זה ולא זה</t>
  </si>
  <si>
    <t>$O$20</t>
  </si>
  <si>
    <t>יניב שפירא:
1 = אשכנזי
2 = ספרדי
3 = לא זה ולא זה
4 = שניהם</t>
  </si>
  <si>
    <t>1 = אשכנזי
2 = ספרדי
3 = לא זה ולא זה
4 = שניהם</t>
  </si>
  <si>
    <t>$P$20</t>
  </si>
  <si>
    <t>$Q$20</t>
  </si>
  <si>
    <t>$S$20</t>
  </si>
  <si>
    <t>$L$21</t>
  </si>
  <si>
    <t>יניב שפירא:
1 = כן
2 = לא</t>
  </si>
  <si>
    <t>1 = כן
2 = לא</t>
  </si>
  <si>
    <t>$B$22</t>
  </si>
  <si>
    <t>adi:
1 = ישראלי
2 = יהודי (לערבים: פלסטיני)
3 = העדה שלי (לערבים: הדת שלי)
4 = החילוניות/דתיות שלי</t>
  </si>
  <si>
    <t>1 = ישראלי
2 = יהודי (לערבים: פלסטיני)
3 = העדה שלי (לערבים: הדת שלי)
4 = החילוניות/דתיות שלי</t>
  </si>
  <si>
    <t>$I$22</t>
  </si>
  <si>
    <t>יניב שפירא:
רק יהודים
1 = ישראלי
2 = יהודי
3 = העדה שלי
4 = החילוניות/דתיות שלי</t>
  </si>
  <si>
    <t>רק יהודים
1 = ישראלי
2 = יהודי
3 = העדה שלי
4 = החילוניות/דתיות שלי</t>
  </si>
  <si>
    <t>$L$22</t>
  </si>
  <si>
    <t>יניב שפירא:
1 = ישראלי (ערבי)
2 = פלסטיני
3 = ערבי
4 = הדת שלי (מוסלמי/נוצרי/דרוזי)
5 = ישראלי (יהודי)
6 = יהודי
7 = העדה שלי
8 = החילוניות/דתיות שלי</t>
  </si>
  <si>
    <t>1 = ישראלי (ערבי)
2 = פלסטיני
3 = ערבי
4 = הדת שלי (מוסלמי/נוצרי/דרוזי)
5 = ישראלי (יהודי)
6 = יהודי
7 = העדה שלי
8 = החילוניות/דתיות שלי</t>
  </si>
  <si>
    <t>$M$22</t>
  </si>
  <si>
    <t>יניב שפירא:
1 = ישראלי
2 = יהודי
3 = העדה שלי
4 = חילוניות/דתיות שלי</t>
  </si>
  <si>
    <t>1 = ישראלי
2 = יהודי
3 = העדה שלי
4 = חילוניות/דתיות שלי</t>
  </si>
  <si>
    <t>$A$26</t>
  </si>
  <si>
    <t>$D$26</t>
  </si>
  <si>
    <t>יניב שפירא:
1 = לא למד
2 = למד במסגרת דתית</t>
  </si>
  <si>
    <t>1 = לא למד
2 = למד במסגרת דתית</t>
  </si>
  <si>
    <t>$A$27</t>
  </si>
  <si>
    <t xml:space="preserve">יניב שפירא:
ב2022 הוצאה עמדה על 16,000 ₪ 
ב2019 הוצאה עמדה על 15,000 ₪ 
ב2015 ההוצאה עמדה על 14,000 ₪ </t>
  </si>
  <si>
    <t xml:space="preserve">ב2022 הוצאה עמדה על 16,000 ₪ 
ב2019 הוצאה עמדה על 15,000 ₪ 
ב2015 ההוצאה עמדה על 14,000 ₪ </t>
  </si>
  <si>
    <t>$D$27</t>
  </si>
  <si>
    <t>יניב שפירא:
1 = הרבה מתחת לממוצע
2 = מעט מתחת לממוצע
3 = כמו הממוצע
4 = מעט מעל הממוצע
5 = הרבה מעל הממוצע</t>
  </si>
  <si>
    <t>1 = הרבה מתחת לממוצע
2 = מעט מתחת לממוצע
3 = כמו הממוצע
4 = מעט מעל הממוצע
5 = הרבה מעל הממוצע</t>
  </si>
  <si>
    <t>$I$27</t>
  </si>
  <si>
    <t>יניב שפירא:
1 = הרבה מעל הממוצע
2 = מעט מעל הממוצע
3 = כמו הממוצע
4 = מעט מתחת לממוצע
5 = הרבה מתחת לממוצע</t>
  </si>
  <si>
    <t>1 = הרבה מעל הממוצע
2 = מעט מעל הממוצע
3 = כמו הממוצע
4 = מעט מתחת לממוצע
5 = הרבה מתחת לממוצע</t>
  </si>
  <si>
    <t>$S$27</t>
  </si>
  <si>
    <t>$T$28</t>
  </si>
  <si>
    <t>יניב שפירא:
1 = עד 1,000
2 = 1,001-1,500
3 = 1,501-2,000
4 = 2,001-2,500
5 = 2,501-3,000
6 = 3,001-4,000
7 = 4,001-5,000
8 = 5,001-6,000
9 = 6,001-7,000
10 = 7,001 +</t>
  </si>
  <si>
    <t>1 = עד 1,000
2 = 1,001-1,500
3 = 1,501-2,000
4 = 2,001-2,500
5 = 2,501-3,000
6 = 3,001-4,000
7 = 4,001-5,000
8 = 5,001-6,000
9 = 6,001-7,000
10 = 7,001 +</t>
  </si>
  <si>
    <t>$T$29</t>
  </si>
  <si>
    <t>יניב שפירא:
1 = חדר אחד
2 = שני חדרים
3 = שלושה חדרים
4 = ארבעה חדרים
5 = חמישה חדרים
6 = שישה חדרים
7 = שבעה חדרים
8 = שמונה חדרים
9 = תשעה חדשים ויותר</t>
  </si>
  <si>
    <t>1 = חדר אחד
2 = שני חדרים
3 = שלושה חדרים
4 = ארבעה חדרים
5 = חמישה חדרים
6 = שישה חדרים
7 = שבעה חדרים
8 = שמונה חדרים
9 = תשעה חדשים ויותר</t>
  </si>
  <si>
    <t>$T$30</t>
  </si>
  <si>
    <t>יניב שפירא:
1 = 1
2 = 2
3 = 3
4 = 4
5 = 5
6 = 6
7 = 7
8 = 8
9 = 9+</t>
  </si>
  <si>
    <t>1 = 1
2 = 2
3 = 3
4 = 4
5 = 5
6 = 6
7 = 7
8 = 8
9 = 9+</t>
  </si>
  <si>
    <t>$AF$30</t>
  </si>
  <si>
    <t>יניב שפירא:
מס' הילדים שגרים בבית</t>
  </si>
  <si>
    <t>rephrase</t>
  </si>
  <si>
    <t>מס' הילדים שגרים בבית</t>
  </si>
  <si>
    <t>$S$31</t>
  </si>
  <si>
    <t>יניב שפירא:
צפיפות
מדד אחד לחדרים\נפשות</t>
  </si>
  <si>
    <t>צפיפות
מדד אחד לחדרים\נפשות</t>
  </si>
  <si>
    <t>$AF$31</t>
  </si>
  <si>
    <t>יניב שפירא:
1 = עד ולא כולל 1
2 = 1-1.99
2 = 2-2.99
3 = 3-3.99
4 = 4+</t>
  </si>
  <si>
    <t>1 = עד ולא כולל 1
2 = 1-1.99
2 = 2-2.99
3 = 3-3.99
4 = 4+</t>
  </si>
  <si>
    <t>$D$32</t>
  </si>
  <si>
    <t>יניב שפירא:
1 = יהודי
2 = מוסלמי
3 = נוצרי
4 = דרוזי
5 = אחר</t>
  </si>
  <si>
    <t>1 = יהודי
2 = מוסלמי
3 = נוצרי
4 = דרוזי
5 = אחר</t>
  </si>
  <si>
    <t>$K$32</t>
  </si>
  <si>
    <t>יניב שפירא:
לא ליהודים
1 = מוסלמי
2 = נוצרי
3 = דרוזי</t>
  </si>
  <si>
    <t>לא ליהודים
1 = מוסלמי
2 = נוצרי
3 = דרוזי</t>
  </si>
  <si>
    <t>$L$32</t>
  </si>
  <si>
    <t>יניב שפירא:
5 = מוסלמי
6 = נוצרי
7 = דרוזי</t>
  </si>
  <si>
    <t>5 = מוסלמי
6 = נוצרי
7 = דרוזי</t>
  </si>
  <si>
    <t>$D$33</t>
  </si>
  <si>
    <t>יניב שפירא:
1 = דתי מאד, חרדי
2 = דתי
3 = מסורתי דתי
4 = מסורתי לא כ"כ דתי
5 = לא דתי, חילוני</t>
  </si>
  <si>
    <t>1 = דתי מאד, חרדי
2 = דתי
3 = מסורתי דתי
4 = מסורתי לא כ"כ דתי
5 = לא דתי, חילוני</t>
  </si>
  <si>
    <t>$H$33</t>
  </si>
  <si>
    <t>יניב שפירא:
1 = חילוני
2 = מסורתי
3 = דתי
4 = חרדי</t>
  </si>
  <si>
    <t>1 = חילוני
2 = מסורתי
3 = דתי
4 = חרדי</t>
  </si>
  <si>
    <t>$F$34</t>
  </si>
  <si>
    <t>יניב שפירא:
1 = נשוי
2 = חי עם בן\בת זוג קבוע\ה
3 = גרוש
4 = פרוד 
5 = אלמן
6 = רווק, מעולם לא נישא</t>
  </si>
  <si>
    <t>1 = נשוי
2 = חי עם בן\בת זוג קבוע\ה
3 = גרוש
4 = פרוד 
5 = אלמן
6 = רווק, מעולם לא נישא</t>
  </si>
  <si>
    <t>$O$34</t>
  </si>
  <si>
    <t>יניב שפירא:
1 = רווק
2 = נשוי
3 = גרוש
4 = אלמן</t>
  </si>
  <si>
    <t>1 = רווק
2 = נשוי
3 = גרוש
4 = אלמן</t>
  </si>
  <si>
    <t>$T$34</t>
  </si>
  <si>
    <t>יניב שפירא:
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</si>
  <si>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</si>
  <si>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$AD$34</t>
  </si>
  <si>
    <t>יניב שפירא:
1 = רווק
2 = אלמן/גרוש ללא
3 = נשוי ללא
4 = אלמן/גרוש + 1/2
5 = אלמן/גרוש + 3
6 = אלמן/גרוש + 4
7 = נשוי + 1/2
8 = נשוי + 3
9 = נשוי + 4</t>
  </si>
  <si>
    <t>1 = רווק
2 = אלמן/גרוש ללא
3 = נשוי ללא
4 = אלמן/גרוש + 1/2
5 = אלמן/גרוש + 3
6 = אלמן/גרוש + 4
7 = נשוי + 1/2
8 = נשוי + 3
9 = נשוי + 4</t>
  </si>
  <si>
    <t>$AF$34</t>
  </si>
  <si>
    <t>יניב שפירא:
1 = רווק/אלמן/גרוש
2 = נשוי</t>
  </si>
  <si>
    <t>1 = רווק/אלמן/גרוש
2 = נשוי</t>
  </si>
  <si>
    <t>$AH$34</t>
  </si>
  <si>
    <t>יניב שפירא:
1 = רווק
2 = נשוי בלי ילדים
3 = נשוי עם ילדים
4 = אלמן/גרוש בלי ילדים
5 = אלמן/גרוש עם ילדים</t>
  </si>
  <si>
    <t>1 = רווק
2 = נשוי בלי ילדים
3 = נשוי עם ילדים
4 = אלמן/גרוש בלי ילדים
5 = אלמן/גרוש עם ילדים</t>
  </si>
  <si>
    <t>$F$35</t>
  </si>
  <si>
    <t>יניב שפירא:
1 = אתה כלל לא שומר על המסורת
2 = אתה שומר במקצת על המסורת
3 = אתה שומר במידה רבה על המסורת
4 = אתה שומר על המסורת על כל דקדוקיה</t>
  </si>
  <si>
    <t>1 = אתה כלל לא שומר על המסורת
2 = אתה שומר במקצת על המסורת
3 = אתה שומר במידה רבה על המסורת
4 = אתה שומר על המסורת על כל דקדוקיה</t>
  </si>
  <si>
    <t>$M$35</t>
  </si>
  <si>
    <t>יניב שפירא:
1 = שומר על המסורת על כל דקדוקיה
2 = שומר במידה רבה
3 = שומר במקצת
4 = לא שומר כלל</t>
  </si>
  <si>
    <t>1 = שומר על המסורת על כל דקדוקיה
2 = שומר במידה רבה
3 = שומר במקצת
4 = לא שומר כלל</t>
  </si>
  <si>
    <t>$T$36</t>
  </si>
  <si>
    <t>$T$37</t>
  </si>
  <si>
    <t>יניב שפירא:
1 = כן 
2 = לא</t>
  </si>
  <si>
    <t>1 = כן 
2 = לא</t>
  </si>
  <si>
    <t>$T$38</t>
  </si>
  <si>
    <t>יניב שפירא:
1 = כל יום
2 = כמעט כל שבת וחג
3 = פעמים אחדות בשנה
4 = רק ביום כיפור
5 = אף פעם</t>
  </si>
  <si>
    <t>1 = כל יום
2 = כמעט כל שבת וחג
3 = פעמים אחדות בשנה
4 = רק ביום כיפור
5 = אף פעם</t>
  </si>
  <si>
    <t>$F$39</t>
  </si>
  <si>
    <t>יניב שפירא:
1 = ישראל
2 = אסיה או אפריקה
3 = אירופה או אמריקה
4 = ברה"מ/חבר העמים</t>
  </si>
  <si>
    <t>1 = ישראל
2 = אסיה או אפריקה
3 = אירופה או אמריקה
4 = ברה"מ/חבר העמים</t>
  </si>
  <si>
    <t>$I$39</t>
  </si>
  <si>
    <t>יניב שפירא:
שאלה פתוחה
קידוד תחת
nv179</t>
  </si>
  <si>
    <t>שאלה פתוחה
קידוד תחת
nv179</t>
  </si>
  <si>
    <t>$J$39</t>
  </si>
  <si>
    <t>יניב שפירא:
שאלה פתוחה
לא לערבים</t>
  </si>
  <si>
    <t>שאלה פתוחה
לא לערבים</t>
  </si>
  <si>
    <t>$AF$39</t>
  </si>
  <si>
    <t>$I$40</t>
  </si>
  <si>
    <t xml:space="preserve">יניב שפירא:
שאלה פתוחה
קידוד תחת
 nv180
</t>
  </si>
  <si>
    <t xml:space="preserve">שאלה פתוחה
קידוד תחת
 nv180
</t>
  </si>
  <si>
    <t>$J$40</t>
  </si>
  <si>
    <t>$AF$40</t>
  </si>
  <si>
    <t>$M$41</t>
  </si>
  <si>
    <t>$G$42</t>
  </si>
  <si>
    <t>יניב שפירא:
1 = שכיר
2 = עצמאי
3 = פנסיונר
4 = עקרת בית
5 = חייל/תלמיד/סטודנט
6 = מחפש עבודה
7 = אחר</t>
  </si>
  <si>
    <t>1 = שכיר
2 = עצמאי
3 = פנסיונר
4 = עקרת בית
5 = חייל/תלמיד/סטודנט
6 = מחפש עבודה
7 = אחר</t>
  </si>
  <si>
    <t>$M$42</t>
  </si>
  <si>
    <t>יניב שפירא:
1 = שכיר פועל
2 = שכיר פקיד
3 = שכיר מנהל
4 = עצמאי קטן
5 = עצמאי בעל חברה</t>
  </si>
  <si>
    <t>1 = שכיר פועל
2 = שכיר פקיד
3 = שכיר מנהל
4 = עצמאי קטן
5 = עצמאי בעל חברה</t>
  </si>
  <si>
    <t>$O$42</t>
  </si>
  <si>
    <t>יניב שפירא:
1 = שכיר פועל
2 = שכיר פקיד
3 = שכיר מנהל
4 = עצמאי קטן
5 = עצמאי בעל חברה
6 = לא עובד</t>
  </si>
  <si>
    <t>1 = שכיר פועל
2 = שכיר פקיד
3 = שכיר מנהל
4 = עצמאי קטן
5 = עצמאי בעל חברה
6 = לא עובד</t>
  </si>
  <si>
    <t>$T$42</t>
  </si>
  <si>
    <t>יניב שפירא:
1 = שכיר
2 = עצמאי
3 = חבר קואופרטיב
4 = פנסיונר
5 = עקרת בית
6 = חייל/תלמיד/סטודנט
7 = אחר שלא מועסק</t>
  </si>
  <si>
    <t>1 = שכיר
2 = עצמאי
3 = חבר קואופרטיב
4 = פנסיונר
5 = עקרת בית
6 = חייל/תלמיד/סטודנט
7 = אחר שלא מועסק</t>
  </si>
  <si>
    <t>$W$42</t>
  </si>
  <si>
    <t>יניב שפירא:
1 = שכיר
2 = עצמאי
3 = לא מועסק</t>
  </si>
  <si>
    <t>1 = שכיר
2 = עצמאי
3 = לא מועסק</t>
  </si>
  <si>
    <t>$AE$42</t>
  </si>
  <si>
    <t>יניב שפירא:
1 = שכיר
2 = עצמאי - מעביד
3 = עצמאי - לא מעסיק אחרים
4 = חבר קואופרטיב
5 = אחר
6 = מחפש עבודה
7 = עקרת בית
8 = פנסיונר</t>
  </si>
  <si>
    <t>1 = שכיר
2 = עצמאי - מעביד
3 = עצמאי - לא מעסיק אחרים
4 = חבר קואופרטיב
5 = אחר
6 = מחפש עבודה
7 = עקרת בית
8 = פנסיונר</t>
  </si>
  <si>
    <t>$V$43</t>
  </si>
  <si>
    <t>$W$43</t>
  </si>
  <si>
    <t>יניב שפירא:
1 = שכיר
2 = עצמאי
3 = לא מועסק
4 = אין בן/בת זוג</t>
  </si>
  <si>
    <t>1 = שכיר
2 = עצמאי
3 = לא מועסק
4 = אין בן/בת זוג</t>
  </si>
  <si>
    <t>$AF$44</t>
  </si>
  <si>
    <t>$AF$45</t>
  </si>
  <si>
    <t>יניב שפירא:
1 = לא למד כלל
2 = עממי חלקי
3 = סיים עממי
4 = תיכון חלקי
5 = סיים תיכון
6 = גבוהה חלקית
7 = ב.א.
8 = תואר שני ומעלה</t>
  </si>
  <si>
    <t>1 = לא למד כלל
2 = עממי חלקי
3 = סיים עממי
4 = תיכון חלקי
5 = סיים תיכון
6 = גבוהה חלקית
7 = ב.א.
8 = תואר שני ומעלה</t>
  </si>
  <si>
    <t>$A$46</t>
  </si>
  <si>
    <t>יניב שפירא:
רק למי שענה שעובד</t>
  </si>
  <si>
    <t>רק למי שענה שעובד</t>
  </si>
  <si>
    <t>$G$46</t>
  </si>
  <si>
    <t>יניב שפירא:
1 = משרה מלאה
2 = משרה חלקית</t>
  </si>
  <si>
    <t>1 = משרה מלאה
2 = משרה חלקית</t>
  </si>
  <si>
    <t>$AA$47</t>
  </si>
  <si>
    <t>יניב שפירא: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</si>
  <si>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</si>
  <si>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$AG$47</t>
  </si>
  <si>
    <t>יניב שפירא:
1 = מקצוע חופשי
2 = מנהל/פקיד
3 = סוחר
4 = חקלאי
5 = עובד תחבורה
6 = בנייה
7 = בעל מלאכה
8 = ספורט/בידור
9 = לא עובד</t>
  </si>
  <si>
    <t>1 = מקצוע חופשי
2 = מנהל/פקיד
3 = סוחר
4 = חקלאי
5 = עובד תחבורה
6 = בנייה
7 = בעל מלאכה
8 = ספורט/בידור
9 = לא עובד</t>
  </si>
  <si>
    <t>$G$48</t>
  </si>
  <si>
    <t>יניב שפירא:
1 = מגזר ציבורי
2 = מגזר פרטי/חברה פרטית</t>
  </si>
  <si>
    <t>1 = מגזר ציבורי
2 = מגזר פרטי/חברה פרטית</t>
  </si>
  <si>
    <t>$I$49</t>
  </si>
  <si>
    <t>יניב שפירא:
1 = כלל לא מודאג
2 = מודרג במקצת
3 = מודאג מאוד
4 = איבדתי את מקום העבודה שלי לאחרונה ואני מחפש עבודה
5 = אינני עובד ואינני מחפש עבודה</t>
  </si>
  <si>
    <t>1 = כלל לא מודאג
2 = מודרג במקצת
3 = מודאג מאוד
4 = איבדתי את מקום העבודה שלי לאחרונה ואני מחפש עבודה
5 = אינני עובד ואינני מחפש עבודה</t>
  </si>
  <si>
    <t>$F$50</t>
  </si>
  <si>
    <t>יניב שפירא:
1 = גבוה
2 = בינוני-גבוה
3 = בינוני
4 = נמוך</t>
  </si>
  <si>
    <t>1 = גבוה
2 = בינוני-גבוה
3 = בינוני
4 = נמוך</t>
  </si>
  <si>
    <t>$Q$50</t>
  </si>
  <si>
    <t>יניב שפירא:
1 = גבוה
2 = בינוני-גבוה
3 = בינוני
4 = נמוך
5 = מעמד הפועלים
6 = לא משויך לשום מעמד</t>
  </si>
  <si>
    <t>1 = גבוה
2 = בינוני-גבוה
3 = בינוני
4 = נמוך
5 = מעמד הפועלים
6 = לא משויך לשום מעמד</t>
  </si>
  <si>
    <t>$S$50</t>
  </si>
  <si>
    <t>יניב שפירא:
1 = מעמד גבוה
2 = מעמד בינוני
3 = מעמד פועלים
4 = מעמד נמוך
5 = לא שייף לאף מעמד</t>
  </si>
  <si>
    <t>1 = מעמד גבוה
2 = מעמד בינוני
3 = מעמד פועלים
4 = מעמד נמוך
5 = לא שייף לאף מעמד</t>
  </si>
  <si>
    <t>$AF$50</t>
  </si>
  <si>
    <t>יניב שפירא:
1 = בינוני-עליון
2 = בינוני
3 = נמוך
4 = עליון
5 = פועלים
6 = אחר
7 = לא מסווג את עצמי לשום מעמד</t>
  </si>
  <si>
    <t>1 = בינוני-עליון
2 = בינוני
3 = נמוך
4 = עליון
5 = פועלים
6 = אחר
7 = לא מסווג את עצמי לשום מעמד</t>
  </si>
  <si>
    <t>$G$51</t>
  </si>
  <si>
    <t>יניב שפירא:
0 = לא
1 = כן</t>
  </si>
  <si>
    <t>0 = לא
1 = כן</t>
  </si>
  <si>
    <t>$H$51</t>
  </si>
  <si>
    <t>יניב שפירא:
1 = לא
2 = כן</t>
  </si>
  <si>
    <t>1 = לא
2 = כן</t>
  </si>
  <si>
    <t>$P$53</t>
  </si>
  <si>
    <t>יניב שפירא:
1 = אין
2 = יש בן/בנים
3 = יש בת/בנות
4 = יש בן+בת</t>
  </si>
  <si>
    <t>1 = אין
2 = יש בן/בנים
3 = יש בת/בנות
4 = יש בן+בת</t>
  </si>
  <si>
    <t>$A$56</t>
  </si>
  <si>
    <t>יניב שפירא:
רק למי שענה שיש לו ילדים</t>
  </si>
  <si>
    <t>רק למי שענה שיש לו ילדים</t>
  </si>
  <si>
    <t>$G$56</t>
  </si>
  <si>
    <t>$H$57</t>
  </si>
  <si>
    <t>יניב שפירא:
1 = הכנסה מעבודה
2 = גמלאות
3 = דמי אבטלה, קצבאות או מענקי סעד
4 = הכנסה מהשקעות חסכונות ביטוח או רכוש
5 = הכנסה ממקורות אחרים</t>
  </si>
  <si>
    <t>1 = הכנסה מעבודה
2 = גמלאות
3 = דמי אבטלה, קצבאות או מענקי סעד
4 = הכנסה מהשקעות חסכונות ביטוח או רכוש
5 = הכנסה ממקורות אחרים</t>
  </si>
  <si>
    <t>$H$58</t>
  </si>
  <si>
    <t xml:space="preserve">יניב שפירא:
1 = עד 3,000 ₪
2 = 3,001-4,500 ₪
3 = 4,501-6,000 ₪
4 = 6,001-8,000 ₪
5 = 8,001-10,000 ₪
6 = 10,001-12,000 ₪
7 = 12,001-14,000 ₪
8 = 14,001-16,000 ₪
9 = 16,001-20,000 ₪
10 = יותר מ-20,001 ₪ </t>
  </si>
  <si>
    <t xml:space="preserve">1 = עד 3,000 ₪
2 = 3,001-4,500 ₪
3 = 4,501-6,000 ₪
4 = 6,001-8,000 ₪
5 = 8,001-10,000 ₪
6 = 10,001-12,000 ₪
7 = 12,001-14,000 ₪
8 = 14,001-16,000 ₪
9 = 16,001-20,000 ₪
10 = יותר מ-20,001 ₪ </t>
  </si>
  <si>
    <t>$U$58</t>
  </si>
  <si>
    <t>יניב שפירא:
1 = עד 20,000 
2 = 20,001-30,000
3 = 30,001-40,000
4 = 40,001-50,000
5 = 50,001-60,000
6 = 60,001-75,000
7 = 75,001-85,000
8 = 85,001 +</t>
  </si>
  <si>
    <t>1 = עד 20,000 
2 = 20,001-30,000
3 = 30,001-40,000
4 = 40,001-50,000
5 = 50,001-60,000
6 = 60,001-75,000
7 = 75,001-85,000
8 = 85,001 +</t>
  </si>
  <si>
    <t>$H$59</t>
  </si>
  <si>
    <t>יניב שפירא:
1 = כלום
2 = חלק קטן מאוד
3 = פחות מחצי
4 = בערך חצי
5 = מעל לחצי
6 = חלק גדול מאוד
7 = הכל</t>
  </si>
  <si>
    <t>1 = כלום
2 = חלק קטן מאוד
3 = פחות מחצי
4 = בערך חצי
5 = מעל לחצי
6 = חלק גדול מאוד
7 = הכל</t>
  </si>
  <si>
    <t>$I$61</t>
  </si>
  <si>
    <t>$I$62</t>
  </si>
  <si>
    <t xml:space="preserve">יניב שפירא:
1 = לא למד כלל
2 = ביה"ס יסודי וחטיבת בינים
3 = תיכון
4 = מוסד הנותן קורסים של הכשרה והשתלמות
5 = מוסד על תיכוני
6 = מוסד אקדמי
</t>
  </si>
  <si>
    <t xml:space="preserve">1 = לא למד כלל
2 = ביה"ס יסודי וחטיבת בינים
3 = תיכון
4 = מוסד הנותן קורסים של הכשרה והשתלמות
5 = מוסד על תיכוני
6 = מוסד אקדמי
</t>
  </si>
  <si>
    <t>$A$63</t>
  </si>
  <si>
    <t>יניב שפירא:
רק לעולי ברה"מ</t>
  </si>
  <si>
    <t>רק לעולי ברה"מ</t>
  </si>
  <si>
    <t>$A$64</t>
  </si>
  <si>
    <t>$A$65</t>
  </si>
  <si>
    <t>$J$65</t>
  </si>
  <si>
    <t>יניב שפירא:
1 = עולים מברה"מ
2 = ישראלים לא עולים
3 = חצי חצי</t>
  </si>
  <si>
    <t>1 = עולים מברה"מ
2 = ישראלים לא עולים
3 = חצי חצי</t>
  </si>
  <si>
    <t>$O$66</t>
  </si>
  <si>
    <t>יניב שפירא:
1 = טרם, אך אשרת בעתיד
2 = כיום בשירות חובה
3 = כיום בשירות קבע
4 = שירתתי בעבר
5 = לא שירתתי כלל</t>
  </si>
  <si>
    <t>1 = טרם, אך אשרת בעתיד
2 = כיום בשירות חובה
3 = כיום בשירות קבע
4 = שירתתי בעבר
5 = לא שירתתי כלל</t>
  </si>
  <si>
    <t>$AH$66</t>
  </si>
  <si>
    <t>יניב שפירא:
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</si>
  <si>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</si>
  <si>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$P$67</t>
  </si>
  <si>
    <t>$P$69</t>
  </si>
  <si>
    <t>יניב שפירא:
1 = קרבי
2 = לא קרבי</t>
  </si>
  <si>
    <t>1 = קרבי
2 = לא קרבי</t>
  </si>
  <si>
    <t>$P$70</t>
  </si>
  <si>
    <t>יניב שפירא:
1 = עד שנה
2 = שנה-שנה וחצי
3 = שנה וחצי-שנתיים
4 = שנתיים-שנתיים וחצי
5 = שנתיים וחצי-שלוש
6 = 3-6 שנים
7 = 6-15 שנים
8 = מעל 15 שנים</t>
  </si>
  <si>
    <t>1 = עד שנה
2 = שנה-שנה וחצי
3 = שנה וחצי-שנתיים
4 = שנתיים-שנתיים וחצי
5 = שנתיים וחצי-שלוש
6 = 3-6 שנים
7 = 6-15 שנים
8 = מעל 15 שנים</t>
  </si>
  <si>
    <t>$P$71</t>
  </si>
  <si>
    <t>$P$72</t>
  </si>
  <si>
    <t>יניב שפירא:
1 = טוראי
2 = טר"ש
3 = רב"ט
4 = סמל
5 = סמ"ר
6 = רס"ל
7 = רס"ר
8 = רס"מ/רס"ב
9 = סג"מ
10 = סגן
11 = סרן
12 = רס"ן
13 = סא"ל
14 = אל"ם
15 = תא"ל
16 = אלוף
17 = רא"ל</t>
  </si>
  <si>
    <t>1 = טוראי
2 = טר"ש
3 = רב"ט
4 = סמל
5 = סמ"ר
6 = רס"ל
7 = רס"ר
8 = רס"מ/רס"ב
9 = סג"מ
10 = סגן
11 = סרן
12 = רס"ן
13 = סא"ל
14 = אל"ם
15 = תא"ל
16 = אלוף
17 = רא"ל</t>
  </si>
  <si>
    <t>$AE$73</t>
  </si>
  <si>
    <t>יניב שפירא:
1 = המרואיין
2 = בעלה של המרואיינת
3 = אביו של המרואיין
4 = בנו של המרואיין
5 = אחר</t>
  </si>
  <si>
    <t>1 = המרואיין
2 = בעלה של המרואיינת
3 = אביו של המרואיין
4 = בנו של המרואיין
5 = אחר</t>
  </si>
  <si>
    <t>$AE$74</t>
  </si>
  <si>
    <t>יניב שפירא:
1 = לא למד כלל
2 = עד 4 שנים
3 = 5-8 שנים
4 = 9-10 שנים
5 = 11 שנים
6 = 12 שנים
7 = השכלה על תיכונית או אקדמית חלקית
8 = השכלה אקדמית מלאה</t>
  </si>
  <si>
    <t>1 = לא למד כלל
2 = עד 4 שנים
3 = 5-8 שנים
4 = 9-10 שנים
5 = 11 שנים
6 = 12 שנים
7 = השכלה על תיכונית או אקדמית חלקית
8 = השכלה אקדמית מלאה</t>
  </si>
  <si>
    <t>$AF$75</t>
  </si>
  <si>
    <t>$AE$76</t>
  </si>
  <si>
    <t>יניב שפירא: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</si>
  <si>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</si>
  <si>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$AF$76</t>
  </si>
  <si>
    <t>$AE$77</t>
  </si>
  <si>
    <t>יניב שפירא:
1 = שכיר
2 = עצמאי-מעסיק
3 = עצמאי לא מעסיק
4 = חבר קואופרטיב
5 = אחר
6 = מחפש עבודה
7 = עקרת בית
8 = פנסיונר
9 = אחר</t>
  </si>
  <si>
    <t>1 = שכיר
2 = עצמאי-מעסיק
3 = עצמאי לא מעסיק
4 = חבר קואופרטיב
5 = אחר
6 = מחפש עבודה
7 = עקרת בית
8 = פנסיונר
9 = אחר</t>
  </si>
  <si>
    <t>$AE$78</t>
  </si>
  <si>
    <t>יניב שפירא:
1 = אתה או ראש המשפחה
2 = בעלים פרטיים
3 = הסתדרות
4 = סקטור ציבורי
5 = אחר
6 = לא עובד</t>
  </si>
  <si>
    <t>1 = אתה או ראש המשפחה
2 = בעלים פרטיים
3 = הסתדרות
4 = סקטור ציבורי
5 = אחר
6 = לא עובד</t>
  </si>
  <si>
    <t>$AE$79</t>
  </si>
  <si>
    <t>יניב שפירא:
1 = כן
2 = לא
6 = לא עובד</t>
  </si>
  <si>
    <t>1 = כן
2 = לא
6 = לא עובד</t>
  </si>
  <si>
    <t>$O$80</t>
  </si>
  <si>
    <t>$Z$80</t>
  </si>
  <si>
    <t>$AE$81</t>
  </si>
  <si>
    <t xml:space="preserve">יניב שפירא:
2 = קופ"ח של העובדים הלאומיים
3 = קופ"ח מכבי
4 = קופ" מרכזית
5 = קופ"ח עממית
6 = ביטוח אחר
7 = באמצעות סעד
8 = פרטי
</t>
  </si>
  <si>
    <t xml:space="preserve">2 = קופ"ח של העובדים הלאומיים
3 = קופ"ח מכבי
4 = קופ" מרכזית
5 = קופ"ח עממית
6 = ביטוח אחר
7 = באמצעות סעד
8 = פרטי
</t>
  </si>
  <si>
    <t>$AF$82</t>
  </si>
  <si>
    <t>יניב שפירא:
1 = עברית
2 = יידיש
3 = ערבית
4 = שפות מזרח אירופאיות
5 = שפות מערב אירופה
6 = שפות לטיניות ובלקניות
7 = אחר</t>
  </si>
  <si>
    <t>1 = עברית
2 = יידיש
3 = ערבית
4 = שפות מזרח אירופאיות
5 = שפות מערב אירופה
6 = שפות לטיניות ובלקניות
7 = אחר</t>
  </si>
  <si>
    <t>$AH$83</t>
  </si>
  <si>
    <t>$AH$84</t>
  </si>
  <si>
    <t>$AH$85</t>
  </si>
  <si>
    <t>יניב שפירא:
1 = אותו מקום
2 = מקום אחר</t>
  </si>
  <si>
    <t>1 = אותו מקום
2 = מקום אחר</t>
  </si>
  <si>
    <t>$AE$86</t>
  </si>
  <si>
    <t>יניב שפירא: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</si>
  <si>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</si>
  <si>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$AH$87</t>
  </si>
  <si>
    <t>יניב שפירא:
1 = איחוד הקבוצות והקיבוצים
2 = הקיבוץ המאוחד
3 = קיבוצי השמו"צ
4 = הקיבוץ הדתי
5 = הנוער הציוני
6 = הבלתי מצורפים
7 = זרם אחר
8 = לא היה חבר קיבוץ</t>
  </si>
  <si>
    <t>1 = איחוד הקבוצות והקיבוצים
2 = הקיבוץ המאוחד
3 = קיבוצי השמו"צ
4 = הקיבוץ הדתי
5 = הנוער הציוני
6 = הבלתי מצורפים
7 = זרם אחר
8 = לא היה חבר קיבוץ</t>
  </si>
  <si>
    <t>ישראל כללי</t>
  </si>
  <si>
    <t>$D$2</t>
  </si>
  <si>
    <t>יניב שפירא:
1 = טוב מאוד
2 = טוב
3 = ככה ככה
4 = לא טוב
5 = רע</t>
  </si>
  <si>
    <t>1 = טוב מאוד
2 = טוב
3 = ככה ככה
4 = לא טוב
5 = רע</t>
  </si>
  <si>
    <t>$L$2</t>
  </si>
  <si>
    <t>יניב שפירא:
1 = רע
2 = לא טוב
3 = ככה ככה
4 = טוב
5 = טוב מאוד</t>
  </si>
  <si>
    <t>1 = רע
2 = לא טוב
3 = ככה ככה
4 = טוב
5 = טוב מאוד</t>
  </si>
  <si>
    <t>$M$2</t>
  </si>
  <si>
    <t>יניב שפירא:
1 = טוב מאד
2 = טוב
3 = ככה ככה
4 = לא טוב
5 = רע</t>
  </si>
  <si>
    <t>1 = טוב מאד
2 = טוב
3 = ככה ככה
4 = לא טוב
5 = רע</t>
  </si>
  <si>
    <t>$F$3</t>
  </si>
  <si>
    <t>יניב שפירא:
1 = מטפלת בדרך טובה מאד
2 = מטפלת בדרך טובה
3 = מטפלת בדרך לא כ"כ טובה
4 = מטפלת בדרך לא טובה כלל</t>
  </si>
  <si>
    <t>1 = מטפלת בדרך טובה מאד
2 = מטפלת בדרך טובה
3 = מטפלת בדרך לא כ"כ טובה
4 = מטפלת בדרך לא טובה כלל</t>
  </si>
  <si>
    <t>יניב שפירא:
1 = לא טובה כלל
2 = בדרך לא כ"כ טובה
3 = בדרך טובה
4 = בדרך טובה מאוד</t>
  </si>
  <si>
    <t>1 = לא טובה כלל
2 = בדרך לא כ"כ טובה
3 = בדרך טובה
4 = בדרך טובה מאוד</t>
  </si>
  <si>
    <t>$M$3</t>
  </si>
  <si>
    <t>יניב שפירא:
1 = בדרך טובה מאד
2 = בדרך טובה
3 = לא כ"כ טובה
4 = לא טובה בכלל</t>
  </si>
  <si>
    <t>1 = בדרך טובה מאד
2 = בדרך טובה
3 = לא כ"כ טובה
4 = לא טובה בכלל</t>
  </si>
  <si>
    <t>$B$4</t>
  </si>
  <si>
    <t>adi:
קידוד 1-103</t>
  </si>
  <si>
    <t>specialScale</t>
  </si>
  <si>
    <t>קידוד 1-103</t>
  </si>
  <si>
    <t>$D$4</t>
  </si>
  <si>
    <t>יניב שפירא:
קידוד
1-72</t>
  </si>
  <si>
    <t>קידוד
1-72</t>
  </si>
  <si>
    <t>$E$4</t>
  </si>
  <si>
    <t>יניב שפירא:
אפשר לתת 2 תשובות
c8_code1
c8_code2</t>
  </si>
  <si>
    <t>אפשר לתת 2 תשובות
c8_code1
c8_code2</t>
  </si>
  <si>
    <t>$F$4</t>
  </si>
  <si>
    <t>יניב שפירא:
אפשר לתת שתי תשובות
v8_code_1
v8_code_2</t>
  </si>
  <si>
    <t>אפשר לתת שתי תשובות
v8_code_1
v8_code_2</t>
  </si>
  <si>
    <t>$S$4</t>
  </si>
  <si>
    <t>יניב שפירא:
1 = בטחון
2 = כלכלה
3 = פער חברתי
4 = שלום
5 = זוגות צעירים
6 = אינפלציה
7 = קליטת עולים
8 = חינוך
9 = חוסר מנהיגות
10 = אחר</t>
  </si>
  <si>
    <t>1 = בטחון
2 = כלכלה
3 = פער חברתי
4 = שלום
5 = זוגות צעירים
6 = אינפלציה
7 = קליטת עולים
8 = חינוך
9 = חוסר מנהיגות
10 = אחר</t>
  </si>
  <si>
    <t>$Z$4</t>
  </si>
  <si>
    <t>יניב שפירא:
1 = בטחון
2 = כלכלה
3 = פער חברתי
4 = שלום
5 = זוגות צעירים
6 = שינוי שיטת הבחירות
7 = קליטת עליה
8 = חינוך
9 = אחר</t>
  </si>
  <si>
    <t>1 = בטחון
2 = כלכלה
3 = פער חברתי
4 = שלום
5 = זוגות צעירים
6 = שינוי שיטת הבחירות
7 = קליטת עליה
8 = חינוך
9 = אחר</t>
  </si>
  <si>
    <t>$AB$4</t>
  </si>
  <si>
    <t>יניב שפירא:
1 = בטחון
2 = שלום
3 = כלכלה
4 = עליה וקליטה
5 = חינוך
6 = הפער החברתי
7 = שיכון זוגות צעירים
8 = בעיות פנים</t>
  </si>
  <si>
    <t>1 = בטחון
2 = שלום
3 = כלכלה
4 = עליה וקליטה
5 = חינוך
6 = הפער החברתי
7 = שיכון זוגות צעירים
8 = בעיות פנים</t>
  </si>
  <si>
    <t>$AG$4</t>
  </si>
  <si>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</si>
  <si>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</si>
  <si>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$AD$7</t>
  </si>
  <si>
    <t>יניב שפירא:
1 = תפתור בקרוב את שתיהן
2 = תפתור בקרוב רק את הראשונה
3 = תפתור בקרוב רק את השנייה
4 = לא תפתור שום בעיה בקרוב</t>
  </si>
  <si>
    <t>1 = תפתור בקרוב את שתיהן
2 = תפתור בקרוב רק את הראשונה
3 = תפתור בקרוב רק את השנייה
4 = לא תפתור שום בעיה בקרוב</t>
  </si>
  <si>
    <t>$M$8</t>
  </si>
  <si>
    <t>יניב שפירא:
1 = נתניהו
2 = ברק
3 = מרדכי
4 = בגין
5 = בשארה
6 = רפול
7 = אף אחד
8 = אין הבדל</t>
  </si>
  <si>
    <t>1 = נתניהו
2 = ברק
3 = מרדכי
4 = בגין
5 = בשארה
6 = רפול
7 = אף אחד
8 = אין הבדל</t>
  </si>
  <si>
    <t>$N$8</t>
  </si>
  <si>
    <t>יניב שפירא:
1 = נתניהו
2 = פרס
3 = אותו דבר
4 = אף אחד</t>
  </si>
  <si>
    <t>1 = נתניהו
2 = פרס
3 = אותו דבר
4 = אף אחד</t>
  </si>
  <si>
    <t>$T$8</t>
  </si>
  <si>
    <t>יניב שפירא:
1 = פרס
2 = בגין</t>
  </si>
  <si>
    <t>1 = פרס
2 = בגין</t>
  </si>
  <si>
    <t>$S$11</t>
  </si>
  <si>
    <t>יניב שפירא:
1 = המערך
2 = הליכוד
3 = שניהם אותו דבר
4 = אף אחד מהם</t>
  </si>
  <si>
    <t>1 = המערך
2 = הליכוד
3 = שניהם אותו דבר
4 = אף אחד מהם</t>
  </si>
  <si>
    <t>$A$12</t>
  </si>
  <si>
    <t>יניב שפירא:
אין קידוד
גם ב2020 וגם ב2021</t>
  </si>
  <si>
    <t>אין קידוד
גם ב2020 וגם ב2021</t>
  </si>
  <si>
    <t>יניב שפירא:
1 = שחיתות
2 = פוליטיקאים שלא מקיימים הבטחות
3 = גורמים שמתערבים בבחירות כך שהתוצאות לא מייצגות את רצון הבוחר
4 = שיטת הבחירות שמעוותת את רצון הבוחרים</t>
  </si>
  <si>
    <t>1 = שחיתות
2 = פוליטיקאים שלא מקיימים הבטחות
3 = גורמים שמתערבים בבחירות כך שהתוצאות לא מייצגות את רצון הבוחר
4 = שיטת הבחירות שמעוותת את רצון הבוחרים</t>
  </si>
  <si>
    <t>יניב שפירא:
1-10
1 = כלל לא מרוצה
10 = מרוצה לגמרי</t>
  </si>
  <si>
    <t>1-10
1 = כלל לא מרוצה
10 = מרוצה לגמרי</t>
  </si>
  <si>
    <t>$A$14</t>
  </si>
  <si>
    <t>יניב שפירא:
שאלות 12A-14A בפוסט בחירות 2019 לא מקודדות בstata</t>
  </si>
  <si>
    <t>stataIsNotCoded</t>
  </si>
  <si>
    <t>שאלות 12A-14A בפוסט בחירות 2019 לא מקודדות בstata</t>
  </si>
  <si>
    <t>$B$14</t>
  </si>
  <si>
    <t>adi:
שאלות 709-711 לא מקודדות בנתונים</t>
  </si>
  <si>
    <t>שאלות 709-711 לא מקודדות בנתונים</t>
  </si>
  <si>
    <t>$B$15</t>
  </si>
  <si>
    <t>$B$16</t>
  </si>
  <si>
    <t>$G$17</t>
  </si>
  <si>
    <t>יניב שפירא:
1 = בהחלט לא מסכים
2 = לא מסכים
3 = מסכים
4 = מסכים מאד</t>
  </si>
  <si>
    <t>1 = בהחלט לא מסכים
2 = לא מסכים
3 = מסכים
4 = מסכים מאד</t>
  </si>
  <si>
    <t>$H$18</t>
  </si>
  <si>
    <t>$G$19</t>
  </si>
  <si>
    <t>יניב שפירא:
1 = שמירה על כלכלה יציבה
2 = יצירה של סביבה אנושית יותר, שמדגישה יותר יחסי אנוש
3 = יצירת סביבה בה רעיונות נחשבים יותר מכסף
4 = מלחמה בפשע</t>
  </si>
  <si>
    <t>1 = שמירה על כלכלה יציבה
2 = יצירה של סביבה אנושית יותר, שמדגישה יותר יחסי אנוש
3 = יצירת סביבה בה רעיונות נחשבים יותר מכסף
4 = מלחמה בפשע</t>
  </si>
  <si>
    <t>$I$21</t>
  </si>
  <si>
    <t>יניב שפירא:
סולם 1-9
1 = מצב גרוע ביותר
9 = מצב טוב ביותר</t>
  </si>
  <si>
    <t>סולם 1-9
1 = מצב גרוע ביותר
9 = מצב טוב ביותר</t>
  </si>
  <si>
    <t>$T$21</t>
  </si>
  <si>
    <t>יניב שפירא:
ארבע שנים ולא חמש
סולם 1-10
1 = החיים הטובים ביותר
10 = החיים הגרועים ביותר</t>
  </si>
  <si>
    <t>ארבע שנים ולא חמש
סולם 1-10
1 = החיים הטובים ביותר
10 = החיים הגרועים ביותר</t>
  </si>
  <si>
    <t>$V$21</t>
  </si>
  <si>
    <t>$AG$21</t>
  </si>
  <si>
    <t>יניב שפירא:
סולם 0-10
0 = המצב הגרוע ביותר
10 = המצב הטוב ביותר</t>
  </si>
  <si>
    <t>סולם 0-10
0 = המצב הגרוע ביותר
10 = המצב הטוב ביותר</t>
  </si>
  <si>
    <t>$AD$24</t>
  </si>
  <si>
    <t>יניב שפירא:
1 = תשנה את מצבי באופן אישי
2 = תשנה את המצב במדינה ולכן זה ישנה את מצבי
3 = לא תשנה את מצבי</t>
  </si>
  <si>
    <t>1 = תשנה את מצבי באופן אישי
2 = תשנה את המצב במדינה ולכן זה ישנה את מצבי
3 = לא תשנה את מצבי</t>
  </si>
  <si>
    <t>$B$25</t>
  </si>
  <si>
    <t>adi: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</si>
  <si>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</si>
  <si>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$L$25</t>
  </si>
  <si>
    <t>יניב שפירא:
1 = מתנגד מאד
2 = מתנגד במידה מסוימת
3 = תומך במידה מסוימת
4 = תומך מאד</t>
  </si>
  <si>
    <t>1 = מתנגד מאד
2 = מתנגד במידה מסוימת
3 = תומך במידה מסוימת
4 = תומך מאד</t>
  </si>
  <si>
    <t>$M$25</t>
  </si>
  <si>
    <t>יניב שפירא:
1 = תומך מאד
2 = תומך במידה מסוימת
3 = מתנגד במידה מסוימת
4 = מתנגד מאד</t>
  </si>
  <si>
    <t>1 = תומך מאד
2 = תומך במידה מסוימת
3 = מתנגד במידה מסוימת
4 = מתנגד מאד</t>
  </si>
  <si>
    <t>$M$26</t>
  </si>
  <si>
    <t>יניב שפירא:
1 = האינטרסים של המדינה חשובים יותר
2 = באותה מידה
3 = האינטרסים של הפרט חשובים יותר</t>
  </si>
  <si>
    <t>1 = האינטרסים של המדינה חשובים יותר
2 = באותה מידה
3 = האינטרסים של הפרט חשובים יותר</t>
  </si>
  <si>
    <t>$T$26</t>
  </si>
  <si>
    <t>יניב שפירא:
1 = של המדינה חשובים הרבה יותר
2 = של המדינה חשובים יותר
3 = באותה מידה
4 = של הפרט חשובים יותר
5 = של הפרט חשובים הרבה יותר</t>
  </si>
  <si>
    <t>1 = של המדינה חשובים הרבה יותר
2 = של המדינה חשובים יותר
3 = באותה מידה
4 = של הפרט חשובים יותר
5 = של הפרט חשובים הרבה יותר</t>
  </si>
  <si>
    <t>$AG$26</t>
  </si>
  <si>
    <t>יניב שפירא:
1 = אינטרס כללי בהחלט חשוב יותר
2 = אינטרס כללי אולי חשוב יותר
3 = חשובים באותה מידה
4 = אינטרס אישי אולי חשוב יותר
5 = אינטרס אישי בהחלט חשוב יותר</t>
  </si>
  <si>
    <t>1 = אינטרס כללי בהחלט חשוב יותר
2 = אינטרס כללי אולי חשוב יותר
3 = חשובים באותה מידה
4 = אינטרס אישי אולי חשוב יותר
5 = אינטרס אישי בהחלט חשוב יותר</t>
  </si>
  <si>
    <t>$N$27</t>
  </si>
  <si>
    <t>יניב שפירא:
1 = במידה רבה
2 = במידה מסוימת
3 = במידה מועטה
4 = בכלל לא</t>
  </si>
  <si>
    <t>1 = במידה רבה
2 = במידה מסוימת
3 = במידה מועטה
4 = בכלל לא</t>
  </si>
  <si>
    <t>$N$28</t>
  </si>
  <si>
    <t>יניב שפירא:
1 = אפשר להשיג הכל בו זמנית
2 = אי אפשר להשיג הכל בו זמנית</t>
  </si>
  <si>
    <t>1 = אפשר להשיג הכל בו זמנית
2 = אי אפשר להשיג הכל בו זמנית</t>
  </si>
  <si>
    <t>$N$29</t>
  </si>
  <si>
    <t>יניב שפירא:
1 = בכלל לא
2 = במסגרת העבודה בלבד
3 = יש, ידיד אחד או שניים
4 = יש, קשרים רבים</t>
  </si>
  <si>
    <t>1 = בכלל לא
2 = במסגרת העבודה בלבד
3 = יש, ידיד אחד או שניים
4 = יש, קשרים רבים</t>
  </si>
  <si>
    <t>$O$30</t>
  </si>
  <si>
    <t>יניב שפירא:
1 = במידה רבה
2 = במידה מסוימת
3 = במידה קטנה
4 = כלל לא</t>
  </si>
  <si>
    <t>1 = במידה רבה
2 = במידה מסוימת
3 = במידה קטנה
4 = כלל לא</t>
  </si>
  <si>
    <t>$O$32</t>
  </si>
  <si>
    <t>יניב שפירא:
1 = סיכוי גבוה
2 = סיכוי נמוך</t>
  </si>
  <si>
    <t>1 = סיכוי גבוה
2 = סיכוי נמוך</t>
  </si>
  <si>
    <t>$P$34</t>
  </si>
  <si>
    <t>יניב שפירא:
1 = מסכים בהחלט
2 = מסכים
3 = מתנגד
4 = מתנגד בהחלט</t>
  </si>
  <si>
    <t>1 = מסכים בהחלט
2 = מסכים
3 = מתנגד
4 = מתנגד בהחלט</t>
  </si>
  <si>
    <t>$P$39</t>
  </si>
  <si>
    <t>יניב שפירא:
1 = מאמין בהחלט
2 = מאמין אך לא בטוח
3 = מטיל ספק
4 = בהחלט לא מאמין</t>
  </si>
  <si>
    <t>1 = מאמין בהחלט
2 = מאמין אך לא בטוח
3 = מטיל ספק
4 = בהחלט לא מאמין</t>
  </si>
  <si>
    <t>$P$40</t>
  </si>
  <si>
    <t>יניב שפירא:
1 = צודק
2 = לא צודק</t>
  </si>
  <si>
    <t>1 = צודק
2 = לא צודק</t>
  </si>
  <si>
    <t>$P$41</t>
  </si>
  <si>
    <t>יניב שפירא:
1 = בדר"כ ביעילות
2 = בדר"כ לא ביעילות</t>
  </si>
  <si>
    <t>1 = בדר"כ ביעילות
2 = בדר"כ לא ביעילות</t>
  </si>
  <si>
    <t>$P$42</t>
  </si>
  <si>
    <t>יניב שפירא:
1 = ארוך מדי
2 = במידה הנכונה
3 = קצר מדי</t>
  </si>
  <si>
    <t>1 = ארוך מדי
2 = במידה הנכונה
3 = קצר מדי</t>
  </si>
  <si>
    <t>$P$43</t>
  </si>
  <si>
    <t>$P$52</t>
  </si>
  <si>
    <t>יניב שפירא:
1 = אלוהים
2 = צה"ל
3 = ארה"ב
4 = מדינת ישראל
5 = עם ישראל
6 = כל אחד צריך לשמור על עצמו
7 = אחר</t>
  </si>
  <si>
    <t>1 = אלוהים
2 = צה"ל
3 = ארה"ב
4 = מדינת ישראל
5 = עם ישראל
6 = כל אחד צריך לשמור על עצמו
7 = אחר</t>
  </si>
  <si>
    <t>יניב שפירא:
1 = למכור לכל המעוניין
2 = למכור לכל מדינה, פרט למדינות עוינות
3 = למכור רק למדינות שהמשטר שלהם נראה לנו
4 = לא למכור נשק כלל</t>
  </si>
  <si>
    <t>1 = למכור לכל המעוניין
2 = למכור לכל מדינה, פרט למדינות עוינות
3 = למכור רק למדינות שהמשטר שלהם נראה לנו
4 = לא למכור נשק כלל</t>
  </si>
  <si>
    <t>$P$54</t>
  </si>
  <si>
    <t>$P$58</t>
  </si>
  <si>
    <t>יניב שפירא:
1 = אפשר לתת אמון
2 = יש להיות זהירים</t>
  </si>
  <si>
    <t>1 = אפשר לתת אמון
2 = יש להיות זהירים</t>
  </si>
  <si>
    <t>$P$59</t>
  </si>
  <si>
    <t>יניב שפירא:
1 = נוטים יותר לעזור
2 = נוטים לדאוג לעצמם</t>
  </si>
  <si>
    <t>1 = נוטים יותר לעזור
2 = נוטים לדאוג לעצמם</t>
  </si>
  <si>
    <t>$P$60</t>
  </si>
  <si>
    <t>יניב שפירא:
1 = הגשמה עצמית
2 = הערכה עצמית
3 = חיבה, אהבה
4 = ודאות ובטחון בחיים
5 = חיים נוחים</t>
  </si>
  <si>
    <t>1 = הגשמה עצמית
2 = הערכה עצמית
3 = חיבה, אהבה
4 = ודאות ובטחון בחיים
5 = חיים נוחים</t>
  </si>
  <si>
    <t>$P$61</t>
  </si>
  <si>
    <t>יניב שפירא:
1 = דעה טובה מאד
2 = דעה די טובה
3 = לא טובה ולא רעה
4 = דעה די רעה
5 = דעה רעה מאד</t>
  </si>
  <si>
    <t>1 = דעה טובה מאד
2 = דעה די טובה
3 = לא טובה ולא רעה
4 = דעה די רעה
5 = דעה רעה מאד</t>
  </si>
  <si>
    <t>$A$70</t>
  </si>
  <si>
    <t>יניב שפירא:
מי שענה '3' בשאלה הקודמת (a45)</t>
  </si>
  <si>
    <t>מי שענה '3' בשאלה הקודמת (a45)</t>
  </si>
  <si>
    <t>יניב שפירא:
1 = לכיוון הדעה הטובה
2 = לכיוון הדעה הרעה</t>
  </si>
  <si>
    <t>1 = לכיוון הדעה הטובה
2 = לכיוון הדעה הרעה</t>
  </si>
  <si>
    <t>יניב שפירא:
1 = מרוצה מאד
2 = די מרוצה
3 = לא כ"כ מרוצה
4 = כלל לא מרוצה</t>
  </si>
  <si>
    <t>1 = מרוצה מאד
2 = די מרוצה
3 = לא כ"כ מרוצה
4 = כלל לא מרוצה</t>
  </si>
  <si>
    <t>יניב שפירא:
1 = לעתים קרובות
2 = לפעמים
3 = לעתים רחוקות
4 = אף פעם לא</t>
  </si>
  <si>
    <t>1 = לעתים קרובות
2 = לפעמים
3 = לעתים רחוקות
4 = אף פעם לא</t>
  </si>
  <si>
    <t>$P$73</t>
  </si>
  <si>
    <t>יניב שפירא:
1 = משוכנע שרוצה
2 = רוצה אך לא משוכנע
3 = יש לי ספיקות
4 = משוכנע שלא רוצה</t>
  </si>
  <si>
    <t>1 = משוכנע שרוצה
2 = רוצה אך לא משוכנע
3 = יש לי ספיקות
4 = משוכנע שלא רוצה</t>
  </si>
  <si>
    <t>$P$74</t>
  </si>
  <si>
    <t>יניב שפירא:
1 = המצב הבטחוני
2 = המצב הכלכלי
3 = המצב החברתי
4 = עליות נטיות אנטי דמוקרטיות
5 = מעמד הדת במדינה</t>
  </si>
  <si>
    <t>1 = המצב הבטחוני
2 = המצב הכלכלי
3 = המצב החברתי
4 = עליות נטיות אנטי דמוקרטיות
5 = מעמד הדת במדינה</t>
  </si>
  <si>
    <t>$P$75</t>
  </si>
  <si>
    <t>יניב שפירא:
1 = מאושר מאד
2 = די מאושר
3 = לא כ"כ מאושר</t>
  </si>
  <si>
    <t>1 = מאושר מאד
2 = די מאושר
3 = לא כ"כ מאושר</t>
  </si>
  <si>
    <t>$P$76</t>
  </si>
  <si>
    <t>יניב שפירא:
1 = מרוצה מאד
2 = מרוצה
3 = אין דעה
4 = לא מרוצה
5 = כלל לא מרוצה</t>
  </si>
  <si>
    <t>1 = מרוצה מאד
2 = מרוצה
3 = אין דעה
4 = לא מרוצה
5 = כלל לא מרוצה</t>
  </si>
  <si>
    <t>$P$77</t>
  </si>
  <si>
    <t>יניב שפירא:
1 = טרם הגיע מועד הגיוס שלי
2 = אני בעתודה אקדמית
3 = עולה חדש
4 = אינני אזרח המדינה
5 = מסיבות דתיות
6 = מסיבות מצפוניות
7 = אחר</t>
  </si>
  <si>
    <t>1 = טרם הגיע מועד הגיוס שלי
2 = אני בעתודה אקדמית
3 = עולה חדש
4 = אינני אזרח המדינה
5 = מסיבות דתיות
6 = מסיבות מצפוניות
7 = אחר</t>
  </si>
  <si>
    <t>$P$78</t>
  </si>
  <si>
    <t>$P$79</t>
  </si>
  <si>
    <t>יניב שפירא:
1 = אני נפצעתי קשה
2 = אני נפצעתי, אך לא קשה
3 = מישהו מבני משפחתי נפצע קשה
4 = מישהו מבני משפחתי נפצע, אף ךא קשה</t>
  </si>
  <si>
    <t>1 = אני נפצעתי קשה
2 = אני נפצעתי, אך לא קשה
3 = מישהו מבני משפחתי נפצע קשה
4 = מישהו מבני משפחתי נפצע, אף ךא קשה</t>
  </si>
  <si>
    <t>$P$80</t>
  </si>
  <si>
    <t>$P$81</t>
  </si>
  <si>
    <t>$P$82</t>
  </si>
  <si>
    <t>$P$83</t>
  </si>
  <si>
    <t>יניב שפירא:
1 = כן
2 - לא</t>
  </si>
  <si>
    <t>1 = כן
2 - לא</t>
  </si>
  <si>
    <t>$P$84</t>
  </si>
  <si>
    <t>$U$85</t>
  </si>
  <si>
    <t>יניב שפירא:
1 = מתאים מאד
2 = מתאים
3 = לא בטוח
4 = לא מתאים
5 = כלל לא מתאים</t>
  </si>
  <si>
    <t>1 = מתאים מאד
2 = מתאים
3 = לא בטוח
4 = לא מתאים
5 = כלל לא מתאים</t>
  </si>
  <si>
    <t>$AA$92</t>
  </si>
  <si>
    <t>יניב שפירא:
1 = מאמין במידה רבה
2 = מאמין במידה מסוימת
3 = מאמין במידה מועטה
4 = לא מאמין כלל</t>
  </si>
  <si>
    <t>1 = מאמין במידה רבה
2 = מאמין במידה מסוימת
3 = מאמין במידה מועטה
4 = לא מאמין כלל</t>
  </si>
  <si>
    <t>$AA$93</t>
  </si>
  <si>
    <t>יניב שפירא: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</si>
  <si>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</si>
  <si>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$AB$94</t>
  </si>
  <si>
    <t>יניב שפירא:
1 = מרוצה מאוד
2 = מרוצה
3 = לא כ"כ מרוצה
4 = לא מרוצה כלל</t>
  </si>
  <si>
    <t>1 = מרוצה מאוד
2 = מרוצה
3 = לא כ"כ מרוצה
4 = לא מרוצה כלל</t>
  </si>
  <si>
    <t>$AD$94</t>
  </si>
  <si>
    <t>יניב שפירא:
1 = מאד מרוצה
2 = מרוצה
3 = לא כ"כ מרוצה
4 = כלל לא מרוצה</t>
  </si>
  <si>
    <t>1 = מאד מרוצה
2 = מרוצה
3 = לא כ"כ מרוצה
4 = כלל לא מרוצה</t>
  </si>
  <si>
    <t>$AD$96</t>
  </si>
  <si>
    <t>יניב שפירא:
1 = במידה רבה
2 = במידה מסוימת
3 = במדה מועטה
4 = כלל לא
9 = לא פעיל</t>
  </si>
  <si>
    <t>1 = במידה רבה
2 = במידה מסוימת
3 = במדה מועטה
4 = כלל לא
9 = לא פעיל</t>
  </si>
  <si>
    <t>$AD$97</t>
  </si>
  <si>
    <t>$A$98</t>
  </si>
  <si>
    <t>יניב שפירא:
לנשים בלבד</t>
  </si>
  <si>
    <t>specialSector</t>
  </si>
  <si>
    <t>לנשים בלבד</t>
  </si>
  <si>
    <t>$AB$98</t>
  </si>
  <si>
    <t>יניב שפירא:
1 = מזה חודשיים
2 = מזה חודש
3 = מזה שבועיים
4 = פחות משבועיים
5 = לא מגוייס
6 = אין לי בעל</t>
  </si>
  <si>
    <t>1 = מזה חודשיים
2 = מזה חודש
3 = מזה שבועיים
4 = פחות משבועיים
5 = לא מגוייס
6 = אין לי בעל</t>
  </si>
  <si>
    <t>$AC$99</t>
  </si>
  <si>
    <t>יניב שפירא:
1 = הוטב במידה רבה
2 = הוטב במידה מסוימת
3 = לא חל שינוי
4 = הורע במידה מסוימת
5 = הוקע במידה רבה</t>
  </si>
  <si>
    <t>1 = הוטב במידה רבה
2 = הוטב במידה מסוימת
3 = לא חל שינוי
4 = הורע במידה מסוימת
5 = הוקע במידה רבה</t>
  </si>
  <si>
    <t>$AC$100</t>
  </si>
  <si>
    <t>יניב שפירא:
1 = במידה רבה
2 = במידה מסוימת
3 = במידה מועטה
4 = כלל לא</t>
  </si>
  <si>
    <t>1 = במידה רבה
2 = במידה מסוימת
3 = במידה מועטה
4 = כלל לא</t>
  </si>
  <si>
    <t>$AC$104</t>
  </si>
  <si>
    <t>$AD$105</t>
  </si>
  <si>
    <t>יניב שפירא:
1 = באופן חיובי ביותר
2 = באופן חיובי
3 = באופן שלילי
4 = באופן שלילי ביותר</t>
  </si>
  <si>
    <t>1 = באופן חיובי ביותר
2 = באופן חיובי
3 = באופן שלילי
4 = באופן שלילי ביותר</t>
  </si>
  <si>
    <t>$AD$106</t>
  </si>
  <si>
    <t>$AD$107</t>
  </si>
  <si>
    <t>$AD$108</t>
  </si>
  <si>
    <t>$AD$109</t>
  </si>
  <si>
    <t>$AD$110</t>
  </si>
  <si>
    <t>$AD$111</t>
  </si>
  <si>
    <t>$AD$112</t>
  </si>
  <si>
    <t>$AH$113</t>
  </si>
  <si>
    <t>יניב שפירא:
1 = דרך טובה מאוד
2 = דרך טובה
3 = דרך לא כ"כ טובה
4 = דרך גרועה
5 = דרך גרועה מאוד</t>
  </si>
  <si>
    <t>1 = דרך טובה מאוד
2 = דרך טובה
3 = דרך לא כ"כ טובה
4 = דרך גרועה
5 = דרך גרועה מאוד</t>
  </si>
  <si>
    <t>$AD$114</t>
  </si>
  <si>
    <t>יניב שפירא:
1 = לשפר את השירותים
2 = לפתח את העיר
3 = לדאוג לפרנסה
4 = אחר</t>
  </si>
  <si>
    <t>1 = לשפר את השירותים
2 = לפתח את העיר
3 = לדאוג לפרנסה
4 = אחר</t>
  </si>
  <si>
    <t>$AH$115</t>
  </si>
  <si>
    <t>יניב שפירא:
1 = מאוד ברור
2 = ברור
3 = לא כ"כ ברור
4 = לא ברור כלל</t>
  </si>
  <si>
    <t>1 = מאוד ברור
2 = ברור
3 = לא כ"כ ברור
4 = לא ברור כלל</t>
  </si>
  <si>
    <t>$AD$117</t>
  </si>
  <si>
    <t>יניב שפירא:
1 = במידה רבה מאוד
2 = במידה רבה
3 = במידה מועטה
4 = כלל לא</t>
  </si>
  <si>
    <t>1 = במידה רבה מאוד
2 = במידה רבה
3 = במידה מועטה
4 = כלל לא</t>
  </si>
  <si>
    <t>$AD$118</t>
  </si>
  <si>
    <t>יניב שפירא:
1 = מאוד רצוי
2 = רצוי
3 = לא כ"כ רצוי
4 = כלל לא רצוי</t>
  </si>
  <si>
    <t>1 = מאוד רצוי
2 = רצוי
3 = לא כ"כ רצוי
4 = כלל לא רצוי</t>
  </si>
  <si>
    <t>$AH$119</t>
  </si>
  <si>
    <t>יניב שפירא:
1 = בהחלט בחירות ישירות
2 = בחירות אישיות
3 = רשימות מפלגתיות
4 = בהחלט רשימות מפלגתיות
5 = אין דעה</t>
  </si>
  <si>
    <t>1 = בהחלט בחירות ישירות
2 = בחירות אישיות
3 = רשימות מפלגתיות
4 = בהחלט רשימות מפלגתיות
5 = אין דעה</t>
  </si>
  <si>
    <t>$AE$120</t>
  </si>
  <si>
    <t>יניב שפירא:
1 = כן
2 = לא
3 = לא חבר תנועת נוער</t>
  </si>
  <si>
    <t>1 = כן
2 = לא
3 = לא חבר תנועת נוער</t>
  </si>
  <si>
    <t>$AG$121</t>
  </si>
  <si>
    <t>יניב שפירא:
1 = בהחלט ברור
2 = ברור
3 = לא כ"כ ברור
4 = כלל לא ברור</t>
  </si>
  <si>
    <t>1 = בהחלט ברור
2 = ברור
3 = לא כ"כ ברור
4 = כלל לא ברור</t>
  </si>
  <si>
    <t>$AH$122</t>
  </si>
  <si>
    <t>$AG$123</t>
  </si>
  <si>
    <t>$AG$124</t>
  </si>
  <si>
    <t>יניב שפירא:
1 = צעירים
2 = מבוגרים
3 = אין קבוצת גיל מיוחדת</t>
  </si>
  <si>
    <t>1 = צעירים
2 = מבוגרים
3 = אין קבוצת גיל מיוחדת</t>
  </si>
  <si>
    <t>$AG$125</t>
  </si>
  <si>
    <t>יניב שפירא:
1 = צפון אפריקה + מזרח תיכון
2 = אירופה
3 = אין קבוצת מוצא מיוחדת</t>
  </si>
  <si>
    <t>1 = צפון אפריקה + מזרח תיכון
2 = אירופה
3 = אין קבוצת מוצא מיוחדת</t>
  </si>
  <si>
    <t>$AG$126</t>
  </si>
  <si>
    <t>יניב שפירא:
1 = פועלים
2 = סוחרים
3 = אנשי רוח
4 = אין קבוצת מקצוע מיוחדת</t>
  </si>
  <si>
    <t>1 = פועלים
2 = סוחרים
3 = אנשי רוח
4 = אין קבוצת מקצוע מיוחדת</t>
  </si>
  <si>
    <t>$AG$127</t>
  </si>
  <si>
    <t>$AG$128</t>
  </si>
  <si>
    <t>$AG$129</t>
  </si>
  <si>
    <t>$AG$130</t>
  </si>
  <si>
    <t>$AG$131</t>
  </si>
  <si>
    <t>$AG$132</t>
  </si>
  <si>
    <t>$AG$133</t>
  </si>
  <si>
    <t>יניב שפירא: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</si>
  <si>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</si>
  <si>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$AG$141</t>
  </si>
  <si>
    <t>$AG$142</t>
  </si>
  <si>
    <t>$AG$143</t>
  </si>
  <si>
    <t xml:space="preserve">יניב שפירא:
0 = 18-20
1 = 21-24
2 = 25-29
3 = 30-34
4 = 35-39
5 = 40-44
6 = 45-49
7 = 50-54
8 = 55-64
9 = 65+
</t>
  </si>
  <si>
    <t xml:space="preserve">0 = 18-20
1 = 21-24
2 = 25-29
3 = 30-34
4 = 35-39
5 = 40-44
6 = 45-49
7 = 50-54
8 = 55-64
9 = 65+
</t>
  </si>
  <si>
    <t>$AG$144</t>
  </si>
  <si>
    <t>$AG$145</t>
  </si>
  <si>
    <t>$AG$146</t>
  </si>
  <si>
    <t>יניב שפירא:
0 = 18-20
1 = 21-24
2 = 25-29
3 = 30-34
4 = 35-39
5 = 40-44
6 = 45-49
7 = 50-54
8 = 55-64
9 = 65+</t>
  </si>
  <si>
    <t>0 = 18-20
1 = 21-24
2 = 25-29
3 = 30-34
4 = 35-39
5 = 40-44
6 = 45-49
7 = 50-54
8 = 55-64
9 = 65+</t>
  </si>
  <si>
    <t>$AH$147</t>
  </si>
  <si>
    <t>$AH$148</t>
  </si>
  <si>
    <t>$AH$149</t>
  </si>
  <si>
    <t>יניב שפירא:
1 = בהחלט מסכים
2 = מסכים במידה מסוימת
3 = מסתייג
4 = בהחלט לא מסכים
5 = אין לי דעה</t>
  </si>
  <si>
    <t>1 = בהחלט מסכים
2 = מסכים במידה מסוימת
3 = מסתייג
4 = בהחלט לא מסכים
5 = אין לי דעה</t>
  </si>
  <si>
    <t>$C$150</t>
  </si>
  <si>
    <t>יניב שפירא:
1 = מודאג מאד
2 = מודאג
3 = לא מודאג
4 = בכלל לא מודאג</t>
  </si>
  <si>
    <t>1 = מודאג מאד
2 = מודאג
3 = לא מודאג
4 = בכלל לא מודאג</t>
  </si>
  <si>
    <t>עניין פוליטי</t>
  </si>
  <si>
    <t>יניב שפירא:
1 = בכלל לא
2 = במידה מועטה
3 = במידה מסוימת
4 = במידה רבה</t>
  </si>
  <si>
    <t>1 = בכלל לא
2 = במידה מועטה
3 = במידה מסוימת
4 = במידה רבה</t>
  </si>
  <si>
    <t>$P$2</t>
  </si>
  <si>
    <t>יניב שפירא:
הניסוח הוא:
"החלטות בעניינים בטחוניים"</t>
  </si>
  <si>
    <t>הניסוח הוא:
"החלטות בעניינים בטחוניים"</t>
  </si>
  <si>
    <t>$Z$2</t>
  </si>
  <si>
    <t>$D$3</t>
  </si>
  <si>
    <t>$P$3</t>
  </si>
  <si>
    <t>יניב שפירא:
1 = כמעט כל יום
2 = פעם/פעמיים בשבוע
3 = לעיתים רחוקות
4 = כלל לא</t>
  </si>
  <si>
    <t>1 = כמעט כל יום
2 = פעם/פעמיים בשבוע
3 = לעיתים רחוקות
4 = כלל לא</t>
  </si>
  <si>
    <t>$U$3</t>
  </si>
  <si>
    <t>יניב שפירא:
1 = במידה רבה
2 = במידה מסויימת
3 = במידה מועטה
4 = כלל לא</t>
  </si>
  <si>
    <t>1 = במידה רבה
2 = במידה מסויימת
3 = במידה מועטה
4 = כלל לא</t>
  </si>
  <si>
    <t>$AE$3</t>
  </si>
  <si>
    <t>יניב שפירא:
v8 = חברים
v11 = משפחה</t>
  </si>
  <si>
    <t>v8 = חברים
v11 = משפחה</t>
  </si>
  <si>
    <t>$P$4</t>
  </si>
  <si>
    <t>$Q$4</t>
  </si>
  <si>
    <t>$P$5</t>
  </si>
  <si>
    <t>יניב שפירא:
1 = לעיתים קרובות
2 = לפעמים
3 = לעיתים רחוקות
4 = אף פעם לא</t>
  </si>
  <si>
    <t>1 = לעיתים קרובות
2 = לפעמים
3 = לעיתים רחוקות
4 = אף פעם לא</t>
  </si>
  <si>
    <t>$AD$6</t>
  </si>
  <si>
    <t>$Q$8</t>
  </si>
  <si>
    <t>יניב שפירא: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</si>
  <si>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</si>
  <si>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$P$9</t>
  </si>
  <si>
    <t>יניב שפירא:
1 = אבא
2 = אמא
3 = אח/אחות
4 = בן/בת זוג
5 = ילדי
6 = אחר
7 = שני ההורים במידה שווה
8 = כל בני המשפחה במידה שווה
9 = אף אחד מהם</t>
  </si>
  <si>
    <t>1 = אבא
2 = אמא
3 = אח/אחות
4 = בן/בת זוג
5 = ילדי
6 = אחר
7 = שני ההורים במידה שווה
8 = כל בני המשפחה במידה שווה
9 = אף אחד מהם</t>
  </si>
  <si>
    <t>$P$10</t>
  </si>
  <si>
    <t>יניב שפירא:
1 = אבא
2 = אמא
3 = אח/אחות
4 = אחר
5 = שני ההורים במידה שווה
6 = כל בני הבית במידה שווה
7 = אף אחד מהם
8 = אני עדיין מתגורר בבית הורי</t>
  </si>
  <si>
    <t>1 = אבא
2 = אמא
3 = אח/אחות
4 = אחר
5 = שני ההורים במידה שווה
6 = כל בני הבית במידה שווה
7 = אף אחד מהם
8 = אני עדיין מתגורר בבית הורי</t>
  </si>
  <si>
    <t>$AE$11</t>
  </si>
  <si>
    <t>יניב שפירא:
1 = במידה רבה
2 = במידה מסוימת
3 = במידה מועטה
4 = כלל לא
5 = אב נפטר/לא חי איתו</t>
  </si>
  <si>
    <t>1 = במידה רבה
2 = במידה מסוימת
3 = במידה מועטה
4 = כלל לא
5 = אב נפטר/לא חי איתו</t>
  </si>
  <si>
    <t>$G$12</t>
  </si>
  <si>
    <t>יניב שפירא:
1 = לא אוהד ולא פעיל בשום מפלגה
2 = אוהד של מפלגה אך לא חבר בה
3 = חבר במפלגה
4 = חבר פעיל במפלגה
5 = חבר ובעל תפקיד במפלגה</t>
  </si>
  <si>
    <t>1 = לא אוהד ולא פעיל בשום מפלגה
2 = אוהד של מפלגה אך לא חבר בה
3 = חבר במפלגה
4 = חבר פעיל במפלגה
5 = חבר ובעל תפקיד במפלגה</t>
  </si>
  <si>
    <t>$T$12</t>
  </si>
  <si>
    <t>יניב שפירא:
1 = חבר ובעל תפקיד בשכר
2 = חבר ובעל תפקיד לא בשכר
3 = חבר ללא תפקיד
4 = אוהד אבל לא חבר
5 = לא אוהד במיוחד אף מפלגה</t>
  </si>
  <si>
    <t>1 = חבר ובעל תפקיד בשכר
2 = חבר ובעל תפקיד לא בשכר
3 = חבר ללא תפקיד
4 = אוהד אבל לא חבר
5 = לא אוהד במיוחד אף מפלגה</t>
  </si>
  <si>
    <t>$V$13</t>
  </si>
  <si>
    <t>יניב שפירא:
1 = כן, לעיתים קרובות
2 = כן, לעיתים רחוקות
3 = אף פעם לא</t>
  </si>
  <si>
    <t>1 = כן, לעיתים קרובות
2 = כן, לעיתים רחוקות
3 = אף פעם לא</t>
  </si>
  <si>
    <t>$AE$13</t>
  </si>
  <si>
    <t>יניב שפירא:
1 = לעתים קרובות
2 = לעתים רחוקות
3 = אף פעם
4 = עדיין לא הצביע</t>
  </si>
  <si>
    <t>1 = לעתים קרובות
2 = לעתים רחוקות
3 = אף פעם
4 = עדיין לא הצביע</t>
  </si>
  <si>
    <t>$V$14</t>
  </si>
  <si>
    <t>$AD$14</t>
  </si>
  <si>
    <t>$AH$14</t>
  </si>
  <si>
    <t>יניב שפירא:
1 = לעיתים קרובות
2 = לעיתים רחוקות
3 = אף פעם לא</t>
  </si>
  <si>
    <t>1 = לעיתים קרובות
2 = לעיתים רחוקות
3 = אף פעם לא</t>
  </si>
  <si>
    <t>$AH$15</t>
  </si>
  <si>
    <t>$AB$16</t>
  </si>
  <si>
    <t>$AB$17</t>
  </si>
  <si>
    <t>יניב שפירא:
1 = מאוד פעיל
2 = פעיל 
3 = לא כ"כ פעיל
4 = בכלל לא פעיל</t>
  </si>
  <si>
    <t>1 = מאוד פעיל
2 = פעיל 
3 = לא כ"כ פעיל
4 = בכלל לא פעיל</t>
  </si>
  <si>
    <t>$AD$18</t>
  </si>
  <si>
    <t>יניב שפירא:
1 = הרבה יותר
2 = יותר
3 = פחות
4 = הרבה פחות</t>
  </si>
  <si>
    <t>1 = הרבה יותר
2 = יותר
3 = פחות
4 = הרבה פחות</t>
  </si>
  <si>
    <t>$AD$19</t>
  </si>
  <si>
    <t>$AD$22</t>
  </si>
  <si>
    <t>$AD$23</t>
  </si>
  <si>
    <t>$AE$24</t>
  </si>
  <si>
    <t>יניב שפירא:
1 = לעיתים קרובות
2 = לעיתים רחוקות
3 = אף פעם</t>
  </si>
  <si>
    <t>1 = לעיתים קרובות
2 = לעיתים רחוקות
3 = אף פעם</t>
  </si>
  <si>
    <t>$AD$25</t>
  </si>
  <si>
    <t>יניב שפירא:
1 = פעיל מאוד
2 = פעיל
3 = לא כ"כ פעיל
4 = לא פעיל כלל</t>
  </si>
  <si>
    <t>1 = פעיל מאוד
2 = פעיל
3 = לא כ"כ פעיל
4 = לא פעיל כלל</t>
  </si>
  <si>
    <t>$AD$27</t>
  </si>
  <si>
    <t>$AB$28</t>
  </si>
  <si>
    <t>$AD$29</t>
  </si>
  <si>
    <t>$AE$30</t>
  </si>
  <si>
    <t>יניב שפירא:
1 = במידה רבה
2 = במידה מסוימת
3 = במידה מועטה
4 = לא התעניין
5 = אב נפטר/לא חי איתו</t>
  </si>
  <si>
    <t>1 = במידה רבה
2 = במידה מסוימת
3 = במידה מועטה
4 = לא התעניין
5 = אב נפטר/לא חי איתו</t>
  </si>
  <si>
    <t>$AE$31</t>
  </si>
  <si>
    <t>יניב שפירא:
1 = מאוד מתעניין
2 = מתעניין
3 = לא כ"כ מתעניין
4 = כלל לא מתעניין</t>
  </si>
  <si>
    <t>1 = מאוד מתעניין
2 = מתעניין
3 = לא כ"כ מתעניין
4 = כלל לא מתעניין</t>
  </si>
  <si>
    <t>$AG$32</t>
  </si>
  <si>
    <t>$AE$33</t>
  </si>
  <si>
    <t>יניב שפירא:
1 = מאד מתעניין
2 = מתעניין
3 = לא כ"כ מתעניין
4 = בכלל לא מתעניין</t>
  </si>
  <si>
    <t>1 = מאד מתעניין
2 = מתעניין
3 = לא כ"כ מתעניין
4 = בכלל לא מתעניין</t>
  </si>
  <si>
    <t>$AH$33</t>
  </si>
  <si>
    <t>יניב שפירא:
1 = מאוד מתעניין
2 = מתעניין
3 = לא כ"כ מתעניין
4 = לא מתעניין כלל</t>
  </si>
  <si>
    <t>1 = מאוד מתעניין
2 = מתעניין
3 = לא כ"כ מתעניין
4 = לא מתעניין כלל</t>
  </si>
  <si>
    <t>$AG$35</t>
  </si>
  <si>
    <t>$AH$36</t>
  </si>
  <si>
    <t>יניב שפירא:
1 = צריך במידה רבה
2 = צריך במידה מסוימת
3 = צריך במידה מועטה
4 = לא צריך כלל</t>
  </si>
  <si>
    <t>1 = צריך במידה רבה
2 = צריך במידה מסוימת
3 = צריך במידה מועטה
4 = לא צריך כלל</t>
  </si>
  <si>
    <t>$AH$37</t>
  </si>
  <si>
    <t>$AH$38</t>
  </si>
  <si>
    <t>$AH$39</t>
  </si>
  <si>
    <t>$AH$40</t>
  </si>
  <si>
    <t>$AH$41</t>
  </si>
  <si>
    <t>יניב שפירא:
1 = לעיתים קרובות מאוד
2 = לפעמים
3 = לעיתים רחוקות
4 = לא משוחח כלל</t>
  </si>
  <si>
    <t>1 = לעיתים קרובות מאוד
2 = לפעמים
3 = לעיתים רחוקות
4 = לא משוחח כלל</t>
  </si>
  <si>
    <t>$AH$44</t>
  </si>
  <si>
    <t>יניב שפירא:
1 = בדר"כ כן
2 = לפעמים כן לפעמים לא
3 = בדר"כ לא
4 = לא מקבל אינפורמציה</t>
  </si>
  <si>
    <t>1 = בדר"כ כן
2 = לפעמים כן לפעמים לא
3 = בדר"כ לא
4 = לא מקבל אינפורמציה</t>
  </si>
  <si>
    <t>$N$45</t>
  </si>
  <si>
    <t>יניב שפירא:
1 = אף פעם
2 = פעם או פעמיים
3 = שלוש פעמים או יותר</t>
  </si>
  <si>
    <t>1 = אף פעם
2 = פעם או פעמיים
3 = שלוש פעמים או יותר</t>
  </si>
  <si>
    <t>$N$46</t>
  </si>
  <si>
    <t>$C$47</t>
  </si>
  <si>
    <t>יניב שפירא:
1 = לא השתתף
2 = השתתף פעם אחת
3 = 2-3 פעמים
4 = פעם בחודש
5 = פעם בשבוע או יותר</t>
  </si>
  <si>
    <t>1 = לא השתתף
2 = השתתף פעם אחת
3 = 2-3 פעמים
4 = פעם בחודש
5 = פעם בשבוע או יותר</t>
  </si>
  <si>
    <t>ימין-שמאל</t>
  </si>
  <si>
    <t>יניב שפירא:
שאלה פתוחה, יש עד 3 תשובות לכל נבדק:
E8A_after_~1
E8A_after_~2
E8A_after_~3</t>
  </si>
  <si>
    <t>שאלה פתוחה, יש עד 3 תשובות לכל נבדק:
E8A_after_~1
E8A_after_~2
E8A_after_~3</t>
  </si>
  <si>
    <t>$G$2</t>
  </si>
  <si>
    <t>יניב שפירא:
שלוש תשובות מקודדות:
after_v13b_1_1
after_v13b_1_2
after_v13b_1_3</t>
  </si>
  <si>
    <t>שלוש תשובות מקודדות:
after_v13b_1_1
after_v13b_1_2
after_v13b_1_3</t>
  </si>
  <si>
    <t>יניב שפירא:
שאלה פתוחה, יש עד 3 תשובות לכל נבדק:
E8B_after_~1
E8B_after_~2
E8B_after_~3</t>
  </si>
  <si>
    <t>שאלה פתוחה, יש עד 3 תשובות לכל נבדק:
E8B_after_~1
E8B_after_~2
E8B_after_~3</t>
  </si>
  <si>
    <t>$G$3</t>
  </si>
  <si>
    <t>יניב שפירא:
שלוש תשובות מקודדות:
after_v13b_2_1
after_v13b_2_2
after_v13b_2_3</t>
  </si>
  <si>
    <t>שלוש תשובות מקודדות:
after_v13b_2_1
after_v13b_2_2
after_v13b_2_3</t>
  </si>
  <si>
    <t>adi:
1 = שמאל
2 = שמאל מתון
3 = מרכז
4 = ימין מתון
5 = ימין</t>
  </si>
  <si>
    <t>1 = שמאל
2 = שמאל מתון
3 = מרכז
4 = ימין מתון
5 = ימין</t>
  </si>
  <si>
    <t>יניב שפירא:
1 = שמאל
2 = שמאל מתון
3 = מרכז
4 = ימין מתון
5 = ימין
6 = הזרם הדתי
7 = לא מזדהה עם אף גורם</t>
  </si>
  <si>
    <t>1 = שמאל
2 = שמאל מתון
3 = מרכז
4 = ימין מתון
5 = ימין
6 = הזרם הדתי
7 = לא מזדהה עם אף גורם</t>
  </si>
  <si>
    <t>$U$4</t>
  </si>
  <si>
    <t>יניב שפירא:
1 = שמאל
2 = שמאל מתון
3 = מרכז
4 = ימין מתון
5 = הזרם הדתי
6 = אף זרם</t>
  </si>
  <si>
    <t>1 = שמאל
2 = שמאל מתון
3 = מרכז
4 = ימין מתון
5 = הזרם הדתי
6 = אף זרם</t>
  </si>
  <si>
    <t>$D$5</t>
  </si>
  <si>
    <t>יניב שפירא:
1-7
1 = ימין מלא
7 = שמאל מלא</t>
  </si>
  <si>
    <t>1-7
1 = ימין מלא
7 = שמאל מלא</t>
  </si>
  <si>
    <t>$A$6</t>
  </si>
  <si>
    <t>יניב שפירא:
מי שדירג עצמו "4"
בשאלה של ימין-שמאל</t>
  </si>
  <si>
    <t>מי שדירג עצמו "4"
בשאלה של ימין-שמאל</t>
  </si>
  <si>
    <t>$M$6</t>
  </si>
  <si>
    <t>יניב שפירא:
1 = למחנה הימין
2 = למחנה השמאל
3 = לכל כיוון
4 = לא עובר</t>
  </si>
  <si>
    <t>1 = למחנה הימין
2 = למחנה השמאל
3 = לכל כיוון
4 = לא עובר</t>
  </si>
  <si>
    <t>$A$7</t>
  </si>
  <si>
    <t>יניב שפירא:
כל מי שלא דירג עצמו "4" בשאלה של ימין-שמאל</t>
  </si>
  <si>
    <t>כל מי שלא דירג עצמו "4" בשאלה של ימין-שמאל</t>
  </si>
  <si>
    <t>$M$7</t>
  </si>
  <si>
    <t>יניב שפירא:
1 = כן בקלות
2 = חושב שכן
3 = חושב שלא
4 = בשום אופן לא</t>
  </si>
  <si>
    <t>1 = כן בקלות
2 = חושב שכן
3 = חושב שלא
4 = בשום אופן לא</t>
  </si>
  <si>
    <t>יניב שפירא:
סולם 0-10
0 = שמאל מלא
10 = ימין מלא</t>
  </si>
  <si>
    <t>סולם 0-10
0 = שמאל מלא
10 = ימין מלא</t>
  </si>
  <si>
    <t>$H$9</t>
  </si>
  <si>
    <t>יניב שפירא:
סולם 0-10
0 = שמאלי (יוני)
10 = ימני (נצי)</t>
  </si>
  <si>
    <t>סולם 0-10
0 = שמאלי (יוני)
10 = ימני (נצי)</t>
  </si>
  <si>
    <t>יניב שפירא:
סולם 1-7
1 = נץ
7 = יונה</t>
  </si>
  <si>
    <t>סולם 1-7
1 = נץ
7 = יונה</t>
  </si>
  <si>
    <t>$S$10</t>
  </si>
  <si>
    <t>יניב שפירא:
סולם 1-7
1 = ימין
7 = שמאל</t>
  </si>
  <si>
    <t>סולם 1-7
1 = ימין
7 = שמאל</t>
  </si>
  <si>
    <t>$F$12</t>
  </si>
  <si>
    <t>יניב שפירא:
1 = מאד חשובה
2 = די חשובה
3 = לא כ"כ חשובה
4 = כלל לא חשובה</t>
  </si>
  <si>
    <t>1 = מאד חשובה
2 = די חשובה
3 = לא כ"כ חשובה
4 = כלל לא חשובה</t>
  </si>
  <si>
    <t>$F$13</t>
  </si>
  <si>
    <t>יניב שפירא:
1 = כלל לא מסכים
2 = לא כ"כ מסכים
3 = די מסכים
4 = מסכים מאד</t>
  </si>
  <si>
    <t>1 = כלל לא מסכים
2 = לא כ"כ מסכים
3 = די מסכים
4 = מסכים מאד</t>
  </si>
  <si>
    <t>$G$16</t>
  </si>
  <si>
    <t>יניב שפירא:
שלוש תשובות מקודדות:
after_v13a_1
after_v13a_2
after_v13a_3</t>
  </si>
  <si>
    <t>שלוש תשובות מקודדות:
after_v13a_1
after_v13a_2
after_v13a_3</t>
  </si>
  <si>
    <t>$S$17</t>
  </si>
  <si>
    <t>יניב שפירא:
1 = הבדלים גדולים מאד
2 = הבדלים גדולים
3 = הבדלים מסוימים
4 = הבדלים קטנים
5 = הבדלים קטנים מאד
6 = אין הבדלים</t>
  </si>
  <si>
    <t>1 = הבדלים גדולים מאד
2 = הבדלים גדולים
3 = הבדלים מסוימים
4 = הבדלים קטנים
5 = הבדלים קטנים מאד
6 = אין הבדלים</t>
  </si>
  <si>
    <t>$AD$17</t>
  </si>
  <si>
    <t>יניב שפירא:
c54  = בעיה ראשונה
c55 = בעיה שנייה</t>
  </si>
  <si>
    <t>c54  = בעיה ראשונה
c55 = בעיה שנייה</t>
  </si>
  <si>
    <t>$AE$17</t>
  </si>
  <si>
    <t>יניב שפירא:
v30 בעיה ראשונה
v31 בעיה שנייה</t>
  </si>
  <si>
    <t>v30 בעיה ראשונה
v31 בעיה שנייה</t>
  </si>
  <si>
    <t>$Z$18</t>
  </si>
  <si>
    <t>יניב שפירא:
1 = ברור מאד
2 = ברור
3 = לא כ"כ ברור
4 = כלל לא ברור</t>
  </si>
  <si>
    <t>1 = ברור מאד
2 = ברור
3 = לא כ"כ ברור
4 = כלל לא ברור</t>
  </si>
  <si>
    <t>$B$19</t>
  </si>
  <si>
    <t>adi:
יהודים בלבד</t>
  </si>
  <si>
    <t>$F$19</t>
  </si>
  <si>
    <t>יניב שפירא:
1 = כמעט ואין הבדלים
2 = הבדלים קטנים
3 = הבדלים מסוימים
4 = הבדלים גדולים
5 = הבדלים גדולים מאד</t>
  </si>
  <si>
    <t>1 = כמעט ואין הבדלים
2 = הבדלים קטנים
3 = הבדלים מסוימים
4 = הבדלים גדולים
5 = הבדלים גדולים מאד</t>
  </si>
  <si>
    <t>$H$20</t>
  </si>
  <si>
    <t>יניב שפירא:
1 = הבדלים גדולים מאוד
2 = הבדלים גדולים
3 = הבדלים מסוימים
4 = הבדלים קטנים
5 = הבדלים קטנים מאוד</t>
  </si>
  <si>
    <t>1 = הבדלים גדולים מאוד
2 = הבדלים גדולים
3 = הבדלים מסוימים
4 = הבדלים קטנים
5 = הבדלים קטנים מאוד</t>
  </si>
  <si>
    <t>$L$20</t>
  </si>
  <si>
    <t>יניב שפירא:
1 = כמעט ואין הבדלים
2 = הבדלים קטנים
3 = הבדלים מסויימים
4 = הבדלים גדולים
5 = הבדלים גדולים מאד</t>
  </si>
  <si>
    <t>1 = כמעט ואין הבדלים
2 = הבדלים קטנים
3 = הבדלים מסויימים
4 = הבדלים גדולים
5 = הבדלים גדולים מאד</t>
  </si>
  <si>
    <t>יניב שפירא:
1 = הבדלים גדולים מאד
2 = הבדלים גדולים
3 = הבדלים מסויימים
4 = הבדלים קטנים
5 = כמעט ואין הבדלים</t>
  </si>
  <si>
    <t>1 = הבדלים גדולים מאד
2 = הבדלים גדולים
3 = הבדלים מסויימים
4 = הבדלים קטנים
5 = כמעט ואין הבדלים</t>
  </si>
  <si>
    <t>$V$20</t>
  </si>
  <si>
    <t>יניב שפירא:
1 = הבדלים גדולים מאד
2 = הבדלים קטנים
3 = הבדלים מסויימים
4 = הבדלים קטנים
5 = הבדלים קטנים מאד
6 = אין הבדל</t>
  </si>
  <si>
    <t>1 = הבדלים גדולים מאד
2 = הבדלים קטנים
3 = הבדלים מסויימים
4 = הבדלים קטנים
5 = הבדלים קטנים מאד
6 = אין הבדל</t>
  </si>
  <si>
    <t>$H$21</t>
  </si>
  <si>
    <t>$H$22</t>
  </si>
  <si>
    <t>$B$23</t>
  </si>
  <si>
    <t>$L$23</t>
  </si>
  <si>
    <t>יניב שפירא:
הניסוח הוא:
"הסכם עם הפלסטינים"</t>
  </si>
  <si>
    <t>הניסוח הוא:
"הסכם עם הפלסטינים"</t>
  </si>
  <si>
    <t>$S$23</t>
  </si>
  <si>
    <t>$V$23</t>
  </si>
  <si>
    <t>$AE$23</t>
  </si>
  <si>
    <t>יניב שפירא:
1 = בהחלט קיימים
2 = קיימים
3 = אולי קיימים
4 = לא קיימים</t>
  </si>
  <si>
    <t>1 = בהחלט קיימים
2 = קיימים
3 = אולי קיימים
4 = לא קיימים</t>
  </si>
  <si>
    <t>$B$24</t>
  </si>
  <si>
    <t>$P$24</t>
  </si>
  <si>
    <t>יניב שפירא:
1 = רחוקות במידה רבה מאד
2 = רחוקות במידה רבה
3 = בחלקן קרובות ובחלקן רחוקות
4 = העמדות למעדה קרובות
5 = העמדות קרובות מאד</t>
  </si>
  <si>
    <t>1 = רחוקות במידה רבה מאד
2 = רחוקות במידה רבה
3 = בחלקן קרובות ובחלקן רחוקות
4 = העמדות למעדה קרובות
5 = העמדות קרובות מאד</t>
  </si>
  <si>
    <t>$T$24</t>
  </si>
  <si>
    <t>$AB$24</t>
  </si>
  <si>
    <t>יניב שפירא:
1 = הבדל גדול מאוד
2 = הבדל גדול
3 = הבדל קטן
4 = אין הבדל כלל</t>
  </si>
  <si>
    <t>1 = הבדל גדול מאוד
2 = הבדל גדול
3 = הבדל קטן
4 = אין הבדל כלל</t>
  </si>
  <si>
    <t>$H$26</t>
  </si>
  <si>
    <t>$I$30</t>
  </si>
  <si>
    <t>$C$34</t>
  </si>
  <si>
    <t>יניב שפירא:
הציונות הדתית</t>
  </si>
  <si>
    <t>partyChange</t>
  </si>
  <si>
    <t>הציונות הדתית</t>
  </si>
  <si>
    <t>$J$34</t>
  </si>
  <si>
    <t>יניב שפירא:
המפד"ל-האיחוד הלאומי</t>
  </si>
  <si>
    <t>המפד"ל-האיחוד הלאומי</t>
  </si>
  <si>
    <t>$B$37</t>
  </si>
  <si>
    <t>adi:
המחנה הממלכתי, איחוד עם תקווה חדשה</t>
  </si>
  <si>
    <t>המחנה הממלכתי, איחוד עם תקווה חדשה</t>
  </si>
  <si>
    <t>$B$42</t>
  </si>
  <si>
    <t>adi:
חד"ש תע"ל</t>
  </si>
  <si>
    <t>חד"ש תע"ל</t>
  </si>
  <si>
    <t>$M$44</t>
  </si>
  <si>
    <t>יניב שפירא:
1 = בטוח שכן
2 = חושב שכן
3 = חושב שלא
4 = בטוח שלא</t>
  </si>
  <si>
    <t>1 = בטוח שכן
2 = חושב שכן
3 = חושב שלא
4 = בטוח שלא</t>
  </si>
  <si>
    <t>$T$45</t>
  </si>
  <si>
    <t>יניב שפירא:
1 = ההבדלים הם "במה שהם אומרים"
2 = ההבדלים הם "במה שהם עושים"
3 = ההבדלים הם בשניהם
4 = אין הבדלים</t>
  </si>
  <si>
    <t>1 = ההבדלים הם "במה שהם אומרים"
2 = ההבדלים הם "במה שהם עושים"
3 = ההבדלים הם בשניהם
4 = אין הבדלים</t>
  </si>
  <si>
    <t>$AD$45</t>
  </si>
  <si>
    <t>יניב שפירא:
1 = ההבדלים בעיקר בדיבורים ולא במעשים
2 = ההבדלים בעיקר במעשים ולא בדיבורים
3 = יש הבדלים גם בדיבורים וגם במעשים
9 = אין הבדלים כלל</t>
  </si>
  <si>
    <t>1 = ההבדלים בעיקר בדיבורים ולא במעשים
2 = ההבדלים בעיקר במעשים ולא בדיבורים
3 = יש הבדלים גם בדיבורים וגם במעשים
9 = אין הבדלים כלל</t>
  </si>
  <si>
    <t>$T$46</t>
  </si>
  <si>
    <t>יניב שפירא:
1 = ניצית במידה רבה
2 = ניצית
3 = לא ניצית ולא יונית
4 = יונית
5 = יונית במידה רבה</t>
  </si>
  <si>
    <t>1 = ניצית במידה רבה
2 = ניצית
3 = לא ניצית ולא יונית
4 = יונית
5 = יונית במידה רבה</t>
  </si>
  <si>
    <t>$T$48</t>
  </si>
  <si>
    <t>יניב שפירא:
1 = כן בהחלט
2 = חושב שכן
3 = ככה ככה
4 = חושב שלא
5 = בהחלט לא</t>
  </si>
  <si>
    <t>1 = כן בהחלט
2 = חושב שכן
3 = ככה ככה
4 = חושב שלא
5 = בהחלט לא</t>
  </si>
  <si>
    <t>$Z$49</t>
  </si>
  <si>
    <t>יניב שפירא:
1 = ברור מאוד
2 = ברור
3 = לא כ"כ ברור
4 = לא ברור כלל</t>
  </si>
  <si>
    <t>1 = ברור מאוד
2 = ברור
3 = לא כ"כ ברור
4 = לא ברור כלל</t>
  </si>
  <si>
    <t>$AG$49</t>
  </si>
  <si>
    <t>יניב שפירא:
1 = ברור מאוד
2 = ברור
3 = לא כ"כ ברור
4 = לא ברור כללי
5 = אין הבדל
6 = אין תשובה</t>
  </si>
  <si>
    <t>1 = ברור מאוד
2 = ברור
3 = לא כ"כ ברור
4 = לא ברור כללי
5 = אין הבדל
6 = אין תשובה</t>
  </si>
  <si>
    <t>$AB$52</t>
  </si>
  <si>
    <t>$AD$53</t>
  </si>
  <si>
    <t>$AD$54</t>
  </si>
  <si>
    <t>יניב שפירא:
1 = הבדלים גדולים מאד
2 = הבדלים גדולים
3 = הבדלים קטנים
4 = הבדלים קטנים מאד
5 = אין הבדלים כלל</t>
  </si>
  <si>
    <t>1 = הבדלים גדולים מאד
2 = הבדלים גדולים
3 = הבדלים קטנים
4 = הבדלים קטנים מאד
5 = אין הבדלים כלל</t>
  </si>
  <si>
    <t>$AD$55</t>
  </si>
  <si>
    <t>יניב שפירא:
1 = שמאלי
2 = ימני
3 = מרכזי
4 = לא הבין את השאלה</t>
  </si>
  <si>
    <t>1 = שמאלי
2 = ימני
3 = מרכזי
4 = לא הבין את השאלה</t>
  </si>
  <si>
    <t>זיקה רגשית</t>
  </si>
  <si>
    <t>יניב שפירא:
0-10
0 = דחייה/שנאה
10 = תמיכה/אהדה</t>
  </si>
  <si>
    <t>0-10
0 = דחייה/שנאה
10 = תמיכה/אהדה</t>
  </si>
  <si>
    <t>$H$2</t>
  </si>
  <si>
    <t>יניב שפירא:
בבחירות האלו - 
הליכוד-ישראל ביתנו</t>
  </si>
  <si>
    <t>בבחירות האלו - 
הליכוד-ישראל ביתנו</t>
  </si>
  <si>
    <t>$K$2</t>
  </si>
  <si>
    <t>יניב שפירא:
סולם 1-10</t>
  </si>
  <si>
    <t>סולם 1-10</t>
  </si>
  <si>
    <t>$O$2</t>
  </si>
  <si>
    <t>יניב שפירא:
סולם 1-10
1 = שנאה
10 = אהדה</t>
  </si>
  <si>
    <t>סולם 1-10
1 = שנאה
10 = אהדה</t>
  </si>
  <si>
    <t>$A$4</t>
  </si>
  <si>
    <t>יניב שפירא:
רק מגזר יהודי</t>
  </si>
  <si>
    <t>רק מגזר יהודי</t>
  </si>
  <si>
    <t>$D$7</t>
  </si>
  <si>
    <t>יניב שפירא:
העבודה-גשר-מרצ</t>
  </si>
  <si>
    <t>העבודה-גשר-מרצ</t>
  </si>
  <si>
    <t>$E$7</t>
  </si>
  <si>
    <t>יניב שפירא:
העבודה-גשר</t>
  </si>
  <si>
    <t>העבודה-גשר</t>
  </si>
  <si>
    <t>$G$7</t>
  </si>
  <si>
    <t>יניב שפירא:
בבחירות האלו
המחנה הציוני</t>
  </si>
  <si>
    <t>בבחירות האלו
המחנה הציוני</t>
  </si>
  <si>
    <t>$A$10</t>
  </si>
  <si>
    <t>יניב שפירא:
בבחירות 2015 התאחדו עם העבודה ויצרו את
"המחנה הציוני"</t>
  </si>
  <si>
    <t>בבחירות 2015 התאחדו עם העבודה ויצרו את
"המחנה הציוני"</t>
  </si>
  <si>
    <t>$E$11</t>
  </si>
  <si>
    <t>יניב שפירא:
המחנה הדמוקרטי
(עם שפיר וברק)</t>
  </si>
  <si>
    <t>המחנה הדמוקרטי
(עם שפיר וברק)</t>
  </si>
  <si>
    <t>יניב שפירא:
רק מגזר יהודי!</t>
  </si>
  <si>
    <t>רק מגזר יהודי!</t>
  </si>
  <si>
    <t>$A$13</t>
  </si>
  <si>
    <t>adi:
יחס עם עוצמה יהודית</t>
  </si>
  <si>
    <t>יחס עם עוצמה יהודית</t>
  </si>
  <si>
    <t>$C$14</t>
  </si>
  <si>
    <t>$J$14</t>
  </si>
  <si>
    <t>יניב שפירא:
מפד"ל-האיחוד הלאומי</t>
  </si>
  <si>
    <t>מפד"ל-האיחוד הלאומי</t>
  </si>
  <si>
    <t>$A$15</t>
  </si>
  <si>
    <t>יניב שפירא:
רק מגזר יהודי!
בחירות 2013 רצו עם הליכוד</t>
  </si>
  <si>
    <t>רק מגזר יהודי!
בחירות 2013 רצו עם הליכוד</t>
  </si>
  <si>
    <t>$K$15</t>
  </si>
  <si>
    <t>יניב שפירא:
האיחוד הלאומי</t>
  </si>
  <si>
    <t>האיחוד הלאומי</t>
  </si>
  <si>
    <t>$A$16</t>
  </si>
  <si>
    <t>$B$21</t>
  </si>
  <si>
    <t xml:space="preserve">adi:
חד"ש תע"ל
</t>
  </si>
  <si>
    <t xml:space="preserve">חד"ש תע"ל
</t>
  </si>
  <si>
    <t>$F$21</t>
  </si>
  <si>
    <t>יניב שפירא:
רק חד"ש-תע"ל</t>
  </si>
  <si>
    <t>רק חד"ש-תע"ל</t>
  </si>
  <si>
    <t>$A$22</t>
  </si>
  <si>
    <t>יניב שפירא:
רק ערבים</t>
  </si>
  <si>
    <t>רק ערבים</t>
  </si>
  <si>
    <t>$A$23</t>
  </si>
  <si>
    <t>$A$24</t>
  </si>
  <si>
    <t>יניב שפירא:
ערבים בלבד</t>
  </si>
  <si>
    <t>ערבים בלבד</t>
  </si>
  <si>
    <t>$A$25</t>
  </si>
  <si>
    <t>$C$28</t>
  </si>
  <si>
    <t>יניב שפירא:
סולם 0-10
0 = שנאה
10 = אהדה</t>
  </si>
  <si>
    <t>סולם 0-10
0 = שנאה
10 = אהדה</t>
  </si>
  <si>
    <t>יניב שפירא:
0-10
0 = דחייה ושנאה
10 = תמיכה ואהדה
95 = לא יכול להכליל</t>
  </si>
  <si>
    <t>0-10
0 = דחייה ושנאה
10 = תמיכה ואהדה
95 = לא יכול להכליל</t>
  </si>
  <si>
    <t>$C$35</t>
  </si>
  <si>
    <t>יניב שפירא:
רק ליהודים</t>
  </si>
  <si>
    <t>רק ליהודים</t>
  </si>
  <si>
    <t>$K$35</t>
  </si>
  <si>
    <t>$L$36</t>
  </si>
  <si>
    <t>יניב שפירא:
סולם 1-10
1 = סלידה
10 = אהדה</t>
  </si>
  <si>
    <t>סולם 1-10
1 = סלידה
10 = אהדה</t>
  </si>
  <si>
    <t>$D$45</t>
  </si>
  <si>
    <t>יניב שפירא:
0-10
0 = דחייה ושנאה
10 = תמיכה ואהדה</t>
  </si>
  <si>
    <t>0-10
0 = דחייה ושנאה
10 = תמיכה ואהדה</t>
  </si>
  <si>
    <t>$A$55</t>
  </si>
  <si>
    <t>יניב שפירא:
ליהודים בלבד</t>
  </si>
  <si>
    <t>ליהודים בלבד</t>
  </si>
  <si>
    <t>$A$67</t>
  </si>
  <si>
    <t>יניב שפירא:
מגזר יהודי בלבד</t>
  </si>
  <si>
    <t>מגזר יהודי בלבד</t>
  </si>
  <si>
    <t>$A$68</t>
  </si>
  <si>
    <t>$A$69</t>
  </si>
  <si>
    <t>$A$71</t>
  </si>
  <si>
    <t>$A$77</t>
  </si>
  <si>
    <t>$A$78</t>
  </si>
  <si>
    <t>$A$79</t>
  </si>
  <si>
    <t>$A$81</t>
  </si>
  <si>
    <t>יניב שפירא:
לערבים בלבד</t>
  </si>
  <si>
    <t>לערבים בלבד</t>
  </si>
  <si>
    <t>$A$82</t>
  </si>
  <si>
    <t>$A$83</t>
  </si>
  <si>
    <t>$A$84</t>
  </si>
  <si>
    <t>$A$85</t>
  </si>
  <si>
    <t>$A$86</t>
  </si>
  <si>
    <t>$A$87</t>
  </si>
  <si>
    <t>$A$88</t>
  </si>
  <si>
    <t>$A$89</t>
  </si>
  <si>
    <t>$A$90</t>
  </si>
  <si>
    <t>$L$92</t>
  </si>
  <si>
    <t>$F$94</t>
  </si>
  <si>
    <t>יניב שפירא:
1 = כלל לא חשובה
2 = לא כ"כ חשובה
3 = די חשובה
4 = חשובה מאד</t>
  </si>
  <si>
    <t>1 = כלל לא חשובה
2 = לא כ"כ חשובה
3 = די חשובה
4 = חשובה מאד</t>
  </si>
  <si>
    <t>$F$95</t>
  </si>
  <si>
    <t>יניב שפירא:
1 = כלל לא מסכים
2 = לא כ"כ מסכים
3 = די מסכים
4 = מאד מסכים</t>
  </si>
  <si>
    <t>1 = כלל לא מסכים
2 = לא כ"כ מסכים
3 = די מסכים
4 = מאד מסכים</t>
  </si>
  <si>
    <t>$F$98</t>
  </si>
  <si>
    <t>יניב שפירא:
1 = בכלל לא גאה
2 = לא גאה
3 = גאה
4 = גאה מאד</t>
  </si>
  <si>
    <t>1 = בכלל לא גאה
2 = לא גאה
3 = גאה
4 = גאה מאד</t>
  </si>
  <si>
    <t>$G$99</t>
  </si>
  <si>
    <t>יניב שפירא:
1 = בכלל לא חשוב
2 = חשוב במידה מועטה
3 = די חשוב
4 = חשוב מאד</t>
  </si>
  <si>
    <t>1 = בכלל לא חשוב
2 = חשוב במידה מועטה
3 = די חשוב
4 = חשוב מאד</t>
  </si>
  <si>
    <t>$G$100</t>
  </si>
  <si>
    <t>יניב שפירא:
1 = בהחלט לא נכון
2 = לא נכון
3 = נכון
4 = נכון בהחלט</t>
  </si>
  <si>
    <t>1 = בהחלט לא נכון
2 = לא נכון
3 = נכון
4 = נכון בהחלט</t>
  </si>
  <si>
    <t>$E$106</t>
  </si>
  <si>
    <t>יניב שפירא:
1 = בהחלט לא ראוי
2 = לא ראוי
3 = ככה-ככה
4 = ראוי
5 = בהחלט ראוי</t>
  </si>
  <si>
    <t>1 = בהחלט לא ראוי
2 = לא ראוי
3 = ככה-ככה
4 = ראוי
5 = בהחלט ראוי</t>
  </si>
  <si>
    <t>$E$111</t>
  </si>
  <si>
    <t>יניב שפירא:
1 = בכלל לא
2 = במידה מועטה
3 = במידה בינונית
4 = במידה רבה
5 = במידה רבה מאוד</t>
  </si>
  <si>
    <t>1 = בכלל לא
2 = במידה מועטה
3 = במידה בינונית
4 = במידה רבה
5 = במידה רבה מאוד</t>
  </si>
  <si>
    <t>$L$115</t>
  </si>
  <si>
    <t>$Q$141</t>
  </si>
  <si>
    <t>יניב שפירא: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</si>
  <si>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</si>
  <si>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$V$142</t>
  </si>
  <si>
    <t>יניב שפירא:
1 = מפלגה חזקה מושכת אותי ביותר
2 = מפלגה חזקה מושכת אותי פחות או יותר
3 = מפלגה שמזהירה מושכת אותי פחות או יותר
4 = מפלגה שמזהירה מושכת אותי ביותר</t>
  </si>
  <si>
    <t>1 = מפלגה חזקה מושכת אותי ביותר
2 = מפלגה חזקה מושכת אותי פחות או יותר
3 = מפלגה שמזהירה מושכת אותי פחות או יותר
4 = מפלגה שמזהירה מושכת אותי ביותר</t>
  </si>
  <si>
    <t>$AA$143</t>
  </si>
  <si>
    <t>יניב שפירא: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</si>
  <si>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</si>
  <si>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$AC$149</t>
  </si>
  <si>
    <t>יניב שפירא:
1 = דעתי הייתה חיובית ונשארה חיובית
2 = דעתי הייתה שלילית ונשארה שלילית
3 = דעתי הייתה חיובית והפכה שלילית
4 = דעתי הייתה שלילית והפכה חיובית</t>
  </si>
  <si>
    <t>1 = דעתי הייתה חיובית ונשארה חיובית
2 = דעתי הייתה שלילית ונשארה שלילית
3 = דעתי הייתה חיובית והפכה שלילית
4 = דעתי הייתה שלילית והפכה חיובית</t>
  </si>
  <si>
    <t>$AD$157</t>
  </si>
  <si>
    <t>$AD$158</t>
  </si>
  <si>
    <t>$AD$159</t>
  </si>
  <si>
    <t>$AD$160</t>
  </si>
  <si>
    <t>$AD$162</t>
  </si>
  <si>
    <t>$G$163</t>
  </si>
  <si>
    <t>$A$164</t>
  </si>
  <si>
    <t>יניב שפירא:
מי שענה כן בשאלה 10</t>
  </si>
  <si>
    <t>מי שענה כן בשאלה 10</t>
  </si>
  <si>
    <t>$I$164</t>
  </si>
  <si>
    <t>יניב שפירא:
הניסוח הוא:
"איזו מפלגה אתה הכי אוהד"</t>
  </si>
  <si>
    <t>הניסוח הוא:
"איזו מפלגה אתה הכי אוהד"</t>
  </si>
  <si>
    <t>$G$165</t>
  </si>
  <si>
    <t>יניב שפירא:
1 = קרוב מאוד
2 = די קרוב
3 = לא מאוד קרוב</t>
  </si>
  <si>
    <t>1 = קרוב מאוד
2 = די קרוב
3 = לא מאוד קרוב</t>
  </si>
  <si>
    <t>$A$171</t>
  </si>
  <si>
    <t>יניב שפירא:
היו 10 מפלגות.
3 נבחרו להכי קרובות
3 להכי רחוקות
נותרו 6</t>
  </si>
  <si>
    <t>היו 10 מפלגות.
3 נבחרו להכי קרובות
3 להכי רחוקות
נותרו 6</t>
  </si>
  <si>
    <t>$AE$175</t>
  </si>
  <si>
    <t xml:space="preserve">יניב שפירא: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</si>
  <si>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 xml:space="preserve">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</si>
  <si>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$AG$178</t>
  </si>
  <si>
    <t>יניב שפירא: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</si>
  <si>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</si>
  <si>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תכונות</t>
  </si>
  <si>
    <t>$I$2</t>
  </si>
  <si>
    <t>יניב שפירא:
1 = קדימה
2 = ליכוד
3 = עבודה
4 = לכולם באותה מידה
5 = לאף אחת לא מתאים</t>
  </si>
  <si>
    <t>1 = קדימה
2 = ליכוד
3 = עבודה
4 = לכולם באותה מידה
5 = לאף אחת לא מתאים</t>
  </si>
  <si>
    <t>יניב שפירא:
1 = לעבודה
2 = לליכוד
3 = שתיהן באותה מידה
4 = אף אחת מהן</t>
  </si>
  <si>
    <t>1 = לעבודה
2 = לליכוד
3 = שתיהן באותה מידה
4 = אף אחת מהן</t>
  </si>
  <si>
    <t>יניב שפירא:
מועמד ולא מפלגה
1 = ברק
2 = שרון
3 = שניהם
4 = אף אחד</t>
  </si>
  <si>
    <t>מועמד ולא מפלגה
1 = ברק
2 = שרון
3 = שניהם
4 = אף אחד</t>
  </si>
  <si>
    <t>יניב שפירא:
1 = העבודה
2 = הליכוד
3 = מידה שווה
4 = אף אחת מהן</t>
  </si>
  <si>
    <t>1 = העבודה
2 = הליכוד
3 = מידה שווה
4 = אף אחת מהן</t>
  </si>
  <si>
    <t>$A$3</t>
  </si>
  <si>
    <t>יניב שפירא:
רק למי שענה 1-3 בשאלה הקודמת</t>
  </si>
  <si>
    <t>רק למי שענה 1-3 בשאלה הקודמת</t>
  </si>
  <si>
    <t>$I$3</t>
  </si>
  <si>
    <t>יניב שפירא:
1 = קדימה
2 = ליכוד
3 = עבודה</t>
  </si>
  <si>
    <t>1 = קדימה
2 = ליכוד
3 = עבודה</t>
  </si>
  <si>
    <t>$O$8</t>
  </si>
  <si>
    <t>יניב שפירא:
הניסוח:
"שתחזיר את השקט והסדר לשטחים</t>
  </si>
  <si>
    <t>הניסוח:
"שתחזיר את השקט והסדר לשטחים</t>
  </si>
  <si>
    <t>$A$9</t>
  </si>
  <si>
    <t>$T$10</t>
  </si>
  <si>
    <t>יניב שפירא:
1 = מתאים הרבה יותר למערך
2 = מתאים יותר למערך
3 = במידה שווה לשתיהן
4 = מתאים יותר לליכוד
5 = מתאים הרבה יותר לליכוד
6 = לא מתאים לאף אחת מהן</t>
  </si>
  <si>
    <t>1 = מתאים הרבה יותר למערך
2 = מתאים יותר למערך
3 = במידה שווה לשתיהן
4 = מתאים יותר לליכוד
5 = מתאים הרבה יותר לליכוד
6 = לא מתאים לאף אחת מהן</t>
  </si>
  <si>
    <t>$A$11</t>
  </si>
  <si>
    <t>$O$21</t>
  </si>
  <si>
    <t>יניב שפירא:
1 = עבודה
2 = ליכוד
3 = מידה שווה
4 = אף אחת מהן</t>
  </si>
  <si>
    <t>1 = עבודה
2 = ליכוד
3 = מידה שווה
4 = אף אחת מהן</t>
  </si>
  <si>
    <t>$T$23</t>
  </si>
  <si>
    <t>$T$27</t>
  </si>
  <si>
    <t>$T$35</t>
  </si>
  <si>
    <t>$F$43</t>
  </si>
  <si>
    <t>יניב שפירא:
1 = בני גנץ
2 = בנימין נתניהו
3 = שניהם
4 = אף אחד מהם</t>
  </si>
  <si>
    <t>1 = בני גנץ
2 = בנימין נתניהו
3 = שניהם
4 = אף אחד מהם</t>
  </si>
  <si>
    <t>$G$43</t>
  </si>
  <si>
    <t>יניב שפירא:
1 = יצחק הרצוג
2 = בנימין נתניהו
3 = שניהם
4 = אף אחד מהם</t>
  </si>
  <si>
    <t>1 = יצחק הרצוג
2 = בנימין נתניהו
3 = שניהם
4 = אף אחד מהם</t>
  </si>
  <si>
    <t>$H$43</t>
  </si>
  <si>
    <t>יניב שפירא:
1 = בנימין נתניהו
2 = ציפי לבני
3 = שלי יחימוביץ
4 = כולם
5 = אף אחד מהם</t>
  </si>
  <si>
    <t>1 = בנימין נתניהו
2 = ציפי לבני
3 = שלי יחימוביץ
4 = כולם
5 = אף אחד מהם</t>
  </si>
  <si>
    <t>$I$43</t>
  </si>
  <si>
    <t>יניב שפירא:
1 = ציפי לבני
2 = בנימין נתניהו
3 = אהוד ברק
4 = כולם
5 = אף אחד</t>
  </si>
  <si>
    <t>1 = ציפי לבני
2 = בנימין נתניהו
3 = אהוד ברק
4 = כולם
5 = אף אחד</t>
  </si>
  <si>
    <t>$J$43</t>
  </si>
  <si>
    <t>יניב שפירא:
1 = אהוד אולמרט
2 = בנימין נתניהו
3 = עמיר פרץ
4 = לכולם
5 = אף אחד מהם</t>
  </si>
  <si>
    <t>1 = אהוד אולמרט
2 = בנימין נתניהו
3 = עמיר פרץ
4 = לכולם
5 = אף אחד מהם</t>
  </si>
  <si>
    <t>$K$43</t>
  </si>
  <si>
    <t>יניב שפירא:
1 = שרון
2 = מצנע
3 = שניהם
4 = אף אחד מהם</t>
  </si>
  <si>
    <t>1 = שרון
2 = מצנע
3 = שניהם
4 = אף אחד מהם</t>
  </si>
  <si>
    <t>$M$43</t>
  </si>
  <si>
    <t>יניב שפירא:
1 = נתניהו
2 = ברק
3 = מדרכי
4 = שלושתם
5 = אף אחד מהם</t>
  </si>
  <si>
    <t>1 = נתניהו
2 = ברק
3 = מדרכי
4 = שלושתם
5 = אף אחד מהם</t>
  </si>
  <si>
    <t>$N$43</t>
  </si>
  <si>
    <t>יניב שפירא:
1 = פרס
2 = נתניהו
3 = במידה שווה
4 = אף אחד</t>
  </si>
  <si>
    <t>1 = פרס
2 = נתניהו
3 = במידה שווה
4 = אף אחד</t>
  </si>
  <si>
    <t>$O$43</t>
  </si>
  <si>
    <t>יניב שפירא:
1 = שמיר
2 = רבין
3 = שניהם באותה מידה
4 = אף אחד מהם</t>
  </si>
  <si>
    <t>1 = שמיר
2 = רבין
3 = שניהם באותה מידה
4 = אף אחד מהם</t>
  </si>
  <si>
    <t>$F$45</t>
  </si>
  <si>
    <t>$G$45</t>
  </si>
  <si>
    <t>$H$45</t>
  </si>
  <si>
    <t>$F$46</t>
  </si>
  <si>
    <t>$H$46</t>
  </si>
  <si>
    <t>$L$47</t>
  </si>
  <si>
    <t>יניב שפירא:
1 = ברק
2 = שרון
3 = לשניהם
4 = לאף אחד מהם</t>
  </si>
  <si>
    <t>1 = ברק
2 = שרון
3 = לשניהם
4 = לאף אחד מהם</t>
  </si>
  <si>
    <t>$S$68</t>
  </si>
  <si>
    <t>יניב שפירא:
1 = צעירה
7 = זקנה</t>
  </si>
  <si>
    <t>1 = צעירה
7 = זקנה</t>
  </si>
  <si>
    <t>$S$69</t>
  </si>
  <si>
    <t>יניב שפירא:
1 = חזקה
7 = חלשה</t>
  </si>
  <si>
    <t>1 = חזקה
7 = חלשה</t>
  </si>
  <si>
    <t>$AE$69</t>
  </si>
  <si>
    <t>$S$70</t>
  </si>
  <si>
    <t>יניב שפירא:
1 = ימנית
7 = שמאלית</t>
  </si>
  <si>
    <t>1 = ימנית
7 = שמאלית</t>
  </si>
  <si>
    <t>$AE$70</t>
  </si>
  <si>
    <t>$S$71</t>
  </si>
  <si>
    <t>יניב שפירא:
1 = מיושנת
7 = חדשנית</t>
  </si>
  <si>
    <t>1 = מיושנת
7 = חדשנית</t>
  </si>
  <si>
    <t>$AE$71</t>
  </si>
  <si>
    <t>$S$72</t>
  </si>
  <si>
    <t>יניב שפירא:
1 = מעמד בינוני
2 = מעמד פועלים</t>
  </si>
  <si>
    <t>1 = מעמד בינוני
2 = מעמד פועלים</t>
  </si>
  <si>
    <t>$AE$72</t>
  </si>
  <si>
    <t>יניב שפירא:
1 = מעמד בינוני
7 = מעמד פועלים</t>
  </si>
  <si>
    <t>1 = מעמד בינוני
7 = מעמד פועלים</t>
  </si>
  <si>
    <t>$S$73</t>
  </si>
  <si>
    <t>יניב שפירא:
1 = ספרדית
7 = אשכנזית</t>
  </si>
  <si>
    <t>1 = ספרדית
7 = אשכנזית</t>
  </si>
  <si>
    <t>$S$74</t>
  </si>
  <si>
    <t>יניב שפירא:
1 = דואגת בעיקר לעצמה
7 = דואגת בעיקר לאזרחים</t>
  </si>
  <si>
    <t>1 = דואגת בעיקר לעצמה
7 = דואגת בעיקר לאזרחים</t>
  </si>
  <si>
    <t>$S$75</t>
  </si>
  <si>
    <t>יניב שפירא:
1 = חסרת ניסיון
7 = בעלת ניסיון</t>
  </si>
  <si>
    <t>1 = חסרת ניסיון
7 = בעלת ניסיון</t>
  </si>
  <si>
    <t>$AE$75</t>
  </si>
  <si>
    <t>$S$76</t>
  </si>
  <si>
    <t>יניב שפירא:
1 = יונית
7 = ניצית</t>
  </si>
  <si>
    <t>1 = יונית
7 = ניצית</t>
  </si>
  <si>
    <t>$S$77</t>
  </si>
  <si>
    <t>$S$78</t>
  </si>
  <si>
    <t>$S$79</t>
  </si>
  <si>
    <t>$S$80</t>
  </si>
  <si>
    <t>$S$81</t>
  </si>
  <si>
    <t>יניב שפירא:
1 = מעמד ביניים
7 = מעמד פועלים</t>
  </si>
  <si>
    <t>1 = מעמד ביניים
7 = מעמד פועלים</t>
  </si>
  <si>
    <t>$S$82</t>
  </si>
  <si>
    <t>$S$83</t>
  </si>
  <si>
    <t>יניב שפירא:
1 = דואגת בעיקר לעצמה
7 = דואגת בעיקר לאזרח</t>
  </si>
  <si>
    <t>1 = דואגת בעיקר לעצמה
7 = דואגת בעיקר לאזרח</t>
  </si>
  <si>
    <t>$S$84</t>
  </si>
  <si>
    <t>יניב שפירא:
1 = ישרה
7 = מושחתת</t>
  </si>
  <si>
    <t>1 = ישרה
7 = מושחתת</t>
  </si>
  <si>
    <t>$S$85</t>
  </si>
  <si>
    <t>$S$86</t>
  </si>
  <si>
    <t>יניב שפירא:
1 = בלתי אמינה
7 = אמינה</t>
  </si>
  <si>
    <t>1 = בלתי אמינה
7 = אמינה</t>
  </si>
  <si>
    <t>$S$87</t>
  </si>
  <si>
    <t>$T$99</t>
  </si>
  <si>
    <t>יניב שפירא:
סולם 1-7
1 = חיובית
7 = שלילית</t>
  </si>
  <si>
    <t>סולם 1-7
1 = חיובית
7 = שלילית</t>
  </si>
  <si>
    <t>$T$100</t>
  </si>
  <si>
    <t>יניב שפירא:
סולם 1-7
1 = קצרה
7 = ארוכה</t>
  </si>
  <si>
    <t>סולם 1-7
1 = קצרה
7 = ארוכה</t>
  </si>
  <si>
    <t>$T$101</t>
  </si>
  <si>
    <t>יניב שפירא:
סולם 1-7
1 = חינוכית
7 = בלתי חינוגית</t>
  </si>
  <si>
    <t>סולם 1-7
1 = חינוכית
7 = בלתי חינוגית</t>
  </si>
  <si>
    <t>$T$102</t>
  </si>
  <si>
    <t>יניב שפירא:
סולם 1-7
1 = עוזרת להחליט
7 = לא עוזרת להחליט</t>
  </si>
  <si>
    <t>סולם 1-7
1 = עוזרת להחליט
7 = לא עוזרת להחליט</t>
  </si>
  <si>
    <t>$T$103</t>
  </si>
  <si>
    <t>יניב שפירא:
סולם 1-7
1 = עוזרת להבין
7 = לא עוזר להבין</t>
  </si>
  <si>
    <t>סולם 1-7
1 = עוזרת להבין
7 = לא עוזר להבין</t>
  </si>
  <si>
    <t>$T$104</t>
  </si>
  <si>
    <t>יניב שפירא:
סולם 1-7
1 = עוזרת להכיר
7 = לא עוזרת להכיר</t>
  </si>
  <si>
    <t>סולם 1-7
1 = עוזרת להכיר
7 = לא עוזרת להכיר</t>
  </si>
  <si>
    <t>$T$105</t>
  </si>
  <si>
    <t>יניב שפירא:
סולם 1-7
1 = מאחדת
7 = מפוררת</t>
  </si>
  <si>
    <t>סולם 1-7
1 = מאחדת
7 = מפוררת</t>
  </si>
  <si>
    <t>$T$106</t>
  </si>
  <si>
    <t>$T$107</t>
  </si>
  <si>
    <t>יניב שפירא:
סולם 1-7
1 = נותנת תחושת שייכות
7 = לא נותנת</t>
  </si>
  <si>
    <t>סולם 1-7
1 = נותנת תחושת שייכות
7 = לא נותנת</t>
  </si>
  <si>
    <t>$T$108</t>
  </si>
  <si>
    <t>יניב שפירא:
סולם 1-7
1 = בזבזנית
7 = שווה את ההשקעה</t>
  </si>
  <si>
    <t>סולם 1-7
1 = בזבזנית
7 = שווה את ההשקעה</t>
  </si>
  <si>
    <t>$T$109</t>
  </si>
  <si>
    <t>יניב שפירא:
סולם 1-7
1 = גורלית
7 = לא משנה הרבה</t>
  </si>
  <si>
    <t>סולם 1-7
1 = גורלית
7 = לא משנה הרבה</t>
  </si>
  <si>
    <t>$T$110</t>
  </si>
  <si>
    <t>יניב שפירא:
סולם 1-7
1 = חשובה
7 = לא חשובה</t>
  </si>
  <si>
    <t>סולם 1-7
1 = חשובה
7 = לא חשובה</t>
  </si>
  <si>
    <t>$T$111</t>
  </si>
  <si>
    <t>יניב שפירא:
סולם 1-7
1 = חזקה
7 = חלשה</t>
  </si>
  <si>
    <t>סולם 1-7
1 = חזקה
7 = חלשה</t>
  </si>
  <si>
    <t>$T$112</t>
  </si>
  <si>
    <t>יניב שפירא:
סולם 1-7
1 = נותנת תקווה
7 = נותנת ייאוש</t>
  </si>
  <si>
    <t>סולם 1-7
1 = נותנת תקווה
7 = נותנת ייאוש</t>
  </si>
  <si>
    <t>$T$113</t>
  </si>
  <si>
    <t>יניב שפירא:
סולם 1-7
1 = צודקת
7 = לא צודקת</t>
  </si>
  <si>
    <t>סולם 1-7
1 = צודקת
7 = לא צודקת</t>
  </si>
  <si>
    <t>$T$114</t>
  </si>
  <si>
    <t>יניב שפירא:
סולם 1-7
1 = רוצה לחיות
7 = לא רוצה לחיות בו</t>
  </si>
  <si>
    <t>סולם 1-7
1 = רוצה לחיות
7 = לא רוצה לחיות בו</t>
  </si>
  <si>
    <t>$T$115</t>
  </si>
  <si>
    <t>יניב שפירא:
סולם 1-7
1 = חייבים לעלות
7 = לא חייבים לעלות</t>
  </si>
  <si>
    <t>סולם 1-7
1 = חייבים לעלות
7 = לא חייבים לעלות</t>
  </si>
  <si>
    <t>$T$116</t>
  </si>
  <si>
    <t>יניב שפירא:
סולם 1-7
1 = דמוקרטית
7 = לא דמוקרטית</t>
  </si>
  <si>
    <t>סולם 1-7
1 = דמוקרטית
7 = לא דמוקרטית</t>
  </si>
  <si>
    <t>$T$117</t>
  </si>
  <si>
    <t>יניב שפירא:
סולם 1-7
1 = יש בה צדק חברתי
7 = אין בה צדק חברתי</t>
  </si>
  <si>
    <t>סולם 1-7
1 = יש בה צדק חברתי
7 = אין בה צדק חברתי</t>
  </si>
  <si>
    <t>$T$118</t>
  </si>
  <si>
    <t>יניב שפירא:
סולם 1-7
1 = מוכנה לחיות בשכנות
7 = לא מוכנה לחיות בשכנות</t>
  </si>
  <si>
    <t>סולם 1-7
1 = מוכנה לחיות בשכנות
7 = לא מוכנה לחיות בשכנות</t>
  </si>
  <si>
    <t>$T$119</t>
  </si>
  <si>
    <t>יניב שפירא:
סולם 1-7
1 = שלום
7 = מלחמה</t>
  </si>
  <si>
    <t>סולם 1-7
1 = שלום
7 = מלחמה</t>
  </si>
  <si>
    <t>$T$120</t>
  </si>
  <si>
    <t>יניב שפירא:
סולם 1-7
1 = התגשמות החלום
7 = לא התגשמות החלום</t>
  </si>
  <si>
    <t>סולם 1-7
1 = התגשמות החלום
7 = לא התגשמות החלום</t>
  </si>
  <si>
    <t>$U$121</t>
  </si>
  <si>
    <t>יניב שפירא:
1 = משכנע במידה רבה
2 = במידה מסויימת
3 = במידה מועטה
4 = כלל לא משכנע</t>
  </si>
  <si>
    <t>1 = משכנע במידה רבה
2 = במידה מסויימת
3 = במידה מועטה
4 = כלל לא משכנע</t>
  </si>
  <si>
    <t>$V$128</t>
  </si>
  <si>
    <t>$Z$134</t>
  </si>
  <si>
    <t>יניב שפירא:
במקום דיין, מפלגת ד"ש (יגאל ידין)</t>
  </si>
  <si>
    <t>במקום דיין, מפלגת ד"ש (יגאל ידין)</t>
  </si>
  <si>
    <t>יניב שפירא:
1 = מקום ראשון
2 = מקום שני
3 = מקום שלישי
5 = לא הוזכר
7 = מקום לפני אחרון
8 = מקום אחרון</t>
  </si>
  <si>
    <t>1 = מקום ראשון
2 = מקום שני
3 = מקום שלישי
5 = לא הוזכר
7 = מקום לפני אחרון
8 = מקום אחרון</t>
  </si>
  <si>
    <t>$Z$189</t>
  </si>
  <si>
    <t>יניב שפירא:
1 = משכנע במידה רבה
2 = במידה מסויימת
3 = במידה מועטה
4 = לא משכנע כלל</t>
  </si>
  <si>
    <t>1 = משכנע במידה רבה
2 = במידה מסויימת
3 = במידה מועטה
4 = לא משכנע כלל</t>
  </si>
  <si>
    <t>$T$205</t>
  </si>
  <si>
    <t>יניב שפירא:
סולם 1-7
1 = תועלת
7 = נזק</t>
  </si>
  <si>
    <t>סולם 1-7
1 = תועלת
7 = נזק</t>
  </si>
  <si>
    <t>$T$206</t>
  </si>
  <si>
    <t>יניב שפירא:
סולם 1-7
1 = שקול
7 = לא שקול</t>
  </si>
  <si>
    <t>סולם 1-7
1 = שקול
7 = לא שקול</t>
  </si>
  <si>
    <t>$T$207</t>
  </si>
  <si>
    <t>יניב שפירא:
סולם 1-7
1 = יציב
7 = לא יציב</t>
  </si>
  <si>
    <t>סולם 1-7
1 = יציב
7 = לא יציב</t>
  </si>
  <si>
    <t>$T$208</t>
  </si>
  <si>
    <t>יניב שפירא:
סולם 1-7
1 = עבר זמנו
7 = לא עבר זמנו</t>
  </si>
  <si>
    <t>סולם 1-7
1 = עבר זמנו
7 = לא עבר זמנו</t>
  </si>
  <si>
    <t>$T$209</t>
  </si>
  <si>
    <t>יניב שפירא:
סולם 1-7
1 = גרוע
7 = מצוין</t>
  </si>
  <si>
    <t>סולם 1-7
1 = גרוע
7 = מצוין</t>
  </si>
  <si>
    <t>$T$210</t>
  </si>
  <si>
    <t>$T$211</t>
  </si>
  <si>
    <t>יניב שפירא:
סולם 1-7
1 = נתון
7 = לא נתון</t>
  </si>
  <si>
    <t>סולם 1-7
1 = נתון
7 = לא נתון</t>
  </si>
  <si>
    <t>$T$212</t>
  </si>
  <si>
    <t>יניב שפירא:
סולם 1-7
1 = אינה מאפשרת
7 = מאפשרת</t>
  </si>
  <si>
    <t>סולם 1-7
1 = אינה מאפשרת
7 = מאפשרת</t>
  </si>
  <si>
    <t>$T$213</t>
  </si>
  <si>
    <t>יניב שפירא:
סולם 1-7
1 = הרפתקן
7 = שקול ונבון</t>
  </si>
  <si>
    <t>סולם 1-7
1 = הרפתקן
7 = שקול ונבון</t>
  </si>
  <si>
    <t>$T$214</t>
  </si>
  <si>
    <t>יניב שפירא:
סולם 1-7
1 = אופוזיציה
7 = שלטון</t>
  </si>
  <si>
    <t>סולם 1-7
1 = אופוזיציה
7 = שלטון</t>
  </si>
  <si>
    <t>$U$215</t>
  </si>
  <si>
    <t>יניב שפירא:
סולם 1-7
1 = חזק
7 = חלש</t>
  </si>
  <si>
    <t>סולם 1-7
1 = חזק
7 = חלש</t>
  </si>
  <si>
    <t>$V$215</t>
  </si>
  <si>
    <t>יניב שפירא:
סולם 1-6</t>
  </si>
  <si>
    <t>סולם 1-6</t>
  </si>
  <si>
    <t>$U$216</t>
  </si>
  <si>
    <t>יניב שפירא:
סולם 1-7
1 = יכול לעבוד בצוות
7 = לא יכול</t>
  </si>
  <si>
    <t>סולם 1-7
1 = יכול לעבוד בצוות
7 = לא יכול</t>
  </si>
  <si>
    <t>$U$217</t>
  </si>
  <si>
    <t>יניב שפירא:
סולם 1-7
1 = ישר
7 = לא ישר</t>
  </si>
  <si>
    <t>סולם 1-7
1 = ישר
7 = לא ישר</t>
  </si>
  <si>
    <t>$U$218</t>
  </si>
  <si>
    <t>יניב שפירא:
סולם 1-7
1 = בעל כושר החלטה
7 = חסר כושר החלטה</t>
  </si>
  <si>
    <t>סולם 1-7
1 = בעל כושר החלטה
7 = חסר כושר החלטה</t>
  </si>
  <si>
    <t>$U$219</t>
  </si>
  <si>
    <t>יניב שפירא:
סולם 1-7
1 = יכול לעמוד
7 = לא יכול לעמוד</t>
  </si>
  <si>
    <t>סולם 1-7
1 = יכול לעמוד
7 = לא יכול לעמוד</t>
  </si>
  <si>
    <t>$V$220</t>
  </si>
  <si>
    <t>$U$225</t>
  </si>
  <si>
    <t>יניב שפירא:
סולם 1-7
1 = אמין בהופעתו
7 = בלתי אמין</t>
  </si>
  <si>
    <t>סולם 1-7
1 = אמין בהופעתו
7 = בלתי אמין</t>
  </si>
  <si>
    <t>$U$226</t>
  </si>
  <si>
    <t>יניב שפירא:
סולם 1-7
1 = חלקלק
7 = דוגרי</t>
  </si>
  <si>
    <t>סולם 1-7
1 = חלקלק
7 = דוגרי</t>
  </si>
  <si>
    <t>$U$227</t>
  </si>
  <si>
    <t>יניב שפירא:
סולם 1-7
1 = עייף
7 = רענן</t>
  </si>
  <si>
    <t>סולם 1-7
1 = עייף
7 = רענן</t>
  </si>
  <si>
    <t>$V$228</t>
  </si>
  <si>
    <t>$AC$233</t>
  </si>
  <si>
    <t>יניב שפירא:
1 = גולדה
2 = דיין
3 = בגין
4 = פנחס ספיר
5 = אבא אבן
6 = חיים בר-לב
7 = יגאל אלון
8 = אחר מהקואליציה
9 = אחר מהאופוזיציה</t>
  </si>
  <si>
    <t>1 = גולדה
2 = דיין
3 = בגין
4 = פנחס ספיר
5 = אבא אבן
6 = חיים בר-לב
7 = יגאל אלון
8 = אחר מהקואליציה
9 = אחר מהאופוזיציה</t>
  </si>
  <si>
    <t>$AC$234</t>
  </si>
  <si>
    <t>יניב שפירא:
1 = דיין
2 = בר-לב
3 = שרון
4 = רבין
5 = אהרון יריב
6 = עזר וייצמן
7 = יגאל אלון
8 = אחר מהקואליציה
9 = אחר מהאופוזיציה</t>
  </si>
  <si>
    <t>1 = דיין
2 = בר-לב
3 = שרון
4 = רבין
5 = אהרון יריב
6 = עזר וייצמן
7 = יגאל אלון
8 = אחר מהקואליציה
9 = אחר מהאופוזיציה</t>
  </si>
  <si>
    <t>$AC$235</t>
  </si>
  <si>
    <t>יניב שפירא:
1 = אבא אבן
2 = פרס
3 = אהרון יריב
4 = יגאל אלון
5 = בגין
6 = רבין
7 = אחר מהקואליציה
8 = אחר מהאופוזיציה</t>
  </si>
  <si>
    <t>1 = אבא אבן
2 = פרס
3 = אהרון יריב
4 = יגאל אלון
5 = בגין
6 = רבין
7 = אחר מהקואליציה
8 = אחר מהאופוזיציה</t>
  </si>
  <si>
    <t>הצבעה</t>
  </si>
  <si>
    <t>יניב שפירא:
1 = הזדהות עם המפלגה
2 = ראש המפלגה
3 = מועמדי המפלגה לכנסת
4 = עמדות המפלגה בנושאים מסוימים
5 = מקומה של המפלגה בשלטון או באופוזיציה</t>
  </si>
  <si>
    <t>1 = הזדהות עם המפלגה
2 = ראש המפלגה
3 = מועמדי המפלגה לכנסת
4 = עמדות המפלגה בנושאים מסוימים
5 = מקומה של המפלגה בשלטון או באופוזיציה</t>
  </si>
  <si>
    <t>יניב שפירא:
1 = הזדהות עם המפלגה
2 = מועמדי המפלגה לכנסת
3 = עמדת המפלגה בנושאים מסוימים
4 = מקומה של המפלגה בשלטון או באופוזיציה</t>
  </si>
  <si>
    <t>1 = הזדהות עם המפלגה
2 = מועמדי המפלגה לכנסת
3 = עמדת המפלגה בנושאים מסוימים
4 = מקומה של המפלגה בשלטון או באופוזיציה</t>
  </si>
  <si>
    <t>$V$2</t>
  </si>
  <si>
    <t>יניב שפירא:
1 = הזדהות עם המפלגה
2 = מועמד המפלגה
3 = עמדות המפלגה בנושאים מסויימים
4 = סיכויי המפלגה להגיע לשלטון</t>
  </si>
  <si>
    <t>1 = הזדהות עם המפלגה
2 = מועמד המפלגה
3 = עמדות המפלגה בנושאים מסויימים
4 = סיכויי המפלגה להגיע לשלטון</t>
  </si>
  <si>
    <t>$W$2</t>
  </si>
  <si>
    <t>יניב שפירא: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</si>
  <si>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</si>
  <si>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יניב שפירא:
1 = הזדהות עם המפלגה
2 = מועמד המפלגה
3 = עמדות המפלגה בנושאים מסויימים
4 = מקומה של במפלגה בקואליציה/אופוזיציה</t>
  </si>
  <si>
    <t>1 = הזדהות עם המפלגה
2 = מועמד המפלגה
3 = עמדות המפלגה בנושאים מסויימים
4 = מקומה של במפלגה בקואליציה/אופוזיציה</t>
  </si>
  <si>
    <t>$AC$2</t>
  </si>
  <si>
    <t>יניב שפירא:
1 = התכונות של המועמד
2 = הזדהות עם המפלגה שלו
3 = הזדהות עם המחנה שלו
4 = העמדות של המועמד בנושאים שונים
5 = היותו בשלטון או באופוזיציה</t>
  </si>
  <si>
    <t>1 = התכונות של המועמד
2 = הזדהות עם המפלגה שלו
3 = הזדהות עם המחנה שלו
4 = העמדות של המועמד בנושאים שונים
5 = היותו בשלטון או באופוזיציה</t>
  </si>
  <si>
    <t>$N$3</t>
  </si>
  <si>
    <t>יניב שפירא:
1 = התכונות של המועמד
2 = הזדהות עם המפלגה שלו
3 = העמדות של המועמד בנושאים שונים
4 = היותו בשלטון או באופוזיציה</t>
  </si>
  <si>
    <t>1 = התכונות של המועמד
2 = הזדהות עם המפלגה שלו
3 = העמדות של המועמד בנושאים שונים
4 = היותו בשלטון או באופוזיציה</t>
  </si>
  <si>
    <t>$AF$4</t>
  </si>
  <si>
    <t>יניב שפירא:
1 = יש גורם אחד הרבה יותר חשוב מהשאר
2 = יש גורם אחד קצת יותר חשוב מהשאר
3 = כל הגורמים חשובים באותה מידה
4 = אף אחד מהגורמים לא חשוב</t>
  </si>
  <si>
    <t>1 = יש גורם אחד הרבה יותר חשוב מהשאר
2 = יש גורם אחד קצת יותר חשוב מהשאר
3 = כל הגורמים חשובים באותה מידה
4 = אף אחד מהגורמים לא חשוב</t>
  </si>
  <si>
    <t>יניב שפירא:
1 = כלל לא ישפיע
2 = ישפיע במידה מועטה בלבד
3 = ישפיע במידה מסוימת
4 = ישפיע במידה רבה</t>
  </si>
  <si>
    <t>1 = כלל לא ישפיע
2 = ישפיע במידה מועטה בלבד
3 = ישפיע במידה מסוימת
4 = ישפיע במידה רבה</t>
  </si>
  <si>
    <t>$AD$5</t>
  </si>
  <si>
    <t>יניב שפירא:
1 = במידה רבה
2 = במידה מסוימת
3 = במידה מועטה
4 = לא ישפיע כלל</t>
  </si>
  <si>
    <t>1 = במידה רבה
2 = במידה מסוימת
3 = במידה מועטה
4 = לא ישפיע כלל</t>
  </si>
  <si>
    <t>$H$6</t>
  </si>
  <si>
    <t>יניב שפירא:
1 = ישפיע במידה רבה
2 = ישפיע במידה מסויימת
3 = ישפיע במידה מועטה בלבד
4 = כלל לא ישפיע</t>
  </si>
  <si>
    <t>1 = ישפיע במידה רבה
2 = ישפיע במידה מסויימת
3 = ישפיע במידה מועטה בלבד
4 = כלל לא ישפיע</t>
  </si>
  <si>
    <t>יניב שפירא:
1 = כלל לא ישפיע
2 = במידה מועטה
3 = במידה מסוימת
4 = במידה רבה</t>
  </si>
  <si>
    <t>1 = כלל לא ישפיע
2 = במידה מועטה
3 = במידה מסוימת
4 = במידה רבה</t>
  </si>
  <si>
    <t>$N$6</t>
  </si>
  <si>
    <t>יניב שפירא:
1 = במידה רבה
2 = במידה בינונית
3 = במידה מועטה בלבד
4 = לא ישפיע כלל</t>
  </si>
  <si>
    <t>1 = במידה רבה
2 = במידה בינונית
3 = במידה מועטה בלבד
4 = לא ישפיע כלל</t>
  </si>
  <si>
    <t>$O$6</t>
  </si>
  <si>
    <t>יניב שפירא:
1 = ישפיע במידה רבה
2 = במידה מסוימת
3 = במידה מועטה
4 = לא ישפיע כלל</t>
  </si>
  <si>
    <t>1 = ישפיע במידה רבה
2 = במידה מסוימת
3 = במידה מועטה
4 = לא ישפיע כלל</t>
  </si>
  <si>
    <t>$Z$6</t>
  </si>
  <si>
    <t>$H$7</t>
  </si>
  <si>
    <t>$H$8</t>
  </si>
  <si>
    <t>$C$9</t>
  </si>
  <si>
    <t>adi:
שלום וביטחון</t>
  </si>
  <si>
    <t>שלום וביטחון</t>
  </si>
  <si>
    <t>$Q$9</t>
  </si>
  <si>
    <t>$Z$9</t>
  </si>
  <si>
    <t>$AD$9</t>
  </si>
  <si>
    <t>$M$10</t>
  </si>
  <si>
    <t>יניב שפירא:
מפוצל לשאלה על "בטחון" ושאלה על "טרור"
* טרור מקבל כאן i30</t>
  </si>
  <si>
    <t>מפוצל לשאלה על "בטחון" ושאלה על "טרור"
* טרור מקבל כאן i30</t>
  </si>
  <si>
    <t>יניב שפירא:
1 = ישפיע במידה רבה
2 = במידה מסויימת
3 = במידה מועטה
4 = לא ישפיע כלל</t>
  </si>
  <si>
    <t>1 = ישפיע במידה רבה
2 = במידה מסויימת
3 = במידה מועטה
4 = לא ישפיע כלל</t>
  </si>
  <si>
    <t>$Z$11</t>
  </si>
  <si>
    <t>יניב שפירא:
1 = במידה רבה
2 = במידה מסוימת
3 = במידה מועטה
4 = כלל לא ישפיע</t>
  </si>
  <si>
    <t>1 = במידה רבה
2 = במידה מסוימת
3 = במידה מועטה
4 = כלל לא ישפיע</t>
  </si>
  <si>
    <t>$I$15</t>
  </si>
  <si>
    <t>יניב שפירא:
1 = ישפיע במידה רבה
2 = ישפיע במידה מסוימת
3 = ישפיע במידה מועטה בלבד
4 = כלל לא ישפיע</t>
  </si>
  <si>
    <t>1 = ישפיע במידה רבה
2 = ישפיע במידה מסוימת
3 = ישפיע במידה מועטה בלבד
4 = כלל לא ישפיע</t>
  </si>
  <si>
    <t>$N$16</t>
  </si>
  <si>
    <t>יניב שפירא:
מבצע "ענבי זעם"</t>
  </si>
  <si>
    <t>מבצע "ענבי זעם"</t>
  </si>
  <si>
    <t>$I$20</t>
  </si>
  <si>
    <t>יניב שפירא:
1 = התהליך המדיני עם הפלסטינים ועם סוריה
2 = המצב הביטחוני
3 = המצב הכלכלי חברתי
4 = יחסי דתיים חילונים
5 = שחיתות ושלטון החוק
6 = האחדות בעם
7 = אחר</t>
  </si>
  <si>
    <t>1 = התהליך המדיני עם הפלסטינים ועם סוריה
2 = המצב הביטחוני
3 = המצב הכלכלי חברתי
4 = יחסי דתיים חילונים
5 = שחיתות ושלטון החוק
6 = האחדות בעם
7 = אחר</t>
  </si>
  <si>
    <t>$D$21</t>
  </si>
  <si>
    <t>יניב שפירא: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</si>
  <si>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</si>
  <si>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$E$21</t>
  </si>
  <si>
    <t>יניב שפירא: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</si>
  <si>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</si>
  <si>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</si>
  <si>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</si>
  <si>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adi:
1 = שמאל
2 = מרכז
3 = ימין
4 = חרדית
5 = ערבית</t>
  </si>
  <si>
    <t>1 = שמאל
2 = מרכז
3 = ימין
4 = חרדית
5 = ערבית</t>
  </si>
  <si>
    <t>$D$23</t>
  </si>
  <si>
    <t xml:space="preserve">יניב שפירא:
בחירות ספטמבר 2019
</t>
  </si>
  <si>
    <t xml:space="preserve">בחירות ספטמבר 2019
</t>
  </si>
  <si>
    <t>$F$23</t>
  </si>
  <si>
    <t>יניב שפירא:
בחירות 2015</t>
  </si>
  <si>
    <t>בחירות 2015</t>
  </si>
  <si>
    <t>$G$23</t>
  </si>
  <si>
    <t>יניב שפירא:
בחירות 2013</t>
  </si>
  <si>
    <t>בחירות 2013</t>
  </si>
  <si>
    <t>$H$23</t>
  </si>
  <si>
    <t>יניב שפירא:
בחירות 2009</t>
  </si>
  <si>
    <t>בחירות 2009</t>
  </si>
  <si>
    <t>$I$23</t>
  </si>
  <si>
    <t>יניב שפירא:
בחירות 2006</t>
  </si>
  <si>
    <t>בחירות 2006</t>
  </si>
  <si>
    <t>$J$23</t>
  </si>
  <si>
    <t>יניב שפירא:
בחירות 2003</t>
  </si>
  <si>
    <t>בחירות 2003</t>
  </si>
  <si>
    <t>$K$23</t>
  </si>
  <si>
    <t>יניב שפירא:
בחירות 1999</t>
  </si>
  <si>
    <t>בחירות 1999</t>
  </si>
  <si>
    <t>$M$23</t>
  </si>
  <si>
    <t>יניב שפירא:
בחירות 1996</t>
  </si>
  <si>
    <t>בחירות 1996</t>
  </si>
  <si>
    <t>$N$23</t>
  </si>
  <si>
    <t>יניב שפירא:
בחירות 1992</t>
  </si>
  <si>
    <t>בחירות 1992</t>
  </si>
  <si>
    <t>$O$23</t>
  </si>
  <si>
    <t>יניב שפירא:
בחירות 1988</t>
  </si>
  <si>
    <t>בחירות 1988</t>
  </si>
  <si>
    <t>$P$23</t>
  </si>
  <si>
    <t>יניב שפירא:
בחירות 1984</t>
  </si>
  <si>
    <t>בחירות 1984</t>
  </si>
  <si>
    <t>$Q$23</t>
  </si>
  <si>
    <t>$R$23</t>
  </si>
  <si>
    <t>יניב שפירא:
בחירות 1981</t>
  </si>
  <si>
    <t>בחירות 1981</t>
  </si>
  <si>
    <t>יניב שפירא:
בחירות 1977</t>
  </si>
  <si>
    <t>בחירות 1977</t>
  </si>
  <si>
    <t>$U$23</t>
  </si>
  <si>
    <t>$W$23</t>
  </si>
  <si>
    <t>יניב שפירא:
בחירות 1973</t>
  </si>
  <si>
    <t>בחירות 1973</t>
  </si>
  <si>
    <t>$X$23</t>
  </si>
  <si>
    <t>$Y$23</t>
  </si>
  <si>
    <t>$Z$23</t>
  </si>
  <si>
    <t>$AA$23</t>
  </si>
  <si>
    <t>יניב שפירא:
בחירות 1969</t>
  </si>
  <si>
    <t>בחירות 1969</t>
  </si>
  <si>
    <t>$AB$23</t>
  </si>
  <si>
    <t>$AC$23</t>
  </si>
  <si>
    <t>$AF$23</t>
  </si>
  <si>
    <t>יניב שפירא:
בחירות 1965</t>
  </si>
  <si>
    <t>בחירות 1965</t>
  </si>
  <si>
    <t>$AG$23</t>
  </si>
  <si>
    <t>$AH$23</t>
  </si>
  <si>
    <t>$L$24</t>
  </si>
  <si>
    <t>יניב שפירא:
1 = שרון
2 = ברק
3 = פתק לבן
4 = לא אצביע
5 = לא החלטתי</t>
  </si>
  <si>
    <t>1 = שרון
2 = ברק
3 = פתק לבן
4 = לא אצביע
5 = לא החלטתי</t>
  </si>
  <si>
    <t>$M$24</t>
  </si>
  <si>
    <t>יניב שפירא:
1 = נתניהו
2 = ברק
3 = מרדכי
4 = בגין
5 = בשארה
6 = רפול
7 = אחר
8 = פתק לבן
9 = לא אצביע</t>
  </si>
  <si>
    <t>1 = נתניהו
2 = ברק
3 = מרדכי
4 = בגין
5 = בשארה
6 = רפול
7 = אחר
8 = פתק לבן
9 = לא אצביע</t>
  </si>
  <si>
    <t>$N$24</t>
  </si>
  <si>
    <t>יניב שפירא:
1 = בנימין נתניהו
2 = שמעון פרס</t>
  </si>
  <si>
    <t>1 = בנימין נתניהו
2 = שמעון פרס</t>
  </si>
  <si>
    <t>$K$25</t>
  </si>
  <si>
    <t>יניב שפירא:
1 = ברק
2 = שרון
3 = לא הצבעתי למרות שהייתה לי זכות
4 = לא הצבעתי כי לא הייתה לי זכות</t>
  </si>
  <si>
    <t>1 = ברק
2 = שרון
3 = לא הצבעתי למרות שהייתה לי זכות
4 = לא הצבעתי כי לא הייתה לי זכות</t>
  </si>
  <si>
    <t>יניב שפירא:
בחירות 1999
1 = נתניהו
2 = ברק
3 = פתק לבן
4 = לא הצבעתי</t>
  </si>
  <si>
    <t>בחירות 1999
1 = נתניהו
2 = ברק
3 = פתק לבן
4 = לא הצבעתי</t>
  </si>
  <si>
    <t>יניב שפירא:
1 = נתניהו
2 = פרס
3 = פתק לבן
4 = לא הצבעתי למרות שיכלתי
5 = לא הצבעתי כי לא יכלתי</t>
  </si>
  <si>
    <t>1 = נתניהו
2 = פרס
3 = פתק לבן
4 = לא הצבעתי למרות שיכלתי
5 = לא הצבעתי כי לא יכלתי</t>
  </si>
  <si>
    <t>יניב שפירא:
1 = נתניהו
2 = ברק
3 = פתק לבן
4 = לא אצביע
5 = לא החלטתי</t>
  </si>
  <si>
    <t>1 = נתניהו
2 = ברק
3 = פתק לבן
4 = לא אצביע
5 = לא החלטתי</t>
  </si>
  <si>
    <t>יניב שפירא:
בחירות 2019 א'</t>
  </si>
  <si>
    <t>בחירות 2019 א'</t>
  </si>
  <si>
    <t>$U$27</t>
  </si>
  <si>
    <t>$V$27</t>
  </si>
  <si>
    <t>$Z$27</t>
  </si>
  <si>
    <t>$D$28</t>
  </si>
  <si>
    <t>$J$29</t>
  </si>
  <si>
    <t>יניב שפירא:
שתי מערכות בחירות אחורה
הבחירות לרה"מ 2001
1 = ברק
2 = שרון
3 = פתק לבן
4 = לא הצבעתי למרות שהייתה לי זכות הצבעה
5 = לא הצבעתי כי לא הייתה לי זכות הצבעה</t>
  </si>
  <si>
    <t>שתי מערכות בחירות אחורה
הבחירות לרה"מ 2001
1 = ברק
2 = שרון
3 = פתק לבן
4 = לא הצבעתי למרות שהייתה לי זכות הצבעה
5 = לא הצבעתי כי לא הייתה לי זכות הצבעה</t>
  </si>
  <si>
    <t>$K$29</t>
  </si>
  <si>
    <t>יניב שפירא:
1 = ברק
2 = נתניהו
3 = לא הצבעתי למרות שהייתה לי זכות
4 = לא הצבעתי כי לא הייתה לי זכות</t>
  </si>
  <si>
    <t>1 = ברק
2 = נתניהו
3 = לא הצבעתי למרות שהייתה לי זכות
4 = לא הצבעתי כי לא הייתה לי זכות</t>
  </si>
  <si>
    <t>$D$30</t>
  </si>
  <si>
    <t>יניב שפירא:
1 = כן
2 = לא
3 = פתק לבן</t>
  </si>
  <si>
    <t>1 = כן
2 = לא
3 = פתק לבן</t>
  </si>
  <si>
    <t>$D$31</t>
  </si>
  <si>
    <t>יניב שפירא: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</si>
  <si>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</si>
  <si>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$F$31</t>
  </si>
  <si>
    <t>$M$32</t>
  </si>
  <si>
    <t>$M$33</t>
  </si>
  <si>
    <t>יניב שפירא:
d11
d12
d13</t>
  </si>
  <si>
    <t>d11
d12
d13</t>
  </si>
  <si>
    <t>$Y$35</t>
  </si>
  <si>
    <t>יניב שפירא:
1 = מתלבט הרבה יותר
2 = מתלבט יותר
3 = מתלבט פחות
4 = מתלבט הרבה פחות
5 = קודם לא התלבטתי וגם עכשיו לא
6 = ממשיך להתלבט כמו קודם</t>
  </si>
  <si>
    <t>1 = מתלבט הרבה יותר
2 = מתלבט יותר
3 = מתלבט פחות
4 = מתלבט הרבה פחות
5 = קודם לא התלבטתי וגם עכשיו לא
6 = ממשיך להתלבט כמו קודם</t>
  </si>
  <si>
    <t>$M$36</t>
  </si>
  <si>
    <t>יניב שפירא:
1 = נתניהו
2 = ברק
3 = פתק לבן
4 = לא הצבעתי</t>
  </si>
  <si>
    <t>1 = נתניהו
2 = ברק
3 = פתק לבן
4 = לא הצבעתי</t>
  </si>
  <si>
    <t>$M$37</t>
  </si>
  <si>
    <t>יניב שפירא:
1 = נתניהו
2 = ברק
3 = מרדכי
4 = בגין
5 = בשארה</t>
  </si>
  <si>
    <t>1 = נתניהו
2 = ברק
3 = מרדכי
4 = בגין
5 = בשארה</t>
  </si>
  <si>
    <t>$M$38</t>
  </si>
  <si>
    <t>$M$39</t>
  </si>
  <si>
    <t>יניב שפירא:
1 = נתניהו-ברק
2 = מרדכי-נתניהו
3 = בגין-נתניהו
4 = מרדכי-ברק
5 = בגין-בשארה
6 = בשארה-ברק
7 = מרדכי=בשארה
8 = אחר</t>
  </si>
  <si>
    <t>1 = נתניהו-ברק
2 = מרדכי-נתניהו
3 = בגין-נתניהו
4 = מרדכי-ברק
5 = בגין-בשארה
6 = בשארה-ברק
7 = מרדכי=בשארה
8 = אחר</t>
  </si>
  <si>
    <t>$A$41</t>
  </si>
  <si>
    <t>יניב שפירא:
לא למצביעי הליכוד וכחול-לבן</t>
  </si>
  <si>
    <t>לא למצביעי הליכוד וכחול-לבן</t>
  </si>
  <si>
    <t>$F$41</t>
  </si>
  <si>
    <t>יניב שפירא: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</si>
  <si>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</si>
  <si>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$A$42</t>
  </si>
  <si>
    <t>יניב שפירא:
רק מי שענה 2 בשאלה הקודמת</t>
  </si>
  <si>
    <t>רק מי שענה 2 בשאלה הקודמת</t>
  </si>
  <si>
    <t>$A$43</t>
  </si>
  <si>
    <t>יניב שפירא:
מי שענה 1 בשאלה על אחוז החסימה (2015)</t>
  </si>
  <si>
    <t>מי שענה 1 בשאלה על אחוז החסימה (2015)</t>
  </si>
  <si>
    <t>יניב שפירא:
1 = כי אי אפשר לסמוך על סקרים
2 = כי חשוב לך לבטא את דעתך ואחוז החסימה לא מהווה שיקול בהחלטתך
3 = כי המפלגה שאתה תומך בה עוברת בוודאות את אחוז החסימה</t>
  </si>
  <si>
    <t>1 = כי אי אפשר לסמוך על סקרים
2 = כי חשוב לך לבטא את דעתך ואחוז החסימה לא מהווה שיקול בהחלטתך
3 = כי המפלגה שאתה תומך בה עוברת בוודאות את אחוז החסימה</t>
  </si>
  <si>
    <t>$F$44</t>
  </si>
  <si>
    <t>יניב שפירא:
1 = ביום הבחירות עצמו
2 = יומיים-שלושה לפני הבחירות
3 = כשבוע לפני הבחירות
4 = כחודש לפני הבחירות
5 = כמה חודשים לפני הבחירות
6 = ידעת מלכתחילה למי להצביע</t>
  </si>
  <si>
    <t>1 = ביום הבחירות עצמו
2 = יומיים-שלושה לפני הבחירות
3 = כשבוע לפני הבחירות
4 = כחודש לפני הבחירות
5 = כמה חודשים לפני הבחירות
6 = ידעת מלכתחילה למי להצביע</t>
  </si>
  <si>
    <t>יניב שפירא:
1 = לפני מס' חודשים
2 = בשבועות האחרונים
3 = אחרי פרישת בשארה, בגין ומרדכי
4 = ביום הבחירות</t>
  </si>
  <si>
    <t>1 = לפני מס' חודשים
2 = בשבועות האחרונים
3 = אחרי פרישת בשארה, בגין ומרדכי
4 = ביום הבחירות</t>
  </si>
  <si>
    <t>$AA$44</t>
  </si>
  <si>
    <t>יניב שפירא:
1 = מזמן
2 = מאז המלחמה או סמוך לה
3 = בימים הסמוכים לבחירות
4 = ביום הבחירות
5 = לא הלכתי להצביע</t>
  </si>
  <si>
    <t>1 = מזמן
2 = מאז המלחמה או סמוך לה
3 = בימים הסמוכים לבחירות
4 = ביום הבחירות
5 = לא הלכתי להצביע</t>
  </si>
  <si>
    <t>$AB$44</t>
  </si>
  <si>
    <t>יניב שפירא:
1 = מזמן
2 = מאז המלחמה או סמוך לה
3 = עם תחילת מערכת הבחירות
4 = היום
5 = בימים הקרובים אחליט
6 = אחליט ביום הבחירות
7 = לא מצביע</t>
  </si>
  <si>
    <t>1 = מזמן
2 = מאז המלחמה או סמוך לה
3 = עם תחילת מערכת הבחירות
4 = היום
5 = בימים הקרובים אחליט
6 = אחליט ביום הבחירות
7 = לא מצביע</t>
  </si>
  <si>
    <t>$A$45</t>
  </si>
  <si>
    <t>יניב שפירא:
למי שענה 1,2,3 בשאלה הקודמת (שאלה 3)</t>
  </si>
  <si>
    <t>למי שענה 1,2,3 בשאלה הקודמת (שאלה 3)</t>
  </si>
  <si>
    <t>יניב שפירא:
יש אופציה ל-3 תשובות מקודדות:
after_v4a_1
after_v4a_2
after_v4a_3</t>
  </si>
  <si>
    <t>יש אופציה ל-3 תשובות מקודדות:
after_v4a_1
after_v4a_2
after_v4a_3</t>
  </si>
  <si>
    <t>יניב שפירא:
רק מי שענה שלא הצביע/שם פתק לבן</t>
  </si>
  <si>
    <t>רק מי שענה שלא הצביע/שם פתק לבן</t>
  </si>
  <si>
    <t>$L$46</t>
  </si>
  <si>
    <t>יניב שפירא:
שאלה טרום בחירות
למי שענה שלא מתכוון ללכת להצביע/פתק לבן</t>
  </si>
  <si>
    <t>שאלה טרום בחירות
למי שענה שלא מתכוון ללכת להצביע/פתק לבן</t>
  </si>
  <si>
    <t>יניב שפירא:
1 = אף אחד לא נראה מתאים
2 = הבעת מחאה
3 = הרב אמר
4 = בעיות טכניות
5 = אחר</t>
  </si>
  <si>
    <t>1 = אף אחד לא נראה מתאים
2 = הבעת מחאה
3 = הרב אמר
4 = בעיות טכניות
5 = אחר</t>
  </si>
  <si>
    <t>$F$47</t>
  </si>
  <si>
    <t>יניב שפירא:
1 = בכלל לא
2 = במידה מועטה
3 = במידה בינונית
4 = במידה רבה
5 = במידה רבה מאד</t>
  </si>
  <si>
    <t>1 = בכלל לא
2 = במידה מועטה
3 = במידה בינונית
4 = במידה רבה
5 = במידה רבה מאד</t>
  </si>
  <si>
    <t>$M$48</t>
  </si>
  <si>
    <t>יניב שפירא:
1 = השפעה גדולה
2 = השפעה מסויימת
3 = השפעה מועטה
4 = אין כלל השפעה
5 = לא יודע על קיום סקרים</t>
  </si>
  <si>
    <t>1 = השפעה גדולה
2 = השפעה מסויימת
3 = השפעה מועטה
4 = אין כלל השפעה
5 = לא יודע על קיום סקרים</t>
  </si>
  <si>
    <t>$L$49</t>
  </si>
  <si>
    <t>יניב שפירא:
0 = לא צופה
1 = בכלל לא
2 = במידה מועטה
3 = במידה מסוימת
4 = במידה רבה</t>
  </si>
  <si>
    <t>0 = לא צופה
1 = בכלל לא
2 = במידה מועטה
3 = במידה מסוימת
4 = במידה רבה</t>
  </si>
  <si>
    <t>$M$49</t>
  </si>
  <si>
    <t>$V$49</t>
  </si>
  <si>
    <t>$AA$49</t>
  </si>
  <si>
    <t>יניב שפירא:
לאחר הבחירות</t>
  </si>
  <si>
    <t>לאחר הבחירות</t>
  </si>
  <si>
    <t>$AB$49</t>
  </si>
  <si>
    <t>$AD$49</t>
  </si>
  <si>
    <t>$T$50</t>
  </si>
  <si>
    <t>יניב שפירא:
1 = מידה רבה
2 = במידה מסויימת
3 = במידה מועטה
4 = כמעט ולא משפיעות
5 = כלל לא</t>
  </si>
  <si>
    <t>1 = מידה רבה
2 = במידה מסויימת
3 = במידה מועטה
4 = כמעט ולא משפיעות
5 = כלל לא</t>
  </si>
  <si>
    <t>$AA$50</t>
  </si>
  <si>
    <t>$AB$50</t>
  </si>
  <si>
    <t>יניב שפירא:
לאחר בחירות</t>
  </si>
  <si>
    <t>לאחר בחירות</t>
  </si>
  <si>
    <t>$AD$50</t>
  </si>
  <si>
    <t>$V$51</t>
  </si>
  <si>
    <t>$V$52</t>
  </si>
  <si>
    <t>$AA$52</t>
  </si>
  <si>
    <t>$AD$52</t>
  </si>
  <si>
    <t>$AA$53</t>
  </si>
  <si>
    <t>$AC$54</t>
  </si>
  <si>
    <t>$AC$55</t>
  </si>
  <si>
    <t>יניב שפירא:
1 = בטוח שאצביע
2 = חושב שאצביע
3 = לא חושב שאצביע
4 = בטוח לא אצביע</t>
  </si>
  <si>
    <t>1 = בטוח שאצביע
2 = חושב שאצביע
3 = לא חושב שאצביע
4 = בטוח לא אצביע</t>
  </si>
  <si>
    <t>$AB$56</t>
  </si>
  <si>
    <t>$AC$57</t>
  </si>
  <si>
    <t>יניב שפירא:
1 = סיבות טכניות
2 = אדישות
3 = לא יודע בעד מי להצביע/כולם אותו דבר
4 = מחאה
5 = המועד אינו מתאים לקיום בחירות
9 = מתכוון להצביע</t>
  </si>
  <si>
    <t>1 = סיבות טכניות
2 = אדישות
3 = לא יודע בעד מי להצביע/כולם אותו דבר
4 = מחאה
5 = המועד אינו מתאים לקיום בחירות
9 = מתכוון להצביע</t>
  </si>
  <si>
    <t>$A$58</t>
  </si>
  <si>
    <t>יניב שפירא:
לא למצביעי הליכוד והמחנה הציוני</t>
  </si>
  <si>
    <t>לא למצביעי הליכוד והמחנה הציוני</t>
  </si>
  <si>
    <t>$G$58</t>
  </si>
  <si>
    <t>יניב שפירא:
1 = כן
2 = לא
3 = אולי</t>
  </si>
  <si>
    <t>1 = כן
2 = לא
3 = אולי</t>
  </si>
  <si>
    <t>$A$59</t>
  </si>
  <si>
    <t>יניב שפירא:
למי שענה 1 או 3 בשאלה 93 (2015)</t>
  </si>
  <si>
    <t>followupQuestion</t>
  </si>
  <si>
    <t>למי שענה 1 או 3 בשאלה 93 (2015)</t>
  </si>
  <si>
    <t>$G$60</t>
  </si>
  <si>
    <t>יניב שפירא: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</si>
  <si>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</si>
  <si>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$N$61</t>
  </si>
  <si>
    <t>יניב שפירא:
1 = ליכוד
2 = צומת
3 = גשר
4 = מפלגה אחרת
5 = לא החלטתי</t>
  </si>
  <si>
    <t>1 = ליכוד
2 = צומת
3 = גשר
4 = מפלגה אחרת
5 = לא החלטתי</t>
  </si>
  <si>
    <t>$A$62</t>
  </si>
  <si>
    <t>יניב שפירא:
שאלה ב2015, רק עבור אלו שענו שהצביעו בבחירות האחרונות ב2013 לליכוד-ישראל ביתנו</t>
  </si>
  <si>
    <t>שאלה ב2015, רק עבור אלו שענו שהצביעו בבחירות האחרונות ב2013 לליכוד-ישראל ביתנו</t>
  </si>
  <si>
    <t>$G$62</t>
  </si>
  <si>
    <t>יניב שפירא:
1 = הליכוד
2 = ישראל ביתנו</t>
  </si>
  <si>
    <t>1 = הליכוד
2 = ישראל ביתנו</t>
  </si>
  <si>
    <t>$G$63</t>
  </si>
  <si>
    <t>יניב שפירא:
1 = גבר
2 = אישה
3 = אין הבדל</t>
  </si>
  <si>
    <t>1 = גבר
2 = אישה
3 = אין הבדל</t>
  </si>
  <si>
    <t>$G$64</t>
  </si>
  <si>
    <t>יניב שפירא:
1 = אשכנזי
2 = מזרחי
3 = אין הבדל</t>
  </si>
  <si>
    <t>1 = אשכנזי
2 = מזרחי
3 = אין הבדל</t>
  </si>
  <si>
    <t>$G$65</t>
  </si>
  <si>
    <t>$A$66</t>
  </si>
  <si>
    <t>$I$71</t>
  </si>
  <si>
    <t>$V$71</t>
  </si>
  <si>
    <t>יניב שפירא:
1 = במידה רבה
2 = במידה מסויימת
3 = במידה מועטה
4 = בכלל לא</t>
  </si>
  <si>
    <t>1 = במידה רבה
2 = במידה מסויימת
3 = במידה מועטה
4 = בכלל לא</t>
  </si>
  <si>
    <t>$AA$71</t>
  </si>
  <si>
    <t>$AB$71</t>
  </si>
  <si>
    <t>$I$73</t>
  </si>
  <si>
    <t xml:space="preserve">יניב שפירא: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</si>
  <si>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 xml:space="preserve">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</si>
  <si>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$U$73</t>
  </si>
  <si>
    <t>יניב שפירא: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</si>
  <si>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</si>
  <si>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$J$74</t>
  </si>
  <si>
    <t>יניב שפירא:
1 = סיבה חשובה מאד
2 = סיבה חשובה
3 = לא בטוח
4 = לא סיבה חשובה
5 = בהחלט לא סיבה חשובה</t>
  </si>
  <si>
    <t>1 = סיבה חשובה מאד
2 = סיבה חשובה
3 = לא בטוח
4 = לא סיבה חשובה
5 = בהחלט לא סיבה חשובה</t>
  </si>
  <si>
    <t>יניב שפירא:
1 = שמיר
2 = רבין</t>
  </si>
  <si>
    <t>1 = שמיר
2 = רבין</t>
  </si>
  <si>
    <t>$I$83</t>
  </si>
  <si>
    <t>יניב שפירא:
בחירות 2008
1 = כן
2 = לא</t>
  </si>
  <si>
    <t>בחירות 2008
1 = כן
2 = לא</t>
  </si>
  <si>
    <t>$I$84</t>
  </si>
  <si>
    <t>$L$85</t>
  </si>
  <si>
    <t>יניב שפירא:
1 = פרס
2 = שרון</t>
  </si>
  <si>
    <t>1 = פרס
2 = שרון</t>
  </si>
  <si>
    <t>$L$86</t>
  </si>
  <si>
    <t>יניב שפירא:
1 = לא ישפיע כלל
2 = במידה מועטה
3 = במידה מסוימת
4 = במידה רבה</t>
  </si>
  <si>
    <t>1 = לא ישפיע כלל
2 = במידה מועטה
3 = במידה מסוימת
4 = במידה רבה</t>
  </si>
  <si>
    <t>$N$86</t>
  </si>
  <si>
    <t>$L$89</t>
  </si>
  <si>
    <t>יניב שפירא:
הניסוח:
"ההסכם עם הפלסטינים"</t>
  </si>
  <si>
    <t>הניסוח:
"ההסכם עם הפלסטינים"</t>
  </si>
  <si>
    <t>$L$91</t>
  </si>
  <si>
    <t>$N$92</t>
  </si>
  <si>
    <t>יניב שפירא:
מבצע "ענבי זעם" בלבנון</t>
  </si>
  <si>
    <t>מבצע "ענבי זעם" בלבנון</t>
  </si>
  <si>
    <t>$N$94</t>
  </si>
  <si>
    <t>יניב שפירא:
ארבע אפשרויות:
cccc6
cccc8
cccc10
cccc12</t>
  </si>
  <si>
    <t>ארבע אפשרויות:
cccc6
cccc8
cccc10
cccc12</t>
  </si>
  <si>
    <t>$Q$94</t>
  </si>
  <si>
    <t>יניב שפירא:
גם c21</t>
  </si>
  <si>
    <t>גם c21</t>
  </si>
  <si>
    <t>$R$94</t>
  </si>
  <si>
    <t>יניב שפירא:
גם g28</t>
  </si>
  <si>
    <t>גם g28</t>
  </si>
  <si>
    <t>$T$94</t>
  </si>
  <si>
    <t>יניב שפירא:
אילו היה לך פתק שני</t>
  </si>
  <si>
    <t>אילו היה לך פתק שני</t>
  </si>
  <si>
    <t>$O$97</t>
  </si>
  <si>
    <t>יניב שפירא:
1 = משפיע
2 = לא משפיע</t>
  </si>
  <si>
    <t>1 = משפיע
2 = לא משפיע</t>
  </si>
  <si>
    <t>$P$114</t>
  </si>
  <si>
    <t>יניב שפירא:
1 = 1949
2 = 1951
3 = 1955
4 = 1959
5 = 1961
6 = 1965
7 = 1969
8 = 1973
9 = 1977
10 = 1981
11 = 1984
12 = טרם השתתפתי בבחירות</t>
  </si>
  <si>
    <t>1 = 1949
2 = 1951
3 = 1955
4 = 1959
5 = 1961
6 = 1965
7 = 1969
8 = 1973
9 = 1977
10 = 1981
11 = 1984
12 = טרם השתתפתי בבחירות</t>
  </si>
  <si>
    <t>$N$118</t>
  </si>
  <si>
    <t>יניב שפירא:
1 = כולם מצביעים כמוך
2 = חלק גדול
3 = חלק קטן
4 = אף אחד לא מצביע כמוך</t>
  </si>
  <si>
    <t>1 = כולם מצביעים כמוך
2 = חלק גדול
3 = חלק קטן
4 = אף אחד לא מצביע כמוך</t>
  </si>
  <si>
    <t>$S$118</t>
  </si>
  <si>
    <t>יניב שפירא:
1 = כולם מצביעים כמוך
2 = חלק גדול
3 = חלק קטן
4 = אף אחד לא מצביע כמוך
5 = לא יודע איך הם מצביעים</t>
  </si>
  <si>
    <t>1 = כולם מצביעים כמוך
2 = חלק גדול
3 = חלק קטן
4 = אף אחד לא מצביע כמוך
5 = לא יודע איך הם מצביעים</t>
  </si>
  <si>
    <t>$AG$118</t>
  </si>
  <si>
    <t>יניב שפירא:
1 = כן
2 = לא
3 = לא יודע איך מצביעים
4 = מצביע כמו חלק מהם</t>
  </si>
  <si>
    <t>1 = כן
2 = לא
3 = לא יודע איך מצביעים
4 = מצביע כמו חלק מהם</t>
  </si>
  <si>
    <t>$AB$119</t>
  </si>
  <si>
    <t>יניב שפירא:
1 = רוב חברי יצביעו כמוני
2 = רוב חברי לא יצביעו כמוני
3 = לא יודע בעד מי הם מצביעים</t>
  </si>
  <si>
    <t>1 = רוב חברי יצביעו כמוני
2 = רוב חברי לא יצביעו כמוני
3 = לא יודע בעד מי הם מצביעים</t>
  </si>
  <si>
    <t>$AG$119</t>
  </si>
  <si>
    <t>$AB$122</t>
  </si>
  <si>
    <t>יניב שפירא:
1 = כן
2 = לא
3 = לא נשוי</t>
  </si>
  <si>
    <t>1 = כן
2 = לא
3 = לא נשוי</t>
  </si>
  <si>
    <t>$P$124</t>
  </si>
  <si>
    <t>יניב שפירא:
1 = במידה רבה מאד
2 = במידה רבה
3 = במידה מסוימת
4 = במידה קטנה ביותר
5 = כלל לא</t>
  </si>
  <si>
    <t>1 = במידה רבה מאד
2 = במידה רבה
3 = במידה מסוימת
4 = במידה קטנה ביותר
5 = כלל לא</t>
  </si>
  <si>
    <t>$P$125</t>
  </si>
  <si>
    <t>יניב שפירא:
1 = אבא
2 = אמא
3 = אח/אחות
4 = בן/בת זוג
5 = בן/בת
6 = אחר
7 = שני ההורים במידה שווה
8 = כל בני משפחתי במידה שווה
9 = אף אחד לא השפיע</t>
  </si>
  <si>
    <t>1 = אבא
2 = אמא
3 = אח/אחות
4 = בן/בת זוג
5 = בן/בת
6 = אחר
7 = שני ההורים במידה שווה
8 = כל בני משפחתי במידה שווה
9 = אף אחד לא השפיע</t>
  </si>
  <si>
    <t>$P$126</t>
  </si>
  <si>
    <t>יניב שפירא:
1 = המשפחה שלי
2 = ידידי הקרובים
3 = החברים בעבודה
4 = אנשי התנועה/ארגון שאני משתייך אליו
5 = כל הקבוצות במידה שווה
6 = לאף קבוצה אין השפעה</t>
  </si>
  <si>
    <t>1 = המשפחה שלי
2 = ידידי הקרובים
3 = החברים בעבודה
4 = אנשי התנועה/ארגון שאני משתייך אליו
5 = כל הקבוצות במידה שווה
6 = לאף קבוצה אין השפעה</t>
  </si>
  <si>
    <t>$P$127</t>
  </si>
  <si>
    <t>יניב שפירא:
1 = במידה רבה מאד
2 = במידה רבה
3 = במידה מסוימת
4 = במידה קטנה
5 = כלל לא</t>
  </si>
  <si>
    <t>1 = במידה רבה מאד
2 = במידה רבה
3 = במידה מסוימת
4 = במידה קטנה
5 = כלל לא</t>
  </si>
  <si>
    <t>$Q$128</t>
  </si>
  <si>
    <t>יניב שפירא:
1 = לא השתנה
2 = התחזקה הנטייה להציע לליכוד או למחנה שלו
3 = התחזקה הנטייה להצביע למערך או למחנה שלו
4 = התחזקה הנטייה להצביע למפלגות הדתיות</t>
  </si>
  <si>
    <t>1 = לא השתנה
2 = התחזקה הנטייה להציע לליכוד או למחנה שלו
3 = התחזקה הנטייה להצביע למערך או למחנה שלו
4 = התחזקה הנטייה להצביע למפלגות הדתיות</t>
  </si>
  <si>
    <t>$S$131</t>
  </si>
  <si>
    <t>$S$132</t>
  </si>
  <si>
    <t>יניב שפירא:
1 = בטוח לגמרי
2 = חושב אך לא בטוח
3 = כלל לא בטוח</t>
  </si>
  <si>
    <t>1 = בטוח לגמרי
2 = חושב אך לא בטוח
3 = כלל לא בטוח</t>
  </si>
  <si>
    <t>$T$134</t>
  </si>
  <si>
    <t>יניב שפירא:
1 = במידה רבה
2 = במידה מסויימת
3 = במידה מועטה
4 = כלל לא תשפיע</t>
  </si>
  <si>
    <t>1 = במידה רבה
2 = במידה מסויימת
3 = במידה מועטה
4 = כלל לא תשפיע</t>
  </si>
  <si>
    <t>$U$135</t>
  </si>
  <si>
    <t>יניב שפירא:
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</si>
  <si>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</si>
  <si>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$T$136</t>
  </si>
  <si>
    <t>יניב שפירא:
1 = לא מתכנן נסיעה
2 = מתכנן נסיעה אך אהיה בארץ בבחירות
3 = מתכנן נסיעה ולא אהיה בארץ בבחירות</t>
  </si>
  <si>
    <t>1 = לא מתכנן נסיעה
2 = מתכנן נסיעה אך אהיה בארץ בבחירות
3 = מתכנן נסיעה ולא אהיה בארץ בבחירות</t>
  </si>
  <si>
    <t>$T$137</t>
  </si>
  <si>
    <t>יניב שפירא:
1 = בטוח במידה רבה
2 = במידה מסויימת
3 = במידה מועטה
4 = לא בטוח כלל</t>
  </si>
  <si>
    <t>1 = בטוח במידה רבה
2 = במידה מסויימת
3 = במידה מועטה
4 = לא בטוח כלל</t>
  </si>
  <si>
    <t>$AB$137</t>
  </si>
  <si>
    <t>יניב שפירא:
1 = במידה רבה
2 = במידה מסוימת
3 = במידה מועטה
4 = כלל לא
5 = לא אצביע</t>
  </si>
  <si>
    <t>1 = במידה רבה
2 = במידה מסוימת
3 = במידה מועטה
4 = כלל לא
5 = לא אצביע</t>
  </si>
  <si>
    <t>$AD$138</t>
  </si>
  <si>
    <t>יניב שפירא:
9 = בטוח במי יצביע</t>
  </si>
  <si>
    <t>specialValue</t>
  </si>
  <si>
    <t>9 = בטוח במי יצביע</t>
  </si>
  <si>
    <t>$T$139</t>
  </si>
  <si>
    <t>יניב שפירא:
1 = יום לפני הבחירות
2 = כמה ימים לפני הבחירות
3 = שבועיים לפני הבחירות
4 = 3 שבועות לפני הבחירות
5 = בימים הקרובים
6 = איני יודע מתי</t>
  </si>
  <si>
    <t>1 = יום לפני הבחירות
2 = כמה ימים לפני הבחירות
3 = שבועיים לפני הבחירות
4 = 3 שבועות לפני הבחירות
5 = בימים הקרובים
6 = איני יודע מתי</t>
  </si>
  <si>
    <t>$AD$139</t>
  </si>
  <si>
    <t>יניב שפירא:
1 = בימים אלו
2 = בחודש הקרוב
3 = סמוך למועד הבחירות
9 = בטוח במי יצביע</t>
  </si>
  <si>
    <t>1 = בימים אלו
2 = בחודש הקרוב
3 = סמוך למועד הבחירות
9 = בטוח במי יצביע</t>
  </si>
  <si>
    <t>$AD$140</t>
  </si>
  <si>
    <t>יניב שפירא:
9 = בטוח במי להצביע</t>
  </si>
  <si>
    <t>9 = בטוח במי להצביע</t>
  </si>
  <si>
    <t>$T$143</t>
  </si>
  <si>
    <t>יניב שפירא:
1 = יותר
2 = פחות
3 = אותו דבר
4 = לא יודע</t>
  </si>
  <si>
    <t>1 = יותר
2 = פחות
3 = אותו דבר
4 = לא יודע</t>
  </si>
  <si>
    <t>$AD$144</t>
  </si>
  <si>
    <t>יניב שפירא:
1 = הרבה יותר ברור
2 = יותר ברור
3 = פחות ברור
4 = הרבה פחות ברור
5 = ברור באותה מידה</t>
  </si>
  <si>
    <t>1 = הרבה יותר ברור
2 = יותר ברור
3 = פחות ברור
4 = הרבה פחות ברור
5 = ברור באותה מידה</t>
  </si>
  <si>
    <t>$A$145</t>
  </si>
  <si>
    <t>יניב שפירא:
בהמשך לשאלה אחת למעלה</t>
  </si>
  <si>
    <t>בהמשך לשאלה אחת למעלה</t>
  </si>
  <si>
    <t>יניב שפירא:
ובנוסף b63</t>
  </si>
  <si>
    <t>askedTwice</t>
  </si>
  <si>
    <t>ובנוסף b63</t>
  </si>
  <si>
    <t>$AH$146</t>
  </si>
  <si>
    <t>יניב שפירא:
בנוסף B68</t>
  </si>
  <si>
    <t>בנוסף B68</t>
  </si>
  <si>
    <t>$U$147</t>
  </si>
  <si>
    <t>יניב שפירא: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</si>
  <si>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</si>
  <si>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$AE$148</t>
  </si>
  <si>
    <t>יניב שפירא:
1 = מחליט מוקדם
2 = מחכה</t>
  </si>
  <si>
    <t>1 = מחליט מוקדם
2 = מחכה</t>
  </si>
  <si>
    <t>$U$149</t>
  </si>
  <si>
    <t>יניב שפירא: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</si>
  <si>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</si>
  <si>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$A$150</t>
  </si>
  <si>
    <t>יניב שפירא:
בהמשך לשאלה a27
דרך נוספת</t>
  </si>
  <si>
    <t>בהמשך לשאלה a27
דרך נוספת</t>
  </si>
  <si>
    <t>$U$151</t>
  </si>
  <si>
    <t>יניב שפירא: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</si>
  <si>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</si>
  <si>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$AE$151</t>
  </si>
  <si>
    <t>יניב שפירא:
פתוח</t>
  </si>
  <si>
    <t>פתוח</t>
  </si>
  <si>
    <t>$A$152</t>
  </si>
  <si>
    <t>יניב שפירא:
בהמשך לשאלה a29</t>
  </si>
  <si>
    <t>בהמשך לשאלה a29</t>
  </si>
  <si>
    <t>$V$153</t>
  </si>
  <si>
    <t xml:space="preserve">יניב שפירא:
1 = בעד המפלגה עבורה אצביע
2 = נגד מפלגה אחרת
3 = שתי הסיבות נכונות
4 = לא יודע לא חשבתי על זה
</t>
  </si>
  <si>
    <t xml:space="preserve">1 = בעד המפלגה עבורה אצביע
2 = נגד מפלגה אחרת
3 = שתי הסיבות נכונות
4 = לא יודע לא חשבתי על זה
</t>
  </si>
  <si>
    <t>$V$154</t>
  </si>
  <si>
    <t>יניב שפירא:
1 = כן
2 = לא
3 = לא הצבעתי בעבר</t>
  </si>
  <si>
    <t>1 = כן
2 = לא
3 = לא הצבעתי בעבר</t>
  </si>
  <si>
    <t>$V$157</t>
  </si>
  <si>
    <t>יניב שפירא:
1 = ישפיע במידה רבה
2 = ישפיע במידה מסויימת
3 = ישפיע במידה מועטה
4 = לא ישפיע כלל</t>
  </si>
  <si>
    <t>1 = ישפיע במידה רבה
2 = ישפיע במידה מסויימת
3 = ישפיע במידה מועטה
4 = לא ישפיע כלל</t>
  </si>
  <si>
    <t>$V$158</t>
  </si>
  <si>
    <t>יניב שפירא:
1 = כן
2 = לא
3 = לא החלטתי
4 = לא אצביע</t>
  </si>
  <si>
    <t>1 = כן
2 = לא
3 = לא החלטתי
4 = לא אצביע</t>
  </si>
  <si>
    <t>$W$159</t>
  </si>
  <si>
    <t>יניב שפירא:
1 = אמון בהנגת המפלגה שהצבעתי לה
2 = אי אמון של הממשלה בראשות המערך
3 = הרצון למחות נגד שלטון המערך
4 = הרצון לתמוך בשלטון המערך
5 = פחד מפני קיצוניות הליכוד</t>
  </si>
  <si>
    <t>1 = אמון בהנגת המפלגה שהצבעתי לה
2 = אי אמון של הממשלה בראשות המערך
3 = הרצון למחות נגד שלטון המערך
4 = הרצון לתמוך בשלטון המערך
5 = פחד מפני קיצוניות הליכוד</t>
  </si>
  <si>
    <t>$W$160</t>
  </si>
  <si>
    <t>$W$161</t>
  </si>
  <si>
    <t>יניב שפירא:
1 = בטוח מאד
2 = בטוח
3 = לא כ"כ בטוח
4 = בכלל לא בטוח</t>
  </si>
  <si>
    <t>1 = בטוח מאד
2 = בטוח
3 = לא כ"כ בטוח
4 = בכלל לא בטוח</t>
  </si>
  <si>
    <t>$Z$162</t>
  </si>
  <si>
    <t>יניב שפירא:
1 = בטוח שאשנה
2 = חושב שאשנה
3 = חושב שלא אשנה
4 = בטוח שאשנה</t>
  </si>
  <si>
    <t>1 = בטוח שאשנה
2 = חושב שאשנה
3 = חושב שלא אשנה
4 = בטוח שאשנה</t>
  </si>
  <si>
    <t>$AE$163</t>
  </si>
  <si>
    <t>$Z$164</t>
  </si>
  <si>
    <t>יניב שפירא:
1 = בטוח שאשנה
2 = חושב שאשנה
3 = חושב שלא אשנה
4 = בטוח לא אשנה
5 = אם זה יקרה, לא אצביע כלל
6 = לא אצביע בלאו הכי
7 = לא תומך באף מפלגה</t>
  </si>
  <si>
    <t>1 = בטוח שאשנה
2 = חושב שאשנה
3 = חושב שלא אשנה
4 = בטוח לא אשנה
5 = אם זה יקרה, לא אצביע כלל
6 = לא אצביע בלאו הכי
7 = לא תומך באף מפלגה</t>
  </si>
  <si>
    <t>$AG$164</t>
  </si>
  <si>
    <t>יניב שפירא:
1 = אשנה
2 = לא אשנה
3 = לא אצביע כלל אם ככה
4 = אין נושא חשוב במיוחד</t>
  </si>
  <si>
    <t>1 = אשנה
2 = לא אשנה
3 = לא אצביע כלל אם ככה
4 = אין נושא חשוב במיוחד</t>
  </si>
  <si>
    <t>$Z$165</t>
  </si>
  <si>
    <t>יניב שפירא: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</si>
  <si>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</si>
  <si>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$AG$165</t>
  </si>
  <si>
    <t>יניב שפירא:
1 = אצביע בכל זאת
2 = לא אצביע לה
3 = לא אצביע בכלל
4 = אין מועמד מסוים</t>
  </si>
  <si>
    <t>1 = אצביע בכל זאת
2 = לא אצביע לה
3 = לא אצביע בכלל
4 = אין מועמד מסוים</t>
  </si>
  <si>
    <t>$Z$166</t>
  </si>
  <si>
    <t>יניב שפירא:
1 = מפ"ם
2 = מפלגת העבודה
3 = אף אחד מהם</t>
  </si>
  <si>
    <t>1 = מפ"ם
2 = מפלגת העבודה
3 = אף אחד מהם</t>
  </si>
  <si>
    <t>$AA$167</t>
  </si>
  <si>
    <t>יניב שפירא:
1 = כן
2 = לא
3 = לא בחרתי ב1969
4 = לא הצבעתי הפעם</t>
  </si>
  <si>
    <t>1 = כן
2 = לא
3 = לא בחרתי ב1969
4 = לא הצבעתי הפעם</t>
  </si>
  <si>
    <t>$AA$168</t>
  </si>
  <si>
    <t>יניב שפירא:
1 = כן
2 = לא
3 = לא הצבעתי</t>
  </si>
  <si>
    <t>1 = כן
2 = לא
3 = לא הצבעתי</t>
  </si>
  <si>
    <t>$AC$168</t>
  </si>
  <si>
    <t>יניב שפירא:
1 = כן
2 = לא
3 = מתלבט</t>
  </si>
  <si>
    <t>1 = כן
2 = לא
3 = מתלבט</t>
  </si>
  <si>
    <t>$AA$169</t>
  </si>
  <si>
    <t>יניב שפירא:
1 = קשה מאד
2 = קשה
3 = לא כ"כ קשה
4 = בכלל לא קשה</t>
  </si>
  <si>
    <t>1 = קשה מאד
2 = קשה
3 = לא כ"כ קשה
4 = בכלל לא קשה</t>
  </si>
  <si>
    <t>$AA$170</t>
  </si>
  <si>
    <t>$AA$171</t>
  </si>
  <si>
    <t>יניב שפירא: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</si>
  <si>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</si>
  <si>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$AE$171</t>
  </si>
  <si>
    <t>יניב שפירא: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</si>
  <si>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</si>
  <si>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$AG$172</t>
  </si>
  <si>
    <t>יניב שפירא:
1 = כן
2 = לא
3 = טרם החלטתי</t>
  </si>
  <si>
    <t>1 = כן
2 = לא
3 = טרם החלטתי</t>
  </si>
  <si>
    <t>$AF$174</t>
  </si>
  <si>
    <t>יניב שפירא:
1965</t>
  </si>
  <si>
    <t>₪1,965</t>
  </si>
  <si>
    <t>$AF$175</t>
  </si>
  <si>
    <t>יניב שפירא:
1 = יש גורם אחד חשוב בהרבה מהיתר
2 = יש גורם אחד שהוא קצת יותר חשוב מהיתר
3 = כל הגורמים חשובים באותה מידה
4 = אף אחד מהגורמים לא חשוב</t>
  </si>
  <si>
    <t>1 = יש גורם אחד חשוב בהרבה מהיתר
2 = יש גורם אחד שהוא קצת יותר חשוב מהיתר
3 = כל הגורמים חשובים באותה מידה
4 = אף אחד מהגורמים לא חשוב</t>
  </si>
  <si>
    <t>$AF$176</t>
  </si>
  <si>
    <t>יניב שפירא:
1 = הזדהות עם המפלגה
2 = מועמד המפלגה
3 = עמדות המפלגה
4 = מקומה של המפלגה
5 = אף אחד מאלו
6 = אחר</t>
  </si>
  <si>
    <t>1 = הזדהות עם המפלגה
2 = מועמד המפלגה
3 = עמדות המפלגה
4 = מקומה של המפלגה
5 = אף אחד מאלו
6 = אחר</t>
  </si>
  <si>
    <t>$AA$177</t>
  </si>
  <si>
    <t>יניב שפירא:
1 = כן
2 = לא
3 = הרשימה שהצבעתי לעירייה לא רצה לכנסת
4 = לא הצבעתי לכנסת
5 = לא הצבעתי לעירייה
6 = לא הצבעתי כלל</t>
  </si>
  <si>
    <t>1 = כן
2 = לא
3 = הרשימה שהצבעתי לעירייה לא רצה לכנסת
4 = לא הצבעתי לכנסת
5 = לא הצבעתי לעירייה
6 = לא הצבעתי כלל</t>
  </si>
  <si>
    <t>$AF$177</t>
  </si>
  <si>
    <t>יניב שפירא:
1 = כן
2 = לא
3 = לא אצביע לעירייה
4 = טרם החלטתי למי להצביע לעירייה
5 = לא אצביע לכנסת
6 = טרם החלטתי למי להצביע לכנסת</t>
  </si>
  <si>
    <t>1 = כן
2 = לא
3 = לא אצביע לעירייה
4 = טרם החלטתי למי להצביע לעירייה
5 = לא אצביע לכנסת
6 = טרם החלטתי למי להצביע לכנסת</t>
  </si>
  <si>
    <t>$AB$179</t>
  </si>
  <si>
    <t>יניב שפירא:
1 = במידה רבה
2 = במידה מסוימת
3 = במידה מועטה
4 = בכלל לא
5 = אין לי בן/בת זוג</t>
  </si>
  <si>
    <t>1 = במידה רבה
2 = במידה מסוימת
3 = במידה מועטה
4 = בכלל לא
5 = אין לי בן/בת זוג</t>
  </si>
  <si>
    <t>$AB$180</t>
  </si>
  <si>
    <t>יניב שפירא:
1 = הרבה יותר קשה
2 = קצת יותר קשה
3 = באותה מידה
4 = קצת פחות קשה
5 = הרבה פחות קשה</t>
  </si>
  <si>
    <t>1 = הרבה יותר קשה
2 = קצת יותר קשה
3 = באותה מידה
4 = קצת פחות קשה
5 = הרבה פחות קשה</t>
  </si>
  <si>
    <t>$A$181</t>
  </si>
  <si>
    <t>$AB$181</t>
  </si>
  <si>
    <t>יניב שפירא:
1 = כן בהחלט
2 = חושבת שכן
3 = חושבת שלא
4 = בכלל לא
5 = לא יודעת בעד מי בעלי רוצה שאצביע
6 = לא חשוב לו עבור מי אצביע
7 = אני גבר</t>
  </si>
  <si>
    <t>1 = כן בהחלט
2 = חושבת שכן
3 = חושבת שלא
4 = בכלל לא
5 = לא יודעת בעד מי בעלי רוצה שאצביע
6 = לא חשוב לו עבור מי אצביע
7 = אני גבר</t>
  </si>
  <si>
    <t>$AB$182</t>
  </si>
  <si>
    <t>$AB$183</t>
  </si>
  <si>
    <t>יניב שפירא:
1 = הוא לא צריך להצביע
2 = הוא צריך לשים פתק לבן
3 = הוא צריך להצביע למפלגה כלשהי</t>
  </si>
  <si>
    <t>1 = הוא לא צריך להצביע
2 = הוא צריך לשים פתק לבן
3 = הוא צריך להצביע למפלגה כלשהי</t>
  </si>
  <si>
    <t>$AF$184</t>
  </si>
  <si>
    <t>יניב שפירא:
1 = מסכים בהחלט
2 = במידה מסויימת
3 = מסתייג
4 = מתנגד בהחלט</t>
  </si>
  <si>
    <t>1 = מסכים בהחלט
2 = במידה מסויימת
3 = מסתייג
4 = מתנגד בהחלט</t>
  </si>
  <si>
    <t>$AB$185</t>
  </si>
  <si>
    <t>יניב שפירא:
1 = חשוב מאד
2 = חשוב
3 = לא כ"כ חשוב
4 = לא חשוב כלל</t>
  </si>
  <si>
    <t>1 = חשוב מאד
2 = חשוב
3 = לא כ"כ חשוב
4 = לא חשוב כלל</t>
  </si>
  <si>
    <t>$AB$186</t>
  </si>
  <si>
    <t>יניב שפירא:
1 = העיקר זה להצביע
2 = העיקר המפלגה</t>
  </si>
  <si>
    <t>1 = העיקר זה להצביע
2 = העיקר המפלגה</t>
  </si>
  <si>
    <t>$AC$187</t>
  </si>
  <si>
    <t>יניב שפירא:
1 = כן
2 = לא
3 = לא בחרתי פעם קודמת</t>
  </si>
  <si>
    <t>1 = כן
2 = לא
3 = לא בחרתי פעם קודמת</t>
  </si>
  <si>
    <t>$AD$188</t>
  </si>
  <si>
    <t>$AD$190</t>
  </si>
  <si>
    <t>$AD$191</t>
  </si>
  <si>
    <t>יניב שפירא:
9 = לא הצביע בחו"ל</t>
  </si>
  <si>
    <t>9 = לא הצביע בחו"ל</t>
  </si>
  <si>
    <t>$A$192</t>
  </si>
  <si>
    <t>יניב שפירא:
הבעיה שציין ב"ישראל כללי" שורה 4</t>
  </si>
  <si>
    <t>הבעיה שציין ב"ישראל כללי" שורה 4</t>
  </si>
  <si>
    <t>$AD$192</t>
  </si>
  <si>
    <t>יניב שפירא:
1 = מאוד משפיעה
2 = משפיעה
3 = לא כ"כ משפיעה
4 = לא משפיעה כלל
5 = לא מזדהה עם אף מפלגה</t>
  </si>
  <si>
    <t>1 = מאוד משפיעה
2 = משפיעה
3 = לא כ"כ משפיעה
4 = לא משפיעה כלל
5 = לא מזדהה עם אף מפלגה</t>
  </si>
  <si>
    <t>$A$193</t>
  </si>
  <si>
    <t>יניב שפירא:
הבעייה שציין ב"ישראל כללי"
שורה 5</t>
  </si>
  <si>
    <t>הבעייה שציין ב"ישראל כללי"
שורה 5</t>
  </si>
  <si>
    <t>$AD$193</t>
  </si>
  <si>
    <t>$AD$194</t>
  </si>
  <si>
    <t>יניב שפירא:
1 = מאוד תשפיע
2 = תשפיע
3 = לא כ"כ תשפיע
4 = לא תשפיע כלל</t>
  </si>
  <si>
    <t>1 = מאוד תשפיע
2 = תשפיע
3 = לא כ"כ תשפיע
4 = לא תשפיע כלל</t>
  </si>
  <si>
    <t>$AF$195</t>
  </si>
  <si>
    <t>יניב שפירא:
1 = מחזק את עמדתי להצביע עבור הרשימה שבחרתי בה
2 = לא השפיע כלל
3 = השפיע עליי לשנות את החלטתי</t>
  </si>
  <si>
    <t>1 = מחזק את עמדתי להצביע עבור הרשימה שבחרתי בה
2 = לא השפיע כלל
3 = השפיע עליי לשנות את החלטתי</t>
  </si>
  <si>
    <t>$C$196</t>
  </si>
  <si>
    <t>יניב שפירא:
1 = כלל לא ישפיע
2 = ישפיע במידה מועטה
3 = ישפיע במידה מסוימת
4 = ישפיע במידה רבה</t>
  </si>
  <si>
    <t>1 = כלל לא ישפיע
2 = ישפיע במידה מועטה
3 = ישפיע במידה מסוימת
4 = ישפיע במידה רבה</t>
  </si>
  <si>
    <t>ציפיות</t>
  </si>
  <si>
    <t>יניב שפירא:
1 = שרון
2 = ברק</t>
  </si>
  <si>
    <t>1 = שרון
2 = ברק</t>
  </si>
  <si>
    <t>יניב שפירא:
1 = נתניהו
2 = ברק
3 = מרדכי</t>
  </si>
  <si>
    <t>1 = נתניהו
2 = ברק
3 = מרדכי</t>
  </si>
  <si>
    <t>$N$2</t>
  </si>
  <si>
    <t>יניב שפירא:
1 = נתניהו
2 = פרס
3 = לא יודע</t>
  </si>
  <si>
    <t>1 = נתניהו
2 = פרס
3 = לא יודע</t>
  </si>
  <si>
    <t>יניב שפירא:
v60 + v61
שתי תשובות
1 = נתניהו
2 = ברק
3 = מרדכי
4 = בגין
5 = בשארה
6 = רפול</t>
  </si>
  <si>
    <t>v60 + v61
שתי תשובות
1 = נתניהו
2 = ברק
3 = מרדכי
4 = בגין
5 = בשארה
6 = רפול</t>
  </si>
  <si>
    <t>$I$4</t>
  </si>
  <si>
    <t>יניב שפירא:
ציון 0-100
0 = אין סיכוי
100 = בטוח שכן</t>
  </si>
  <si>
    <t>ציון 0-100
0 = אין סיכוי
100 = בטוח שכן</t>
  </si>
  <si>
    <t>$I$5</t>
  </si>
  <si>
    <t>$I$6</t>
  </si>
  <si>
    <t>$N$7</t>
  </si>
  <si>
    <t>יניב שפירא:
1 = העבודה
2 = הליכוד
3 = לא יודע</t>
  </si>
  <si>
    <t>1 = העבודה
2 = הליכוד
3 = לא יודע</t>
  </si>
  <si>
    <t>$O$7</t>
  </si>
  <si>
    <t>יניב שפירא:
הניסוח הוא:
"מפלגה שתקים את הממשלה"
1 = העבודה
2 = הליכוד
3 = ממלשת אחדות לאומית בראשות העבודה
4 = ממשלת אחדות לאומית בראשות הליכוד
5 = אחר</t>
  </si>
  <si>
    <t>הניסוח הוא:
"מפלגה שתקים את הממשלה"
1 = העבודה
2 = הליכוד
3 = ממלשת אחדות לאומית בראשות העבודה
4 = ממשלת אחדות לאומית בראשות הליכוד
5 = אחר</t>
  </si>
  <si>
    <t>יניב שפירא:
1 = העבודה
2 = הליכוד
3 = ממלשת אחדות לאומית בראשות העבודה
4 = ממשלת אחדות לאומית בראשות הליכוד
5 = אחר</t>
  </si>
  <si>
    <t>1 = העבודה
2 = הליכוד
3 = ממלשת אחדות לאומית בראשות העבודה
4 = ממשלת אחדות לאומית בראשות הליכוד
5 = אחר</t>
  </si>
  <si>
    <t>$T$9</t>
  </si>
  <si>
    <t>יניב שפירא:
1 = רוצה במידה רבה את הליכוד
2 = רוצה במידה מסויימת את הליכוד
3 = לא משנה לי
4 = רוצה במידה מסויימת את המערך
5 = רוצה במידה רבה את המערך</t>
  </si>
  <si>
    <t>1 = רוצה במידה רבה את הליכוד
2 = רוצה במידה מסויימת את הליכוד
3 = לא משנה לי
4 = רוצה במידה מסויימת את המערך
5 = רוצה במידה רבה את המערך</t>
  </si>
  <si>
    <t>$J$11</t>
  </si>
  <si>
    <t>יניב שפירא:
ציון בין 0-100
0 = אין סיכוי שתהיה
100 = בטוח שתהיה</t>
  </si>
  <si>
    <t>ציון בין 0-100
0 = אין סיכוי שתהיה
100 = בטוח שתהיה</t>
  </si>
  <si>
    <t>$J$31</t>
  </si>
  <si>
    <t>יניב שפירא:
ציון בין 0-100
0 = אין סיכוי
100 = בטוח שכן</t>
  </si>
  <si>
    <t>ציון בין 0-100
0 = אין סיכוי
100 = בטוח שכן</t>
  </si>
  <si>
    <t>$J$41</t>
  </si>
  <si>
    <t>יניב שפירא:
סולם בין 1-10
1 = מתנגד
10 = תומך</t>
  </si>
  <si>
    <t>סולם בין 1-10
1 = מתנגד
10 = תומך</t>
  </si>
  <si>
    <t>$X$51</t>
  </si>
  <si>
    <t>יניב שפירא:
1 = מערך+ליכוד+ד"ש
2 = מערך+ליכוד
3 = מערך+ד"ש
4 = מערך+מפד"ל
5 = ליכוד+ד"ש
6 = ליכוד+מפד"ל
7 = ליכוד+ד"ש+מפד"ל
8 = מערך+ד"ש+מפד"ל
9 = מערך+ליכוד+ד"ש+מפד"ל</t>
  </si>
  <si>
    <t>1 = מערך+ליכוד+ד"ש
2 = מערך+ליכוד
3 = מערך+ד"ש
4 = מערך+מפד"ל
5 = ליכוד+ד"ש
6 = ליכוד+מפד"ל
7 = ליכוד+ד"ש+מפד"ל
8 = מערך+ד"ש+מפד"ל
9 = מערך+ליכוד+ד"ש+מפד"ל</t>
  </si>
  <si>
    <t>$M$52</t>
  </si>
  <si>
    <t>יניב שפירא:
1 = בהחלט כן
2 = חושב שכן
3 = חושב שלא
4 = בהחלט לא
5 = כן, אבל רק בראשות הליכוד
6 = כן, אבל רק בראשות העבודה
7 = כן, אבל רק בראשות מפלגת המרכז</t>
  </si>
  <si>
    <t>1 = בהחלט כן
2 = חושב שכן
3 = חושב שלא
4 = בהחלט לא
5 = כן, אבל רק בראשות הליכוד
6 = כן, אבל רק בראשות העבודה
7 = כן, אבל רק בראשות מפלגת המרכז</t>
  </si>
  <si>
    <t>$Q$52</t>
  </si>
  <si>
    <t>יניב שפירא:
1 = בהחלט כן
2 = חושב שכן
3 = חושב שלא
4 = בהחלט לא
5 = כן, אבל רק בראשות הליכוד
6 = כן, אבל רק בראשות המערך</t>
  </si>
  <si>
    <t>1 = בהחלט כן
2 = חושב שכן
3 = חושב שלא
4 = בהחלט לא
5 = כן, אבל רק בראשות הליכוד
6 = כן, אבל רק בראשות המערך</t>
  </si>
  <si>
    <t>יניב שפירא:
1 = בהחלט יש להקים
2 = חושב שיש להקים
3 = חושב שאין להקים
4 = בהחלט אין להקים</t>
  </si>
  <si>
    <t>1 = בהחלט יש להקים
2 = חושב שיש להקים
3 = חושב שאין להקים
4 = בהחלט אין להקים</t>
  </si>
  <si>
    <t>$AC$53</t>
  </si>
  <si>
    <t>יניב שפירא:
1 = בהחלט יש להקים
2 = חושב שיש להקים
3 = חושב שלא להקים
4 = בהחלט לא להקים</t>
  </si>
  <si>
    <t>1 = בהחלט יש להקים
2 = חושב שיש להקים
3 = חושב שלא להקים
4 = בהחלט לא להקים</t>
  </si>
  <si>
    <t>$B$54</t>
  </si>
  <si>
    <t>adi:
1 = הליכוד+ימין+חרדים
2 = יש עתיד+מרכז-שמאל
3 = אחדות לאומית (ימין+מרכז+שמאל)
4 = לא תקום שום קואליציה והכנסת תפוזר
5 = אחר</t>
  </si>
  <si>
    <t>1 = הליכוד+ימין+חרדים
2 = יש עתיד+מרכז-שמאל
3 = אחדות לאומית (ימין+מרכז+שמאל)
4 = לא תקום שום קואליציה והכנסת תפוזר
5 = אחר</t>
  </si>
  <si>
    <t>$C$54</t>
  </si>
  <si>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</si>
  <si>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</si>
  <si>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$D$54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</si>
  <si>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</si>
  <si>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</si>
  <si>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$F$54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</si>
  <si>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</si>
  <si>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</si>
  <si>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$G$54</t>
  </si>
  <si>
    <t>יניב שפירא:
1 = קואליציה בראשות הליכוד
2 = קואליציה בראשות המחנה הציוני
3 = ממשלת אחדות</t>
  </si>
  <si>
    <t>1 = קואליציה בראשות הליכוד
2 = קואליציה בראשות המחנה הציוני
3 = ממשלת אחדות</t>
  </si>
  <si>
    <t>$B$55</t>
  </si>
  <si>
    <t>adi:
1 = הליכוד+ימין+חרדים
2 = יש עתיד+מרכז-שמאל
3 = אחדות לאומית (ימין+מרכז+שמאל)
4 = אחר</t>
  </si>
  <si>
    <t>1 = הליכוד+ימין+חרדים
2 = יש עתיד+מרכז-שמאל
3 = אחדות לאומית (ימין+מרכז+שמאל)
4 = אחר</t>
  </si>
  <si>
    <t>$C$55</t>
  </si>
  <si>
    <t>$D$55</t>
  </si>
  <si>
    <t>$D$56</t>
  </si>
  <si>
    <t>יניב שפירא:
1 = בכלל לא
2 = במידה מועטה
3 = במידה בינונית
4 = במידה רבה
5 = במידה רבה מאד
8 = לא יודע
9 = אין תשובה/מסרב</t>
  </si>
  <si>
    <t>1 = בכלל לא
2 = במידה מועטה
3 = במידה בינונית
4 = במידה רבה
5 = במידה רבה מאד
8 = לא יודע
9 = אין תשובה/מסרב</t>
  </si>
  <si>
    <t>$F$56</t>
  </si>
  <si>
    <t>$B$57</t>
  </si>
  <si>
    <t>adi: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</si>
  <si>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</si>
  <si>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$C$57</t>
  </si>
  <si>
    <t>יניב שפירא: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</si>
  <si>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</si>
  <si>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$D$57</t>
  </si>
  <si>
    <t>יניב שפירא: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</si>
  <si>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</si>
  <si>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$E$57</t>
  </si>
  <si>
    <t>יניב שפירא: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</si>
  <si>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</si>
  <si>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$F$57</t>
  </si>
  <si>
    <t>יניב שפירא:
1 = קואליציה של הליכוד עם מפלגות הימין הדתיות, החרדיות והחילוניות
2 = ממשלת אחדות לאומית של הליכוד וכחול-לבן
3 = קואליציה אחרת
4 = אף אחת מהן</t>
  </si>
  <si>
    <t>1 = קואליציה של הליכוד עם מפלגות הימין הדתיות, החרדיות והחילוניות
2 = ממשלת אחדות לאומית של הליכוד וכחול-לבן
3 = קואליציה אחרת
4 = אף אחת מהן</t>
  </si>
  <si>
    <t>$G$57</t>
  </si>
  <si>
    <t>יניב שפירא:
1 = קואליצייה בראשות הליכוד עם מפלגות ימין וחרדים
2 = קואליציה בראשות ליכוד עם מפלגות ימין + יש עתיד בלי חרדים
3 = ממשלת אחדות לאומית
4 = אחר
5 = אף אחת מהן</t>
  </si>
  <si>
    <t>1 = קואליצייה בראשות הליכוד עם מפלגות ימין וחרדים
2 = קואליציה בראשות ליכוד עם מפלגות ימין + יש עתיד בלי חרדים
3 = ממשלת אחדות לאומית
4 = אחר
5 = אף אחת מהן</t>
  </si>
  <si>
    <t>יניב שפירא:
1 = ליכוד/בנט/חרדים
2 = ליכוד/לפיד/בנט
3 = ליכוד/לפיד/חרדים
4 = ליכוד/לפיד/חרדים/לבני
5 = ליכוד/לפיד/בנט/חרדים
6 = ליכוד/לפיד/מפלגות מרכז/עבודה
7 = אחר</t>
  </si>
  <si>
    <t>1 = ליכוד/בנט/חרדים
2 = ליכוד/לפיד/בנט
3 = ליכוד/לפיד/חרדים
4 = ליכוד/לפיד/חרדים/לבני
5 = ליכוד/לפיד/בנט/חרדים
6 = ליכוד/לפיד/מפלגות מרכז/עבודה
7 = אחר</t>
  </si>
  <si>
    <t>$I$57</t>
  </si>
  <si>
    <t>יניב שפירא:
1 = ממשלת אחדות לאומית בראשות נתניהו
2 = ממשלת אחדות לאומית בראשות לבני
3 = ממשלת אחדות לאומית עם רוטציה
4 = ממשלת ימין בראשות נתניהו
5 = אחר</t>
  </si>
  <si>
    <t>1 = ממשלת אחדות לאומית בראשות נתניהו
2 = ממשלת אחדות לאומית בראשות לבני
3 = ממשלת אחדות לאומית עם רוטציה
4 = ממשלת ימין בראשות נתניהו
5 = אחר</t>
  </si>
  <si>
    <t>$J$57</t>
  </si>
  <si>
    <t>$I$58</t>
  </si>
  <si>
    <t>יניב שפירא:
1 = מאד מרוצה
2 = די מרוצה
3 = לא כ"כ מרוצה
4 = לא מרוצה בכלל</t>
  </si>
  <si>
    <t>1 = מאד מרוצה
2 = די מרוצה
3 = לא כ"כ מרוצה
4 = לא מרוצה בכלל</t>
  </si>
  <si>
    <t>$W$58</t>
  </si>
  <si>
    <t>יניב שפירא:
1 = מאד מרוצה
2 = מרוצה
3 = לא כ"כ מרוצה
4 = מאד לא מרוצה</t>
  </si>
  <si>
    <t>1 = מאד מרוצה
2 = מרוצה
3 = לא כ"כ מרוצה
4 = מאד לא מרוצה</t>
  </si>
  <si>
    <t>$C$59</t>
  </si>
  <si>
    <t>יניב שפירא:
1 = שהמפלגה שהצבעת לה תפר את הבטחתה עם מי לא לשבת כדי שתוקם ממשלה
2 = שיהיו בחירות חמישיות</t>
  </si>
  <si>
    <t>1 = שהמפלגה שהצבעת לה תפר את הבטחתה עם מי לא לשבת כדי שתוקם ממשלה
2 = שיהיו בחירות חמישיות</t>
  </si>
  <si>
    <t>$I$60</t>
  </si>
  <si>
    <t>יניב שפירא:
1 = מאד אכפת לי
2 = די אכפת לי
3 = קצת אכפת לי
4 = לא אכפת לי</t>
  </si>
  <si>
    <t>1 = מאד אכפת לי
2 = די אכפת לי
3 = קצת אכפת לי
4 = לא אכפת לי</t>
  </si>
  <si>
    <t>$Q$61</t>
  </si>
  <si>
    <t>יניב שפירא:
1 = לא השתנתה
2 = גבר הסיכוי לנצחון של מחנה הליכוד
3 = גבר הסיכוי לנצחון של מחנה המערך
4 = גברו סיכויי ההצלחה של המפלגות הדתיות</t>
  </si>
  <si>
    <t>1 = לא השתנתה
2 = גבר הסיכוי לנצחון של מחנה הליכוד
3 = גבר הסיכוי לנצחון של מחנה המערך
4 = גברו סיכויי ההצלחה של המפלגות הדתיות</t>
  </si>
  <si>
    <t>$T$66</t>
  </si>
  <si>
    <t xml:space="preserve">יניב שפירא:
1 = בהחלט לא רוצה
2 = לא כ"כ רוצה
3 = רוצה במידה מסויימת
4 = רוצה </t>
  </si>
  <si>
    <t xml:space="preserve">1 = בהחלט לא רוצה
2 = לא כ"כ רוצה
3 = רוצה במידה מסויימת
4 = רוצה </t>
  </si>
  <si>
    <t>$U$67</t>
  </si>
  <si>
    <t>יניב שפירא:
1 = הליכוד
2 = תל"ם (משה דיין)</t>
  </si>
  <si>
    <t>1 = הליכוד
2 = תל"ם (משה דיין)</t>
  </si>
  <si>
    <t>$Z$67</t>
  </si>
  <si>
    <t>יניב שפירא:
1 = הליכוד
2 = ד"ש</t>
  </si>
  <si>
    <t>1 = הליכוד
2 = ד"ש</t>
  </si>
  <si>
    <t>$AA$68</t>
  </si>
  <si>
    <t>יניב שפירא: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</si>
  <si>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</si>
  <si>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$AC$69</t>
  </si>
  <si>
    <t>יניב שפירא:
1 = עלו במידה רבה
2 = עלו במידה מסוימת
3 = ירדו במידה מסוימת
4 = ירדו במידה רבה
5 = לא השתנו</t>
  </si>
  <si>
    <t>1 = עלו במידה רבה
2 = עלו במידה מסוימת
3 = ירדו במידה מסוימת
4 = ירדו במידה רבה
5 = לא השתנו</t>
  </si>
  <si>
    <t>$AF$72</t>
  </si>
  <si>
    <t>יניב שפירא:
1 = סיכוי רב מאוד
2 = סיכוי רב
3 = סיכוי בינוני
4 = סיכוי מועט
5 = אין סיכוי כלל
6 = טרם החלטתי למי להצביע
7 = טרם החלטתי אם אצביע
8 = לא אצביע כלל</t>
  </si>
  <si>
    <t>1 = סיכוי רב מאוד
2 = סיכוי רב
3 = סיכוי בינוני
4 = סיכוי מועט
5 = אין סיכוי כלל
6 = טרם החלטתי למי להצביע
7 = טרם החלטתי אם אצביע
8 = לא אצביע כלל</t>
  </si>
  <si>
    <t>סוגיות</t>
  </si>
  <si>
    <t>$B$2</t>
  </si>
  <si>
    <t xml:space="preserve">adi: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</si>
  <si>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 xml:space="preserve">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</si>
  <si>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יניב שפירא: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</si>
  <si>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</si>
  <si>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$F$2</t>
  </si>
  <si>
    <t>יניב שפירא: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</si>
  <si>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</si>
  <si>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יניב שפירא: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</si>
  <si>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</si>
  <si>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יניב שפירא:
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</si>
  <si>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</si>
  <si>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יניב שפירא:
1 = על הנושא המדיני
2 = על המצב הביטחוני
3 = על המצב החברתי-כלכלי
4 = על שחיתות
5 = על מי מתאים להיות רה"מ
6 = לא יודע</t>
  </si>
  <si>
    <t>1 = על הנושא המדיני
2 = על המצב הביטחוני
3 = על המצב החברתי-כלכלי
4 = על שחיתות
5 = על מי מתאים להיות רה"מ
6 = לא יודע</t>
  </si>
  <si>
    <t>יניב שפירא:
1 = הנושא המדיני
2 = יחסי דתיים-חילונים
3 = אופיו ותפקודו של נתניהו
4 = המצב החברתי-כלכלי
5 = שלטון החוק</t>
  </si>
  <si>
    <t>1 = הנושא המדיני
2 = יחסי דתיים-חילונים
3 = אופיו ותפקודו של נתניהו
4 = המצב החברתי-כלכלי
5 = שלטון החוק</t>
  </si>
  <si>
    <t>יניב שפירא:
1 = בהחלט לא מסכים
2 = לא מסכים
3 = לא בטוח
4 = מסכים
5 = מסכים בהחלט</t>
  </si>
  <si>
    <t>1 = בהחלט לא מסכים
2 = לא מסכים
3 = לא בטוח
4 = מסכים
5 = מסכים בהחלט</t>
  </si>
  <si>
    <t>יניב שפירא:
הניסוח:
"על אופיו ותפקודו של נתניהו</t>
  </si>
  <si>
    <t>הניסוח:
"על אופיו ותפקודו של נתניהו</t>
  </si>
  <si>
    <t>$J$7</t>
  </si>
  <si>
    <t>יניב שפירא:
פה שאלו על מי יתמודד
טוב יותר מול האיומים</t>
  </si>
  <si>
    <t>פה שאלו על מי יתמודד
טוב יותר מול האיומים</t>
  </si>
  <si>
    <t>$H$11</t>
  </si>
  <si>
    <t>יניב שפירא:
הניסוח הוא:
"שהעם רוצה ימין, אבל ימין מתון"</t>
  </si>
  <si>
    <t>הניסוח הוא:
"שהעם רוצה ימין, אבל ימין מתון"</t>
  </si>
  <si>
    <t>יניב שפירא:
שחיתות של נתניהו</t>
  </si>
  <si>
    <t>שחיתות של נתניהו</t>
  </si>
  <si>
    <t>$J$13</t>
  </si>
  <si>
    <t>יניב שפירא:
שחיתות של פוליטיקאים</t>
  </si>
  <si>
    <t>שחיתות של פוליטיקאים</t>
  </si>
  <si>
    <t>$I$16</t>
  </si>
  <si>
    <t>יניב שפירא:
הניסוח הוא:
"על המדינה על הפלסטינית ורמת הגולן:</t>
  </si>
  <si>
    <t>הניסוח הוא:
"על המדינה על הפלסטינית ורמת הגולן:</t>
  </si>
  <si>
    <t>$H$17</t>
  </si>
  <si>
    <t>יניב שפירא:
הניסוח הוא:
"על נושא התקיפה של מתקני הגרעין האיראני"</t>
  </si>
  <si>
    <t>הניסוח הוא:
"על נושא התקיפה של מתקני הגרעין האיראני"</t>
  </si>
  <si>
    <t>יניב שפירא:
הניסוח הוא: " הנושאים שהעלתה המחאה החברתית ב2011 ובעיקר על דיור בר השגה ויוקר המחיה"</t>
  </si>
  <si>
    <t>" הנושאים שהעלתה המחאה החברתית ב2011 ובעיקר על דיור בר השגה ויוקר המחיה"</t>
  </si>
  <si>
    <t>$M$34</t>
  </si>
  <si>
    <t>יניב שפירא:
1 = בהחלט שכן
2 = חושב שכן
3 = חושב שלא
4 = בהחלט לא</t>
  </si>
  <si>
    <t>1 = בהחלט שכן
2 = חושב שכן
3 = חושב שלא
4 = בהחלט לא</t>
  </si>
  <si>
    <t>$L$40</t>
  </si>
  <si>
    <t>יניב שפירא:
1 = ללא שינוי
2 = גרועה יותר
3 = טובה יותר</t>
  </si>
  <si>
    <t>1 = ללא שינוי
2 = גרועה יותר
3 = טובה יותר</t>
  </si>
  <si>
    <t>$M$40</t>
  </si>
  <si>
    <t>יניב שפירא:
1 = טובה יותר
2 = גרועה יותר
3 = ללא שינוי</t>
  </si>
  <si>
    <t>1 = טובה יותר
2 = גרועה יותר
3 = ללא שינוי</t>
  </si>
  <si>
    <t>$N$41</t>
  </si>
  <si>
    <t>$N$42</t>
  </si>
  <si>
    <t>יניב שפירא:
1 = לא
2 = כן, לליכוד
3 = כן, לעבודה
4 = כן, למרצ</t>
  </si>
  <si>
    <t>1 = לא
2 = כן, לליכוד
3 = כן, לעבודה
4 = כן, למרצ</t>
  </si>
  <si>
    <t>יניב שפירא:
1 = התהליך המדיני עם הפלסינים וסוריה
2 = המצב הביטחוני
3 = המצב החברתי כלכלי
4 = יחסי דתיים חילונים
5 = שחיתות ושלטון החוק
6 = האחדות בעם
7 = אחר</t>
  </si>
  <si>
    <t>1 = התהליך המדיני עם הפלסינים וסוריה
2 = המצב הביטחוני
3 = המצב החברתי כלכלי
4 = יחסי דתיים חילונים
5 = שחיתות ושלטון החוק
6 = האחדות בעם
7 = אחר</t>
  </si>
  <si>
    <t>$Q$44</t>
  </si>
  <si>
    <t>יניב שפירא: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</si>
  <si>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</si>
  <si>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$S$45</t>
  </si>
  <si>
    <t>יניב שפירא:
1 = ישפיע במידה רבה
2 = ישפיע במידה מסוימת
3 = ישפיע במידה קטנה
4 = כלל לא ישפיע</t>
  </si>
  <si>
    <t>1 = ישפיע במידה רבה
2 = ישפיע במידה מסוימת
3 = ישפיע במידה קטנה
4 = כלל לא ישפיע</t>
  </si>
  <si>
    <t>$Q$47</t>
  </si>
  <si>
    <t>יניב שפירא:
1 = במידה רבה
2 = במידה מסויימת
3 = במידה מועטה בלבד
4 = לא ישפיע כלל</t>
  </si>
  <si>
    <t>1 = במידה רבה
2 = במידה מסויימת
3 = במידה מועטה בלבד
4 = לא ישפיע כלל</t>
  </si>
  <si>
    <t>$AE$47</t>
  </si>
  <si>
    <t>$Z$48</t>
  </si>
  <si>
    <t>$T$49</t>
  </si>
  <si>
    <t>יניב שפירא:
1 = ישפיע במידה רבה
2 = במידה מסויימת
3 = במידה מועטה
4 = בכלל לא ישפיע</t>
  </si>
  <si>
    <t>1 = ישפיע במידה רבה
2 = במידה מסויימת
3 = במידה מועטה
4 = בכלל לא ישפיע</t>
  </si>
  <si>
    <t>$U$51</t>
  </si>
  <si>
    <t>יניב שפירא:
1 = בהחלט צריכים להיות
2 = צריכים להיות
3 = אולי כן צריכים להיות
4 = אולי לא צריכים להיות
5 = לא צריכים להיות
6 = בהחלט לא צריכים להיות</t>
  </si>
  <si>
    <t>1 = בהחלט צריכים להיות
2 = צריכים להיות
3 = אולי כן צריכים להיות
4 = אולי לא צריכים להיות
5 = לא צריכים להיות
6 = בהחלט לא צריכים להיות</t>
  </si>
  <si>
    <t>יניב שפירא:
1 = אני בטוח שהוא מנהיג זקן שטעה יותר מד
2 = אני חושב שהוא מנהיג זקן שטעה יותר מדי
3 = אני חושב שהוא סוג המנהיג שחסר לנו
4 = אני בטוח שהוא סוג המנהיג שחסר לנו</t>
  </si>
  <si>
    <t>1 = אני בטוח שהוא מנהיג זקן שטעה יותר מד
2 = אני חושב שהוא מנהיג זקן שטעה יותר מדי
3 = אני חושב שהוא סוג המנהיג שחסר לנו
4 = אני בטוח שהוא סוג המנהיג שחסר לנו</t>
  </si>
  <si>
    <t>$U$53</t>
  </si>
  <si>
    <t>יניב שפירא:
1 = מסוגל במידה רבה
2 = במידה מסויימת
3 = במידה מועטה
4 = כלל לא מסוגל</t>
  </si>
  <si>
    <t>1 = מסוגל במידה רבה
2 = במידה מסויימת
3 = במידה מועטה
4 = כלל לא מסוגל</t>
  </si>
  <si>
    <t>$Z$54</t>
  </si>
  <si>
    <t>$Z$55</t>
  </si>
  <si>
    <t>יניב שפירא:
1 = תשפיע במידה רבה
2 = במידה מסויימת
3 = במידה מועטה
4 = לא תשפיע כלל</t>
  </si>
  <si>
    <t>1 = תשפיע במידה רבה
2 = במידה מסויימת
3 = במידה מועטה
4 = לא תשפיע כלל</t>
  </si>
  <si>
    <t>$Z$56</t>
  </si>
  <si>
    <t>יניב שפירא:
1 = חיזקה מאוד
2 = חיזקה
3 = חיזקה קצת
4 = החלישה קצת
5 = החלישה
6 = החלישה מאוד
7 = לא זה ולא זה
8 = לא יודע</t>
  </si>
  <si>
    <t>1 = חיזקה מאוד
2 = חיזקה
3 = חיזקה קצת
4 = החלישה קצת
5 = החלישה
6 = החלישה מאוד
7 = לא זה ולא זה
8 = לא יודע</t>
  </si>
  <si>
    <t>$AC$58</t>
  </si>
  <si>
    <t>יניב שפירא:
1 = חיובי מאוד
2 = חיובי
3 = שלילי
4 = שלילי מאוד</t>
  </si>
  <si>
    <t>1 = חיובי מאוד
2 = חיובי
3 = שלילי
4 = שלילי מאוד</t>
  </si>
  <si>
    <t>$AC$59</t>
  </si>
  <si>
    <t>יניב שפירא:
1 = בטוח צריך לקיימן במועד
2 = חושב שצריך לקיימן במועד
3  = חושב שצריך לדחות
4 = בטוח שצריך לדחות</t>
  </si>
  <si>
    <t>1 = בטוח צריך לקיימן במועד
2 = חושב שצריך לקיימן במועד
3  = חושב שצריך לדחות
4 = בטוח שצריך לדחות</t>
  </si>
  <si>
    <t>$A$60</t>
  </si>
  <si>
    <t>יניב שפירא:
למי שענה 3 או 4 בשאלה הקודמת</t>
  </si>
  <si>
    <t>למי שענה 3 או 4 בשאלה הקודמת</t>
  </si>
  <si>
    <t>$AC$60</t>
  </si>
  <si>
    <t>יניב שפירא:
1 = למספר שבועות
2 = למספר חודשים
3 = לשנה
4 = ליותר משנה
5 = חושב שלא צריך לדחות</t>
  </si>
  <si>
    <t>1 = למספר שבועות
2 = למספר חודשים
3 = לשנה
4 = ליותר משנה
5 = חושב שלא צריך לדחות</t>
  </si>
  <si>
    <t>$AD$61</t>
  </si>
  <si>
    <t>$AD$62</t>
  </si>
  <si>
    <t>יניב שפירא:
1 = ציין 3 מפלגות
2 = ציין 2 מפלגות
3 = ציין מפלגה אחת
4 = תשובה לא נכונה
5 = לא יודע</t>
  </si>
  <si>
    <t>1 = ציין 3 מפלגות
2 = ציין 2 מפלגות
3 = ציין מפלגה אחת
4 = תשובה לא נכונה
5 = לא יודע</t>
  </si>
  <si>
    <t>$AD$63</t>
  </si>
  <si>
    <t>$Z$64</t>
  </si>
  <si>
    <t xml:space="preserve">יניב שפירא:
1 = ידוע במידה רבה
2 = ידוע באופן כללי
3 = ידוע באופן מועט
4 = לא ידוע כלל
</t>
  </si>
  <si>
    <t xml:space="preserve">1 = ידוע במידה רבה
2 = ידוע באופן כללי
3 = ידוע באופן מועט
4 = לא ידוע כלל
</t>
  </si>
  <si>
    <t>$D$65</t>
  </si>
  <si>
    <t>יניב שפירא: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</si>
  <si>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</si>
  <si>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$B$66</t>
  </si>
  <si>
    <t>adi: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</si>
  <si>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</si>
  <si>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$C$66</t>
  </si>
  <si>
    <t>יניב שפירא: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</si>
  <si>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</si>
  <si>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$C$67</t>
  </si>
  <si>
    <t>יניב שפירא:
1 = בדרך טובה מאוד
2 = בדרך טובה
3 = בדרך לא כ"כ טובה
4 = בדרך לא טובה כלל</t>
  </si>
  <si>
    <t>1 = בדרך טובה מאוד
2 = בדרך טובה
3 = בדרך לא כ"כ טובה
4 = בדרך לא טובה כלל</t>
  </si>
  <si>
    <t>$C$68</t>
  </si>
  <si>
    <t>יניב שפירא:
1 = נתניהו
2 = סער
3 = לפיד
4 = בנט
5 = כולם במידה שווה
6 = אף אחד מהם</t>
  </si>
  <si>
    <t>1 = נתניהו
2 = סער
3 = לפיד
4 = בנט
5 = כולם במידה שווה
6 = אף אחד מהם</t>
  </si>
  <si>
    <t>$L$69</t>
  </si>
  <si>
    <t>$M$69</t>
  </si>
  <si>
    <t>$B$70</t>
  </si>
  <si>
    <t>adi: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</si>
  <si>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</si>
  <si>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$C$70</t>
  </si>
  <si>
    <t>יניב שפירא:
1 = בעד צירוף מפלגות ערביות לממשלה
2 = בעד תמיכה מבחוץ של מפלגות ערביות
3 = נגד צירוף ונגד תמיכה מבחוץ של מפלגות ערביות</t>
  </si>
  <si>
    <t>1 = בעד צירוף מפלגות ערביות לממשלה
2 = בעד תמיכה מבחוץ של מפלגות ערביות
3 = נגד צירוף ונגד תמיכה מבחוץ של מפלגות ערביות</t>
  </si>
  <si>
    <t>$B$71</t>
  </si>
  <si>
    <t>adi:
1 = חיובית מאוד
2 = חיובית
3 = לא חיובית ולא שלילת
4 = שלילית
5 = שלילית מאוד</t>
  </si>
  <si>
    <t>1 = חיובית מאוד
2 = חיובית
3 = לא חיובית ולא שלילת
4 = שלילית
5 = שלילית מאוד</t>
  </si>
  <si>
    <t>כלכלה-חברה</t>
  </si>
  <si>
    <t>יניב שפירא:
1 = קפיטליסטית בהחלט
2 = יותר קפיטליסטית מאשר סוציאליסטית
3 = יותר סוציאליסטית מאשר קפיטליסטית
4 = סוציאליסטית בהחלט</t>
  </si>
  <si>
    <t>1 = קפיטליסטית בהחלט
2 = יותר קפיטליסטית מאשר סוציאליסטית
3 = יותר סוציאליסטית מאשר קפיטליסטית
4 = סוציאליסטית בהחלט</t>
  </si>
  <si>
    <t>$B$5</t>
  </si>
  <si>
    <t>adi:
1 = נתניהו
2 = לפיד
3 = גנץ
4 = כולם במידה שווה
5 = אף אחד מהם</t>
  </si>
  <si>
    <t>1 = נתניהו
2 = לפיד
3 = גנץ
4 = כולם במידה שווה
5 = אף אחד מהם</t>
  </si>
  <si>
    <t>יניב שפירא:
1 = כחול לבן
2 = ליכוד
3 =  שניהם במידה שווה
4 = אף אחד מהם</t>
  </si>
  <si>
    <t>1 = כחול לבן
2 = ליכוד
3 =  שניהם במידה שווה
4 = אף אחד מהם</t>
  </si>
  <si>
    <t>$G$5</t>
  </si>
  <si>
    <t>יניב שפירא:
1 = המחנה הציוני
2 = הליכוד
3 = שניהם במידה שווה
4 = אף אחד מהם</t>
  </si>
  <si>
    <t>1 = המחנה הציוני
2 = הליכוד
3 = שניהם במידה שווה
4 = אף אחד מהם</t>
  </si>
  <si>
    <t>יניב שפירא:
1 = ציפי לבני
2 = בנימין נתניהו
3 = שלי יחימוביץ</t>
  </si>
  <si>
    <t>1 = ציפי לבני
2 = בנימין נתניהו
3 = שלי יחימוביץ</t>
  </si>
  <si>
    <t>יניב שפירא:
1 = ציפי לבני
2 = בנימין נתניהו
3 = אהוד ברק</t>
  </si>
  <si>
    <t>1 = ציפי לבני
2 = בנימין נתניהו
3 = אהוד ברק</t>
  </si>
  <si>
    <t>$J$6</t>
  </si>
  <si>
    <t>יניב שפירא:
1 = קדימה
2 = הליכוד
3 = העבודה
4 = כולם במידה שווה
5 = אף אחד מהם</t>
  </si>
  <si>
    <t>1 = קדימה
2 = הליכוד
3 = העבודה
4 = כולם במידה שווה
5 = אף אחד מהם</t>
  </si>
  <si>
    <t>$K$6</t>
  </si>
  <si>
    <t>יניב שפירא:
1 = הליכוד
2 = העבודה
3 = שניהם במידה שווה
4 = אף אחד מהם</t>
  </si>
  <si>
    <t>1 = הליכוד
2 = העבודה
3 = שניהם במידה שווה
4 = אף אחד מהם</t>
  </si>
  <si>
    <t>$L$6</t>
  </si>
  <si>
    <t>יניב שפירא:
1 = שרון
2 = ברק
3 = מידה שווה
4 = אף אחד מהם</t>
  </si>
  <si>
    <t>1 = שרון
2 = ברק
3 = מידה שווה
4 = אף אחד מהם</t>
  </si>
  <si>
    <t>יניב שפירא:
1 = נתניהו
2 = ברק
3 = מרדכי
4 = במידה שווה
5 = אף אחד מהם</t>
  </si>
  <si>
    <t>1 = נתניהו
2 = ברק
3 = מרדכי
4 = במידה שווה
5 = אף אחד מהם</t>
  </si>
  <si>
    <t>יניב שפירא:
1 = העבודה
2 = הליכוד
3 = במידה שווה
4 = אף אחד מהם</t>
  </si>
  <si>
    <t>1 = העבודה
2 = הליכוד
3 = במידה שווה
4 = אף אחד מהם</t>
  </si>
  <si>
    <t>$T$6</t>
  </si>
  <si>
    <t>יניב שפירא:
1 = יורם ארידור (ליכוד)
2 = חיים בן שחר (מערך)</t>
  </si>
  <si>
    <t>1 = יורם ארידור (ליכוד)
2 = חיים בן שחר (מערך)</t>
  </si>
  <si>
    <t>$F$11</t>
  </si>
  <si>
    <t>יניב שפירא:
1 = השתפר בהרבה
2 = השתפר במקצת
3 = לא השתנה
4 = קצת גרוע יותר
5 = הרבה יותר גרוע</t>
  </si>
  <si>
    <t>1 = השתפר בהרבה
2 = השתפר במקצת
3 = לא השתנה
4 = קצת גרוע יותר
5 = הרבה יותר גרוע</t>
  </si>
  <si>
    <t>יניב שפירא:
1 = טוב יותר
2 = אותו מצב
3 = גרוע יותר</t>
  </si>
  <si>
    <t>1 = טוב יותר
2 = אותו מצב
3 = גרוע יותר</t>
  </si>
  <si>
    <t>יניב שפירא:
1 =השתפר בהרבה
2 = השתפר במקצת
3 = לא השתנה
4 = קצת גרוע יותר
5 = הרבה יותר גרוע</t>
  </si>
  <si>
    <t>1 =השתפר בהרבה
2 = השתפר במקצת
3 = לא השתנה
4 = קצת גרוע יותר
5 = הרבה יותר גרוע</t>
  </si>
  <si>
    <t>$AE$12</t>
  </si>
  <si>
    <t>יניב שפירא:
1 = טוב יותר
2 = אותו מצב
3 = יותר גרוע</t>
  </si>
  <si>
    <t>1 = טוב יותר
2 = אותו מצב
3 = יותר גרוע</t>
  </si>
  <si>
    <t>$G$14</t>
  </si>
  <si>
    <t xml:space="preserve">יניב שפירא:
1 = על הממשלה לדאוג שלכל אדם תהיה עבודה ורמת חיים סבירה
2 = זה תלוי
3 = על הממשלה לא להתערב ולתת לכל אדם להסתדר בעצמו
</t>
  </si>
  <si>
    <t xml:space="preserve">1 = על הממשלה לדאוג שלכל אדם תהיה עבודה ורמת חיים סבירה
2 = זה תלוי
3 = על הממשלה לא להתערב ולתת לכל אדם להסתדר בעצמו
</t>
  </si>
  <si>
    <t>$G$15</t>
  </si>
  <si>
    <t>יניב שפירא:
1 = כן
2 = לא
9 = מסרב</t>
  </si>
  <si>
    <t>1 = כן
2 = לא
9 = מסרב</t>
  </si>
  <si>
    <t>$P$15</t>
  </si>
  <si>
    <t>יניב שפירא:
במקום "הבעיות שהמדינה ניצבת בפניהן"
הנוסח הוא: "הכסף יוקדש לנושאי בטחון"</t>
  </si>
  <si>
    <t>במקום "הבעיות שהמדינה ניצבת בפניהן"
הנוסח הוא: "הכסף יוקדש לנושאי בטחון"</t>
  </si>
  <si>
    <t>יניב שפירא:
1 = פחות
2 = כמו עכשיו
3 = יותר</t>
  </si>
  <si>
    <t>1 = פחות
2 = כמו עכשיו
3 = יותר</t>
  </si>
  <si>
    <t>$H$16</t>
  </si>
  <si>
    <t>יניב שפירא:
1 = יותר
2 = פחות
3 = כמו עכשיו</t>
  </si>
  <si>
    <t>1 = יותר
2 = פחות
3 = כמו עכשיו</t>
  </si>
  <si>
    <t>יניב שפירא:
הניסוח הוא:
"סיוע למובטלים"</t>
  </si>
  <si>
    <t>הניסוח הוא:
"סיוע למובטלים"</t>
  </si>
  <si>
    <t>$G$32</t>
  </si>
  <si>
    <t>יניב שפירא:
1 = מסכים בהחלט
2 = מסכים
3 = לא בטוח
4 = לא מסכים
5 = בהחלט לא מסכים</t>
  </si>
  <si>
    <t>1 = מסכים בהחלט
2 = מסכים
3 = לא בטוח
4 = לא מסכים
5 = בהחלט לא מסכים</t>
  </si>
  <si>
    <t>$P$33</t>
  </si>
  <si>
    <t xml:space="preserve">יניב שפירא:
1 = מוצדק בהחלט
2 = מוצדק
3 = לא מוצדק
4 = בהחלט לא מוצדק
</t>
  </si>
  <si>
    <t xml:space="preserve">1 = מוצדק בהחלט
2 = מוצדק
3 = לא מוצדק
4 = בהחלט לא מוצדק
</t>
  </si>
  <si>
    <t>$G$34</t>
  </si>
  <si>
    <t>יניב שפירא:
1 = לא תמכת
2 = תמכת, אך לא השתתפת
3 = תמכת והשתתפת באופן אישי</t>
  </si>
  <si>
    <t>1 = לא תמכת
2 = תמכת, אך לא השתתפת
3 = תמכת והשתתפת באופן אישי</t>
  </si>
  <si>
    <t>יניב שפירא:
1 = מסכים בהחלט
2 = מסכים
3 = לא מסכים
4 = בכלל לא מסכים</t>
  </si>
  <si>
    <t>1 = מסכים בהחלט
2 = מסכים
3 = לא מסכים
4 = בכלל לא מסכים</t>
  </si>
  <si>
    <t>יניב שפירא:
1 = במידה רבה מאד
2 = במידה רבה
3 = במידה בינונית
4 = במידה קטנה
5 = כלל לא</t>
  </si>
  <si>
    <t>1 = במידה רבה מאד
2 = במידה רבה
3 = במידה בינונית
4 = במידה קטנה
5 = כלל לא</t>
  </si>
  <si>
    <t>יניב שפירא:
1 = להגדיל
2 = להשאיר
3 = לקצץ</t>
  </si>
  <si>
    <t>1 = להגדיל
2 = להשאיר
3 = לקצץ</t>
  </si>
  <si>
    <t>יניב שפירא: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</si>
  <si>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</si>
  <si>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$Q$42</t>
  </si>
  <si>
    <t>יניב שפירא:
1 = בעד שינוי הסטטוס
2 = נגד שינוי הסטטוס</t>
  </si>
  <si>
    <t>1 = בעד שינוי הסטטוס
2 = נגד שינוי הסטטוס</t>
  </si>
  <si>
    <t>$Q$45</t>
  </si>
  <si>
    <t>יניב שפירא:
1 = הנטל מתחלק באופן צודק
2 = נטל מתחלק באופן לא צודק</t>
  </si>
  <si>
    <t>1 = הנטל מתחלק באופן צודק
2 = נטל מתחלק באופן לא צודק</t>
  </si>
  <si>
    <t>$S$48</t>
  </si>
  <si>
    <t>יניב שפירא:
1 = מטפלת בדרך טובה מאד
2 = בדרך טובה
3 = בדרך ככה ככה
4 = בדרך לא כ"כ טובה
5 = בדרך כלל לא טובה</t>
  </si>
  <si>
    <t>1 = מטפלת בדרך טובה מאד
2 = בדרך טובה
3 = בדרך ככה ככה
4 = בדרך לא כ"כ טובה
5 = בדרך כלל לא טובה</t>
  </si>
  <si>
    <t>$S$49</t>
  </si>
  <si>
    <t>יניב שפירא:
1 = המערך
2 = הליכוד
3 = במידה שווה
4 = אף אחת מהן</t>
  </si>
  <si>
    <t>1 = המערך
2 = הליכוד
3 = במידה שווה
4 = אף אחת מהן</t>
  </si>
  <si>
    <t>$S$55</t>
  </si>
  <si>
    <t>יניב שפירא:
1 = יותר טוב
2 = דומים
3 = פחות טוב</t>
  </si>
  <si>
    <t>1 = יותר טוב
2 = דומים
3 = פחות טוב</t>
  </si>
  <si>
    <t>$S$56</t>
  </si>
  <si>
    <t>יניב שפירא:
1 = מתחשבת במידה רבה מאד
2 = במידה רבה
3 = במידה מסוימת
4 = במידה מועטה
5 = לא מתחשבת כלל</t>
  </si>
  <si>
    <t>1 = מתחשבת במידה רבה מאד
2 = במידה רבה
3 = במידה מסוימת
4 = במידה מועטה
5 = לא מתחשבת כלל</t>
  </si>
  <si>
    <t>$S$57</t>
  </si>
  <si>
    <t>$S$58</t>
  </si>
  <si>
    <t>יניב שפירא:
1 = יותר טובים
2 = שווים/דומים
3 = פחות טובים</t>
  </si>
  <si>
    <t>1 = יותר טובים
2 = שווים/דומים
3 = פחות טובים</t>
  </si>
  <si>
    <t>$T$59</t>
  </si>
  <si>
    <t>יניב שפירא:
1 = מאד ברורה
2 = ברורה
3 = די ברורה
4 = לא כ"כ ברורה
5 = לא ברורה
6 = כלל לא ברורה</t>
  </si>
  <si>
    <t>1 = מאד ברורה
2 = ברורה
3 = די ברורה
4 = לא כ"כ ברורה
5 = לא ברורה
6 = כלל לא ברורה</t>
  </si>
  <si>
    <t>$T$60</t>
  </si>
  <si>
    <t>$T$61</t>
  </si>
  <si>
    <t>יניב שפירא:
1 = במידה רבה מאד
2 = במידה רבה
3 = במידה מסויימת
4 = במידה מועטה בלבד
5 = כלל לא עוזרת</t>
  </si>
  <si>
    <t>1 = במידה רבה מאד
2 = במידה רבה
3 = במידה מסויימת
4 = במידה מועטה בלבד
5 = כלל לא עוזרת</t>
  </si>
  <si>
    <t>$V$61</t>
  </si>
  <si>
    <t>יניב שפירא:
1 = במידה רבה מאד
2 = במידה מסויימת
3 = לא כ"כ
4 = בכלל לא</t>
  </si>
  <si>
    <t>1 = במידה רבה מאד
2 = במידה מסויימת
3 = לא כ"כ
4 = בכלל לא</t>
  </si>
  <si>
    <t>$V$65</t>
  </si>
  <si>
    <t>יניב שפירא:
1 = בכלל לא תצליח
2 = לא כ"כ תצליח
3 = תצליח במידה מה
4 = תצליח במידה רבה</t>
  </si>
  <si>
    <t>1 = בכלל לא תצליח
2 = לא כ"כ תצליח
3 = תצליח במידה מה
4 = תצליח במידה רבה</t>
  </si>
  <si>
    <t>$V$66</t>
  </si>
  <si>
    <t>יניב שפירא:
1 = סיכויים רבים מאד שתמשך
2 = סיכויים מועטים שתמשך
3 = אין סיכויים שתמשך
4 = אין בכלל סיכויים שתמשך</t>
  </si>
  <si>
    <t>1 = סיכויים רבים מאד שתמשך
2 = סיכויים מועטים שתמשך
3 = אין סיכויים שתמשך
4 = אין בכלל סיכויים שתמשך</t>
  </si>
  <si>
    <t>$V$67</t>
  </si>
  <si>
    <t>יניב שפירא:
1 = לשכבות החלשות
2 = לשכבות הבינוניות
3 = לשכבות הגבוהות
4 = לכל אזרחי המדינה</t>
  </si>
  <si>
    <t>1 = לשכבות החלשות
2 = לשכבות הבינוניות
3 = לשכבות הגבוהות
4 = לכל אזרחי המדינה</t>
  </si>
  <si>
    <t>$V$68</t>
  </si>
  <si>
    <t>יניב שפירא:
1 = כן
2 = לא
3 = לא יודע/לא החלטתי</t>
  </si>
  <si>
    <t>1 = כן
2 = לא
3 = לא יודע/לא החלטתי</t>
  </si>
  <si>
    <t>$K$69</t>
  </si>
  <si>
    <t>יניב שפירא:
סולם 1-10
1 = רחוק ביותר
10 = קרוב ביותר</t>
  </si>
  <si>
    <t>סולם 1-10
1 = רחוק ביותר
10 = קרוב ביותר</t>
  </si>
  <si>
    <t>$T$77</t>
  </si>
  <si>
    <t>יניב שפירא:
סולם 1-10
1 = הטוב ביותר
10 = הגרוע ביותר</t>
  </si>
  <si>
    <t>סולם 1-10
1 = הטוב ביותר
10 = הגרוע ביותר</t>
  </si>
  <si>
    <t>$AG$77</t>
  </si>
  <si>
    <t>יניב שפירא:
סולם 0-10
0 = הכי גרוע
10 = הכי טוב</t>
  </si>
  <si>
    <t>סולם 0-10
0 = הכי גרוע
10 = הכי טוב</t>
  </si>
  <si>
    <t>$AH$80</t>
  </si>
  <si>
    <t>$AD$83</t>
  </si>
  <si>
    <t>יניב שפירא:
1 = בטוח שכן
2 = חושב שכן
3 = חושב שלא
4 = בטוח שלא
5 = אין זכות בחירה</t>
  </si>
  <si>
    <t>1 = בטוח שכן
2 = חושב שכן
3 = חושב שלא
4 = בטוח שלא
5 = אין זכות בחירה</t>
  </si>
  <si>
    <t>$N$84</t>
  </si>
  <si>
    <t>יניב שפירא:
1 = עבודה (הברפלד)
2 = דם (רמון)
3 = ליכוד (שמאי)
4 = חד"ש (גונן)
5 = לא הצבעתי למרות שהייתה לי זכות בחירה
6 = לר הצבעתי כי לא הייתי חבר הסתדרות</t>
  </si>
  <si>
    <t>1 = עבודה (הברפלד)
2 = דם (רמון)
3 = ליכוד (שמאי)
4 = חד"ש (גונן)
5 = לא הצבעתי למרות שהייתה לי זכות בחירה
6 = לר הצבעתי כי לא הייתי חבר הסתדרות</t>
  </si>
  <si>
    <t>$V$84</t>
  </si>
  <si>
    <t>$W$84</t>
  </si>
  <si>
    <t>$W$85</t>
  </si>
  <si>
    <t>יניב שפירא:
1973</t>
  </si>
  <si>
    <t>₪1,973</t>
  </si>
  <si>
    <t>יניב שפירא:
רק מי שהצביע בבחירות להסתדרות</t>
  </si>
  <si>
    <t>רק מי שהצביע בבחירות להסתדרות</t>
  </si>
  <si>
    <t>$U$86</t>
  </si>
  <si>
    <t>יניב שפירא: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</si>
  <si>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</si>
  <si>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יניב שפירא:
רק מי שלא הצביע בבחירות להסתדרות</t>
  </si>
  <si>
    <t>רק מי שלא הצביע בבחירות להסתדרות</t>
  </si>
  <si>
    <t>$U$88</t>
  </si>
  <si>
    <t>יניב שפירא: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</si>
  <si>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</si>
  <si>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$AD$88</t>
  </si>
  <si>
    <t>יניב שפירא:
0 = אין זכות בחירה</t>
  </si>
  <si>
    <t>0 = אין זכות בחירה</t>
  </si>
  <si>
    <t>$AG$89</t>
  </si>
  <si>
    <t>יניב שפירא:
1 = חיזק את עמדתי עבור מי להצביע
2 = לא השפיע עלי
3 = השפיע עלי לשנות את עמדתי</t>
  </si>
  <si>
    <t>1 = חיזק את עמדתי עבור מי להצביע
2 = לא השפיע עלי
3 = השפיע עלי לשנות את עמדתי</t>
  </si>
  <si>
    <t>$T$90</t>
  </si>
  <si>
    <t>יניב שפירא:
1 = המערך
2 = הליכוד
3 = שתיהן
4 = אף אחת מהן</t>
  </si>
  <si>
    <t>1 = המערך
2 = הליכוד
3 = שתיהן
4 = אף אחת מהן</t>
  </si>
  <si>
    <t>$Q$91</t>
  </si>
  <si>
    <t>יניב שפירא:
1 = בהחלט בסדר
2 = בסדר
3 = לא כ"כ בסדר
4 = כלל לא בסדר</t>
  </si>
  <si>
    <t>1 = בהחלט בסדר
2 = בסדר
3 = לא כ"כ בסדר
4 = כלל לא בסדר</t>
  </si>
  <si>
    <t>$AE$91</t>
  </si>
  <si>
    <t>יניב שפירא:
1 = בהחלט מסכים
2 = מסכים
3 = לא כ"כ מסכים
4 = לא מסכים כלל</t>
  </si>
  <si>
    <t>1 = בהחלט מסכים
2 = מסכים
3 = לא כ"כ מסכים
4 = לא מסכים כלל</t>
  </si>
  <si>
    <t>$V$92</t>
  </si>
  <si>
    <t>יניב שפירא:
1 = בהחלט מסכים
2 = מסכים
3 = לא כ"כ מסכים
4 = בהחלט לא מסכים</t>
  </si>
  <si>
    <t>1 = בהחלט מסכים
2 = מסכים
3 = לא כ"כ מסכים
4 = בהחלט לא מסכים</t>
  </si>
  <si>
    <t>$AH$93</t>
  </si>
  <si>
    <t>יניב שפירא:
1 = בהחלט מסכים
2 = מסכים במידה מסוימת
3 = מסתייג
4 = בהחלט מסתייג
5 = אין דעה</t>
  </si>
  <si>
    <t>1 = בהחלט מסכים
2 = מסכים במידה מסוימת
3 = מסתייג
4 = בהחלט מסתייג
5 = אין דעה</t>
  </si>
  <si>
    <t>$W$95</t>
  </si>
  <si>
    <t>יניב שפירא:
1 = תחזק במידה רבה
2 = תחזק במידה מסוימת
3 = תחליש במידה מסוימת
4 = תחליש במידה רבה
5 = לא תחזק ולא תחליש</t>
  </si>
  <si>
    <t>1 = תחזק במידה רבה
2 = תחזק במידה מסוימת
3 = תחליש במידה מסוימת
4 = תחליש במידה רבה
5 = לא תחזק ולא תחליש</t>
  </si>
  <si>
    <t>יניב שפירא:
1 = שינוי לטובה
2 = המצב ישאר כמו שהוא
3 = שינוי לרעה</t>
  </si>
  <si>
    <t>1 = שינוי לטובה
2 = המצב ישאר כמו שהוא
3 = שינוי לרעה</t>
  </si>
  <si>
    <t>$Y$97</t>
  </si>
  <si>
    <t>יניב שפירא:
1 = בטוח שיש למנוע אבטלה
2 = חושב שיש למנוע אבטלה
3 = חושב שיש להפסיק אינפלציה
4 = בטוח שיש להפסיק אינפלציה</t>
  </si>
  <si>
    <t>1 = בטוח שיש למנוע אבטלה
2 = חושב שיש למנוע אבטלה
3 = חושב שיש להפסיק אינפלציה
4 = בטוח שיש להפסיק אינפלציה</t>
  </si>
  <si>
    <t>$Y$98</t>
  </si>
  <si>
    <t>יניב שפירא:
1 = במידה רבה מאד
2 = במידה מסוימת
3 = במידה מועטה
4 = לא מתאימים כלל</t>
  </si>
  <si>
    <t>1 = במידה רבה מאד
2 = במידה מסוימת
3 = במידה מועטה
4 = לא מתאימים כלל</t>
  </si>
  <si>
    <t>$AD$99</t>
  </si>
  <si>
    <t>יניב שפירא:
1 = מסכים בהחלט
2 = מסכים
3 = לא כ"כ מסכים
4 = בהחלט לא מסכים</t>
  </si>
  <si>
    <t>1 = מסכים בהחלט
2 = מסכים
3 = לא כ"כ מסכים
4 = בהחלט לא מסכים</t>
  </si>
  <si>
    <t>$AD$100</t>
  </si>
  <si>
    <t>יניב שפירא:
1 = סעד
2 = חינוך לילדים
3 = איסוף אשפה
4 = ניקיון הרחובות
5 = תבאורה
6 = פעילות תרבות
7 = פעילות עבור הנוער
8 = אף אחד מהנ"ל</t>
  </si>
  <si>
    <t>1 = סעד
2 = חינוך לילדים
3 = איסוף אשפה
4 = ניקיון הרחובות
5 = תבאורה
6 = פעילות תרבות
7 = פעילות עבור הנוער
8 = אף אחד מהנ"ל</t>
  </si>
  <si>
    <t>$AG$101</t>
  </si>
  <si>
    <t>יניב שפירא: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</si>
  <si>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</si>
  <si>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$AH$102</t>
  </si>
  <si>
    <t>יניב שפירא:
1 = תומך בבעלות ממשלתית
2 = מתנגד לבעלות ממשלתית</t>
  </si>
  <si>
    <t>1 = תומך בבעלות ממשלתית
2 = מתנגד לבעלות ממשלתית</t>
  </si>
  <si>
    <t>$AH$109</t>
  </si>
  <si>
    <t>יניב שפירא:
1 = בהחלט מסכים
2 = מסכים
3 = מסתייג
4 = מסתייג בהחלט</t>
  </si>
  <si>
    <t>1 = בהחלט מסכים
2 = מסכים
3 = מסתייג
4 = מסתייג בהחלט</t>
  </si>
  <si>
    <t>$AH$110</t>
  </si>
  <si>
    <t>יניב שפירא:
1 = בהחלט זו של ארה"ב
2 = זו של ארה"ב
3 = זו של ברה"מ
4 = בהחלט זו של ברה"מ</t>
  </si>
  <si>
    <t>1 = בהחלט זו של ארה"ב
2 = זו של ארה"ב
3 = זו של ברה"מ
4 = בהחלט זו של ברה"מ</t>
  </si>
  <si>
    <t>$AH$111</t>
  </si>
  <si>
    <t>יניב שפירא:
1 = בהחלט כדאי
2 = נראה לי שכדאי
3 = נראה לי שלא כדאי
4 = בהחלט לא כדאי</t>
  </si>
  <si>
    <t>1 = בהחלט כדאי
2 = נראה לי שכדאי
3 = נראה לי שלא כדאי
4 = בהחלט לא כדאי</t>
  </si>
  <si>
    <t>$AH$112</t>
  </si>
  <si>
    <t>יניב שפירא:
1 = בהחלט מסכים
2 = מסכים
3 = מסתייג
4 = בהחלט מסתייג</t>
  </si>
  <si>
    <t>1 = בהחלט מסכים
2 = מסכים
3 = מסתייג
4 = בהחלט מסתייג</t>
  </si>
  <si>
    <t>$AH$114</t>
  </si>
  <si>
    <t>יניב שפירא:
1 = בהחלט מוכן
2 = מוכן
3 = מסתייג
4 = לא מוכן
5 = בהחלט לא מוכן</t>
  </si>
  <si>
    <t>1 = בהחלט מוכן
2 = מוכן
3 = מסתייג
4 = לא מוכן
5 = בהחלט לא מוכן</t>
  </si>
  <si>
    <t>$AH$116</t>
  </si>
  <si>
    <t>$AH$117</t>
  </si>
  <si>
    <t>$C$118</t>
  </si>
  <si>
    <t>יניב שפירא:
1 = השתפר בהרבה
2 = השתפר במקצת
3 = לא השתנה
4 = קצת יותר גרוע
5 = הרבה יותר גרוע</t>
  </si>
  <si>
    <t>1 = השתפר בהרבה
2 = השתפר במקצת
3 = לא השתנה
4 = קצת יותר גרוע
5 = הרבה יותר גרוע</t>
  </si>
  <si>
    <t>דת ומדינה</t>
  </si>
  <si>
    <t>$A$2</t>
  </si>
  <si>
    <t>יניב שפירא:
1 = מדינה עם רוב יהודי
2 = ארץ ישראל השלמה
3 = מדינה דמוקרטית (זכויות פוליטיות שוות לכל)
4 = מצב של שלום (הסתברות נמוכה למלחמה)</t>
  </si>
  <si>
    <t>1 = מדינה עם רוב יהודי
2 = ארץ ישראל השלמה
3 = מדינה דמוקרטית (זכויות פוליטיות שוות לכל)
4 = מצב של שלום (הסתברות נמוכה למלחמה)</t>
  </si>
  <si>
    <t>יניב שפירא:
1 = בהחלט מתפקידה לדאוג לכך
2 = אולי הממשלה צריכה לדאוג לכך
3 = לא חושב שעל הממשלה לדאוג לכך
4 = בשום אופן הממשלה לא צריכה לדאוג לכך</t>
  </si>
  <si>
    <t>1 = בהחלט מתפקידה לדאוג לכך
2 = אולי הממשלה צריכה לדאוג לכך
3 = לא חושב שעל הממשלה לדאוג לכך
4 = בשום אופן הממשלה לא צריכה לדאוג לכך</t>
  </si>
  <si>
    <t>יניב שפירא:
לא לערבים</t>
  </si>
  <si>
    <t>לא לערבים</t>
  </si>
  <si>
    <t>$F$7</t>
  </si>
  <si>
    <t>יניב שפירא:
1 = חשובה מאוד
2 = די חשובה
3 = לא כ"כ חשובה
4 = כלל לא חשובה</t>
  </si>
  <si>
    <t>1 = חשובה מאוד
2 = די חשובה
3 = לא כ"כ חשובה
4 = כלל לא חשובה</t>
  </si>
  <si>
    <t>$G$9</t>
  </si>
  <si>
    <t>יניב שפירא:
1 = יש להעדיף בכל מקרה את השמירה על הדמוקרטיה
2 = לפעמים כך ולפעמים כך 
3 = יש להעדיף בכל מקרה את שמירת ההלכה היהודית</t>
  </si>
  <si>
    <t>1 = יש להעדיף בכל מקרה את השמירה על הדמוקרטיה
2 = לפעמים כך ולפעמים כך 
3 = יש להעדיף בכל מקרה את שמירת ההלכה היהודית</t>
  </si>
  <si>
    <t>$M$9</t>
  </si>
  <si>
    <t>יניב שפירא:
סולם 1-7 באשר להעדפת ההלכה היהודית
1 = אי הסכמה
7 = הסכמה</t>
  </si>
  <si>
    <t>סולם 1-7 באשר להעדפת ההלכה היהודית
1 = אי הסכמה
7 = הסכמה</t>
  </si>
  <si>
    <t>$N$9</t>
  </si>
  <si>
    <t>יניב שפירא:
סולם 1-7
1 = מתנגד מאד
7 = מסכים מאד</t>
  </si>
  <si>
    <t>סולם 1-7
1 = מתנגד מאד
7 = מסכים מאד</t>
  </si>
  <si>
    <t>$B$10</t>
  </si>
  <si>
    <t>adi:
1 = בהחלט לא מסכים/ה
2 = לא מסכים/ה
3 = מסכים/ה
4 = בהחלט מסכים/ה</t>
  </si>
  <si>
    <t>1 = בהחלט לא מסכים/ה
2 = לא מסכים/ה
3 = מסכים/ה
4 = בהחלט מסכים/ה</t>
  </si>
  <si>
    <t>$G$10</t>
  </si>
  <si>
    <t>יניב שפירא:
1 = כלל לא מסכים
2 = לא מסכים
3 = מסכים
4 = מסכים מאוד</t>
  </si>
  <si>
    <t>1 = כלל לא מסכים
2 = לא מסכים
3 = מסכים
4 = מסכים מאוד</t>
  </si>
  <si>
    <t>$M$12</t>
  </si>
  <si>
    <t>יניב שפירא:
1-7
1 = אי הסכמה
7 = הסכמה</t>
  </si>
  <si>
    <t>1-7
1 = אי הסכמה
7 = הסכמה</t>
  </si>
  <si>
    <t>$H$13</t>
  </si>
  <si>
    <t>יניב שפירא:
1 = יש להעדיף בכל מקרה את העקרון של המדינה היהודית
2 = לפעמים כך ולפעמים כך
3 = יש להעדיף בכל מקרה את העקרון של מדינת כל אזרחיה</t>
  </si>
  <si>
    <t>1 = יש להעדיף בכל מקרה את העקרון של המדינה היהודית
2 = לפעמים כך ולפעמים כך
3 = יש להעדיף בכל מקרה את העקרון של מדינת כל אזרחיה</t>
  </si>
  <si>
    <t>$K$14</t>
  </si>
  <si>
    <t>יניב שפירא: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</si>
  <si>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</si>
  <si>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$O$22</t>
  </si>
  <si>
    <t>יניב שפירא:
1 = מסכים בהחלט
2 = מסכים
3 = לא כ"כ מסכים
4 = כלל לא מסכים</t>
  </si>
  <si>
    <t>1 = מסכים בהחלט
2 = מסכים
3 = לא כ"כ מסכים
4 = כלל לא מסכים</t>
  </si>
  <si>
    <t>$O$24</t>
  </si>
  <si>
    <t>$O$25</t>
  </si>
  <si>
    <t>$O$27</t>
  </si>
  <si>
    <t>$Q$29</t>
  </si>
  <si>
    <t>יניב שפירא:
1 = בעד ביטול המשחקים
2 = נגד ביטול המשחקים</t>
  </si>
  <si>
    <t>1 = בעד ביטול המשחקים
2 = נגד ביטול המשחקים</t>
  </si>
  <si>
    <t>$T$32</t>
  </si>
  <si>
    <t>יניב שפירא:
1 = בהחלט
2 = חושב שכן
3 = אין חובה שכולם יעלו
4 = כלל לא רצוי שכולם יעלו</t>
  </si>
  <si>
    <t>1 = בהחלט
2 = חושב שכן
3 = אין חובה שכולם יעלו
4 = כלל לא רצוי שכולם יעלו</t>
  </si>
  <si>
    <t>$T$33</t>
  </si>
  <si>
    <t>יניב שפירא:
1 = בהחלט אין להפריד
2 = חושב שלא צריך להפריד
3 = חושב שיש להפריד
4 = בהחלט יש להפריד</t>
  </si>
  <si>
    <t>1 = בהחלט אין להפריד
2 = חושב שלא צריך להפריד
3 = חושב שיש להפריד
4 = בהחלט יש להפריד</t>
  </si>
  <si>
    <t>$V$34</t>
  </si>
  <si>
    <t>יניב שפירא:
1 = בעד יישום יתר של ההלכה
2 = בעד סטטוס-קוו
3 = בעד יתר ליברליזציה
4 = אין לי דעה בנושא</t>
  </si>
  <si>
    <t>1 = בעד יישום יתר של ההלכה
2 = בעד סטטוס-קוו
3 = בעד יתר ליברליזציה
4 = אין לי דעה בנושא</t>
  </si>
  <si>
    <t>יניב שפירא:
1 = בהחלט להפריד
2 = אולי להפריד
3 = אולי לא להפריד
4 = בהחלט לא להפריד</t>
  </si>
  <si>
    <t>1 = בהחלט להפריד
2 = אולי להפריד
3 = אולי לא להפריד
4 = בהחלט לא להפריד</t>
  </si>
  <si>
    <t>יניב שפירא:
1 = בהחלט יש להתיר
2 = אפשר להתיר
3 = רצוי לאסור
4 = חייב לאסור
5 = אין דעה</t>
  </si>
  <si>
    <t>1 = בהחלט יש להתיר
2 = אפשר להתיר
3 = רצוי לאסור
4 = חייב לאסור
5 = אין דעה</t>
  </si>
  <si>
    <t>יניב שפירא: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</si>
  <si>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</si>
  <si>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יניב שפירא:
1 = מסכים בהחלט
2 = מסכים
3 = מסתייג
4 = מסתייג בהחלט</t>
  </si>
  <si>
    <t>1 = מסכים בהחלט
2 = מסכים
3 = מסתייג
4 = מסתייג בהחלט</t>
  </si>
  <si>
    <t>חוץ וביטחון</t>
  </si>
  <si>
    <t>$C$2</t>
  </si>
  <si>
    <t>יניב שפירא:
1 = כחול לבן
2 = הליכוד
3 = שניהם במידה שווה
4 = אף אחד מהם</t>
  </si>
  <si>
    <t>1 = כחול לבן
2 = הליכוד
3 = שניהם במידה שווה
4 = אף אחד מהם</t>
  </si>
  <si>
    <t>$J$2</t>
  </si>
  <si>
    <t>יניב שפירא:
1 = שרון
2 = ברק
3 = שניהם במידה שווה
4 = אף אחד מהם</t>
  </si>
  <si>
    <t>1 = שרון
2 = ברק
3 = שניהם במידה שווה
4 = אף אחד מהם</t>
  </si>
  <si>
    <t>$T$2</t>
  </si>
  <si>
    <t>יניב שפירא:
1 = חיים בר לב (מערך)
2 = אריק שרון (ליכוד)</t>
  </si>
  <si>
    <t>1 = חיים בר לב (מערך)
2 = אריק שרון (ליכוד)</t>
  </si>
  <si>
    <t>$W$4</t>
  </si>
  <si>
    <t>יניב שפירא:
1 = למערך
2 = לליכוד
3 = לשמאל</t>
  </si>
  <si>
    <t>1 = למערך
2 = לליכוד
3 = לשמאל</t>
  </si>
  <si>
    <t>יניב שפירא:
1 = המערך
2 = הליכוד
3 = לשמאל</t>
  </si>
  <si>
    <t>1 = המערך
2 = הליכוד
3 = לשמאל</t>
  </si>
  <si>
    <t>$F$6</t>
  </si>
  <si>
    <t>$I$7</t>
  </si>
  <si>
    <t>יניב שפירא:
הניסוח כאן:
"להיפגע בידי ערבים"</t>
  </si>
  <si>
    <t>הניסוח כאן:
"להיפגע בידי ערבים"</t>
  </si>
  <si>
    <t>$L$7</t>
  </si>
  <si>
    <t>יניב שפירא:
1 = בכלל לא מודאג
2 = לא מודאג
3 = מודאג
4 = מודאג מאד</t>
  </si>
  <si>
    <t>1 = בכלל לא מודאג
2 = לא מודאג
3 = מודאג
4 = מודאג מאד</t>
  </si>
  <si>
    <t>$G$8</t>
  </si>
  <si>
    <t>יניב שפירא:
1 = מודאג מאוד
2 = מודאג
3 = לא מודאג
4 = בכלל לא מודאג</t>
  </si>
  <si>
    <t>1 = מודאג מאוד
2 = מודאג
3 = לא מודאג
4 = בכלל לא מודאג</t>
  </si>
  <si>
    <t>יניב שפירא:
1 = יש להעדיף בכל מקרה את השמירה על שלטון החוק
2 = לפעמים כך ולפעמים כך
3 = יש להעדיף בכל מקרה את האינטרס הביטחוני</t>
  </si>
  <si>
    <t>1 = יש להעדיף בכל מקרה את השמירה על שלטון החוק
2 = לפעמים כך ולפעמים כך
3 = יש להעדיף בכל מקרה את האינטרס הביטחוני</t>
  </si>
  <si>
    <t>יניב שפירא:
סולם 1-7
1 = יש להעדיף בכל מקרה את האינטרסם הבטחוני
7 = יש להעדיף בכל מקרה את שלטון החוק</t>
  </si>
  <si>
    <t>סולם 1-7
1 = יש להעדיף בכל מקרה את האינטרסם הבטחוני
7 = יש להעדיף בכל מקרה את שלטון החוק</t>
  </si>
  <si>
    <t>יניב שפירא:
1 = תמיד מעדיפה שיקולים בטחוניים
2 = בדר"כ מעדיפה שיקולים בטחוניים
3 = בדר"כ מעדיפה שלטון החוק
4 = תמיד מעדיפה שלטון החוק</t>
  </si>
  <si>
    <t>1 = תמיד מעדיפה שיקולים בטחוניים
2 = בדר"כ מעדיפה שיקולים בטחוניים
3 = בדר"כ מעדיפה שלטון החוק
4 = תמיד מעדיפה שלטון החוק</t>
  </si>
  <si>
    <t>$P$11</t>
  </si>
  <si>
    <t xml:space="preserve">יניב שפירא:
1 = מאוד מוצלח
2 = די מוצלח
3 = לא כ"כ מוצלח
4 = כלל לא מוצלח
</t>
  </si>
  <si>
    <t xml:space="preserve">1 = מאוד מוצלח
2 = די מוצלח
3 = לא כ"כ מוצלח
4 = כלל לא מוצלח
</t>
  </si>
  <si>
    <t>$I$13</t>
  </si>
  <si>
    <t>יניב שפירא:
1 = מאוד מוצלח
2 = די מוצלח
3 = לא כ"כ מוצלח
4 = כלל לא מוצלח</t>
  </si>
  <si>
    <t>1 = מאוד מוצלח
2 = די מוצלח
3 = לא כ"כ מוצלח
4 = כלל לא מוצלח</t>
  </si>
  <si>
    <t>$I$14</t>
  </si>
  <si>
    <t>יניב שפירא:
1 = לכבוש את כל רצועת עזה מחדש ולהשאר שם
2 = לעשות מבצעים חד פעמיים נגד הירי בלי להשאר שם
3 = לפעול בעיקר בצעדים מדיניים ולא בכוח צבאי</t>
  </si>
  <si>
    <t>1 = לכבוש את כל רצועת עזה מחדש ולהשאר שם
2 = לעשות מבצעים חד פעמיים נגד הירי בלי להשאר שם
3 = לפעול בעיקר בצעדים מדיניים ולא בכוח צבאי</t>
  </si>
  <si>
    <t>יניב שפירא:
1 = כלל לא מסכים
2 = לא מסכים
3 = מסכים
4 = מסכים מאד</t>
  </si>
  <si>
    <t>1 = כלל לא מסכים
2 = לא מסכים
3 = מסכים
4 = מסכים מאד</t>
  </si>
  <si>
    <t>יניב שפירא:
1 = בהחלט לא מסכים
2 = לא מסכים
3 = מסגים
4 = מסכים בהחלט</t>
  </si>
  <si>
    <t>1 = בהחלט לא מסכים
2 = לא מסכים
3 = מסגים
4 = מסכים בהחלט</t>
  </si>
  <si>
    <t>$I$19</t>
  </si>
  <si>
    <t>יניב שפירא:
סולם 1-9
1 = גרוע ביותר
9 = טוב ביותר</t>
  </si>
  <si>
    <t>סולם 1-9
1 = גרוע ביותר
9 = טוב ביותר</t>
  </si>
  <si>
    <t>יניב שפירא:
ארבע שנים ולא חמש
סולם 1-10
1 = הטוב ביותר
10 = הגרוע ביותר</t>
  </si>
  <si>
    <t>ארבע שנים ולא חמש
סולם 1-10
1 = הטוב ביותר
10 = הגרוע ביותר</t>
  </si>
  <si>
    <t>$V$19</t>
  </si>
  <si>
    <t>$AH$19</t>
  </si>
  <si>
    <t>יניב שפירא:
סולם 0-10
0 = הגרוע ביותר
10 = הטוב ביותר</t>
  </si>
  <si>
    <t>סולם 0-10
0 = הגרוע ביותר
10 = הטוב ביותר</t>
  </si>
  <si>
    <t>$T$22</t>
  </si>
  <si>
    <t>יניב שפירא:
סולם 1-10
1 = טוב ביותר
10 = גרוע ביותר</t>
  </si>
  <si>
    <t>סולם 1-10
1 = טוב ביותר
10 = גרוע ביותר</t>
  </si>
  <si>
    <t>$G$27</t>
  </si>
  <si>
    <t>יניב שפירא:
מלחמה עם סוריה</t>
  </si>
  <si>
    <t>מלחמה עם סוריה</t>
  </si>
  <si>
    <t>יניב שפירא:
מלחמה עם חיזבאללה</t>
  </si>
  <si>
    <t>מלחמה עם חיזבאללה</t>
  </si>
  <si>
    <t>יניב שפירא:
הניסוח הוא:
"מלחמה עם הערבים"
1 = במידה רבה
2 = במידה מסוימת
3 = במידה קטנה
4 = כלל לא</t>
  </si>
  <si>
    <t>הניסוח הוא:
"מלחמה עם הערבים"
1 = במידה רבה
2 = במידה מסוימת
3 = במידה קטנה
4 = כלל לא</t>
  </si>
  <si>
    <t>$L$28</t>
  </si>
  <si>
    <t>יניב שפירא:
1 = הרבה יותר גרוע
2 = יותר גרוע
3 = לא השתנה
4 = יותר טוב
5 = הרבה יותר טוב</t>
  </si>
  <si>
    <t>1 = הרבה יותר גרוע
2 = יותר גרוע
3 = לא השתנה
4 = יותר טוב
5 = הרבה יותר טוב</t>
  </si>
  <si>
    <t>$M$28</t>
  </si>
  <si>
    <t>יניב שפירא:
1 = הרבה יותר טוב
2 = יותר טוב
3 = יותר גרוע
4 = הרבה יותר גרוע</t>
  </si>
  <si>
    <t>1 = הרבה יותר טוב
2 = יותר טוב
3 = יותר גרוע
4 = הרבה יותר גרוע</t>
  </si>
  <si>
    <t>$M$29</t>
  </si>
  <si>
    <t>$M$30</t>
  </si>
  <si>
    <t>יניב שפירא:
1 = גדלה בהרבה
2 = גדלה
3 = קטנה
4 = קטנה בהרבה</t>
  </si>
  <si>
    <t>1 = גדלה בהרבה
2 = גדלה
3 = קטנה
4 = קטנה בהרבה</t>
  </si>
  <si>
    <t>$M$31</t>
  </si>
  <si>
    <t>$N$32</t>
  </si>
  <si>
    <t>יניב שפירא:
1 = תורם מאד
2 = תורם
3 = פוגע
4 = פוגע מאד</t>
  </si>
  <si>
    <t>1 = תורם מאד
2 = תורם
3 = פוגע
4 = פוגע מאד</t>
  </si>
  <si>
    <t>$O$33</t>
  </si>
  <si>
    <t>יניב שפירא:
1 = קשה מדי
2 = מתאימה
3 = רכה מדי</t>
  </si>
  <si>
    <t>1 = קשה מדי
2 = מתאימה
3 = רכה מדי</t>
  </si>
  <si>
    <t>יניב שפירא:
1 = תומך מאוד
2 = תומך במידה ניכרת
3 = לא כ"כ תומך
4 = לא תומך כלל</t>
  </si>
  <si>
    <t>1 = תומך מאוד
2 = תומך במידה ניכרת
3 = לא כ"כ תומך
4 = לא תומך כלל</t>
  </si>
  <si>
    <t>$O$35</t>
  </si>
  <si>
    <t>יניב שפירא:
1 = אין כמעט סיכוי למלחמה
2 = סיכוי נמוך מאד
3 = סיכוי נמוך
4 = סיכוי בינוני
5 = סיכוי גבוה
6 = סיכוי גבוה מאוד
7 = כמעט ודאות מלאה</t>
  </si>
  <si>
    <t>1 = אין כמעט סיכוי למלחמה
2 = סיכוי נמוך מאד
3 = סיכוי נמוך
4 = סיכוי בינוני
5 = סיכוי גבוה
6 = סיכוי גבוה מאוד
7 = כמעט ודאות מלאה</t>
  </si>
  <si>
    <t>$O$40</t>
  </si>
  <si>
    <t>יניב שפירא:
1 = תוכל להתמודד
2 = לא תוכל להתמודד</t>
  </si>
  <si>
    <t>1 = תוכל להתמודד
2 = לא תוכל להתמודד</t>
  </si>
  <si>
    <t>$O$50</t>
  </si>
  <si>
    <t xml:space="preserve">יניב שפירא:
סולם 1-7
1 = השפעה רעה
7 = השפעה טובה </t>
  </si>
  <si>
    <t xml:space="preserve">סולם 1-7
1 = השפעה רעה
7 = השפעה טובה </t>
  </si>
  <si>
    <t>$P$51</t>
  </si>
  <si>
    <t>יניב שפירא:
סולם 1-7
1 = תורמת לבטחון
7 = פוגעת בבטחון</t>
  </si>
  <si>
    <t>סולם 1-7
1 = תורמת לבטחון
7 = פוגעת בבטחון</t>
  </si>
  <si>
    <t>יניב שפירא:
1 = אלופי צה"ל בסדיר
2 = אלופי צה"ל במיל'
3 = פרופ' למדע המדינה
4 = מנהיגי הליכוד
5 = מנהיגי המערך
6 = הרבנים
7 = דעת הציבור</t>
  </si>
  <si>
    <t>1 = אלופי צה"ל בסדיר
2 = אלופי צה"ל במיל'
3 = פרופ' למדע המדינה
4 = מנהיגי הליכוד
5 = מנהיגי המערך
6 = הרבנים
7 = דעת הציבור</t>
  </si>
  <si>
    <t>יניב שפירא:
1 = אפשר לחסל את הטרור
2 = אפשר להקטין את היקפו אך לא לחסלו
3 = לפעילות צבאית אין השפעה על היקף הטרור
4 = פעילות צבאית רק תגרום להחרפת הפיגועים נגדנו</t>
  </si>
  <si>
    <t>1 = אפשר לחסל את הטרור
2 = אפשר להקטין את היקפו אך לא לחסלו
3 = לפעילות צבאית אין השפעה על היקף הטרור
4 = פעילות צבאית רק תגרום להחרפת הפיגועים נגדנו</t>
  </si>
  <si>
    <t>יניב שפירא:
1 = מלחמה יזומה על ידנו לפגיעה במחבלים בבסיסיהם
2 = מלחמה בעלת אופי הגנתי, פעולות מניעה
3 = מלחמה בעלת אופי תגובתי - יציאה לפעולות תגמול בעקבות פיגועים</t>
  </si>
  <si>
    <t>1 = מלחמה יזומה על ידנו לפגיעה במחבלים בבסיסיהם
2 = מלחמה בעלת אופי הגנתי, פעולות מניעה
3 = מלחמה בעלת אופי תגובתי - יציאה לפעולות תגמול בעקבות פיגועים</t>
  </si>
  <si>
    <t>$P$55</t>
  </si>
  <si>
    <t>יניב שפירא: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</si>
  <si>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</si>
  <si>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$P$56</t>
  </si>
  <si>
    <t>יניב שפירא:
1 = כדאי
2 = לא כדאי</t>
  </si>
  <si>
    <t>1 = כדאי
2 = לא כדאי</t>
  </si>
  <si>
    <t>$P$57</t>
  </si>
  <si>
    <t>יניב שפירא:
1 = תומך בהחלט
2 = תומך
3 = מתנגד
4 = מתנגד בהחלט</t>
  </si>
  <si>
    <t>1 = תומך בהחלט
2 = תומך
3 = מתנגד
4 = מתנגד בהחלט</t>
  </si>
  <si>
    <t>$P$63</t>
  </si>
  <si>
    <t>$P$64</t>
  </si>
  <si>
    <t>$P$65</t>
  </si>
  <si>
    <t>יניב שפירא:
1 = מוצדק בהחלט
2 = מוצדק
3 = לא מוצדק
4 = כלל לא מוצדק</t>
  </si>
  <si>
    <t>1 = מוצדק בהחלט
2 = מוצדק
3 = לא מוצדק
4 = כלל לא מוצדק</t>
  </si>
  <si>
    <t>יניב שפירא:
1 = יש תנאים בהם מוצדק להשתמש
2 = בשום תנאי אין להשתמש</t>
  </si>
  <si>
    <t>1 = יש תנאים בהם מוצדק להשתמש
2 = בשום תנאי אין להשתמש</t>
  </si>
  <si>
    <t>יניב שפירא:
רק למי שענה "1" בשאלה v49</t>
  </si>
  <si>
    <t>רק למי שענה "1" בשאלה v49</t>
  </si>
  <si>
    <t>יניב שפירא:
1 = בטוח שיש
2 = חושב שיש
3 = חושב שאין
4 = בטוח שאין</t>
  </si>
  <si>
    <t>1 = בטוח שיש
2 = חושב שיש
3 = חושב שאין
4 = בטוח שאין</t>
  </si>
  <si>
    <t>$P$85</t>
  </si>
  <si>
    <t>יניב שפירא:
1 = לשמור בסוד
2 = להצהיר בגלוי</t>
  </si>
  <si>
    <t>1 = לשמור בסוד
2 = להצהיר בגלוי</t>
  </si>
  <si>
    <t>$P$86</t>
  </si>
  <si>
    <t>יניב שפירא:
1 = מסכים בהחלט
2 = מסכים
3 = לא מסכים
4 = בהחלט לא מסכים</t>
  </si>
  <si>
    <t>1 = מסכים בהחלט
2 = מסכים
3 = לא מסכים
4 = בהחלט לא מסכים</t>
  </si>
  <si>
    <t>$P$89</t>
  </si>
  <si>
    <t>יניב שפירא:
1 = סוריה
2 = אש"ף
3 = ירדן
4 = השיעים בלבנון
5 = לוב
6 = מצרים
7 = עיראק
8 = איראן
9 = סעודיה</t>
  </si>
  <si>
    <t>1 = סוריה
2 = אש"ף
3 = ירדן
4 = השיעים בלבנון
5 = לוב
6 = מצרים
7 = עיראק
8 = איראן
9 = סעודיה</t>
  </si>
  <si>
    <t>$P$91</t>
  </si>
  <si>
    <t>יניב שפירא:
1 = גבוהה
2 = בינונית
3 = נמוכה
4 = אפסית</t>
  </si>
  <si>
    <t>1 = גבוהה
2 = בינונית
3 = נמוכה
4 = אפסית</t>
  </si>
  <si>
    <t>$P$92</t>
  </si>
  <si>
    <t>יניב שפירא:
1 = תמיד רציונאלית
2 = בדר"כ רציונאלית
3 = לפעמים כך ולפעמים כך
4 = בדר"כ לא רציונאלית
5 = תמיד לא רציונאלית</t>
  </si>
  <si>
    <t>1 = תמיד רציונאלית
2 = בדר"כ רציונאלית
3 = לפעמים כך ולפעמים כך
4 = בדר"כ לא רציונאלית
5 = תמיד לא רציונאלית</t>
  </si>
  <si>
    <t>$P$93</t>
  </si>
  <si>
    <t>$P$94</t>
  </si>
  <si>
    <t>יניב שפירא:
1 = מהווה סיבה
2 = לא מהווה סיבה</t>
  </si>
  <si>
    <t>1 = מהווה סיבה
2 = לא מהווה סיבה</t>
  </si>
  <si>
    <t>$P$102</t>
  </si>
  <si>
    <t>יניב שפירא:
1 = מוכן
2 = לא מוכן</t>
  </si>
  <si>
    <t>1 = מוכן
2 = לא מוכן</t>
  </si>
  <si>
    <t>$P$103</t>
  </si>
  <si>
    <t>$P$104</t>
  </si>
  <si>
    <t>יניב שפירא:
1 = חלה שחיקה משמעותית
2  = חלה שחיקה מסוימת
3 = לא חל שינוי
4 = התחזקות מסוימת
5 = התחזקות משמעותית</t>
  </si>
  <si>
    <t>1 = חלה שחיקה משמעותית
2  = חלה שחיקה מסוימת
3 = לא חל שינוי
4 = התחזקות מסוימת
5 = התחזקות משמעותית</t>
  </si>
  <si>
    <t>$P$105</t>
  </si>
  <si>
    <t>יניב שפירא:
1 = הממשלה
2 = הכנסת
3 = הצבא
4 = תעשייה צבאית\אווירית
5 = אחר</t>
  </si>
  <si>
    <t>1 = הממשלה
2 = הכנסת
3 = הצבא
4 = תעשייה צבאית\אווירית
5 = אחר</t>
  </si>
  <si>
    <t>$P$106</t>
  </si>
  <si>
    <t>יניב שפירא:
1 = בהחלט בעד
2 = בעד
3 = נגד
4 = בהחלט נגד</t>
  </si>
  <si>
    <t>1 = בהחלט בעד
2 = בעד
3 = נגד
4 = בהחלט נגד</t>
  </si>
  <si>
    <t>$P$107</t>
  </si>
  <si>
    <t>יניב שפירא:
1 = שיקולים עניינים בלבד
2 = גם משיקולים אחרים</t>
  </si>
  <si>
    <t>1 = שיקולים עניינים בלבד
2 = גם משיקולים אחרים</t>
  </si>
  <si>
    <t>$P$108</t>
  </si>
  <si>
    <t>יניב שפירא:
1 = רק שיקולים עניינים
2 = שיקולים אחרים</t>
  </si>
  <si>
    <t>1 = רק שיקולים עניינים
2 = שיקולים אחרים</t>
  </si>
  <si>
    <t>$P$109</t>
  </si>
  <si>
    <t>יניב שפירא:
1 = רה"מ
2 = שר הבטחון
3 = הקבינט
4 = מליאת הממשלה
5 = ועדת החוץ והבטחון של הכנסת
6 = המטכ"ל
7 = התקשורת
8 = ארה"ב
9 = העם
10 = אחר</t>
  </si>
  <si>
    <t>1 = רה"מ
2 = שר הבטחון
3 = הקבינט
4 = מליאת הממשלה
5 = ועדת החוץ והבטחון של הכנסת
6 = המטכ"ל
7 = התקשורת
8 = ארה"ב
9 = העם
10 = אחר</t>
  </si>
  <si>
    <t>$P$110</t>
  </si>
  <si>
    <t>יניב שפירא:
סולם 1-7
1 = העדפת בטחון על פני כל נושא אחר
7 = בטחון - לא בכל מחיר</t>
  </si>
  <si>
    <t>סולם 1-7
1 = העדפת בטחון על פני כל נושא אחר
7 = בטחון - לא בכל מחיר</t>
  </si>
  <si>
    <t>$P$111</t>
  </si>
  <si>
    <t>יניב שפירא:
1 = מבין במידה רבה מאד
2 = מבין במידה רבה
3 = מבין במידה מסוימת
4 = מבין במידה קטנה
5 = לא מבין כלל</t>
  </si>
  <si>
    <t>1 = מבין במידה רבה מאד
2 = מבין במידה רבה
3 = מבין במידה מסוימת
4 = מבין במידה קטנה
5 = לא מבין כלל</t>
  </si>
  <si>
    <t>$P$112</t>
  </si>
  <si>
    <t>$P$113</t>
  </si>
  <si>
    <t>יניב שפירא:
1 = בהחלט להתחשב
2 = להתחשב
3 = לא להתחשב
4 = בהחלט לא להתחשב</t>
  </si>
  <si>
    <t>1 = בהחלט להתחשב
2 = להתחשב
3 = לא להתחשב
4 = בהחלט לא להתחשב</t>
  </si>
  <si>
    <t>יניב שפירא:
1 = תמיד לתמוך
2 = בדר"כ לתמוך
3 = בדר"כ לא לתמוך
4 = תמיד לא לתמוך</t>
  </si>
  <si>
    <t>1 = תמיד לתמוך
2 = בדר"כ לתמוך
3 = בדר"כ לא לתמוך
4 = תמיד לא לתמוך</t>
  </si>
  <si>
    <t>$P$115</t>
  </si>
  <si>
    <t>יניב שפירא:
1 = מותר
2 = אסור</t>
  </si>
  <si>
    <t>1 = מותר
2 = אסור</t>
  </si>
  <si>
    <t>$P$120</t>
  </si>
  <si>
    <t>יניב שפירא:
1 = אחראית לגמרי
2 = בדר"כ אחראית
3 = בדר"כ לא אחראית
4 = בלתי אחראית לגמרי</t>
  </si>
  <si>
    <t>1 = אחראית לגמרי
2 = בדר"כ אחראית
3 = בדר"כ לא אחראית
4 = בלתי אחראית לגמרי</t>
  </si>
  <si>
    <t>$P$121</t>
  </si>
  <si>
    <t>יניב שפירא:
1 = פחות מדי
2 = מתאימה
3 = יותר מדי</t>
  </si>
  <si>
    <t>1 = פחות מדי
2 = מתאימה
3 = יותר מדי</t>
  </si>
  <si>
    <t>$P$122</t>
  </si>
  <si>
    <t>יניב שפירא:
1 = סומך בהחלט
2 = סומך
3 = לא סומך
4 = לא סומך כלל</t>
  </si>
  <si>
    <t>1 = סומך בהחלט
2 = סומך
3 = לא סומך
4 = לא סומך כלל</t>
  </si>
  <si>
    <t>$P$123</t>
  </si>
  <si>
    <t>יניב שפירא:
1 = טובים מאד
2 = די טובים
3 = בינוניים
4 = די גרועים
5 = גרועים מאד</t>
  </si>
  <si>
    <t>1 = טובים מאד
2 = די טובים
3 = בינוניים
4 = די גרועים
5 = גרועים מאד</t>
  </si>
  <si>
    <t>יניב שפירא:
1 = במידה רבה מאד
2 = במידה  רבה
3 = במידה בינונית
4 = במידה קטנה
5 = לא יכולה בכלל</t>
  </si>
  <si>
    <t>1 = במידה רבה מאד
2 = במידה  רבה
3 = במידה בינונית
4 = במידה קטנה
5 = לא יכולה בכלל</t>
  </si>
  <si>
    <t>יניב שפירא:
1 = מוצדק בהחלט
2 = מוצדק
3 = לא מוצדק
4 = בהחלט לא מוצדק</t>
  </si>
  <si>
    <t>1 = מוצדק בהחלט
2 = מוצדק
3 = לא מוצדק
4 = בהחלט לא מוצדק</t>
  </si>
  <si>
    <t>יניב שפירא:
סולם 1-7
1 = בטוח שתהיה מלחמה
7 = בטוח שלא תהיה מלחמה</t>
  </si>
  <si>
    <t>סולם 1-7
1 = בטוח שתהיה מלחמה
7 = בטוח שלא תהיה מלחמה</t>
  </si>
  <si>
    <t>יניב שפירא:
1 = בעד ניתוק היחסים
2 = נגד ניתוק היחסים</t>
  </si>
  <si>
    <t>1 = בעד ניתוק היחסים
2 = נגד ניתוק היחסים</t>
  </si>
  <si>
    <t>$U$131</t>
  </si>
  <si>
    <t>יניב שפירא:
1 = טובה מאד
2 = טובה
3 = לא כ"כ טובה
4 = לא טובה
5 = לא טובה כלל</t>
  </si>
  <si>
    <t>1 = טובה מאד
2 = טובה
3 = לא כ"כ טובה
4 = לא טובה
5 = לא טובה כלל</t>
  </si>
  <si>
    <t>$U$132</t>
  </si>
  <si>
    <t>יניב שפירא:
1 = בהחלט יש לקצץ
2 = יש לקצץ
3 = אולי יש לקצץ
4 = אולי אין לקצץ
5 = אין לקצץ
6 = בהחלט אין לקצץ</t>
  </si>
  <si>
    <t>1 = בהחלט יש לקצץ
2 = יש לקצץ
3 = אולי יש לקצץ
4 = אולי אין לקצץ
5 = אין לקצץ
6 = בהחלט אין לקצץ</t>
  </si>
  <si>
    <t>$AB$133</t>
  </si>
  <si>
    <t>$AC$134</t>
  </si>
  <si>
    <t>יניב שפירא:
1 = בהחלט מוצדקת
2 = מוצדקת
3 = לא כ"כ מוצדקת
4 = כלל לא מוצדקת</t>
  </si>
  <si>
    <t>1 = בהחלט מוצדקת
2 = מוצדקת
3 = לא כ"כ מוצדקת
4 = כלל לא מוצדקת</t>
  </si>
  <si>
    <t>$AC$135</t>
  </si>
  <si>
    <t>יניב שפירא:
1 = נכונות גבוהה מאוד
2 = נכונות גבוהה
3 = נכונות נמוכה
4 = נכונות נמוכה מאוד</t>
  </si>
  <si>
    <t>1 = נכונות גבוהה מאוד
2 = נכונות גבוהה
3 = נכונות נמוכה
4 = נכונות נמוכה מאוד</t>
  </si>
  <si>
    <t>$AD$136</t>
  </si>
  <si>
    <t>$Q$137</t>
  </si>
  <si>
    <t>יניב שפירא:
1 = השתפר
2 = לא השתנה
3 = הורע</t>
  </si>
  <si>
    <t>1 = השתפר
2 = לא השתנה
3 = הורע</t>
  </si>
  <si>
    <t>$Q$138</t>
  </si>
  <si>
    <t>$Q$139</t>
  </si>
  <si>
    <t>יניב שפירא:
1 = התגברה
2 = לא השתנתה
3 = הצטמצמה</t>
  </si>
  <si>
    <t>1 = התגברה
2 = לא השתנתה
3 = הצטמצמה</t>
  </si>
  <si>
    <t>$Q$140</t>
  </si>
  <si>
    <t>יניב שפירא:
1 = גבר
2 = לא השתנה
3 = פחת</t>
  </si>
  <si>
    <t>1 = גבר
2 = לא השתנה
3 = פחת</t>
  </si>
  <si>
    <t>יניב שפירא:
1 = נעשה יותר חיובי
2 = לא השתנה
3 = נעשה יותר שלילי</t>
  </si>
  <si>
    <t>1 = נעשה יותר חיובי
2 = לא השתנה
3 = נעשה יותר שלילי</t>
  </si>
  <si>
    <t>$AH$142</t>
  </si>
  <si>
    <t>שלום</t>
  </si>
  <si>
    <t>יניב שפירא:
רק יהודים למעט 2022</t>
  </si>
  <si>
    <t>רק יהודים למעט 2022</t>
  </si>
  <si>
    <t>adi:
יהודים וערבים
1 = בטוח/ה שכן
2 = חושב/ת שכן
3 = חושב/ת שלא
4 = בטוח/ה שלא</t>
  </si>
  <si>
    <t>יהודים וערבים
1 = בטוח/ה שכן
2 = חושב/ת שכן
3 = חושב/ת שלא
4 = בטוח/ה שלא</t>
  </si>
  <si>
    <t>יניב שפירא:
1 = בהחלט ניתן להגיע להסכם שלום עם הפלסטינים
2 = כנראה שניתן
3 = כנראה שלא ניתן
4 = בהחלט לא ניתן</t>
  </si>
  <si>
    <t>1 = בהחלט ניתן להגיע להסכם שלום עם הפלסטינים
2 = כנראה שניתן
3 = כנראה שלא ניתן
4 = בהחלט לא ניתן</t>
  </si>
  <si>
    <t>$N$4</t>
  </si>
  <si>
    <t>יניב שפירא:
1 = העבודה
2 = הליכוד
3 = מפלגה אחרת</t>
  </si>
  <si>
    <t>1 = העבודה
2 = הליכוד
3 = מפלגה אחרת</t>
  </si>
  <si>
    <t>יניב שפירא:
1 = להתרכז בשיחות שלום
2 = להגביר את עוצמתה הצבאית</t>
  </si>
  <si>
    <t>1 = להתרכז בשיחות שלום
2 = להגביר את עוצמתה הצבאית</t>
  </si>
  <si>
    <t>$A$8</t>
  </si>
  <si>
    <t>יניב שפירא:
בערבית נוסח אחר:
"האם אתה תומך בהקמת מדינה..."
התשובות בהתאם: במקום 'מסכים' כתוב 'תומך'</t>
  </si>
  <si>
    <t>בערבית נוסח אחר:
"האם אתה תומך בהקמת מדינה..."
התשובות בהתאם: במקום 'מסכים' כתוב 'תומך'</t>
  </si>
  <si>
    <t>$D$8</t>
  </si>
  <si>
    <t>יניב שפירא:
1 = בהחלט צריכה להסכים
2 = כנראה שצריכה להסכים
3 = כנראה שלא צריכה להסכים
4 = בהחלט לא צריכה להסכים</t>
  </si>
  <si>
    <t>1 = בהחלט צריכה להסכים
2 = כנראה שצריכה להסכים
3 = כנראה שלא צריכה להסכים
4 = בהחלט לא צריכה להסכים</t>
  </si>
  <si>
    <t>יניב שפירא:
הניסוח הוא:
"אוטונומיה פלסטינית"</t>
  </si>
  <si>
    <t>הניסוח הוא:
"אוטונומיה פלסטינית"</t>
  </si>
  <si>
    <t>$B$9</t>
  </si>
  <si>
    <t xml:space="preserve">adi:
רק יהודים
</t>
  </si>
  <si>
    <t xml:space="preserve">רק יהודים
</t>
  </si>
  <si>
    <t>יניב שפירא: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</si>
  <si>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</si>
  <si>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יניב שפירא:
1 = לא צריכה להחזיק ביהודה ושומרון
2 = כן, כי זו זכותנו על הארץ
3 = כן, משיקולי ביטחון
9 = מסרב</t>
  </si>
  <si>
    <t>1 = לא צריכה להחזיק ביהודה ושומרון
2 = כן, כי זו זכותנו על הארץ
3 = כן, משיקולי ביטחון
9 = מסרב</t>
  </si>
  <si>
    <t>$G$11</t>
  </si>
  <si>
    <t>יניב שפירא:
1 = בהחלט להעביר
2 = להעביר
3 = להמשיך להחזיק
4 = בהחלט להמשיך להחזיק</t>
  </si>
  <si>
    <t>1 = בהחלט להעביר
2 = להעביר
3 = להמשיך להחזיק
4 = בהחלט להמשיך להחזיק</t>
  </si>
  <si>
    <t>$H$12</t>
  </si>
  <si>
    <t>יניב שפירא:
1 = לא בשום תנאי
2 = כן, יישובים בודדים
3 = כן, את כל היישובים</t>
  </si>
  <si>
    <t>1 = לא בשום תנאי
2 = כן, יישובים בודדים
3 = כן, את כל היישובים</t>
  </si>
  <si>
    <t>$G$13</t>
  </si>
  <si>
    <t>יניב שפירא:
1-7
1 = בכלל לא מסוכן
7 = מאוד מסוכן</t>
  </si>
  <si>
    <t>1-7
1 = בכלל לא מסוכן
7 = מאוד מסוכן</t>
  </si>
  <si>
    <t>$O$14</t>
  </si>
  <si>
    <t>$I$18</t>
  </si>
  <si>
    <t>יניב שפירא:
1 = סיכויים גבוהים
2 = סיכויים בינוניים
3 = סיכויים נמוכים
4 = סיכוים נמוכים ביותר</t>
  </si>
  <si>
    <t>1 = סיכויים גבוהים
2 = סיכויים בינוניים
3 = סיכויים נמוכים
4 = סיכוים נמוכים ביותר</t>
  </si>
  <si>
    <t>יניב שפירא:
1 = בטוח שיסתיים
2 = חושב שיסתיים
3 = חושב שלא יסתיים
4 = בטוח שלא יסתיים</t>
  </si>
  <si>
    <t>1 = בטוח שיסתיים
2 = חושב שיסתיים
3 = חושב שלא יסתיים
4 = בטוח שלא יסתיים</t>
  </si>
  <si>
    <t>יניב שפירא:
1 =בטוח שלא יסתיים
2 = חושב שלא יסתיים
3 = חושב שיסתיים
4 = בטוח שיסתיים</t>
  </si>
  <si>
    <t>1 =בטוח שלא יסתיים
2 = חושב שלא יסתיים
3 = חושב שיסתיים
4 = בטוח שיסתיים</t>
  </si>
  <si>
    <t>יניב שפירא: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</si>
  <si>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</si>
  <si>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יניב שפירא:
1 = כן, הכל
2 = כן, חלק
3 = לא צריכה להחזיר כלום</t>
  </si>
  <si>
    <t>1 = כן, הכל
2 = כן, חלק
3 = לא צריכה להחזיר כלום</t>
  </si>
  <si>
    <t>$N$22</t>
  </si>
  <si>
    <t>יניב שפירא:
1 = כן, תחזיר
2 = לא תחזיר</t>
  </si>
  <si>
    <t>1 = כן, תחזיר
2 = לא תחזיר</t>
  </si>
  <si>
    <t>יניב שפירא:
1 = בהחלט לא מסכים
2 = לא מסכים
3 = מסכים
4 = מסכים בהחלט</t>
  </si>
  <si>
    <t>1 = בהחלט לא מסכים
2 = לא מסכים
3 = מסכים
4 = מסכים בהחלט</t>
  </si>
  <si>
    <t>יניב שפירא:
1-7
1 = מידה רבה של אי הסכמה
7 = מידה רבה של הסכמה</t>
  </si>
  <si>
    <t>1-7
1 = מידה רבה של אי הסכמה
7 = מידה רבה של הסכמה</t>
  </si>
  <si>
    <t>$K$24</t>
  </si>
  <si>
    <t>יניב שפירא:
1 = בהחלט לא מסכים
2 = לא מסכים
3 = מסכים
4 = בהחלט מסכים</t>
  </si>
  <si>
    <t>1 = בהחלט לא מסכים
2 = לא מסכים
3 = מסכים
4 = בהחלט מסכים</t>
  </si>
  <si>
    <t>$K$26</t>
  </si>
  <si>
    <t>$A$30</t>
  </si>
  <si>
    <t>$A$31</t>
  </si>
  <si>
    <t>$P$32</t>
  </si>
  <si>
    <t>יניב שפירא:
1 = תומך
2 = מתנגד
3 = לא יודע מספיק על התכנית כדי להביע עמדה
4 = לא שמעתי על התכנית</t>
  </si>
  <si>
    <t>1 = תומך
2 = מתנגד
3 = לא יודע מספיק על התכנית כדי להביע עמדה
4 = לא שמעתי על התכנית</t>
  </si>
  <si>
    <t>יניב שפירא:
1 = בהחלט צריכה להסכים
2 = חושב שצריכה להסכים
3 = חושב שלא צריכה להסכים
4 = בהחלט לא צריכה להסכים</t>
  </si>
  <si>
    <t>1 = בהחלט צריכה להסכים
2 = חושב שצריכה להסכים
3 = חושב שלא צריכה להסכים
4 = בהחלט לא צריכה להסכים</t>
  </si>
  <si>
    <t>$J$35</t>
  </si>
  <si>
    <t>$J$36</t>
  </si>
  <si>
    <t>יניב שפירא:
1 = סיכויים גדולים
2 = סיכויים מסוימים
3 = סיכויים מעטים
4 = אין סיכוי</t>
  </si>
  <si>
    <t>1 = סיכויים גדולים
2 = סיכויים מסוימים
3 = סיכויים מעטים
4 = אין סיכוי</t>
  </si>
  <si>
    <t>$L$37</t>
  </si>
  <si>
    <t>יניב שפירא:
1 = בהחלט מתנגד
2 = מתנגד
3 = תומך
4 = בהחלט תומך</t>
  </si>
  <si>
    <t>1 = בהחלט מתנגד
2 = מתנגד
3 = תומך
4 = בהחלט תומך</t>
  </si>
  <si>
    <t>$L$42</t>
  </si>
  <si>
    <t>יניב שפירא:
1 = בהחלט מתנגד
2 = מתנגד
3 = תומך
4 = בהחלט תומך
9 = לא יודע</t>
  </si>
  <si>
    <t>1 = בהחלט מתנגד
2 = מתנגד
3 = תומך
4 = בהחלט תומך
9 = לא יודע</t>
  </si>
  <si>
    <t>יניב שפירא:
1 = מתנגד בהחלט
2 = מתנגד במידה מסויימת
3 = תומך במידה מסויימת
4 = תומך בהחלט</t>
  </si>
  <si>
    <t>1 = מתנגד בהחלט
2 = מתנגד במידה מסויימת
3 = תומך במידה מסויימת
4 = תומך בהחלט</t>
  </si>
  <si>
    <t>$L$44</t>
  </si>
  <si>
    <t>יניב שפירא:
הניסוח:
"תומכים בהסכם?"</t>
  </si>
  <si>
    <t>הניסוח:
"תומכים בהסכם?"</t>
  </si>
  <si>
    <t>$N$44</t>
  </si>
  <si>
    <t>יניב שפירא:
הניסוח:
"מסכימים באופן עקרוני לוותר על שטחים תמורת שלום?"</t>
  </si>
  <si>
    <t>הניסוח:
"מסכימים באופן עקרוני לוותר על שטחים תמורת שלום?"</t>
  </si>
  <si>
    <t>$L$45</t>
  </si>
  <si>
    <t xml:space="preserve">יניב שפירא:
1 = יגדל מס' האנשים שתומכים בהסכם
2 = יגדל מס' האנשים שלא תומכים </t>
  </si>
  <si>
    <t xml:space="preserve">1 = יגדל מס' האנשים שתומכים בהסכם
2 = יגדל מס' האנשים שלא תומכים </t>
  </si>
  <si>
    <t>יניב שפירא:
הניסוח:
"מסכיים עקרונית לוותר על שטחים תמורת שלום"</t>
  </si>
  <si>
    <t>הניסוח:
"מסכיים עקרונית לוותר על שטחים תמורת שלום"</t>
  </si>
  <si>
    <t>$M$47</t>
  </si>
  <si>
    <t xml:space="preserve">יניב שפירא:
1 = יגדל מס' האנשים שתומכים
2 = יגדל מס' האנשים שלא תומכים </t>
  </si>
  <si>
    <t xml:space="preserve">1 = יגדל מס' האנשים שתומכים
2 = יגדל מס' האנשים שלא תומכים </t>
  </si>
  <si>
    <t>$L$50</t>
  </si>
  <si>
    <t>יניב שפירא:
1 = בכלל לא משכנעת
2 = לא כ"כ משכנעת
3 = די משכנעת
4 = מאד משכנעת</t>
  </si>
  <si>
    <t>1 = בכלל לא משכנעת
2 = לא כ"כ משכנעת
3 = די משכנעת
4 = מאד משכנעת</t>
  </si>
  <si>
    <t>$L$55</t>
  </si>
  <si>
    <t>יניב שפירא:
25-29
לפי הסיבות לעיל</t>
  </si>
  <si>
    <t>25-29
לפי הסיבות לעיל</t>
  </si>
  <si>
    <t>$L$61</t>
  </si>
  <si>
    <t>יניב שפירא:
32-36
לפי הסיבות לעיל</t>
  </si>
  <si>
    <t>32-36
לפי הסיבות לעיל</t>
  </si>
  <si>
    <t>$M$62</t>
  </si>
  <si>
    <t>יניב שפירא:
1 = תומך מאד
2 = תומך
3 = מתנגד
4 = מתנגד מאד</t>
  </si>
  <si>
    <t>1 = תומך מאד
2 = תומך
3 = מתנגד
4 = מתנגד מאד</t>
  </si>
  <si>
    <t>$M$63</t>
  </si>
  <si>
    <t>יניב שפירא:
1 = כן, תקום
2 = לא, לא תקום</t>
  </si>
  <si>
    <t>1 = כן, תקום
2 = לא, לא תקום</t>
  </si>
  <si>
    <t>$O$63</t>
  </si>
  <si>
    <t>$M$64</t>
  </si>
  <si>
    <t>יניב שפירא:
1 = תקום
2 = לא תקום</t>
  </si>
  <si>
    <t>1 = תקום
2 = לא תקום</t>
  </si>
  <si>
    <t>$N$65</t>
  </si>
  <si>
    <t>יניב שפירא:
1 = תומך בהפרדה לטווח ארוך
2 = תומך בהפרדה, אבל רק לזמן מוגבל כפתרון לבעיית הטרור
3 = לא תומך בהפרדה כלל</t>
  </si>
  <si>
    <t>1 = תומך בהפרדה לטווח ארוך
2 = תומך בהפרדה, אבל רק לזמן מוגבל כפתרון לבעיית הטרור
3 = לא תומך בהפרדה כלל</t>
  </si>
  <si>
    <t>$N$66</t>
  </si>
  <si>
    <t>יניב שפירא:
1 = מסוגל בהחלט
2 = מסוגל
3 = לא מסוגל
4 = בהחלט לא מסוגל</t>
  </si>
  <si>
    <t>1 = מסוגל בהחלט
2 = מסוגל
3 = לא מסוגל
4 = בהחלט לא מסוגל</t>
  </si>
  <si>
    <t>$N$67</t>
  </si>
  <si>
    <t>יניב שפירא:
1 = אין להמשיך את המו"מ עם אש"ף בגלל הטרור
2 = רק סיום מוצלח של המו"מ יביא להפסקת הטרור</t>
  </si>
  <si>
    <t>1 = אין להמשיך את המו"מ עם אש"ף בגלל הטרור
2 = רק סיום מוצלח של המו"מ יביא להפסקת הטרור</t>
  </si>
  <si>
    <t>$O$67</t>
  </si>
  <si>
    <t>יניב שפירא:
1 = מוכנה למו"מ
2 = לא מוכנה למו"מ</t>
  </si>
  <si>
    <t>1 = מוכנה למו"מ
2 = לא מוכנה למו"מ</t>
  </si>
  <si>
    <t>$O$68</t>
  </si>
  <si>
    <t>יניב שפירא:
1 = צריכה להיות מוכנה
2 = לא צריכה להיות מוכנה</t>
  </si>
  <si>
    <t>1 = צריכה להיות מוכנה
2 = לא צריכה להיות מוכנה</t>
  </si>
  <si>
    <t>$N$69</t>
  </si>
  <si>
    <t>יניב שפירא:
1 = נכון מאד
2 = נכון
3 = לא כ"כ נכון
4 = לגמרי לא נכון</t>
  </si>
  <si>
    <t>1 = נכון מאד
2 = נכון
3 = לא כ"כ נכון
4 = לגמרי לא נכון</t>
  </si>
  <si>
    <t>$N$70</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</si>
  <si>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</si>
  <si>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</si>
  <si>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$N$71</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</si>
  <si>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</si>
  <si>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</si>
  <si>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$O$71</t>
  </si>
  <si>
    <t>יניב שפירא:
וגם a472</t>
  </si>
  <si>
    <t>וגם a472</t>
  </si>
  <si>
    <t>$O$72</t>
  </si>
  <si>
    <t>יניב שפירא:
1 = תמורת הסכם השלום החזרת רוב שטחי יו"ש
2 = סיפוח יו"ש ועזה 
3 = סטטוס קוו</t>
  </si>
  <si>
    <t>1 = תמורת הסכם השלום החזרת רוב שטחי יו"ש
2 = סיפוח יו"ש ועזה 
3 = סטטוס קוו</t>
  </si>
  <si>
    <t>$O$73</t>
  </si>
  <si>
    <t>יניב שפירא:
1 = שלום תמורת שטחים
2 = סיפוח</t>
  </si>
  <si>
    <t>1 = שלום תמורת שטחים
2 = סיפוח</t>
  </si>
  <si>
    <t>$N$74</t>
  </si>
  <si>
    <t>יניב שפירא:
1 = בעד
2 = נגד</t>
  </si>
  <si>
    <t>1 = בעד
2 = נגד</t>
  </si>
  <si>
    <t>$N$76</t>
  </si>
  <si>
    <t>יניב שפירא:
1 = יגדל מס' האנשים שמוכנים להחזיר
2 = יגדל מס' האנשים שלא מוכנים להחזיר</t>
  </si>
  <si>
    <t>1 = יגדל מס' האנשים שמוכנים להחזיר
2 = יגדל מס' האנשים שלא מוכנים להחזיר</t>
  </si>
  <si>
    <t>$O$77</t>
  </si>
  <si>
    <t>יניב שפירא:
1 = בטוח שאפשר
2 = חושב שאפשרי
3 = חושב שבלתי אפשרי
4 = בטוח שבלתי אפשרי</t>
  </si>
  <si>
    <t>1 = בטוח שאפשר
2 = חושב שאפשרי
3 = חושב שבלתי אפשרי
4 = בטוח שבלתי אפשרי</t>
  </si>
  <si>
    <t>$O$78</t>
  </si>
  <si>
    <t>יניב שפירא:
1 = בטוח שיכולה
2 = חושב שיכולה
3 = חושב שלא יכולה
4 = בטוח שלא יכולה</t>
  </si>
  <si>
    <t>1 = בטוח שיכולה
2 = חושב שיכולה
3 = חושב שלא יכולה
4 = בטוח שלא יכולה</t>
  </si>
  <si>
    <t>$O$79</t>
  </si>
  <si>
    <t>יניב שפירא:
1 = סיכויים גבוהים
2 = סיכויים בינוניים
3 = סיכויים נמוכים
4 = סיכויים קלושים</t>
  </si>
  <si>
    <t>1 = סיכויים גבוהים
2 = סיכויים בינוניים
3 = סיכויים נמוכים
4 = סיכויים קלושים</t>
  </si>
  <si>
    <t>יניב שפירא:
1 = לסיפוח השטחים
2 = למדינה פלסטינית
3 = לאוטונומיה של הפלסטינים תחת שלטון ישראלי כפתרון קבע</t>
  </si>
  <si>
    <t>1 = לסיפוח השטחים
2 = למדינה פלסטינית
3 = לאוטונומיה של הפלסטינים תחת שלטון ישראלי כפתרון קבע</t>
  </si>
  <si>
    <t>$O$81</t>
  </si>
  <si>
    <t>$O$82</t>
  </si>
  <si>
    <t>יניב שפירא:
1 = תומך בכל תנאי
2 = רק במקומות חשובים מסיבה בטחונית
3 = מתנגד בכל תנאי</t>
  </si>
  <si>
    <t>1 = תומך בכל תנאי
2 = רק במקומות חשובים מסיבה בטחונית
3 = מתנגד בכל תנאי</t>
  </si>
  <si>
    <t>$O$83</t>
  </si>
  <si>
    <t>יניב שפירא:
1 = רבין
2 = שמיר</t>
  </si>
  <si>
    <t>1 = רבין
2 = שמיר</t>
  </si>
  <si>
    <t>$O$84</t>
  </si>
  <si>
    <t>יניב שפירא:
1-4
1 = הכי חשוב
4 = הכי פחות חשוב</t>
  </si>
  <si>
    <t>1-4
1 = הכי חשוב
4 = הכי פחות חשוב</t>
  </si>
  <si>
    <t>יניב שפירא:
1 = בהחלט כן
2 = חושב שכן
3 = חושב שלא
4 = בטוח שלא</t>
  </si>
  <si>
    <t>1 = בהחלט כן
2 = חושב שכן
3 = חושב שלא
4 = בטוח שלא</t>
  </si>
  <si>
    <t>$P$90</t>
  </si>
  <si>
    <t>יניב שפירא:
1 = מחייב
2 = שולל</t>
  </si>
  <si>
    <t>1 = מחייב
2 = שולל</t>
  </si>
  <si>
    <t>יניב שפירא:
1 = כן
2 = לא
3 = לא שירתתי בצבא</t>
  </si>
  <si>
    <t>1 = כן
2 = לא
3 = לא שירתתי בצבא</t>
  </si>
  <si>
    <t>יניב שפירא:
1 = כן
2 = לא
3 = לא משרת במילואים</t>
  </si>
  <si>
    <t>1 = כן
2 = לא
3 = לא משרת במילואים</t>
  </si>
  <si>
    <t>יניב שפירא:
1 = לא
2 = כן, בכמה?</t>
  </si>
  <si>
    <t>1 = לא
2 = כן, בכמה?</t>
  </si>
  <si>
    <t>יניב שפירא:
1 = אין לותר על שום שטח מיו"ש
2 = יש לוותר על חלק קטן מיו"ש
3 = יש לוותר על חלק מיו"ש
4 = יש לוותר כמעט על כל יו"ש
5 = יש לוותר על כל יו"ש</t>
  </si>
  <si>
    <t>1 = אין לותר על שום שטח מיו"ש
2 = יש לוותר על חלק קטן מיו"ש
3 = יש לוותר על חלק מיו"ש
4 = יש לוותר כמעט על כל יו"ש
5 = יש לוותר על כל יו"ש</t>
  </si>
  <si>
    <t>$W$94</t>
  </si>
  <si>
    <t>יניב שפירא:
1 = לוותר על כל יו"ש
2 = לוותר כמעט על כל יו"ש
3 = לוותר על חלק מיו"ש
4 = לוותר על חלק קטן מיו"ש
5 = לא לוותר על שום חלק</t>
  </si>
  <si>
    <t>1 = לוותר על כל יו"ש
2 = לוותר כמעט על כל יו"ש
3 = לוותר על חלק מיו"ש
4 = לוותר על חלק קטן מיו"ש
5 = לא לוותר על שום חלק</t>
  </si>
  <si>
    <t>$Q$95</t>
  </si>
  <si>
    <t>יניב שפירא:
1 = עמדתי לא השתנתה
2 = נעשיתי מוכן יותר לויתורים
3 = נעשיתי מוכן פחות לויתורים</t>
  </si>
  <si>
    <t>1 = עמדתי לא השתנתה
2 = נעשיתי מוכן יותר לויתורים
3 = נעשיתי מוכן פחות לויתורים</t>
  </si>
  <si>
    <t>$Q$96</t>
  </si>
  <si>
    <t>$T$97</t>
  </si>
  <si>
    <t>יניב שפירא:
1 = חשוב מאד
2 = חשוב
3 = לא חשוב
4 = לגמרי לא חשוב</t>
  </si>
  <si>
    <t>1 = חשוב מאד
2 = חשוב
3 = לא חשוב
4 = לגמרי לא חשוב</t>
  </si>
  <si>
    <t>$T$98</t>
  </si>
  <si>
    <t>יניב שפירא:
1 = מסכים בהחלט
2 = מסכים
3 = לא מסכים
4 = לגמרי לא מסכים</t>
  </si>
  <si>
    <t>1 = מסכים בהחלט
2 = מסכים
3 = לא מסכים
4 = לגמרי לא מסכים</t>
  </si>
  <si>
    <t>$AD$98</t>
  </si>
  <si>
    <t>יניב שפירא:
1 = לדעתי, אין להחזיר כלום
2 = יש להחזיר חלק קטן
3 = יש להחזיר חלק גדול
4 = יש להחזיר הכל</t>
  </si>
  <si>
    <t>1 = לדעתי, אין להחזיר כלום
2 = יש להחזיר חלק קטן
3 = יש להחזיר חלק גדול
4 = יש להחזיר הכל</t>
  </si>
  <si>
    <t>$AE$98</t>
  </si>
  <si>
    <t>יניב שפירא:
1 = יש להחזיר הכל
2 = יש להחזיר חלק גדול
3 = יש להחזיר חלק קטן
4 = אין להחזיר  כלום</t>
  </si>
  <si>
    <t>1 = יש להחזיר הכל
2 = יש להחזיר חלק גדול
3 = יש להחזיר חלק קטן
4 = אין להחזיר  כלום</t>
  </si>
  <si>
    <t>יניב שפירא:
1 = בעד ויתור על כל השטחים
2 = בעד ויתור על חלק גדול מהשטחים
3 = בעד ויתור על חלק קטן מהשטחים
4 = אין להחזיר שטחים כלל</t>
  </si>
  <si>
    <t>1 = בעד ויתור על כל השטחים
2 = בעד ויתור על חלק גדול מהשטחים
3 = בעד ויתור על חלק קטן מהשטחים
4 = אין להחזיר שטחים כלל</t>
  </si>
  <si>
    <t>$K$100</t>
  </si>
  <si>
    <t>$M$103</t>
  </si>
  <si>
    <t>$U$108</t>
  </si>
  <si>
    <t>יניב שפירא:
1 = במידה רבה מאד
2 = במידה רבה
3 = במידה מסויימת
4 = במידה מועטה
5 = בכלל לא</t>
  </si>
  <si>
    <t>1 = במידה רבה מאד
2 = במידה רבה
3 = במידה מסויימת
4 = במידה מועטה
5 = בכלל לא</t>
  </si>
  <si>
    <t>$V$109</t>
  </si>
  <si>
    <t>יניב שפירא:
1 = לא צריכה להיות מוכנה כלל
2 = צריכה להיות במידה מועטה
3 = צריכה במידה מסויימת
4 = צריכה להיות מוכנה במידה רבה</t>
  </si>
  <si>
    <t>1 = לא צריכה להיות מוכנה כלל
2 = צריכה להיות במידה מועטה
3 = צריכה במידה מסויימת
4 = צריכה להיות מוכנה במידה רבה</t>
  </si>
  <si>
    <t>$Z$109</t>
  </si>
  <si>
    <t>$W$110</t>
  </si>
  <si>
    <t>יניב שפירא:
1 = תקרב במידה רבה
2 = תקרב במידה מסוימת
3 = תרחיק במידה מסוימת
4 = תרחיק במידה רבה
5 = לא תחזק ולא תחליש</t>
  </si>
  <si>
    <t>1 = תקרב במידה רבה
2 = תקרב במידה מסוימת
3 = תרחיק במידה מסוימת
4 = תרחיק במידה רבה
5 = לא תחזק ולא תחליש</t>
  </si>
  <si>
    <t>$X$111</t>
  </si>
  <si>
    <t>יניב שפירא:
1 = בהחלט יש לקיים בחירות
2 = אני חושב שיש לקיים בחירות
3 = אני חושב שהממשלה מוסמכת להחליט
4 = אני בטוח שהממשלה מוסמכת להחליט</t>
  </si>
  <si>
    <t>1 = בהחלט יש לקיים בחירות
2 = אני חושב שיש לקיים בחירות
3 = אני חושב שהממשלה מוסמכת להחליט
4 = אני בטוח שהממשלה מוסמכת להחליט</t>
  </si>
  <si>
    <t>$AA$112</t>
  </si>
  <si>
    <t>יניב שפירא:
1 = בטוח שאתמוך
2 = חושב שאתמוך
3 = חושב שאתנגד
4 = בטוח שאתנגד</t>
  </si>
  <si>
    <t>1 = בטוח שאתמוך
2 = חושב שאתמוך
3 = חושב שאתנגד
4 = בטוח שאתנגד</t>
  </si>
  <si>
    <t>$AA$114</t>
  </si>
  <si>
    <t>$AA$116</t>
  </si>
  <si>
    <t>יניב שפירא:
1 = בהחלט מאמין
2 = מאמין
3 = לא כ"כ מאמין
4 = בכלל לא מאמין</t>
  </si>
  <si>
    <t>1 = בהחלט מאמין
2 = מאמין
3 = לא כ"כ מאמין
4 = בכלל לא מאמין</t>
  </si>
  <si>
    <t>$AB$117</t>
  </si>
  <si>
    <t>$AB$118</t>
  </si>
  <si>
    <t>יניב שפירא:
1 = כן, חשבתי הרבה
2 = כן, חשבתי קצת
3 = כמעט ולא חשבתי
4 = לא חשבתי כלל</t>
  </si>
  <si>
    <t>1 = כן, חשבתי הרבה
2 = כן, חשבתי קצת
3 = כמעט ולא חשבתי
4 = לא חשבתי כלל</t>
  </si>
  <si>
    <t>$AH$120</t>
  </si>
  <si>
    <t>יניב שפירא:
1 = בהחלט להכריז
2 = אולי כדאי להכריז
3 = אולי לא כדאי להכריז
4 = בהחלט לא להכריז
5 = אין דעה</t>
  </si>
  <si>
    <t>1 = בהחלט להכריז
2 = אולי כדאי להכריז
3 = אולי לא כדאי להכריז
4 = בהחלט לא להכריז
5 = אין דעה</t>
  </si>
  <si>
    <t>$AH$121</t>
  </si>
  <si>
    <t>$AH$123</t>
  </si>
  <si>
    <t>יניב שפירא:
1 = בהחלט מסכים
2 = מסכים
3 = מסתייג
4 = לא מסכים
5 = בהחלט לא מסכים</t>
  </si>
  <si>
    <t>1 = בהחלט מסכים
2 = מסכים
3 = מסתייג
4 = לא מסכים
5 = בהחלט לא מסכים</t>
  </si>
  <si>
    <t>$AH$124</t>
  </si>
  <si>
    <t>יניב שפירא:
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</si>
  <si>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</si>
  <si>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$AH$125</t>
  </si>
  <si>
    <t>יניב שפירא: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</si>
  <si>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</si>
  <si>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$AH$126</t>
  </si>
  <si>
    <t>יניב שפירא:
1 = לדעתי אין להחזיר כלום
2 = להחזיר חלק קטן
3 = להחזיר את רוב השטחים
4 = להחזיר את כל השטחים</t>
  </si>
  <si>
    <t>1 = לדעתי אין להחזיר כלום
2 = להחזיר חלק קטן
3 = להחזיר את רוב השטחים
4 = להחזיר את כל השטחים</t>
  </si>
  <si>
    <t>$B$127</t>
  </si>
  <si>
    <t>adi:
1 = שתי מדינות
2 = מדינה אחת מהירדן לים עם שוויון זכויות מלא לפלסטינים
3 = מדינה אחת מהירדן לים בשלטון ישראל ללא זכויות פוליטיות לפלסטינים
4 = אחר (פרט):_______</t>
  </si>
  <si>
    <t>1 = שתי מדינות
2 = מדינה אחת מהירדן לים עם שוויון זכויות מלא לפלסטינים
3 = מדינה אחת מהירדן לים בשלטון ישראל ללא זכויות פוליטיות לפלסטינים
4 = אחר (פרט):_______</t>
  </si>
  <si>
    <t>דמוקרטיה</t>
  </si>
  <si>
    <t>יניב שפירא:
1-10
1 = כלל לא דמוקרטית
10 = דמוקרטית לגמרי</t>
  </si>
  <si>
    <t>1-10
1 = כלל לא דמוקרטית
10 = דמוקרטית לגמרי</t>
  </si>
  <si>
    <t>יניב שפירא:
שאלות 119-128
לא מקודדות אצלי בstata
גם ב2020 וגם ב2019
* ב2019 השאלה בכחול
* גם ב2021</t>
  </si>
  <si>
    <t>שאלות 119-128
לא מקודדות אצלי בstata
גם ב2020 וגם ב2019
* ב2019 השאלה בכחול
* גם ב2021</t>
  </si>
  <si>
    <t>$D$9</t>
  </si>
  <si>
    <t>יניב שפירא:
1 = כלל אין אמון
2 = אמון מועט
3 = אמון רב
4 = אמון רב מאד</t>
  </si>
  <si>
    <t>1 = כלל אין אמון
2 = אמון מועט
3 = אמון רב
4 = אמון רב מאד</t>
  </si>
  <si>
    <t>$M$11</t>
  </si>
  <si>
    <t>יניב שפירא:
1 = כלל אין לי אמון
2 = במידה מועטה
3 = במידה מסוימת
4 = במידה רבה</t>
  </si>
  <si>
    <t>1 = כלל אין לי אמון
2 = במידה מועטה
3 = במידה מסוימת
4 = במידה רבה</t>
  </si>
  <si>
    <t>$M$18</t>
  </si>
  <si>
    <t>יניב שפירא: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</si>
  <si>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</si>
  <si>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$D$24</t>
  </si>
  <si>
    <t>יניב שפירא:
1 = מאד לא מרוצה
2 = לא מרוצה
3 = מרוצה
4 = מרוצה מאד
8 = לא יודע
9 = מסרב</t>
  </si>
  <si>
    <t>1 = מאד לא מרוצה
2 = לא מרוצה
3 = מרוצה
4 = מרוצה מאד
8 = לא יודע
9 = מסרב</t>
  </si>
  <si>
    <t>יניב שפירא:
1 = מאד מרוצה
2 = מרוצה
3 = לא מרוצה
4 = מאד לא מרוצה</t>
  </si>
  <si>
    <t>1 = מאד מרוצה
2 = מרוצה
3 = לא מרוצה
4 = מאד לא מרוצה</t>
  </si>
  <si>
    <t>יניב שפירא:
1 = מאד לא מרוצה
2 = לא מרוצה
3 = מרוצה
4 = מרוצה מאד</t>
  </si>
  <si>
    <t>1 = מאד לא מרוצה
2 = לא מרוצה
3 = מרוצה
4 = מרוצה מאד</t>
  </si>
  <si>
    <t>$F$26</t>
  </si>
  <si>
    <t>יניב שפירא:
1-10
1 = כלל לא חשוב
1 = חשוב לחלוטין</t>
  </si>
  <si>
    <t>1-10
1 = כלל לא חשוב
1 = חשוב לחלוטין</t>
  </si>
  <si>
    <t>$O$28</t>
  </si>
  <si>
    <t>$I$29</t>
  </si>
  <si>
    <t>יניב שפירא:
1 = מסכים בהחלט
2 = מסכים
3 = לא בטוח
4 = לא מסכים
5 = כלל לא מסכים</t>
  </si>
  <si>
    <t>1 = מסכים בהחלט
2 = מסכים
3 = לא בטוח
4 = לא מסכים
5 = כלל לא מסכים</t>
  </si>
  <si>
    <t>$U$29</t>
  </si>
  <si>
    <t>$L$31</t>
  </si>
  <si>
    <t>יניב שפירא:
1 = בטוח שרק יהודים
2 = חושב שרק יהודים
3 = חושב שגם ערבים
4 = בטוח שגם ערבים</t>
  </si>
  <si>
    <t>1 = בטוח שרק יהודים
2 = חושב שרק יהודים
3 = חושב שגם ערבים
4 = בטוח שגם ערבים</t>
  </si>
  <si>
    <t>$N$33</t>
  </si>
  <si>
    <t>יניב שפירא:
1 = מסכים בהחלט
2 = די מסכים
3 = די מתנגד
4 = מתנגד בהחלט</t>
  </si>
  <si>
    <t>1 = מסכים בהחלט
2 = די מסכים
3 = די מתנגד
4 = מתנגד בהחלט</t>
  </si>
  <si>
    <t>$S$34</t>
  </si>
  <si>
    <t>יניב שפירא:
1 = הגדלת זכויות אזרח, כולל מתן זכות הצבעה לכנסת
2 = הגדלת זכויות אזרח, אך בלי להצביע בכנסת
3 = השארת המצב כמו שהוא
4 = הפחתת זכויות אזרח</t>
  </si>
  <si>
    <t>1 = הגדלת זכויות אזרח, כולל מתן זכות הצבעה לכנסת
2 = הגדלת זכויות אזרח, אך בלי להצביע בכנסת
3 = השארת המצב כמו שהוא
4 = הפחתת זכויות אזרח</t>
  </si>
  <si>
    <t>יניב שפירא:
1 = זכויות אזרח מלאות כולל זכות הצבעה
2 = זכויות אזרח ללא זכות הצבעה
3 = השארת המצב כמו שהוא
4 = הפחתת הזכויות הניתנות כיום</t>
  </si>
  <si>
    <t>1 = זכויות אזרח מלאות כולל זכות הצבעה
2 = זכויות אזרח ללא זכות הצבעה
3 = השארת המצב כמו שהוא
4 = הפחתת הזכויות הניתנות כיום</t>
  </si>
  <si>
    <t>$I$36</t>
  </si>
  <si>
    <t>יניב שפירא:
1 = תומך בפסילת שתי המפלגות
2 = תומך רק בפסילת בל"ד
3 = תומך רק בפסילת רע"ם-תע"ל
4 = מתנגד לפסילת שתי המפלגות</t>
  </si>
  <si>
    <t>1 = תומך בפסילת שתי המפלגות
2 = תומך רק בפסילת בל"ד
3 = תומך רק בפסילת רע"ם-תע"ל
4 = מתנגד לפסילת שתי המפלגות</t>
  </si>
  <si>
    <t>$P$37</t>
  </si>
  <si>
    <t>$P$38</t>
  </si>
  <si>
    <t>יניב שפירא:
1 = יותר מדי פיקוח
2 = מידה מתאימה
3 = פחות מדי פיקוח</t>
  </si>
  <si>
    <t>1 = יותר מדי פיקוח
2 = מידה מתאימה
3 = פחות מדי פיקוח</t>
  </si>
  <si>
    <t>$Q$39</t>
  </si>
  <si>
    <t>יניב שפירא:
1 = בהחלט בעד הוצאתה
2 = בעד הוצאתה
3 = לא בטוח
4 = נגד הוצאתה
5 = בהחלט נגד הוצאתה</t>
  </si>
  <si>
    <t>1 = בהחלט בעד הוצאתה
2 = בעד הוצאתה
3 = לא בטוח
4 = נגד הוצאתה
5 = בהחלט נגד הוצאתה</t>
  </si>
  <si>
    <t>$Q$49</t>
  </si>
  <si>
    <t>יניב שפירא:
1 = בהחלט מסכים
2 = מסכים
3 = לא בטוח
4 = לא מסכים
5 = בהחלט לא מסכים</t>
  </si>
  <si>
    <t>1 = בהחלט מסכים
2 = מסכים
3 = לא בטוח
4 = לא מסכים
5 = בהחלט לא מסכים</t>
  </si>
  <si>
    <t>$Q$54</t>
  </si>
  <si>
    <t>$V$55</t>
  </si>
  <si>
    <t>$S$62</t>
  </si>
  <si>
    <t>יניב שפירא:
1 = קולותיהם של הבוחרים יכולים במידה רבה לשנות את המדיניות
2 = יכולים לשנות במידה מסוימת
3 = במידה מועטה
4 = בכלל לא יכולים לשנות</t>
  </si>
  <si>
    <t>1 = קולותיהם של הבוחרים יכולים במידה רבה לשנות את המדיניות
2 = יכולים לשנות במידה מסוימת
3 = במידה מועטה
4 = בכלל לא יכולים לשנות</t>
  </si>
  <si>
    <t>$AF$62</t>
  </si>
  <si>
    <t>יניב שפירא:
1 = מאוד מסכים עם הטענה
2 = מסכים עם הטענה
3 = מסתייג מהטענה
4 = מתנגד בהחלט לטענה</t>
  </si>
  <si>
    <t>1 = מאוד מסכים עם הטענה
2 = מסכים עם הטענה
3 = מסתייג מהטענה
4 = מתנגד בהחלט לטענה</t>
  </si>
  <si>
    <t>$V$63</t>
  </si>
  <si>
    <t>יניב שפירא: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</si>
  <si>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</si>
  <si>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$AB$64</t>
  </si>
  <si>
    <t>$AD$64</t>
  </si>
  <si>
    <t>$AD$65</t>
  </si>
  <si>
    <t>$AB$66</t>
  </si>
  <si>
    <t>$AD$66</t>
  </si>
  <si>
    <t>$AD$67</t>
  </si>
  <si>
    <t>$AC$68</t>
  </si>
  <si>
    <t>יניב שפירא:
1 = בהחלט צריך להצביע
2 = יתכן שצריך
3 = יתכן שלא צריך
4 = בהחלט לא צריך</t>
  </si>
  <si>
    <t>1 = בהחלט צריך להצביע
2 = יתכן שצריך
3 = יתכן שלא צריך
4 = בהחלט לא צריך</t>
  </si>
  <si>
    <t>$AB$70</t>
  </si>
  <si>
    <t>יניב שפירא:
1 = מסכים בהחלט
2 = מסכים
3 = לא כ"כ מסכים
4 = לא מסכים כלל</t>
  </si>
  <si>
    <t>1 = מסכים בהחלט
2 = מסכים
3 = לא כ"כ מסכים
4 = לא מסכים כלל</t>
  </si>
  <si>
    <t>$AD$71</t>
  </si>
  <si>
    <t>יניב שפירא:
1 = בהחלט מסכים
2 = מסכים
3 = לא כ"כ מסכים
4 = בכלל לא מסכים</t>
  </si>
  <si>
    <t>1 = בהחלט מסכים
2 = מסכים
3 = לא כ"כ מסכים
4 = בכלל לא מסכים</t>
  </si>
  <si>
    <t>$AD$72</t>
  </si>
  <si>
    <t>יניב שפירא:
1 = בהחלט כן
2 = אולי כן
3 = אולי לא
4 = בהחלט לא</t>
  </si>
  <si>
    <t>1 = בהחלט כן
2 = אולי כן
3 = אולי לא
4 = בהחלט לא</t>
  </si>
  <si>
    <t>$AD$73</t>
  </si>
  <si>
    <t>$AD$74</t>
  </si>
  <si>
    <t>יניב שפירא:
1 = מאוד חשוב
2 = חשוב
3 = לא כ"כ חשוב
4 = לא חשוב כלל</t>
  </si>
  <si>
    <t>1 = מאוד חשוב
2 = חשוב
3 = לא כ"כ חשוב
4 = לא חשוב כלל</t>
  </si>
  <si>
    <t>$AD$75</t>
  </si>
  <si>
    <t>יניב שפירא:
1 = מוטב מפלגה אחת
2 = מוטב מס' מפלגות
3 = הבחירות אינן פוגעות בליכוד העם</t>
  </si>
  <si>
    <t>1 = מוטב מפלגה אחת
2 = מוטב מס' מפלגות
3 = הבחירות אינן פוגעות בליכוד העם</t>
  </si>
  <si>
    <t>$AD$77</t>
  </si>
  <si>
    <t>$AD$78</t>
  </si>
  <si>
    <t>$AG$79</t>
  </si>
  <si>
    <t>יניב שפירא:
1 = כלל לא ברור לי
2 = לא כ"כ ברור
3 = ברור לי
4 = ברור בהחלט</t>
  </si>
  <si>
    <t>1 = כלל לא ברור לי
2 = לא כ"כ ברור
3 = ברור לי
4 = ברור בהחלט</t>
  </si>
  <si>
    <t>$C$80</t>
  </si>
  <si>
    <t>יניב שפירא:
1 = יציבה מאוד
2 = יציבה
3 = כמו אחרות
4 = לא יציבה
5 = מאד לא יציבה</t>
  </si>
  <si>
    <t>1 = יציבה מאוד
2 = יציבה
3 = כמו אחרות
4 = לא יציבה
5 = מאד לא יציבה</t>
  </si>
  <si>
    <t>$Z$81</t>
  </si>
  <si>
    <t>$AB$81</t>
  </si>
  <si>
    <t>יניב שפירא:
1 = רוצה להשפיע
2 = בהחלט רוצה להשפיע
3 = לא כ"כ רוצה
3 = בכלל לא רוצה</t>
  </si>
  <si>
    <t>1 = רוצה להשפיע
2 = בהחלט רוצה להשפיע
3 = לא כ"כ רוצה
3 = בכלל לא רוצה</t>
  </si>
  <si>
    <t>$V$82</t>
  </si>
  <si>
    <t>$G$83</t>
  </si>
  <si>
    <t>יניב שפירא:
1 = בהחלט צריכה לשנות
2 = חשוב שצריכה לשנות
3 = חושב שלא צריכה לשנות
4 = בהחלט לא צריכה לשנות</t>
  </si>
  <si>
    <t>1 = בהחלט צריכה לשנות
2 = חשוב שצריכה לשנות
3 = חושב שלא צריכה לשנות
4 = בהחלט לא צריכה לשנות</t>
  </si>
  <si>
    <t>$Z$85</t>
  </si>
  <si>
    <t>יניב שפירא:
1 = בהחלט להמשיך בשיטה הקיימת
2 = חושב להמשיך
3 = חושב שצריך לשנות
4 = בטוח שצריך לשנות
5 = אין לי דעה
6 = שתי השיטות לא טובות, צריך בכלל לעבור לשיטה אזורית</t>
  </si>
  <si>
    <t>1 = בהחלט להמשיך בשיטה הקיימת
2 = חושב להמשיך
3 = חושב שצריך לשנות
4 = בטוח שצריך לשנות
5 = אין לי דעה
6 = שתי השיטות לא טובות, צריך בכלל לעבור לשיטה אזורית</t>
  </si>
  <si>
    <t>$AH$86</t>
  </si>
  <si>
    <t>יניב שפירא:
1 = בהחלט עדיף בחירות אישיות
2 = עדיף בחירות אישיות
3 = עדיף רשימה מפלגתית
4 = בהחלט עדיף רשימה מפלגתית
5 = אין דעה</t>
  </si>
  <si>
    <t>1 = בהחלט עדיף בחירות אישיות
2 = עדיף בחירות אישיות
3 = עדיף רשימה מפלגתית
4 = בהחלט עדיף רשימה מפלגתית
5 = אין דעה</t>
  </si>
  <si>
    <t>$Z$87</t>
  </si>
  <si>
    <t>יניב שפירא:
1 = תגביר במידה רבה
2 = תגביר במידה מסוימת
3 = תגביר במידה מועטה
4 = תקטין במידה מועטה
5 = תקטין במידה מסוימת
6 = תקטין במידה רבה
7 = לא תשנה
8 = לא יודע</t>
  </si>
  <si>
    <t>1 = תגביר במידה רבה
2 = תגביר במידה מסוימת
3 = תגביר במידה מועטה
4 = תקטין במידה מועטה
5 = תקטין במידה מסוימת
6 = תקטין במידה רבה
7 = לא תשנה
8 = לא יודע</t>
  </si>
  <si>
    <t>$C$88</t>
  </si>
  <si>
    <t>יניב שפירא:
1 = זמן ארוך מאד
2 = זמן ארוך
3 = דומה למדינות אחרות
4 = זמן קצר
5 = זמן קצר מאוד</t>
  </si>
  <si>
    <t>1 = זמן ארוך מאד
2 = זמן ארוך
3 = דומה למדינות אחרות
4 = זמן קצר
5 = זמן קצר מאוד</t>
  </si>
  <si>
    <t>$C$89</t>
  </si>
  <si>
    <t>יניב שפירא:
1 = מצליחות מאד
2 = מצליחות
3 = כמו אחרות
4 = לא מצליחות
5 = לא מצליחות כלל</t>
  </si>
  <si>
    <t>1 = מצליחות מאד
2 = מצליחות
3 = כמו אחרות
4 = לא מצליחות
5 = לא מצליחות כלל</t>
  </si>
  <si>
    <t>תקשורת</t>
  </si>
  <si>
    <t>יניב שפירא:
1 = אף פעם
2 = פעם בשבוע
3 = פעמים-שלוש בשבוע
4 = כמעט כל יום
5 = יותר מפעם ביום</t>
  </si>
  <si>
    <t>1 = אף פעם
2 = פעם בשבוע
3 = פעמים-שלוש בשבוע
4 = כמעט כל יום
5 = יותר מפעם ביום</t>
  </si>
  <si>
    <t>יניב שפירא:
1 = כמעט אף פעם לא
2 = לעיתים רחוקות בלבד
3 = פעם בשבוע בערך
4 = פעמיים-שלוש בשבוע
5 = כמעט כל יום
6 = יותר מפעם ביום</t>
  </si>
  <si>
    <t>1 = כמעט אף פעם לא
2 = לעיתים רחוקות בלבד
3 = פעם בשבוע בערך
4 = פעמיים-שלוש בשבוע
5 = כמעט כל יום
6 = יותר מפעם ביום</t>
  </si>
  <si>
    <t>יניב שפירא:
0 = לא משתמש ברשתות חברתיות
1 = אף פעם
2 = פעם אחת בשבוע
3 = פעמיים-שלוש בשבוע
4 = כמעט כל יום
5 = יותר מפעם ביום</t>
  </si>
  <si>
    <t>0 = לא משתמש ברשתות חברתיות
1 = אף פעם
2 = פעם אחת בשבוע
3 = פעמיים-שלוש בשבוע
4 = כמעט כל יום
5 = יותר מפעם ביום</t>
  </si>
  <si>
    <t>יניב שפירא:
שאלה 92 לא מקודדת בstata
(ב2019, אין אותה ב2020)</t>
  </si>
  <si>
    <t>שאלה 92 לא מקודדת בstata
(ב2019, אין אותה ב2020)</t>
  </si>
  <si>
    <t>$F$5</t>
  </si>
  <si>
    <t>יניב שפירא:
1 = כלל לא
2 = לעתים רחוקות
3 = מדי פעם
4 = לעתים קרובות
5 = בקביעות</t>
  </si>
  <si>
    <t>1 = כלל לא
2 = לעתים רחוקות
3 = מדי פעם
4 = לעתים קרובות
5 = בקביעות</t>
  </si>
  <si>
    <t>יניב שפירא:
1 = כמעט אף פעם לא
2 = לעיתים רחוקות בלבד
3 = פעם בשבוע בערך
4 = פעמיים-שלוש בשבוע
5 = קורא עיתון יומי אחד כמעט כל יום
6 = קורא יותר מעיתון יומי אחד כמעט כל יום</t>
  </si>
  <si>
    <t>1 = כמעט אף פעם לא
2 = לעיתים רחוקות בלבד
3 = פעם בשבוע בערך
4 = פעמיים-שלוש בשבוע
5 = קורא עיתון יומי אחד כמעט כל יום
6 = קורא יותר מעיתון יומי אחד כמעט כל יום</t>
  </si>
  <si>
    <t>יניב שפירא:
1 = ידיעות אחרונות
2 = מעריב
3 = הארץ
4 = וסטי
5 = נובוסטי נדלי
6 = כל אל-ערב
7 = אל-סינארה
8 = אל-אתחאד
9 = פנורמה
10 = אחר</t>
  </si>
  <si>
    <t>1 = ידיעות אחרונות
2 = מעריב
3 = הארץ
4 = וסטי
5 = נובוסטי נדלי
6 = כל אל-ערב
7 = אל-סינארה
8 = אל-אתחאד
9 = פנורמה
10 = אחר</t>
  </si>
  <si>
    <t>$T$7</t>
  </si>
  <si>
    <t>יניב שפירא:
כולל b153 וb154
1 = מעריב
2 = ידיעות אחרונות
3 = הארץ
4 = דבר
5 = עיתון עברי אחר
6 = עיתון לועזי
7 = לא קורא עיתונים</t>
  </si>
  <si>
    <t>כולל b153 וb154
1 = מעריב
2 = ידיעות אחרונות
3 = הארץ
4 = דבר
5 = עיתון עברי אחר
6 = עיתון לועזי
7 = לא קורא עיתונים</t>
  </si>
  <si>
    <t>$V$7</t>
  </si>
  <si>
    <t>יניב שפירא:
גם
v147
v148</t>
  </si>
  <si>
    <t>גם
v147
v148</t>
  </si>
  <si>
    <t>יניב שפירא:
1 = כמעט אף פעם לא
2 = לעיתים רחוקות בלבד
3 = פעם בשבוע בערך
4 = פעמיים-שלוש בשבוע
5 = אני צופה בחדשות לפחות פעם ביום
6 = אני צופה בחדשות יותר מפעם ביום</t>
  </si>
  <si>
    <t>1 = כמעט אף פעם לא
2 = לעיתים רחוקות בלבד
3 = פעם בשבוע בערך
4 = פעמיים-שלוש בשבוע
5 = אני צופה בחדשות לפחות פעם ביום
6 = אני צופה בחדשות יותר מפעם ביום</t>
  </si>
  <si>
    <t>$J$10</t>
  </si>
  <si>
    <t>יניב שפירא:
1 = ערוץ 1
2 = ערוץ 2
3 = ערוץ 9
4 = ערוץ 10
5 = RTVi
6 = אל-ג'זירה
7 = MBC דובאי
8 = אחר</t>
  </si>
  <si>
    <t>1 = ערוץ 1
2 = ערוץ 2
3 = ערוץ 9
4 = ערוץ 10
5 = RTVi
6 = אל-ג'זירה
7 = MBC דובאי
8 = אחר</t>
  </si>
  <si>
    <t>$L$10</t>
  </si>
  <si>
    <t>יניב שפירא:
שאלות 96-103 לא מקודדת בstata
(ב2019, אין אותה ב2020)</t>
  </si>
  <si>
    <t>שאלות 96-103 לא מקודדת בstata
(ב2019, אין אותה ב2020)</t>
  </si>
  <si>
    <t>יניב שפירא:
1 = אף פעם
2 = פעם אחת בשבוע
3 = פעמיים-שלוש בשבוע
4 = כמעט כל יום
5 = כמה פעמים ביום</t>
  </si>
  <si>
    <t>1 = אף פעם
2 = פעם אחת בשבוע
3 = פעמיים-שלוש בשבוע
4 = כמעט כל יום
5 = כמה פעמים ביום</t>
  </si>
  <si>
    <t>$C$20</t>
  </si>
  <si>
    <t>יניב שפירא:
0 = לא משתמש כלל
1 = עקבת אחר מפלגת/מועמד ברשתות חברתיות
2 = כתבת בנושא הבחירות או שיתפת תוכן
3 = גם עקבת וגם כתבת
4 = משתמש באינטרהט אך לא עשיתי את הפעולות הללו</t>
  </si>
  <si>
    <t>0 = לא משתמש כלל
1 = עקבת אחר מפלגת/מועמד ברשתות חברתיות
2 = כתבת בנושא הבחירות או שיתפת תוכן
3 = גם עקבת וגם כתבת
4 = משתמש באינטרהט אך לא עשיתי את הפעולות הללו</t>
  </si>
  <si>
    <t>$G$20</t>
  </si>
  <si>
    <t>יניב שפירא: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</si>
  <si>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</si>
  <si>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יניב שפירא:
1 = כל יום
2 = לעיתים קרובות
3 = לפעמים
4 = לעיתים רחוקות
5 = בכלל לא</t>
  </si>
  <si>
    <t>1 = כל יום
2 = לעיתים קרובות
3 = לפעמים
4 = לעיתים רחוקות
5 = בכלל לא</t>
  </si>
  <si>
    <t>$X$21</t>
  </si>
  <si>
    <t>יניב שפירא: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</si>
  <si>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</si>
  <si>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$AD$21</t>
  </si>
  <si>
    <t>$AF$21</t>
  </si>
  <si>
    <t>יניב שפירא:
1 = כן, של כל המפלגות
2 = כן, של חלק מהמפלגות
3 = כן, רק של המפלגה שאני תומך בה
4 = לא, למרות שיש לי מקלט
5 = לא, אין לי מקלט</t>
  </si>
  <si>
    <t>1 = כן, של כל המפלגות
2 = כן, של חלק מהמפלגות
3 = כן, רק של המפלגה שאני תומך בה
4 = לא, למרות שיש לי מקלט
5 = לא, אין לי מקלט</t>
  </si>
  <si>
    <t>יניב שפירא:
1 = יותר
2 = כמו עכשיו
3 = פחות
4 = בכלל לא רוצה לראות
5 = לא ראיתי אבל רוצה לראות</t>
  </si>
  <si>
    <t>1 = יותר
2 = כמו עכשיו
3 = פחות
4 = בכלל לא רוצה לראות
5 = לא ראיתי אבל רוצה לראות</t>
  </si>
  <si>
    <t>$I$24</t>
  </si>
  <si>
    <t>יניב שפירא:
1 = כן
2 = משתמש באינטרנט אבל לא בהקשר לבחירות
3 = לא משתמש באינטרנט כלל</t>
  </si>
  <si>
    <t>1 = כן
2 = משתמש באינטרנט אבל לא בהקשר לבחירות
3 = לא משתמש באינטרנט כלל</t>
  </si>
  <si>
    <t>יניב שפירא:
רק מי שענה 1 בשאלה הקודמת</t>
  </si>
  <si>
    <t>רק מי שענה 1 בשאלה הקודמת</t>
  </si>
  <si>
    <t>$I$25</t>
  </si>
  <si>
    <t>יניב שפירא:
1 = לא משתמש
2 = מקבל מידע באמצעותו
3 = מפיץ מידע באמצעותו
4 = גם מקבל וגם מפיץ</t>
  </si>
  <si>
    <t>1 = לא משתמש
2 = מקבל מידע באמצעותו
3 = מפיץ מידע באמצעותו
4 = גם מקבל וגם מפיץ</t>
  </si>
  <si>
    <t>$I$34</t>
  </si>
  <si>
    <t>$I$35</t>
  </si>
  <si>
    <t>יניב שפירא:
1 = כל ערב
2 = כמעט כל ערב
3 = מספר פעמים
4 = פעם אחת
5 = אף פעם</t>
  </si>
  <si>
    <t>1 = כל ערב
2 = כמעט כל ערב
3 = מספר פעמים
4 = פעם אחת
5 = אף פעם</t>
  </si>
  <si>
    <t>$AB$35</t>
  </si>
  <si>
    <t>יניב שפירא:
1 = כן, כל ערב
2 = לעיתים קרובות
3 = לעיתים רחוקות
4 = כלל לא</t>
  </si>
  <si>
    <t>1 = כן, כל ערב
2 = לעיתים קרובות
3 = לעיתים רחוקות
4 = כלל לא</t>
  </si>
  <si>
    <t>$J$37</t>
  </si>
  <si>
    <t>יניב שפירא:
1 = לא גולש באינטרנט כלל
2 = כו, לעיתים רחוקות
3 = גולש, אבל לא באתרים של מפלגות
4 = כן, לעיתים קרובות</t>
  </si>
  <si>
    <t>1 = לא גולש באינטרנט כלל
2 = כו, לעיתים רחוקות
3 = גולש, אבל לא באתרים של מפלגות
4 = כן, לעיתים קרובות</t>
  </si>
  <si>
    <t>$A$38</t>
  </si>
  <si>
    <t>יניב שפירא:
רק מי שענה 3 או 4 
בשאלה קודמת</t>
  </si>
  <si>
    <t>רק מי שענה 3 או 4 
בשאלה קודמת</t>
  </si>
  <si>
    <t>$J$38</t>
  </si>
  <si>
    <t>יניב שפירא:
1 = רק מפלגות שאני אוהד
2 = רק מפלגות שאני סולד מהן
3 = כל המפלגות</t>
  </si>
  <si>
    <t>1 = רק מפלגות שאני אוהד
2 = רק מפלגות שאני סולד מהן
3 = כל המפלגות</t>
  </si>
  <si>
    <t>$L$39</t>
  </si>
  <si>
    <t>יניב שפירא:
1 = בהחלט לא
2 = לא
3 = לא בטוח
4 = כן
5 = בהחלט כן</t>
  </si>
  <si>
    <t>1 = בהחלט לא
2 = לא
3 = לא בטוח
4 = כן
5 = בהחלט כן</t>
  </si>
  <si>
    <t>$N$39</t>
  </si>
  <si>
    <t>יניב שפירא:
1 = בהחלט כן
2 = כן
3 = לא בטוח
4 = לא
5 = בהחלט לא</t>
  </si>
  <si>
    <t>1 = בהחלט כן
2 = כן
3 = לא בטוח
4 = לא
5 = בהחלט לא</t>
  </si>
  <si>
    <t>$T$40</t>
  </si>
  <si>
    <t>יניב שפירא:
1 = לעיתים קרובות
2 = לעיתים רחוקות
3 = אף פעם
4 = לא יודע על קיום סקרים</t>
  </si>
  <si>
    <t>1 = לעיתים קרובות
2 = לעיתים רחוקות
3 = אף פעם
4 = לא יודע על קיום סקרים</t>
  </si>
  <si>
    <t>$AA$40</t>
  </si>
  <si>
    <t>יניב שפירא:
1 = לעיתים קרובות
2 = לעיתים רחוקות
3 = אף פעם לא
4 = לא יודע על קיומם</t>
  </si>
  <si>
    <t>1 = לעיתים קרובות
2 = לעיתים רחוקות
3 = אף פעם לא
4 = לא יודע על קיומם</t>
  </si>
  <si>
    <t>$L$41</t>
  </si>
  <si>
    <t>$T$41</t>
  </si>
  <si>
    <t>יניב שפירא:
1 = כן תמיד
2 = כן בדר"כ
3 = לא בדר"כ
4 = אף פעם לא
5 = לא יודע על קיום סקרים</t>
  </si>
  <si>
    <t>1 = כן תמיד
2 = כן בדר"כ
3 = לא בדר"כ
4 = אף פעם לא
5 = לא יודע על קיום סקרים</t>
  </si>
  <si>
    <t>$AF$41</t>
  </si>
  <si>
    <t>יניב שפירא:
1 = כן, תמיד
2 = בדר"כ כן
3 = בדר"כ לא
4 = אף פעם לא</t>
  </si>
  <si>
    <t>1 = כן, תמיד
2 = בדר"כ כן
3 = בדר"כ לא
4 = אף פעם לא</t>
  </si>
  <si>
    <t>יניב שפירא:
1 = השפעה גדולה
2 = השפעה מסויימת
3 = השפעה מועטה
4 = כלל לא
5 = לא יודע על קיום סקרים</t>
  </si>
  <si>
    <t>1 = השפעה גדולה
2 = השפעה מסויימת
3 = השפעה מועטה
4 = כלל לא
5 = לא יודע על קיום סקרים</t>
  </si>
  <si>
    <t>$AF$42</t>
  </si>
  <si>
    <t>יניב שפירא:
1 = השפעה רבה
2 = השפעה בינונית
3 = השפעה מועטה
4 = אין השפעה
5 = לא יודע על קיומם</t>
  </si>
  <si>
    <t>1 = השפעה רבה
2 = השפעה בינונית
3 = השפעה מועטה
4 = אין השפעה
5 = לא יודע על קיומם</t>
  </si>
  <si>
    <t>$AF$43</t>
  </si>
  <si>
    <t>יניב שפירא:
1 = בהחלט לאסור
2 = נוטה לאסור
3 = נוטה להתיר
4 = בהחלט להתיר</t>
  </si>
  <si>
    <t>1 = בהחלט לאסור
2 = נוטה לאסור
3 = נוטה להתיר
4 = בהחלט להתיר</t>
  </si>
  <si>
    <t>$AH$45</t>
  </si>
  <si>
    <t>$O$46</t>
  </si>
  <si>
    <t>יניב שפירא:
1 = כן
2 = לא
3 = אין לנו טלוויזיה</t>
  </si>
  <si>
    <t>1 = כן
2 = לא
3 = אין לנו טלוויזיה</t>
  </si>
  <si>
    <t>יניב שפירא:
1 = קורא לעיתים קרובות
2 = קורא לעיתים רחוקות
3 = לא קורא כלל</t>
  </si>
  <si>
    <t>1 = קורא לעיתים קרובות
2 = קורא לעיתים רחוקות
3 = לא קורא כלל</t>
  </si>
  <si>
    <t>$AH$50</t>
  </si>
  <si>
    <t>יניב שפירא:
1 = כן, 8 שעות +
2 = כן, 5-8 שעות
3 = 3-5 שעות
4 = 1-5 שעות
5 = פחות משעה ביום
6 = לא מאזין כל יום</t>
  </si>
  <si>
    <t>1 = כן, 8 שעות +
2 = כן, 5-8 שעות
3 = 3-5 שעות
4 = 1-5 שעות
5 = פחות משעה ביום
6 = לא מאזין כל יום</t>
  </si>
  <si>
    <t>$T$51</t>
  </si>
  <si>
    <t>יניב שפירא:
1 = הגל הקל
2 = גל ג'
3 = גלי צה"ל
4 = גל א'
5 = קול העם
6 = לא מאזין לרדיו</t>
  </si>
  <si>
    <t>1 = הגל הקל
2 = גל ג'
3 = גלי צה"ל
4 = גל א'
5 = קול העם
6 = לא מאזין לרדיו</t>
  </si>
  <si>
    <t>$AH$52</t>
  </si>
  <si>
    <t>יניב שפירא:
1 = בידור, תרבות, ידיעות
2 = בידור, ידיעות, תרבות
3 = תרבות, ידיעות, בידור
4 = תרבות, בידור, ידיעות
5 = ידיעות, בידור, תרבות
6 = ידיעות, תרבות, בידור</t>
  </si>
  <si>
    <t>1 = בידור, תרבות, ידיעות
2 = בידור, ידיעות, תרבות
3 = תרבות, ידיעות, בידור
4 = תרבות, בידור, ידיעות
5 = ידיעות, בידור, תרבות
6 = ידיעות, תרבות, בידור</t>
  </si>
  <si>
    <t>$V$53</t>
  </si>
  <si>
    <t xml:space="preserve">יניב שפירא: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</si>
  <si>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 xml:space="preserve">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</si>
  <si>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$V$54</t>
  </si>
  <si>
    <t>יניב שפירא: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</si>
  <si>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</si>
  <si>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$W$55</t>
  </si>
  <si>
    <t>יניב שפירא:
1 = מוצלחת מאד
2 = מוצלחת
3 = לא כ"כ מוצלחת
4 = בכלל לא מוצלחת</t>
  </si>
  <si>
    <t>1 = מוצלחת מאד
2 = מוצלחת
3 = לא כ"כ מוצלחת
4 = בכלל לא מוצלחת</t>
  </si>
  <si>
    <t>$Y$57</t>
  </si>
  <si>
    <t>יניב שפירא:
1 = קורא את רוב/כל המודעות
2 = הרוב של הליכוד
3 = הרוב של המערך
4 = הרוב של ד"ש
5 = קורא מעט מכל המפלגות
6 = קורא רק ליכוד
7 = קורא רק מערך
8 = קורא רק ד"ש
9 = לא קורא כלל</t>
  </si>
  <si>
    <t>1 = קורא את רוב/כל המודעות
2 = הרוב של הליכוד
3 = הרוב של המערך
4 = הרוב של ד"ש
5 = קורא מעט מכל המפלגות
6 = קורא רק ליכוד
7 = קורא רק מערך
8 = קורא רק ד"ש
9 = לא קורא כלל</t>
  </si>
  <si>
    <t>$AD$57</t>
  </si>
  <si>
    <t>יניב שפירא:
1 = לעיתים קרובות
2 = לעיתים
3 = לעיתים רחוקות
4 = כלל לא</t>
  </si>
  <si>
    <t>1 = לעיתים קרובות
2 = לעיתים
3 = לעיתים רחוקות
4 = כלל לא</t>
  </si>
  <si>
    <t>$AB$58</t>
  </si>
  <si>
    <t>יניב שפירא:
1 = כן במידה רבה
2 = במידה מסוימת
3 = במידה מועטה
4 = כלל לא</t>
  </si>
  <si>
    <t>1 = כן במידה רבה
2 = במידה מסוימת
3 = במידה מועטה
4 = כלל לא</t>
  </si>
  <si>
    <t>$AA$59</t>
  </si>
  <si>
    <t>יניב שפירא:
1 = דרושה בהחלט
2 = דרושה
3 = לא כ"כ דרושה
4 = בהחלט לא דרושה</t>
  </si>
  <si>
    <t>1 = דרושה בהחלט
2 = דרושה
3 = לא כ"כ דרושה
4 = בהחלט לא דרושה</t>
  </si>
  <si>
    <t>$AB$60</t>
  </si>
  <si>
    <t>יניב שפירא:
1 = קורא הרבה יותר
2 = קורא יותר
3 = קורא פחות
4 = קורא הרבה פחות</t>
  </si>
  <si>
    <t>1 = קורא הרבה יותר
2 = קורא יותר
3 = קורא פחות
4 = קורא הרבה פחות</t>
  </si>
  <si>
    <t>$AB$61</t>
  </si>
  <si>
    <t>יניב שפירא:
1 = כן, בכל יום
2 = לעיתים קרובות
3 = לעיתים רחוקות
4 = אף פעם לא</t>
  </si>
  <si>
    <t>1 = כן, בכל יום
2 = לעיתים קרובות
3 = לעיתים רחוקות
4 = אף פעם לא</t>
  </si>
  <si>
    <t>$AB$62</t>
  </si>
  <si>
    <t>$AB$63</t>
  </si>
  <si>
    <t>יניב שפירא:
1 = בפעילות פוליטית
2 = כאדם פרטי</t>
  </si>
  <si>
    <t>1 = בפעילות פוליטית
2 = כאדם פרטי</t>
  </si>
  <si>
    <t>יניב שפירא:
1 = שידורים לכל אחת מהמפלגות בנפרד
2 = דיונים בהשתתפות נציגים של מס' מפלגות שונות</t>
  </si>
  <si>
    <t>1 = שידורים לכל אחת מהמפלגות בנפרד
2 = דיונים בהשתתפות נציגים של מס' מפלגות שונות</t>
  </si>
  <si>
    <t>$AD$70</t>
  </si>
  <si>
    <t>יניב שפירא: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</si>
  <si>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</si>
  <si>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$U$72</t>
  </si>
  <si>
    <t>יניב שפירא:
1 = לא צופה כלל
2 = 1-2 שעות
3 = 3-5
4 = 6-10
5 = 11-15
6 = 16-20
7 = 21 +</t>
  </si>
  <si>
    <t>1 = לא צופה כלל
2 = 1-2 שעות
3 = 3-5
4 = 6-10
5 = 11-15
6 = 16-20
7 = 21 +</t>
  </si>
  <si>
    <t>$AH$73</t>
  </si>
  <si>
    <t>יניב שפירא:
1 = בכל יום
2 = 2-3 פעמים בשבוע
3 = אחת לשבוע
4 = 2-3 פעמים בחודש
5 = אחת לחודש
6 = לעיתים רחוקות יותר
7 = לא צופה כלל</t>
  </si>
  <si>
    <t>1 = בכל יום
2 = 2-3 פעמים בשבוע
3 = אחת לשבוע
4 = 2-3 פעמים בחודש
5 = אחת לחודש
6 = לעיתים רחוקות יותר
7 = לא צופה כלל</t>
  </si>
  <si>
    <t>$AH$74</t>
  </si>
  <si>
    <t>יניב שפירא:
1 = חשוב מאוד
2 = חשוב
3 = לא כ"כ חשוב
4 = כלל לא חשוב</t>
  </si>
  <si>
    <t>1 = חשוב מאוד
2 = חשוב
3 = לא כ"כ חשוב
4 = כלל לא חשוב</t>
  </si>
  <si>
    <t>$AF$84</t>
  </si>
  <si>
    <t>יניב שפירא:
1 = קובעת מאוד
2 = קובעת
3 = לא כ"כ קובעת
4 = לא קובעת כלל</t>
  </si>
  <si>
    <t>1 = קובעת מאוד
2 = קובעת
3 = לא כ"כ קובעת
4 = לא קובעת כלל</t>
  </si>
  <si>
    <t>$AF$93</t>
  </si>
  <si>
    <t>יניב שפירא:
1 = שידורים שבהם מופיע מנהיג פוליטי ומציג את עמדת המפלגה
2 = שידור שבו מוצג סרט מחיי הארץ המציג את עמדת המפלגה
3 = אחר</t>
  </si>
  <si>
    <t>1 = שידורים שבהם מופיע מנהיג פוליטי ומציג את עמדת המפלגה
2 = שידור שבו מוצג סרט מחיי הארץ המציג את עמדת המפלגה
3 = אחר</t>
  </si>
  <si>
    <t>$AF$94</t>
  </si>
  <si>
    <t>$AG$95</t>
  </si>
  <si>
    <t xml:space="preserve">יניב שפירא:
</t>
  </si>
  <si>
    <t>blank</t>
  </si>
  <si>
    <t/>
  </si>
  <si>
    <t>$AH$96</t>
  </si>
  <si>
    <t>יניב שפירא:
1 = כל יום
2 = כמה פעמים בשבוע
3 = פעם בשבוע
4 = לעיתים רחוקות יותר
5 = לא קורא</t>
  </si>
  <si>
    <t>1 = כל יום
2 = כמה פעמים בשבוע
3 = פעם בשבוע
4 = לעיתים רחוקות יותר
5 = לא קורא</t>
  </si>
  <si>
    <t>ידע כללי</t>
  </si>
  <si>
    <t>יניב שפירא:
1 = תשובה נכונה
2 = תשובה לא נכונה
3 = לא יודע</t>
  </si>
  <si>
    <t>1 = תשובה נכונה
2 = תשובה לא נכונה
3 = לא יודע</t>
  </si>
  <si>
    <t>יניב שפירא:
1 = תשובה נכונה (אסתר חיות)
2 = תשובה לא נכונה
3 = לא יודע</t>
  </si>
  <si>
    <t>1 = תשובה נכונה (אסתר חיות)
2 = תשובה לא נכונה
3 = לא יודע</t>
  </si>
  <si>
    <t>יניב שפירא:
1 = לא יודע
2 = בינוי ושיכון
3 = בריאות
4 = חינוך
5 = תחבורה</t>
  </si>
  <si>
    <t>1 = לא יודע
2 = בינוי ושיכון
3 = בריאות
4 = חינוך
5 = תחבורה</t>
  </si>
  <si>
    <t>יניב שפירא:
1 = יולי אדלשטיין
2 = תשובה לא נכונה
3 = לא יודע</t>
  </si>
  <si>
    <t>1 = יולי אדלשטיין
2 = תשובה לא נכונה
3 = לא יודע</t>
  </si>
  <si>
    <t>יניב שפירא:
1 = יולי אדלשטיין
2 = לא נכון
8 = לא יודע</t>
  </si>
  <si>
    <t>1 = יולי אדלשטיין
2 = לא נכון
8 = לא יודע</t>
  </si>
  <si>
    <t>יניב שפירא:
1 = לא יודע
2 = ברזיל
3 = סעודיה
4 = צפון קוריאה
5 = צ'אד (תשובה נכונה)</t>
  </si>
  <si>
    <t>1 = לא יודע
2 = ברזיל
3 = סעודיה
4 = צפון קוריאה
5 = צ'אד (תשובה נכונה)</t>
  </si>
  <si>
    <t>יניב שפירא:
1 = פחות מ10%
2 = בין 10% ל40%
3 = בין 40% ל75%
4 = יותר מ75%
8 = לא יודע</t>
  </si>
  <si>
    <t>1 = פחות מ10%
2 = בין 10% ל40%
3 = בין 40% ל75%
4 = יותר מ75%
8 = לא יודע</t>
  </si>
  <si>
    <t>$P$8</t>
  </si>
  <si>
    <t>יניב שפירא:
1 = ישראל
2 = צרפת
3 = ארה"ב
4 = בריטניה</t>
  </si>
  <si>
    <t>1 = ישראל
2 = צרפת
3 = ארה"ב
4 = בריטניה</t>
  </si>
  <si>
    <t>יניב שפירא:
1 = פחות ממיליארד דולר בשנה
2 = בין 1-2 מיליארד דולר בשנה
3 = בין 3-5 מיליארד דולר בשנה
4 = יותר מ-5 מיליארד דולר בשנה</t>
  </si>
  <si>
    <t>1 = פחות ממיליארד דולר בשנה
2 = בין 1-2 מיליארד דולר בשנה
3 = בין 3-5 מיליארד דולר בשנה
4 = יותר מ-5 מיליארד דולר בשנה</t>
  </si>
  <si>
    <t>יניב שפירא:
1 = 58
2 = 140
3 = 485
4 = 1150
5 = 3900</t>
  </si>
  <si>
    <t>1 = 58
2 = 140
3 = 485
4 = 1150
5 = 3900</t>
  </si>
  <si>
    <t>$P$12</t>
  </si>
  <si>
    <t>$P$13</t>
  </si>
  <si>
    <t>מגדר</t>
  </si>
  <si>
    <t>יניב שפירא:
1 = בכלל לא
2 = במידה מועטה
3 = במידה רבה
4 = במידה רבה מאד</t>
  </si>
  <si>
    <t>1 = בכלל לא
2 = במידה מועטה
3 = במידה רבה
4 = במידה רבה מאד</t>
  </si>
  <si>
    <t>$H$4</t>
  </si>
  <si>
    <t>$H$10</t>
  </si>
  <si>
    <t>יניב שפירא:
1 = אני עושה יותר מבן/בת זוגי
2 = החלוקה פחות או יותר שוויונית
3 = אני עושה פחות מבן/בת זוגי</t>
  </si>
  <si>
    <t>1 = אני עושה יותר מבן/בת זוגי
2 = החלוקה פחות או יותר שוויונית
3 = אני עושה פחות מבן/בת זוגי</t>
  </si>
  <si>
    <t>יניב שפירא:
1 = בטוח שכן
2 = חושב שכן
3 = ככה ככה
4 = חושב שלא
5 = בטוח שלא</t>
  </si>
  <si>
    <t>1 = בטוח שכן
2 = חושב שכן
3 = ככה ככה
4 = חושב שלא
5 = בטוח שלא</t>
  </si>
  <si>
    <t>ייצוגיות</t>
  </si>
  <si>
    <t>יניב שפירא:
שאלות: 31,33,34,36,37,39,40,42,43,44
אין קידוד בstata, האם אבד??
גם ב2020 וגם ב2019
גם ב2021</t>
  </si>
  <si>
    <t>שאלות: 31,33,34,36,37,39,40,42,43,44
אין קידוד בstata, האם אבד??
גם ב2020 וגם ב2019
גם ב2021</t>
  </si>
  <si>
    <t>יניב שפירא:
1 = בטוח שלא
2 = חושב שלא
3 = חושב שכן
4 = בטוח שכן</t>
  </si>
  <si>
    <t>1 = בטוח שלא
2 = חושב שלא
3 = חושב שכן
4 = בטוח שכן</t>
  </si>
  <si>
    <t>$D$10</t>
  </si>
  <si>
    <t>יניב שפירא: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</si>
  <si>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</si>
  <si>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$D$11</t>
  </si>
  <si>
    <t>יניב שפירא: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</si>
  <si>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</si>
  <si>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יניב שפירא:
שאלות 109 + 110
לא מקודדות אצלי בstata
גם ב2020 וגם ב2019
גם ב2021</t>
  </si>
  <si>
    <t>שאלות 109 + 110
לא מקודדות אצלי בstata
גם ב2020 וגם ב2019
גם ב2021</t>
  </si>
  <si>
    <t>יניב שפירא:
שאלה של אחרי הבחירות.
שאלה E110 לא מקודדת בstata
גם ב2020 וגם ב2019
גם ב2021</t>
  </si>
  <si>
    <t>שאלה של אחרי הבחירות.
שאלה E110 לא מקודדת בstata
גם ב2020 וגם ב2019
גם ב2021</t>
  </si>
  <si>
    <t>יניב שפירא:
1 = במידה רבה
2 = במידה מסוימת
3 = במידה מועטה
4 = בכלל לא
8 = לא יודע
9 = מסרב</t>
  </si>
  <si>
    <t>1 = במידה רבה
2 = במידה מסוימת
3 = במידה מועטה
4 = בכלל לא
8 = לא יודע
9 = מסרב</t>
  </si>
  <si>
    <t>$F$15</t>
  </si>
  <si>
    <t>$Q$15</t>
  </si>
  <si>
    <t>$V$15</t>
  </si>
  <si>
    <t>יניב שפירא:
1 = בכלל לא מתחשב
2 = מתחשב במידה מועטה
3 = מתחשב במידה מסויימת
4 = מתחשב במידה רבה</t>
  </si>
  <si>
    <t>1 = בכלל לא מתחשב
2 = מתחשב במידה מועטה
3 = מתחשב במידה מסויימת
4 = מתחשב במידה רבה</t>
  </si>
  <si>
    <t>$AG$15</t>
  </si>
  <si>
    <t>יניב שפירא:
1 = בהחלט לא מתחשב
2 = אולי לא מתחשב
3 = אולי מתחשב
4 = בהחלט מתחשב</t>
  </si>
  <si>
    <t>1 = בהחלט לא מתחשב
2 = אולי לא מתחשב
3 = אולי מתחשב
4 = בהחלט מתחשב</t>
  </si>
  <si>
    <t>$F$16</t>
  </si>
  <si>
    <t>יניב שפירא:
קידוד 29 מפלגות</t>
  </si>
  <si>
    <t>קידוד 29 מפלגות</t>
  </si>
  <si>
    <t>יניב שפירא:
שאלות 80-85 לא מקודדות בstata
(בשנת 2019, אין אותם ב2020)</t>
  </si>
  <si>
    <t>שאלות 80-85 לא מקודדות בstata
(בשנת 2019, אין אותם ב2020)</t>
  </si>
  <si>
    <t>$F$17</t>
  </si>
  <si>
    <t>יניב שפירא:
שאלה 91 לא מקודדת בstata
(בשנת 2019, אין אותה ב2020)</t>
  </si>
  <si>
    <t>שאלה 91 לא מקודדת בstata
(בשנת 2019, אין אותה ב2020)</t>
  </si>
  <si>
    <t>יניב שפירא: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</si>
  <si>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</si>
  <si>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$G$24</t>
  </si>
  <si>
    <t>יניב שפירא:
שאלות 86-90
לא מקודדות אצלי בstata
גם ב2020 וגם ב2019
גם ב2021</t>
  </si>
  <si>
    <t>שאלות 86-90
לא מקודדות אצלי בstata
גם ב2020 וגם ב2019
גם ב2021</t>
  </si>
  <si>
    <t>$D$25</t>
  </si>
  <si>
    <t>$A$29</t>
  </si>
  <si>
    <t>$L$29</t>
  </si>
  <si>
    <t>יניב שפירא:
סולם 1-5
1 = לא משנה עבור מי מצביעים
5 = כן משנה</t>
  </si>
  <si>
    <t>סולם 1-5
1 = לא משנה עבור מי מצביעים
5 = כן משנה</t>
  </si>
  <si>
    <t>יניב שפירא:
1 = היא קודם כל מפלגה שמייצגת את העולים מברה"מ לשעבר
2 = היא לא מפלגה כזו</t>
  </si>
  <si>
    <t>1 = היא קודם כל מפלגה שמייצגת את העולים מברה"מ לשעבר
2 = היא לא מפלגה כזו</t>
  </si>
  <si>
    <t>$V$32</t>
  </si>
  <si>
    <t>יניב שפירא:
1 = צעירים
2 = נשים
3 = עדות המזרח
4 = אנשי רוח
5 = פועלים
6 = אנשי צבא
7 = אנשי עסקים
8 = עולים חדשים
9 = אף קבוצה</t>
  </si>
  <si>
    <t>1 = צעירים
2 = נשים
3 = עדות המזרח
4 = אנשי רוח
5 = פועלים
6 = אנשי צבא
7 = אנשי עסקים
8 = עולים חדשים
9 = אף קבוצה</t>
  </si>
  <si>
    <t>$V$33</t>
  </si>
  <si>
    <t>$A$34</t>
  </si>
  <si>
    <t>יניב שפירא:
אין קידוד
2021</t>
  </si>
  <si>
    <t>אין קידוד
2021</t>
  </si>
  <si>
    <t>יניב שפירא:
1 = מי שהצביע לו
2 = מי שלא הצביע לו
3 = גם וגם
4 = אף אחד
5 = לא הצביע</t>
  </si>
  <si>
    <t>1 = מי שהצביע לו
2 = מי שלא הצביע לו
3 = גם וגם
4 = אף אחד
5 = לא הצביע</t>
  </si>
  <si>
    <t>$A$35</t>
  </si>
  <si>
    <t>יניב שפירא:
1 = מפלגות ופוליטיקאים מהמערכת הפוליטית
2 = גופים ואנשים מחוץ למערכת הפוליטית
3 = גם וגם
4 = אף אחד מהם</t>
  </si>
  <si>
    <t>1 = מפלגות ופוליטיקאים מהמערכת הפוליטית
2 = גופים ואנשים מחוץ למערכת הפוליטית
3 = גם וגם
4 = אף אחד מהם</t>
  </si>
  <si>
    <t>$A$36</t>
  </si>
  <si>
    <t>יניב שפירא:
מי שענה 2/3 בשאלה הקודמת
אין קידוד
2021</t>
  </si>
  <si>
    <t>מי שענה 2/3 בשאלה הקודמת
אין קידוד
2021</t>
  </si>
  <si>
    <t>$C$36</t>
  </si>
  <si>
    <t>שחיתות</t>
  </si>
  <si>
    <t>יניב שפירא:
1 = בהחלט יכול
2 = יכול
3 = לא יכול
4 = בהחלט לא יכול</t>
  </si>
  <si>
    <t>1 = בהחלט יכול
2 = יכול
3 = לא יכול
4 = בהחלט לא יכול</t>
  </si>
  <si>
    <t>יניב שפירא:
1 = כלל לא מסכים
2 = לא כ"כ מסכים
3 = די מסכים
4 = מאוד מסכים</t>
  </si>
  <si>
    <t>1 = כלל לא מסכים
2 = לא כ"כ מסכים
3 = די מסכים
4 = מאוד מסכים</t>
  </si>
  <si>
    <t>יניב שפירא:
1 = שכתב האישום נגד ראש הממשלה הוא חלק ממסע רדיפה נגדו
2 = שהגופים הללו פועלים כנדרש</t>
  </si>
  <si>
    <t>1 = שכתב האישום נגד ראש הממשלה הוא חלק ממסע רדיפה נגדו
2 = שהגופים הללו פועלים כנדרש</t>
  </si>
  <si>
    <t>יניב שפירא:
1 = שחקירות ראש הממשלה הן חלק ממסע רדיפה שמנהלות נגדו התקשורת, מערכת המשפט והמשטרה
2 = שהתקשורת, מערכת המשפט והמשטרה פועלים כנדרש</t>
  </si>
  <si>
    <t>1 = שחקירות ראש הממשלה הן חלק ממסע רדיפה שמנהלות נגדו התקשורת, מערכת המשפט והמשטרה
2 = שהתקשורת, מערכת המשפט והמשטרה פועלים כנדרש</t>
  </si>
  <si>
    <t>יניב שפירא:
1 = בהחלט מסכים
2 = מסכים
3 = לא כ"כ מסכים
4 = כלל לא מסכים</t>
  </si>
  <si>
    <t>1 = בהחלט מסכים
2 = מסכים
3 = לא כ"כ מסכים
4 = כלל לא מסכים</t>
  </si>
  <si>
    <t>יניב שפירא:
1 = במצב של פיתוח כלכלי אין להמנע ממקרים כאלה
2 = מקרים אלה מראים על הדרדרות מוסרית ויש לעקור אותם מן השורש</t>
  </si>
  <si>
    <t>1 = במצב של פיתוח כלכלי אין להמנע ממקרים כאלה
2 = מקרים אלה מראים על הדרדרות מוסרית ויש לעקור אותם מן השורש</t>
  </si>
  <si>
    <t>$AD$8</t>
  </si>
  <si>
    <t>יניב שפירא:
1 = מדינה פלסטינית לצד מדינת ישראל היא הדרך הטובה ביותר
2 = מדינה אחת בין הים לירדן היא הדרך הטובה ביותר</t>
  </si>
  <si>
    <t>1 = מדינה פלסטינית לצד מדינת ישראל היא הדרך הטובה ביותר
2 = מדינה אחת בין הים לירדן היא הדרך הטובה ביותר</t>
  </si>
  <si>
    <t xml:space="preserve">יניב שפירא:
1 = כלל לא מסכים
2 = לא כ"כ מסכים
3 = די מסכים
4 = מאוד מסכים </t>
  </si>
  <si>
    <t xml:space="preserve">1 = כלל לא מסכים
2 = לא כ"כ מסכים
3 = די מסכים
4 = מאוד מסכים </t>
  </si>
  <si>
    <t>יניב שפירא:
שאלות 12B-14B בפוסט בחירות 2019 לא מקודדות בstata</t>
  </si>
  <si>
    <t>שאלות 12B-14B בפוסט בחירות 2019 לא מקודדות בstata</t>
  </si>
  <si>
    <t>$I$12</t>
  </si>
  <si>
    <t>יניב שפירא:
1 = ישראלי
2 = פלסטיני
3 = ערבי
4 = הדת שלי</t>
  </si>
  <si>
    <t>1 = ישראלי
2 = פלסטיני
3 = ערבי
4 = הדת שלי</t>
  </si>
  <si>
    <t>$C$16</t>
  </si>
  <si>
    <t>יניב שפירא:
1 = מאד מסכים
2 = די מסכים
3 = לא כ"כ מסכים
4 = לא מסכים כלל</t>
  </si>
  <si>
    <t>1 = מאד מסכים
2 = די מסכים
3 = לא כ"כ מסכים
4 = לא מסכים כלל</t>
  </si>
  <si>
    <t>Question Id</t>
  </si>
  <si>
    <t>מקום הראיון</t>
  </si>
  <si>
    <t>version</t>
  </si>
  <si>
    <t>agegroup</t>
  </si>
  <si>
    <t>gender</t>
  </si>
  <si>
    <t>educ</t>
  </si>
  <si>
    <t>באיזו ארץ נולדת?</t>
  </si>
  <si>
    <t>v176</t>
  </si>
  <si>
    <t>ארץ לידה/מוצא אב</t>
  </si>
  <si>
    <t>v513</t>
  </si>
  <si>
    <t>אם לא נולד בארץ, באיזו שנה עלית ארצה?</t>
  </si>
  <si>
    <t>כיצד היית מגדיר את עצמך? (עדה)</t>
  </si>
  <si>
    <t>v707a</t>
  </si>
  <si>
    <t>v164</t>
  </si>
  <si>
    <t>האם למדת את לימודייך התיכוניים או העל-תיכוניים במסגרת דתית כלשהי?</t>
  </si>
  <si>
    <t xml:space="preserve">ההוצאה החודשית הממוצעת של משפחה בישראל היא כ-16,500 ₪. בהתחשב בכל ההוצאות של משפחתכם, האם אתם מוציאים: </t>
  </si>
  <si>
    <t>v184</t>
  </si>
  <si>
    <t>v143_code</t>
  </si>
  <si>
    <t>v179</t>
  </si>
  <si>
    <t>v180</t>
  </si>
  <si>
    <t>האם אתה עובד במשרה מלאה או חלקית?</t>
  </si>
  <si>
    <t>v185</t>
  </si>
  <si>
    <t>האם יש לך ילדים שחיים איתך בבית?</t>
  </si>
  <si>
    <t>a152</t>
  </si>
  <si>
    <t>v182</t>
  </si>
  <si>
    <t>v191</t>
  </si>
  <si>
    <t>באיזו עיר בברה"מ לשעבר גרת לפני שעלית ארצה?</t>
  </si>
  <si>
    <t>מה היה הלאום שהיה רשום בפספורט הסובייטי הפנימי שלך?</t>
  </si>
  <si>
    <t>לגבי החברים שלך בארץ, היית אומר שהרוב:</t>
  </si>
  <si>
    <t>v8_code1</t>
  </si>
  <si>
    <t>v8_code</t>
  </si>
  <si>
    <t>c8_code</t>
  </si>
  <si>
    <t>מבין הדברים הבאים, מה לדעתך הכי מאיים על המערכת הפוליטית כיום?</t>
  </si>
  <si>
    <t>כאשר אתה חושב על תולדות מדינת ישראל ועם ישראל, איזה אירוע מהעבר נראה לך החשוב ביותר?</t>
  </si>
  <si>
    <t>v704</t>
  </si>
  <si>
    <t>לאן, בכל זאת נוטה דעתך לגבי ארה"ב, לכיוון דעה טובה או לכיוון דעה רעה?</t>
  </si>
  <si>
    <t>האם בעלך מגוייס?</t>
  </si>
  <si>
    <t>v603</t>
  </si>
  <si>
    <t>v606</t>
  </si>
  <si>
    <t>E8A_after</t>
  </si>
  <si>
    <t>after_v13b_1</t>
  </si>
  <si>
    <t>E8B_after</t>
  </si>
  <si>
    <t>after_v13b_2</t>
  </si>
  <si>
    <t>a133</t>
  </si>
  <si>
    <t>האם אתה יכול לראות את עצמך בתנאים מסוימים עובר למחנה השמאל או למחנה הימין?</t>
  </si>
  <si>
    <t>דירגת את עצמך יותר לכיוון מחנה השמאל/ימין. האם אתה יכול לראות את עצמך בתנאים מסוימים עובר למחנה האחר?</t>
  </si>
  <si>
    <t>after_v13a</t>
  </si>
  <si>
    <t>v620S</t>
  </si>
  <si>
    <t>v620b</t>
  </si>
  <si>
    <t>v620j</t>
  </si>
  <si>
    <t>v49A</t>
  </si>
  <si>
    <t>v45A</t>
  </si>
  <si>
    <t>מה יחסך לכל אחת מן המפלגות הבאות? יש עתיד</t>
  </si>
  <si>
    <t>v49C</t>
  </si>
  <si>
    <t>v49_c</t>
  </si>
  <si>
    <t>v51B</t>
  </si>
  <si>
    <t>מה יחסך לכל אחת מן המפלגות הבאות? התנועה</t>
  </si>
  <si>
    <t>c49_f</t>
  </si>
  <si>
    <t>מה יחסך לכל אחת מן המפלגות הבאות? ימינה</t>
  </si>
  <si>
    <t>מה יחסך לכל אחת מן המפלגות הבאות? תקווה חדשה</t>
  </si>
  <si>
    <t>מה יחסך לכל אחת מהמפלגות הבאות? הבית היהודי/מפד"ל</t>
  </si>
  <si>
    <t>v49s</t>
  </si>
  <si>
    <t>v49S</t>
  </si>
  <si>
    <t>מה יחסך לכל אחת מן המפלגות הבאות? ישראל ביתנו</t>
  </si>
  <si>
    <t>מה יחסך לכל אחת מן המפלגות הבאות? ש"ס</t>
  </si>
  <si>
    <t>מה יחסך לכל אחת מן המפלגות הבאות? עוצמה יהודית</t>
  </si>
  <si>
    <t>מה יחסך לכל אחת מן המפלגות הבאות? יהדות התורה</t>
  </si>
  <si>
    <t>v49j</t>
  </si>
  <si>
    <t>v49J</t>
  </si>
  <si>
    <t>מה יחסך לכל אחת מן המפלגות הבאות? רע"מ-בל"ד</t>
  </si>
  <si>
    <t>מה יחסך לכל אחת מן המפלגות הבאות? רע"מ-תע"ל</t>
  </si>
  <si>
    <t>מה יחסך לכל אחת מן המפלגות הבאות? חד"ש</t>
  </si>
  <si>
    <t>מה יחסך לכל אחת מן המפלגות הבאות? תע"ל</t>
  </si>
  <si>
    <t>מה יחסך לכל אחת מן המפלגות הבאות? רע"מ</t>
  </si>
  <si>
    <t>מה יחסך לכל אחת מן המפלגות הבאות? בל"ד</t>
  </si>
  <si>
    <t>F49S_1</t>
  </si>
  <si>
    <t>v623</t>
  </si>
  <si>
    <t>v52A</t>
  </si>
  <si>
    <t>ועל אותו סולם, מה יחסך לאישים הבאים? אביגדור ליברמן</t>
  </si>
  <si>
    <t>ועל אותו סולם, מה יחסך לאישים הבאים? גדעון סער</t>
  </si>
  <si>
    <t>ועל אותו סולם, מה יחסך לאישים הבאים? נפתלי בנט</t>
  </si>
  <si>
    <t>ועל אותו סולם, מה יחסך לאישים הבאים? איילת שקד</t>
  </si>
  <si>
    <t>ועל אותו סולם, מה יחסך לאישים הבאים? בצלאל סמוטריץ'</t>
  </si>
  <si>
    <t>ועל אותו סולם, מה יחסך לאישים הבאים? משה כחלון</t>
  </si>
  <si>
    <t>ועל אותו סולם, מה יחסך לאישים הבאים? אריה דרעי</t>
  </si>
  <si>
    <t>ועל אותו סולם, מה יחסך לאישים הבאים? אלי ישי</t>
  </si>
  <si>
    <t>ועל אותו סולם, מה יחסך לאישים הבאים? איימן עודה</t>
  </si>
  <si>
    <t>ועל אותו סולם, מה יחסך לאישים הבאים? אחמד טיבי</t>
  </si>
  <si>
    <t>ועל אותו סולם, מה יחסך לאישים הבאים? מנסור עבאס</t>
  </si>
  <si>
    <t>ועל אותו סולם, מה יחסך לאישים הבאים? מטאנס שחאדה</t>
  </si>
  <si>
    <t>ועל אותו סולם, מה יחסך לאישים הבאים? עאידה תומא-סולימן</t>
  </si>
  <si>
    <t>ועל אותו סולם, מה יחסך לאישים הבאים? מסעוד גנאים</t>
  </si>
  <si>
    <t>ועל אותו סולם, מה יחסך לאישים הבאים? ג'מאל זחאלקה</t>
  </si>
  <si>
    <t>ועל אותו סולם, מה יחסך לאישים הבאים? חנין זועבי</t>
  </si>
  <si>
    <t>ועל אותו סולם, מה יחסך לאישים הבאים? מוחמד בראכה</t>
  </si>
  <si>
    <t>ועל אותו סולם, מה יחסך לאישים הבאים? איברהים צרצור</t>
  </si>
  <si>
    <t>v11_after</t>
  </si>
  <si>
    <t>c301</t>
  </si>
  <si>
    <t>c306</t>
  </si>
  <si>
    <t>after_v10</t>
  </si>
  <si>
    <t>לאיזו מפלגה אתה חש הכי קרוב?</t>
  </si>
  <si>
    <t>after_v12</t>
  </si>
  <si>
    <t>מהמפלגות הנותרות, איך היית מדרג את מידת הקרבה אלייך: מי הראשונה?</t>
  </si>
  <si>
    <t>ולמי הכי פחות?</t>
  </si>
  <si>
    <t>v104E</t>
  </si>
  <si>
    <t>c104</t>
  </si>
  <si>
    <t>v104a</t>
  </si>
  <si>
    <t>v507</t>
  </si>
  <si>
    <t>v162</t>
  </si>
  <si>
    <t>a140</t>
  </si>
  <si>
    <t>v508</t>
  </si>
  <si>
    <t>a141</t>
  </si>
  <si>
    <t>v509</t>
  </si>
  <si>
    <t>E1_after</t>
  </si>
  <si>
    <t>E2_after</t>
  </si>
  <si>
    <t>v2_after</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</si>
  <si>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</si>
  <si>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לאיזו מפלגה תעבור?</t>
  </si>
  <si>
    <t>מדוע זה לא ישנה את הצבעתך?</t>
  </si>
  <si>
    <t>v3_after</t>
  </si>
  <si>
    <t>מה בסופו של דבר הביא אותך להצביע כמו שהצבעת?</t>
  </si>
  <si>
    <t>after_v4a</t>
  </si>
  <si>
    <t>מדוע החלטת לא להצביע בבחירות/לשים פתק לבן?</t>
  </si>
  <si>
    <t>v5_after</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</si>
  <si>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</si>
  <si>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אם הליכוד וישראל ביתנו היו רצות בנפרד בבחירות הקודמות ב2013, עבור מי מהשניים היית מצביע?</t>
  </si>
  <si>
    <t>באיזו מידה משפיע או לא משפיע כל אחד מהנושאים הבאים על ההצבעה שלך: אם מזרחי עומד בראש הרשימה</t>
  </si>
  <si>
    <t>באיזו מידה משפיע או לא משפיע כל אחד מהנושאים הבאים על ההצבעה שלך: מספר המזרחים ברשימה לכנסת</t>
  </si>
  <si>
    <t>v153</t>
  </si>
  <si>
    <t>v163</t>
  </si>
  <si>
    <t>q9</t>
  </si>
  <si>
    <t>מדוע?</t>
  </si>
  <si>
    <t>ומה הדבר הנוסף העשוי לעזור?</t>
  </si>
  <si>
    <t>ומתוך אותה רשימה, מה עוד עשוי לעזור?</t>
  </si>
  <si>
    <t>האם את מתחשבת ברצונו של בעלך בהחלטתך בעד מי להצביע?</t>
  </si>
  <si>
    <t>האם אתה מזדהה עם עמדה של מפלגה מסויימת לגבי הבעיה הראשונה שציינת? האם הזדהות זו משפיעה על הצבעתך?</t>
  </si>
  <si>
    <t>האם אתה מזדהה עם עמדה של מפלגה מסויימת לגבי הבעיה השנייה שציינת? האם הזדהות זו משפיעה על הצבעתך?</t>
  </si>
  <si>
    <t>v609</t>
  </si>
  <si>
    <t>v158</t>
  </si>
  <si>
    <t>v159</t>
  </si>
  <si>
    <t>v160</t>
  </si>
  <si>
    <t>E4_after</t>
  </si>
  <si>
    <t>v4_after</t>
  </si>
  <si>
    <t>F9</t>
  </si>
  <si>
    <t>E9_after</t>
  </si>
  <si>
    <t>D9</t>
  </si>
  <si>
    <t>v9_after</t>
  </si>
  <si>
    <t>after_v9</t>
  </si>
  <si>
    <t>a_v16</t>
  </si>
  <si>
    <t>q5</t>
  </si>
  <si>
    <t>q6</t>
  </si>
  <si>
    <t>N2</t>
  </si>
  <si>
    <t>v161</t>
  </si>
  <si>
    <t>F7</t>
  </si>
  <si>
    <t>E7_after</t>
  </si>
  <si>
    <t>v7_after</t>
  </si>
  <si>
    <t>after_v8</t>
  </si>
  <si>
    <t>a_v15</t>
  </si>
  <si>
    <t>q20</t>
  </si>
  <si>
    <t>v6A_after</t>
  </si>
  <si>
    <t>a_v7A</t>
  </si>
  <si>
    <t>v6I_after</t>
  </si>
  <si>
    <t>q13</t>
  </si>
  <si>
    <t>a_v11</t>
  </si>
  <si>
    <t>a_v13</t>
  </si>
  <si>
    <t>לכמה זמן, לדעתך, צריך לדחות את הבחירות?</t>
  </si>
  <si>
    <t>v501</t>
  </si>
  <si>
    <t>v601</t>
  </si>
  <si>
    <t>v604</t>
  </si>
  <si>
    <t>v607</t>
  </si>
  <si>
    <t>N1</t>
  </si>
  <si>
    <t>v705</t>
  </si>
  <si>
    <t>v72a</t>
  </si>
  <si>
    <t>v73a</t>
  </si>
  <si>
    <t>מה הסיבה העיקרית שהצבעת עבור רשימה זו?</t>
  </si>
  <si>
    <t>a137</t>
  </si>
  <si>
    <t>מה הסיבה העיקרית שבגלל לא השתתפת בבחירות להסתדרות?</t>
  </si>
  <si>
    <t>a139</t>
  </si>
  <si>
    <t>v602</t>
  </si>
  <si>
    <t>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t>
  </si>
  <si>
    <t>ואיזה שני בחשיבותו?</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</si>
  <si>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</si>
  <si>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v74a</t>
  </si>
  <si>
    <t>v16a</t>
  </si>
  <si>
    <t>v16b</t>
  </si>
  <si>
    <t>האם מוצדק או לא מוצדק שישראל תשתמש בנשק גרעיני בכל אחד מהתנאים הבאים: כתגובה על התקפה גרעינית מצד מדינה אחרת</t>
  </si>
  <si>
    <t>האם לדעתך ניתן להגיע להסכם שלום עם הפלסטינים?</t>
  </si>
  <si>
    <t>האם לפי דעתך על ישראל להסכים או לא להקמת מדינה פלסטינית ביהודה, שומרון וחבל עזה במסגרת הסדר קבע?</t>
  </si>
  <si>
    <t>v700</t>
  </si>
  <si>
    <t>האם לדעתך ישראל צריכה להמשיך ולהחזיק ביהודה ושומרון?</t>
  </si>
  <si>
    <t>באיזו מידה אתה מסכים או לא מסכים עם המשפטים הבאים: על הממשלה לעודד הגירת ערבים מהארץ</t>
  </si>
  <si>
    <t>באיזו מידה אתה מסכים או לא מסכים: לטרנספר של ערביי השטחים</t>
  </si>
  <si>
    <t>באיזו מידה אתה מסכים או לא מסכים: לטרנספר של ערבים אזרחי ישראל</t>
  </si>
  <si>
    <t>v514</t>
  </si>
  <si>
    <t>באיזו מידה אתה מסכים או לא מסכים, עם המשפטים הבאים: אתה מרגיש מחויב למשטר הדמוקרטי בישראל, גם אם יש תקופות שבהן ההחלטות לא מוצאות חן בעיניך?</t>
  </si>
  <si>
    <t>v512_code</t>
  </si>
  <si>
    <t>E10_after</t>
  </si>
  <si>
    <t>האם אתה חושב שבהחלטות גורליות למדינה כמו החזרת שטחים צריכים להשתתף רק יהודים או גם ערבים אזרחי ישראל?</t>
  </si>
  <si>
    <t>v68a</t>
  </si>
  <si>
    <t>v616</t>
  </si>
  <si>
    <t>after_v14a</t>
  </si>
  <si>
    <t>v617</t>
  </si>
  <si>
    <t>v618</t>
  </si>
  <si>
    <t>v611</t>
  </si>
  <si>
    <t>v505</t>
  </si>
  <si>
    <t>v506</t>
  </si>
  <si>
    <t>האם אתה משתמש ברשתות חברתיות כמו וואטספ, פייסבוק, טוויטר, אינסטגרם, טלגרם וכד'?</t>
  </si>
  <si>
    <t>רשתות חברתיות כמו ווטאספ, פייסבוק, טוויטר, אינסטגרם, טלגרם וכו'</t>
  </si>
  <si>
    <t>v612</t>
  </si>
  <si>
    <t>באילו מהאמצעים הבאים של האינטרנט יצא לך להשתמש בהקשר של הבחירות? אי-מייל</t>
  </si>
  <si>
    <t>q8</t>
  </si>
  <si>
    <t>לאתרים של איזה מפלגות אתה גולש?</t>
  </si>
  <si>
    <t>a159</t>
  </si>
  <si>
    <t>v510</t>
  </si>
  <si>
    <t>v511</t>
  </si>
  <si>
    <t>v129_B</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</si>
  <si>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</si>
  <si>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באופן כללי, באיזו מידה אתה מרגיש שיש בארץ מפלגה ו/או פוליטיקאי שמייצגים אותך?</t>
  </si>
  <si>
    <t>באיזו מידה אתה מרגיש שהמערכת הפוליטית מייצגת אותך?</t>
  </si>
  <si>
    <t>באיזו מידה אתה מסכים או לא מסכים עם המשפטים הבאים לגבי הממשלה: חברי הממשלה מגיעים מכל חלקי החברה</t>
  </si>
  <si>
    <t>אם יכולת לבחור פוליטיקאי אחד שייצג אותך בכנסת, מה מתוך רשימת המאפיינים הבאה היה חשוב לך ביותר?</t>
  </si>
  <si>
    <t>באיזו מידה אתה מסכים או לא מסכים עם המשפטים הבאים: פוליטיקאים מבטיחים במערכת הבחירות דברים שאין להם שום כוונה לקיים</t>
  </si>
  <si>
    <t>יש אנשים שאומרים שלא חושב עבור מי מצביעים כי זה לא משנה את המצב. מה דעתך?</t>
  </si>
  <si>
    <t>q21</t>
  </si>
  <si>
    <t>האם היית רוצה לראות מפלגה "רוסית" משתתפת בבחירות האלה?</t>
  </si>
  <si>
    <t>מי אתה מרגיש שיצג אותך יותר בשנה האחרונה, המפלגה/פוליטיקאי שהצבעת להם או פוליטיקאים ומפלגות אחרות?</t>
  </si>
  <si>
    <t>מי אתה מרגיש שיצג אותך יותר בשנה האחרונה, המפלגות/פוליטיקאים או גופים ואנשים מחוץ למערכת הפוליטית?</t>
  </si>
  <si>
    <t>אילו גופים ואנשים מחוץ למערכת הפוליטית יצגו אותך?</t>
  </si>
  <si>
    <t>v503A</t>
  </si>
  <si>
    <t>כאשר אתה חושב על תולדות מדינת ישראל ועל הערבים אזרח ישראל, איזה אירוע מהעבר נראה לך החשוב ביותר?</t>
  </si>
  <si>
    <t>v168</t>
  </si>
  <si>
    <t>v605</t>
  </si>
  <si>
    <t>category2</t>
  </si>
  <si>
    <t>2019</t>
  </si>
  <si>
    <t>2015</t>
  </si>
  <si>
    <t>2013</t>
  </si>
  <si>
    <t>2022</t>
  </si>
  <si>
    <t>2021</t>
  </si>
  <si>
    <t>2020, 2019, 2021</t>
  </si>
  <si>
    <t>2022, 2019, 2015</t>
  </si>
  <si>
    <t>2020, 2021</t>
  </si>
  <si>
    <t>2020, 2019, 2019, 2021</t>
  </si>
  <si>
    <t>2019, 2020</t>
  </si>
  <si>
    <t>Survey</t>
  </si>
  <si>
    <t>Affected Surveys</t>
  </si>
  <si>
    <t>Answers but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</si>
</sst>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name val="Calibri"/>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name val="Calibri"/>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7">
    <xf numFmtId="0" fontId="0" fillId="0" borderId="0" xfId="0"/>
    <xf numFmtId="0" fontId="1" fillId="0" borderId="10" xfId="0" applyFont="1" applyBorder="1" applyAlignment="1">
      <alignment horizontal="center" vertical="top"/>
    </xf>
    <xf numFmtId="0" fontId="0" fillId="0" borderId="0" xfId="0" applyAlignment="1">
      <alignment wrapText="1"/>
    </xf>
    <xf numFmtId="0" fontId="19" fillId="0" borderId="11" xfId="0" applyFont="1" applyBorder="1" applyAlignment="1">
      <alignment horizontal="center" vertical="top"/>
    </xf>
    <xf numFmtId="0" fontId="19" fillId="0" borderId="10" xfId="0" applyFont="1" applyBorder="1" applyAlignment="1">
      <alignment horizontal="center" vertical="top"/>
    </xf>
    <xf numFmtId="0" fontId="19" fillId="33" borderId="11" xfId="0" applyFont="1" applyFill="1" applyBorder="1" applyAlignment="1">
      <alignment horizontal="center" vertical="top"/>
    </xf>
    <xf numFmtId="0" fontId="19" fillId="33" borderId="10"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D5A0D5-759D-48EA-BED9-34130D9689FC}" name="Table1" displayName="Table1" ref="A1:I3502" totalsRowShown="0" headerRowDxfId="9" headerRowBorderDxfId="8" tableBorderDxfId="7">
  <autoFilter ref="A1:I3502" xr:uid="{BAD5A0D5-759D-48EA-BED9-34130D9689FC}"/>
  <tableColumns count="9">
    <tableColumn id="1" xr3:uid="{A49ADBC7-AB22-4DDA-8409-C97952090642}" name="survey_name"/>
    <tableColumn id="2" xr3:uid="{958A9DFC-1D9C-4A95-9695-539DDAA909F6}" name="category"/>
    <tableColumn id="3" xr3:uid="{EFEB3BC7-371E-45EB-A9A2-1C1BFC205902}" name="record"/>
    <tableColumn id="4" xr3:uid="{6414C208-F513-4DAC-A83A-2FB99D3AF27E}" name="columns"/>
    <tableColumn id="5" xr3:uid="{C87729D9-E0A9-4B9B-A537-BAFF910859C0}" name="question_id"/>
    <tableColumn id="6" xr3:uid="{657E6AB2-3935-4C44-B9F7-FFDC9E1EE3E2}" name="question_title"/>
    <tableColumn id="7" xr3:uid="{CA687511-4287-40C5-8055-4C4F98EDD1FC}" name="question_description"/>
    <tableColumn id="8" xr3:uid="{EFD596BC-9546-42DC-9A82-C088B659A59C}" name="question_data_type"/>
    <tableColumn id="9" xr3:uid="{04E187B7-0707-48E4-9543-49466C2BE441}" name="answer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8FB40-FC18-40E8-B3E4-D4396ECDEAFC}" name="Table13" displayName="Table13" ref="A1:I3502" totalsRowShown="0" headerRowDxfId="6" headerRowBorderDxfId="5" tableBorderDxfId="4">
  <autoFilter ref="A1:I3502" xr:uid="{BAD5A0D5-759D-48EA-BED9-34130D9689FC}">
    <filterColumn colId="5">
      <filters>
        <filter val="A difference exists between the Alignment and the Likud in their approach to foreign and security issues"/>
      </filters>
    </filterColumn>
  </autoFilter>
  <tableColumns count="9">
    <tableColumn id="1" xr3:uid="{A690B690-1F4C-4916-A244-4488EACC4B11}" name="Question Id"/>
    <tableColumn id="2" xr3:uid="{25E81C12-9EC6-453F-B299-356DA24814E7}" name="Election"/>
    <tableColumn id="3" xr3:uid="{BCA3FA13-96D1-4F57-B272-04915543AFDE}" name="category2"/>
    <tableColumn id="4" xr3:uid="{B15D62CB-BDA5-4BB4-9941-CAAEFC148073}" name="record"/>
    <tableColumn id="5" xr3:uid="{EC25148E-B7C8-462B-AAC4-0D72CF1740A1}" name="columns"/>
    <tableColumn id="6" xr3:uid="{FAF438E0-8C05-45F8-8EC9-3C639331359B}" name="question_title"/>
    <tableColumn id="7" xr3:uid="{2AD43B69-2A27-4880-BB44-547D6FD2474E}" name="question_description"/>
    <tableColumn id="8" xr3:uid="{04D538FC-BF38-4579-A097-69CA858959E3}" name="question_data_type"/>
    <tableColumn id="9" xr3:uid="{8A9D8B3C-9D55-4BF2-81B4-3AF1E7102239}" name="answer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BE74A4-B40D-47EE-87F3-7D104153DC1B}" name="Table4" displayName="Table4" ref="A1:O1472" totalsRowShown="0">
  <autoFilter ref="A1:O1472" xr:uid="{91BE74A4-B40D-47EE-87F3-7D104153DC1B}">
    <filterColumn colId="3">
      <filters>
        <filter val="stataIsNotCoded"/>
      </filters>
    </filterColumn>
  </autoFilter>
  <tableColumns count="15">
    <tableColumn id="1" xr3:uid="{02E758FA-E014-45B5-9918-FA07C45297E8}" name="Sheet Name"/>
    <tableColumn id="2" xr3:uid="{54781859-9BCC-43C4-8D8C-FDB359730EFC}" name="Cell Address"/>
    <tableColumn id="3" xr3:uid="{9FFF5F92-D178-457D-A2B8-E9C7DA47BB84}" name="Comment" dataDxfId="3"/>
    <tableColumn id="4" xr3:uid="{5437B168-C39D-4A61-A092-0BCB683F5883}" name="finalType"/>
    <tableColumn id="5" xr3:uid="{1E4756DC-B13E-4A68-811F-505BB650297A}" name="Content Only" dataDxfId="2"/>
    <tableColumn id="6" xr3:uid="{3DE676A0-5666-475C-9AFC-12E86D044F4E}" name="Question Id"/>
    <tableColumn id="7" xr3:uid="{A3663B9B-BC8C-417E-9310-66B63A74636B}" name="Survey" dataDxfId="1">
      <calculatedColumnFormula>VLOOKUP($F2, codebooks_data_reordered!$A:$I, 2, FALSE)</calculatedColumnFormula>
    </tableColumn>
    <tableColumn id="8" xr3:uid="{253A0BE0-0422-48BA-A1E1-B61224E6E2BA}" name="category">
      <calculatedColumnFormula>VLOOKUP($F2, codebooks_data_reordered!$A:$I, 3, FALSE)</calculatedColumnFormula>
    </tableColumn>
    <tableColumn id="9" xr3:uid="{989D7C8B-736C-45A3-BE98-0A1DC86A70BA}" name="record">
      <calculatedColumnFormula>VLOOKUP($F2, codebooks_data_reordered!$A:$I, 4, FALSE)</calculatedColumnFormula>
    </tableColumn>
    <tableColumn id="10" xr3:uid="{BE7C0699-917F-497E-BD71-1BCC95ACDEF8}" name="columns">
      <calculatedColumnFormula>VLOOKUP($F2, codebooks_data_reordered!$A:$I, 5, FALSE)</calculatedColumnFormula>
    </tableColumn>
    <tableColumn id="11" xr3:uid="{61C24FAC-6F5A-487F-A5F8-1606A2AFD3C8}" name="question_title">
      <calculatedColumnFormula>VLOOKUP($F2, codebooks_data_reordered!$A:$I, 6, FALSE)</calculatedColumnFormula>
    </tableColumn>
    <tableColumn id="12" xr3:uid="{3ABCD9DB-F538-4CEF-AA89-8CEBA323E77B}" name="question_description">
      <calculatedColumnFormula>VLOOKUP($F2, codebooks_data_reordered!$A:$I, 7, FALSE)</calculatedColumnFormula>
    </tableColumn>
    <tableColumn id="14" xr3:uid="{E12D0321-6CF9-41CF-AA1C-19632830CCC0}" name="answers">
      <calculatedColumnFormula>VLOOKUP($F2, codebooks_data_reordered!$A:$I, 9, FALSE)</calculatedColumnFormula>
    </tableColumn>
    <tableColumn id="16" xr3:uid="{85175588-BEF7-477C-BBC4-6308C7E4A7EA}" name="Affected Surveys"/>
    <tableColumn id="18" xr3:uid="{105E247F-32BC-440A-B54A-41711EF66050}" name="Answers but better" dataDxfId="0">
      <calculatedColumnFormula>SUBSTITUTE(M2, ";", CHAR(10))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3502"/>
  <sheetViews>
    <sheetView workbookViewId="0">
      <selection activeCell="C14" sqref="C14"/>
    </sheetView>
  </sheetViews>
  <sheetFormatPr defaultRowHeight="14.4" x14ac:dyDescent="0.3"/>
  <cols>
    <col min="1" max="1" width="14.21875" customWidth="1"/>
    <col min="2" max="2" width="22.33203125" customWidth="1"/>
    <col min="4" max="4" width="10" customWidth="1"/>
    <col min="5" max="5" width="16.5546875" customWidth="1"/>
    <col min="6" max="6" width="14.44140625" customWidth="1"/>
    <col min="7" max="7" width="20.5546875" customWidth="1"/>
    <col min="8" max="8" width="19.77734375" customWidth="1"/>
    <col min="9" max="9" width="9.6640625" customWidth="1"/>
  </cols>
  <sheetData>
    <row r="1" spans="1:9" x14ac:dyDescent="0.3">
      <c r="A1" s="1" t="s">
        <v>0</v>
      </c>
      <c r="B1" s="1" t="s">
        <v>1</v>
      </c>
      <c r="C1" s="1" t="s">
        <v>2</v>
      </c>
      <c r="D1" s="1" t="s">
        <v>3</v>
      </c>
      <c r="E1" s="1" t="s">
        <v>4</v>
      </c>
      <c r="F1" s="1" t="s">
        <v>5</v>
      </c>
      <c r="G1" s="1" t="s">
        <v>6</v>
      </c>
      <c r="H1" s="1" t="s">
        <v>7</v>
      </c>
      <c r="I1" s="1" t="s">
        <v>8</v>
      </c>
    </row>
    <row r="2" spans="1:9" x14ac:dyDescent="0.3">
      <c r="A2" t="s">
        <v>9</v>
      </c>
      <c r="E2" t="s">
        <v>10</v>
      </c>
      <c r="F2" t="s">
        <v>11</v>
      </c>
    </row>
    <row r="3" spans="1:9" x14ac:dyDescent="0.3">
      <c r="A3" t="s">
        <v>9</v>
      </c>
      <c r="B3" t="s">
        <v>12</v>
      </c>
      <c r="C3" t="s">
        <v>13</v>
      </c>
      <c r="D3" t="s">
        <v>14</v>
      </c>
      <c r="E3" t="s">
        <v>15</v>
      </c>
      <c r="F3" t="s">
        <v>16</v>
      </c>
      <c r="H3" t="s">
        <v>17</v>
      </c>
    </row>
    <row r="4" spans="1:9" x14ac:dyDescent="0.3">
      <c r="A4" t="s">
        <v>9</v>
      </c>
      <c r="B4" t="s">
        <v>12</v>
      </c>
      <c r="C4" t="s">
        <v>13</v>
      </c>
      <c r="D4" t="s">
        <v>18</v>
      </c>
      <c r="E4" t="s">
        <v>19</v>
      </c>
      <c r="F4" t="s">
        <v>20</v>
      </c>
      <c r="H4" t="s">
        <v>17</v>
      </c>
    </row>
    <row r="5" spans="1:9" x14ac:dyDescent="0.3">
      <c r="A5" t="s">
        <v>9</v>
      </c>
      <c r="B5" t="s">
        <v>21</v>
      </c>
      <c r="C5" t="s">
        <v>13</v>
      </c>
      <c r="D5" t="s">
        <v>22</v>
      </c>
      <c r="E5" t="s">
        <v>23</v>
      </c>
      <c r="F5" t="s">
        <v>24</v>
      </c>
      <c r="G5" t="s">
        <v>25</v>
      </c>
      <c r="H5" t="s">
        <v>17</v>
      </c>
      <c r="I5" t="s">
        <v>26</v>
      </c>
    </row>
    <row r="6" spans="1:9" x14ac:dyDescent="0.3">
      <c r="A6" t="s">
        <v>9</v>
      </c>
      <c r="B6" t="s">
        <v>21</v>
      </c>
      <c r="C6" t="s">
        <v>13</v>
      </c>
      <c r="D6" t="s">
        <v>27</v>
      </c>
      <c r="E6" t="s">
        <v>28</v>
      </c>
      <c r="F6" t="s">
        <v>29</v>
      </c>
      <c r="G6" t="s">
        <v>30</v>
      </c>
      <c r="H6" t="s">
        <v>17</v>
      </c>
      <c r="I6" t="s">
        <v>31</v>
      </c>
    </row>
    <row r="7" spans="1:9" x14ac:dyDescent="0.3">
      <c r="A7" t="s">
        <v>9</v>
      </c>
      <c r="B7" t="s">
        <v>21</v>
      </c>
      <c r="C7" t="s">
        <v>13</v>
      </c>
      <c r="D7" t="s">
        <v>32</v>
      </c>
      <c r="E7" t="s">
        <v>33</v>
      </c>
      <c r="F7" t="s">
        <v>34</v>
      </c>
      <c r="G7" t="s">
        <v>35</v>
      </c>
      <c r="H7" t="s">
        <v>17</v>
      </c>
    </row>
    <row r="8" spans="1:9" x14ac:dyDescent="0.3">
      <c r="A8" t="s">
        <v>9</v>
      </c>
      <c r="B8" t="s">
        <v>21</v>
      </c>
      <c r="C8" t="s">
        <v>13</v>
      </c>
      <c r="D8" t="s">
        <v>36</v>
      </c>
      <c r="E8" t="s">
        <v>37</v>
      </c>
      <c r="F8" t="s">
        <v>38</v>
      </c>
      <c r="G8" t="s">
        <v>39</v>
      </c>
      <c r="H8" t="s">
        <v>17</v>
      </c>
      <c r="I8" t="s">
        <v>40</v>
      </c>
    </row>
    <row r="9" spans="1:9" x14ac:dyDescent="0.3">
      <c r="A9" t="s">
        <v>9</v>
      </c>
      <c r="B9" t="s">
        <v>21</v>
      </c>
      <c r="C9" t="s">
        <v>13</v>
      </c>
      <c r="D9" t="s">
        <v>41</v>
      </c>
      <c r="E9" t="s">
        <v>42</v>
      </c>
      <c r="F9" t="s">
        <v>43</v>
      </c>
      <c r="G9" t="s">
        <v>44</v>
      </c>
      <c r="H9" t="s">
        <v>17</v>
      </c>
      <c r="I9" t="s">
        <v>40</v>
      </c>
    </row>
    <row r="10" spans="1:9" x14ac:dyDescent="0.3">
      <c r="A10" t="s">
        <v>9</v>
      </c>
      <c r="B10" t="s">
        <v>21</v>
      </c>
      <c r="C10" t="s">
        <v>13</v>
      </c>
      <c r="D10" t="s">
        <v>45</v>
      </c>
      <c r="E10" t="s">
        <v>46</v>
      </c>
      <c r="F10" t="s">
        <v>47</v>
      </c>
      <c r="G10" t="s">
        <v>48</v>
      </c>
      <c r="H10" t="s">
        <v>17</v>
      </c>
      <c r="I10" t="s">
        <v>49</v>
      </c>
    </row>
    <row r="11" spans="1:9" x14ac:dyDescent="0.3">
      <c r="A11" t="s">
        <v>9</v>
      </c>
      <c r="B11" t="s">
        <v>21</v>
      </c>
      <c r="C11" t="s">
        <v>13</v>
      </c>
      <c r="D11" t="s">
        <v>50</v>
      </c>
      <c r="E11" t="s">
        <v>51</v>
      </c>
      <c r="F11" t="s">
        <v>52</v>
      </c>
      <c r="G11" t="s">
        <v>48</v>
      </c>
      <c r="H11" t="s">
        <v>17</v>
      </c>
      <c r="I11" t="s">
        <v>49</v>
      </c>
    </row>
    <row r="12" spans="1:9" x14ac:dyDescent="0.3">
      <c r="A12" t="s">
        <v>9</v>
      </c>
      <c r="B12" t="s">
        <v>21</v>
      </c>
      <c r="C12" t="s">
        <v>13</v>
      </c>
      <c r="D12" t="s">
        <v>53</v>
      </c>
      <c r="E12" t="s">
        <v>54</v>
      </c>
      <c r="F12" t="s">
        <v>55</v>
      </c>
      <c r="G12" t="s">
        <v>48</v>
      </c>
      <c r="H12" t="s">
        <v>17</v>
      </c>
      <c r="I12" t="s">
        <v>49</v>
      </c>
    </row>
    <row r="13" spans="1:9" x14ac:dyDescent="0.3">
      <c r="A13" t="s">
        <v>9</v>
      </c>
      <c r="B13" t="s">
        <v>21</v>
      </c>
      <c r="C13" t="s">
        <v>13</v>
      </c>
      <c r="D13" t="s">
        <v>56</v>
      </c>
      <c r="E13" t="s">
        <v>57</v>
      </c>
      <c r="F13" t="s">
        <v>58</v>
      </c>
      <c r="G13" t="s">
        <v>59</v>
      </c>
      <c r="H13" t="s">
        <v>17</v>
      </c>
      <c r="I13" t="s">
        <v>60</v>
      </c>
    </row>
    <row r="14" spans="1:9" x14ac:dyDescent="0.3">
      <c r="A14" t="s">
        <v>9</v>
      </c>
      <c r="B14" t="s">
        <v>21</v>
      </c>
      <c r="C14" t="s">
        <v>13</v>
      </c>
      <c r="D14" t="s">
        <v>61</v>
      </c>
      <c r="E14" t="s">
        <v>62</v>
      </c>
      <c r="F14" t="s">
        <v>63</v>
      </c>
      <c r="G14" t="s">
        <v>64</v>
      </c>
      <c r="H14" t="s">
        <v>17</v>
      </c>
      <c r="I14" t="s">
        <v>65</v>
      </c>
    </row>
    <row r="15" spans="1:9" x14ac:dyDescent="0.3">
      <c r="A15" t="s">
        <v>9</v>
      </c>
      <c r="B15" t="s">
        <v>21</v>
      </c>
      <c r="C15" t="s">
        <v>13</v>
      </c>
      <c r="D15" t="s">
        <v>66</v>
      </c>
      <c r="E15" t="s">
        <v>67</v>
      </c>
      <c r="F15" t="s">
        <v>68</v>
      </c>
      <c r="G15" t="s">
        <v>69</v>
      </c>
      <c r="H15" t="s">
        <v>17</v>
      </c>
      <c r="I15" t="s">
        <v>70</v>
      </c>
    </row>
    <row r="16" spans="1:9" x14ac:dyDescent="0.3">
      <c r="A16" t="s">
        <v>9</v>
      </c>
      <c r="B16" t="s">
        <v>21</v>
      </c>
      <c r="C16" t="s">
        <v>13</v>
      </c>
      <c r="D16" t="s">
        <v>71</v>
      </c>
      <c r="E16" t="s">
        <v>72</v>
      </c>
      <c r="F16" t="s">
        <v>73</v>
      </c>
      <c r="G16" t="s">
        <v>74</v>
      </c>
      <c r="H16" t="s">
        <v>17</v>
      </c>
      <c r="I16" t="s">
        <v>75</v>
      </c>
    </row>
    <row r="17" spans="1:9" x14ac:dyDescent="0.3">
      <c r="A17" t="s">
        <v>9</v>
      </c>
      <c r="B17" t="s">
        <v>21</v>
      </c>
      <c r="C17" t="s">
        <v>13</v>
      </c>
      <c r="D17" t="s">
        <v>76</v>
      </c>
      <c r="E17" t="s">
        <v>77</v>
      </c>
      <c r="F17" t="s">
        <v>78</v>
      </c>
      <c r="G17" t="s">
        <v>79</v>
      </c>
      <c r="H17" t="s">
        <v>17</v>
      </c>
      <c r="I17" t="s">
        <v>75</v>
      </c>
    </row>
    <row r="18" spans="1:9" x14ac:dyDescent="0.3">
      <c r="A18" t="s">
        <v>9</v>
      </c>
      <c r="B18" t="s">
        <v>21</v>
      </c>
      <c r="C18" t="s">
        <v>13</v>
      </c>
      <c r="D18" t="s">
        <v>80</v>
      </c>
      <c r="E18" t="s">
        <v>81</v>
      </c>
      <c r="F18" t="s">
        <v>82</v>
      </c>
      <c r="G18" t="s">
        <v>83</v>
      </c>
      <c r="H18" t="s">
        <v>17</v>
      </c>
      <c r="I18" t="s">
        <v>84</v>
      </c>
    </row>
    <row r="19" spans="1:9" x14ac:dyDescent="0.3">
      <c r="A19" t="s">
        <v>9</v>
      </c>
      <c r="B19" t="s">
        <v>21</v>
      </c>
      <c r="C19" t="s">
        <v>13</v>
      </c>
      <c r="D19" t="s">
        <v>85</v>
      </c>
      <c r="E19" t="s">
        <v>86</v>
      </c>
      <c r="F19" t="s">
        <v>87</v>
      </c>
      <c r="G19" t="s">
        <v>88</v>
      </c>
      <c r="H19" t="s">
        <v>17</v>
      </c>
      <c r="I19" t="s">
        <v>89</v>
      </c>
    </row>
    <row r="20" spans="1:9" x14ac:dyDescent="0.3">
      <c r="A20" t="s">
        <v>9</v>
      </c>
      <c r="B20" t="s">
        <v>21</v>
      </c>
      <c r="C20" t="s">
        <v>13</v>
      </c>
      <c r="D20" t="s">
        <v>90</v>
      </c>
      <c r="E20" t="s">
        <v>91</v>
      </c>
      <c r="F20" t="s">
        <v>92</v>
      </c>
      <c r="G20" t="s">
        <v>93</v>
      </c>
      <c r="H20" t="s">
        <v>17</v>
      </c>
      <c r="I20" t="s">
        <v>94</v>
      </c>
    </row>
    <row r="21" spans="1:9" x14ac:dyDescent="0.3">
      <c r="A21" t="s">
        <v>9</v>
      </c>
      <c r="B21" t="s">
        <v>21</v>
      </c>
      <c r="C21" t="s">
        <v>13</v>
      </c>
      <c r="D21" t="s">
        <v>95</v>
      </c>
      <c r="E21" t="s">
        <v>96</v>
      </c>
      <c r="F21" t="s">
        <v>97</v>
      </c>
      <c r="G21" t="s">
        <v>98</v>
      </c>
      <c r="H21" t="s">
        <v>17</v>
      </c>
      <c r="I21" t="s">
        <v>99</v>
      </c>
    </row>
    <row r="22" spans="1:9" x14ac:dyDescent="0.3">
      <c r="A22" t="s">
        <v>9</v>
      </c>
      <c r="B22" t="s">
        <v>21</v>
      </c>
      <c r="C22" t="s">
        <v>13</v>
      </c>
      <c r="D22" t="s">
        <v>100</v>
      </c>
      <c r="E22" t="s">
        <v>101</v>
      </c>
      <c r="F22" t="s">
        <v>102</v>
      </c>
      <c r="G22" t="s">
        <v>103</v>
      </c>
      <c r="H22" t="s">
        <v>17</v>
      </c>
      <c r="I22" t="s">
        <v>104</v>
      </c>
    </row>
    <row r="23" spans="1:9" x14ac:dyDescent="0.3">
      <c r="A23" t="s">
        <v>9</v>
      </c>
      <c r="B23" t="s">
        <v>105</v>
      </c>
      <c r="C23" t="s">
        <v>13</v>
      </c>
      <c r="D23" t="s">
        <v>106</v>
      </c>
      <c r="E23" t="s">
        <v>107</v>
      </c>
      <c r="F23" t="s">
        <v>108</v>
      </c>
      <c r="G23" t="s">
        <v>109</v>
      </c>
      <c r="H23" t="s">
        <v>17</v>
      </c>
      <c r="I23" t="s">
        <v>110</v>
      </c>
    </row>
    <row r="24" spans="1:9" x14ac:dyDescent="0.3">
      <c r="A24" t="s">
        <v>9</v>
      </c>
      <c r="B24" t="s">
        <v>105</v>
      </c>
      <c r="C24" t="s">
        <v>13</v>
      </c>
      <c r="D24" t="s">
        <v>111</v>
      </c>
      <c r="E24" t="s">
        <v>112</v>
      </c>
      <c r="F24" t="s">
        <v>113</v>
      </c>
      <c r="G24" t="s">
        <v>109</v>
      </c>
      <c r="H24" t="s">
        <v>17</v>
      </c>
      <c r="I24" t="s">
        <v>110</v>
      </c>
    </row>
    <row r="25" spans="1:9" x14ac:dyDescent="0.3">
      <c r="A25" t="s">
        <v>9</v>
      </c>
      <c r="B25" t="s">
        <v>105</v>
      </c>
      <c r="C25" t="s">
        <v>13</v>
      </c>
      <c r="D25" t="s">
        <v>114</v>
      </c>
      <c r="E25" t="s">
        <v>115</v>
      </c>
      <c r="F25" t="s">
        <v>116</v>
      </c>
      <c r="G25" t="s">
        <v>109</v>
      </c>
      <c r="H25" t="s">
        <v>17</v>
      </c>
      <c r="I25" t="s">
        <v>110</v>
      </c>
    </row>
    <row r="26" spans="1:9" x14ac:dyDescent="0.3">
      <c r="A26" t="s">
        <v>9</v>
      </c>
      <c r="B26" t="s">
        <v>105</v>
      </c>
      <c r="C26" t="s">
        <v>13</v>
      </c>
      <c r="D26" t="s">
        <v>117</v>
      </c>
      <c r="E26" t="s">
        <v>118</v>
      </c>
      <c r="F26" t="s">
        <v>119</v>
      </c>
      <c r="G26" t="s">
        <v>109</v>
      </c>
      <c r="H26" t="s">
        <v>17</v>
      </c>
      <c r="I26" t="s">
        <v>110</v>
      </c>
    </row>
    <row r="27" spans="1:9" x14ac:dyDescent="0.3">
      <c r="A27" t="s">
        <v>9</v>
      </c>
      <c r="B27" t="s">
        <v>120</v>
      </c>
      <c r="C27" t="s">
        <v>13</v>
      </c>
      <c r="D27" t="s">
        <v>121</v>
      </c>
      <c r="E27" t="s">
        <v>122</v>
      </c>
      <c r="F27" t="s">
        <v>123</v>
      </c>
      <c r="G27" t="s">
        <v>124</v>
      </c>
      <c r="H27" t="s">
        <v>17</v>
      </c>
      <c r="I27" t="s">
        <v>125</v>
      </c>
    </row>
    <row r="28" spans="1:9" x14ac:dyDescent="0.3">
      <c r="A28" t="s">
        <v>9</v>
      </c>
      <c r="B28" t="s">
        <v>120</v>
      </c>
      <c r="C28" t="s">
        <v>13</v>
      </c>
      <c r="D28" t="s">
        <v>126</v>
      </c>
      <c r="E28" t="s">
        <v>127</v>
      </c>
      <c r="F28" t="s">
        <v>128</v>
      </c>
      <c r="G28" t="s">
        <v>124</v>
      </c>
      <c r="H28" t="s">
        <v>17</v>
      </c>
      <c r="I28" t="s">
        <v>125</v>
      </c>
    </row>
    <row r="29" spans="1:9" x14ac:dyDescent="0.3">
      <c r="A29" t="s">
        <v>9</v>
      </c>
      <c r="B29" t="s">
        <v>120</v>
      </c>
      <c r="C29" t="s">
        <v>13</v>
      </c>
      <c r="D29" t="s">
        <v>129</v>
      </c>
      <c r="E29" t="s">
        <v>130</v>
      </c>
      <c r="F29" t="s">
        <v>131</v>
      </c>
      <c r="G29" t="s">
        <v>124</v>
      </c>
      <c r="H29" t="s">
        <v>17</v>
      </c>
      <c r="I29" t="s">
        <v>125</v>
      </c>
    </row>
    <row r="30" spans="1:9" x14ac:dyDescent="0.3">
      <c r="A30" t="s">
        <v>9</v>
      </c>
      <c r="B30" t="s">
        <v>120</v>
      </c>
      <c r="C30" t="s">
        <v>13</v>
      </c>
      <c r="D30" t="s">
        <v>132</v>
      </c>
      <c r="E30" t="s">
        <v>133</v>
      </c>
      <c r="F30" t="s">
        <v>134</v>
      </c>
      <c r="G30" t="s">
        <v>124</v>
      </c>
      <c r="H30" t="s">
        <v>17</v>
      </c>
      <c r="I30" t="s">
        <v>125</v>
      </c>
    </row>
    <row r="31" spans="1:9" x14ac:dyDescent="0.3">
      <c r="A31" t="s">
        <v>9</v>
      </c>
      <c r="B31" t="s">
        <v>120</v>
      </c>
      <c r="C31" t="s">
        <v>13</v>
      </c>
      <c r="D31" t="s">
        <v>135</v>
      </c>
      <c r="E31" t="s">
        <v>136</v>
      </c>
      <c r="F31" t="s">
        <v>137</v>
      </c>
      <c r="G31" t="s">
        <v>124</v>
      </c>
      <c r="H31" t="s">
        <v>17</v>
      </c>
      <c r="I31" t="s">
        <v>125</v>
      </c>
    </row>
    <row r="32" spans="1:9" x14ac:dyDescent="0.3">
      <c r="A32" t="s">
        <v>9</v>
      </c>
      <c r="B32" t="s">
        <v>120</v>
      </c>
      <c r="C32" t="s">
        <v>13</v>
      </c>
      <c r="D32" t="s">
        <v>138</v>
      </c>
      <c r="E32" t="s">
        <v>139</v>
      </c>
      <c r="F32" t="s">
        <v>140</v>
      </c>
      <c r="G32" t="s">
        <v>124</v>
      </c>
      <c r="H32" t="s">
        <v>17</v>
      </c>
      <c r="I32" t="s">
        <v>125</v>
      </c>
    </row>
    <row r="33" spans="1:9" x14ac:dyDescent="0.3">
      <c r="A33" t="s">
        <v>9</v>
      </c>
      <c r="B33" t="s">
        <v>120</v>
      </c>
      <c r="C33" t="s">
        <v>13</v>
      </c>
      <c r="D33" t="s">
        <v>141</v>
      </c>
      <c r="E33" t="s">
        <v>142</v>
      </c>
      <c r="F33" t="s">
        <v>143</v>
      </c>
      <c r="G33" t="s">
        <v>124</v>
      </c>
      <c r="H33" t="s">
        <v>17</v>
      </c>
      <c r="I33" t="s">
        <v>125</v>
      </c>
    </row>
    <row r="34" spans="1:9" x14ac:dyDescent="0.3">
      <c r="A34" t="s">
        <v>9</v>
      </c>
      <c r="B34" t="s">
        <v>120</v>
      </c>
      <c r="C34" t="s">
        <v>13</v>
      </c>
      <c r="D34" t="s">
        <v>144</v>
      </c>
      <c r="E34" t="s">
        <v>145</v>
      </c>
      <c r="F34" t="s">
        <v>146</v>
      </c>
      <c r="G34" t="s">
        <v>124</v>
      </c>
      <c r="H34" t="s">
        <v>17</v>
      </c>
      <c r="I34" t="s">
        <v>125</v>
      </c>
    </row>
    <row r="35" spans="1:9" x14ac:dyDescent="0.3">
      <c r="A35" t="s">
        <v>9</v>
      </c>
      <c r="B35" t="s">
        <v>120</v>
      </c>
      <c r="C35" t="s">
        <v>13</v>
      </c>
      <c r="D35" t="s">
        <v>147</v>
      </c>
      <c r="E35" t="s">
        <v>148</v>
      </c>
      <c r="F35" t="s">
        <v>149</v>
      </c>
      <c r="G35" t="s">
        <v>150</v>
      </c>
      <c r="H35" t="s">
        <v>17</v>
      </c>
      <c r="I35" t="s">
        <v>151</v>
      </c>
    </row>
    <row r="36" spans="1:9" x14ac:dyDescent="0.3">
      <c r="A36" t="s">
        <v>9</v>
      </c>
      <c r="B36" t="s">
        <v>120</v>
      </c>
      <c r="C36" t="s">
        <v>13</v>
      </c>
      <c r="D36" t="s">
        <v>152</v>
      </c>
      <c r="E36" t="s">
        <v>153</v>
      </c>
      <c r="F36" t="s">
        <v>154</v>
      </c>
      <c r="G36" t="s">
        <v>155</v>
      </c>
      <c r="H36" t="s">
        <v>17</v>
      </c>
      <c r="I36" t="s">
        <v>156</v>
      </c>
    </row>
    <row r="37" spans="1:9" x14ac:dyDescent="0.3">
      <c r="A37" t="s">
        <v>9</v>
      </c>
      <c r="B37" t="s">
        <v>120</v>
      </c>
      <c r="C37" t="s">
        <v>13</v>
      </c>
      <c r="D37" t="s">
        <v>157</v>
      </c>
      <c r="E37" t="s">
        <v>158</v>
      </c>
      <c r="F37" t="s">
        <v>159</v>
      </c>
      <c r="G37" t="s">
        <v>160</v>
      </c>
      <c r="H37" t="s">
        <v>17</v>
      </c>
      <c r="I37" t="s">
        <v>161</v>
      </c>
    </row>
    <row r="38" spans="1:9" x14ac:dyDescent="0.3">
      <c r="A38" t="s">
        <v>9</v>
      </c>
      <c r="B38" t="s">
        <v>120</v>
      </c>
      <c r="C38" t="s">
        <v>13</v>
      </c>
      <c r="D38" t="s">
        <v>162</v>
      </c>
      <c r="E38" t="s">
        <v>163</v>
      </c>
      <c r="F38" t="s">
        <v>164</v>
      </c>
      <c r="G38" t="s">
        <v>165</v>
      </c>
      <c r="H38" t="s">
        <v>17</v>
      </c>
      <c r="I38" t="s">
        <v>166</v>
      </c>
    </row>
    <row r="39" spans="1:9" x14ac:dyDescent="0.3">
      <c r="A39" t="s">
        <v>9</v>
      </c>
      <c r="B39" t="s">
        <v>120</v>
      </c>
      <c r="C39" t="s">
        <v>13</v>
      </c>
      <c r="D39" t="s">
        <v>167</v>
      </c>
      <c r="E39" t="s">
        <v>168</v>
      </c>
      <c r="F39" t="s">
        <v>169</v>
      </c>
      <c r="G39" t="s">
        <v>170</v>
      </c>
      <c r="H39" t="s">
        <v>17</v>
      </c>
      <c r="I39" t="s">
        <v>171</v>
      </c>
    </row>
    <row r="40" spans="1:9" x14ac:dyDescent="0.3">
      <c r="A40" t="s">
        <v>9</v>
      </c>
      <c r="B40" t="s">
        <v>120</v>
      </c>
      <c r="C40" t="s">
        <v>13</v>
      </c>
      <c r="D40" t="s">
        <v>172</v>
      </c>
      <c r="E40" t="s">
        <v>173</v>
      </c>
      <c r="F40" t="s">
        <v>174</v>
      </c>
      <c r="G40" t="s">
        <v>175</v>
      </c>
      <c r="H40" t="s">
        <v>17</v>
      </c>
      <c r="I40" t="s">
        <v>176</v>
      </c>
    </row>
    <row r="41" spans="1:9" x14ac:dyDescent="0.3">
      <c r="A41" t="s">
        <v>9</v>
      </c>
      <c r="B41" t="s">
        <v>120</v>
      </c>
      <c r="C41" t="s">
        <v>13</v>
      </c>
      <c r="D41" t="s">
        <v>177</v>
      </c>
      <c r="E41" t="s">
        <v>178</v>
      </c>
      <c r="F41" t="s">
        <v>179</v>
      </c>
      <c r="G41" t="s">
        <v>180</v>
      </c>
      <c r="H41" t="s">
        <v>17</v>
      </c>
      <c r="I41" t="s">
        <v>181</v>
      </c>
    </row>
    <row r="42" spans="1:9" x14ac:dyDescent="0.3">
      <c r="A42" t="s">
        <v>9</v>
      </c>
      <c r="B42" t="s">
        <v>120</v>
      </c>
      <c r="C42" t="s">
        <v>13</v>
      </c>
      <c r="D42" t="s">
        <v>182</v>
      </c>
      <c r="E42" t="s">
        <v>183</v>
      </c>
      <c r="F42" t="s">
        <v>184</v>
      </c>
      <c r="G42" t="s">
        <v>185</v>
      </c>
      <c r="H42" t="s">
        <v>17</v>
      </c>
      <c r="I42" t="s">
        <v>186</v>
      </c>
    </row>
    <row r="43" spans="1:9" x14ac:dyDescent="0.3">
      <c r="A43" t="s">
        <v>9</v>
      </c>
      <c r="B43" t="s">
        <v>120</v>
      </c>
      <c r="C43" t="s">
        <v>13</v>
      </c>
      <c r="D43" t="s">
        <v>187</v>
      </c>
      <c r="E43" t="s">
        <v>188</v>
      </c>
      <c r="F43" t="s">
        <v>189</v>
      </c>
      <c r="G43" t="s">
        <v>190</v>
      </c>
      <c r="H43" t="s">
        <v>17</v>
      </c>
      <c r="I43" t="s">
        <v>191</v>
      </c>
    </row>
    <row r="44" spans="1:9" x14ac:dyDescent="0.3">
      <c r="A44" t="s">
        <v>9</v>
      </c>
      <c r="B44" t="s">
        <v>192</v>
      </c>
      <c r="C44" t="s">
        <v>13</v>
      </c>
      <c r="D44" t="s">
        <v>193</v>
      </c>
      <c r="E44" t="s">
        <v>194</v>
      </c>
      <c r="F44" t="s">
        <v>195</v>
      </c>
      <c r="G44" t="s">
        <v>196</v>
      </c>
      <c r="H44" t="s">
        <v>17</v>
      </c>
      <c r="I44" t="s">
        <v>197</v>
      </c>
    </row>
    <row r="45" spans="1:9" x14ac:dyDescent="0.3">
      <c r="A45" t="s">
        <v>9</v>
      </c>
      <c r="B45" t="s">
        <v>192</v>
      </c>
      <c r="C45" t="s">
        <v>13</v>
      </c>
      <c r="D45" t="s">
        <v>198</v>
      </c>
      <c r="E45" t="s">
        <v>199</v>
      </c>
      <c r="F45" t="s">
        <v>200</v>
      </c>
      <c r="G45" t="s">
        <v>201</v>
      </c>
      <c r="H45" t="s">
        <v>17</v>
      </c>
      <c r="I45" t="s">
        <v>197</v>
      </c>
    </row>
    <row r="46" spans="1:9" x14ac:dyDescent="0.3">
      <c r="A46" t="s">
        <v>9</v>
      </c>
      <c r="B46" t="s">
        <v>192</v>
      </c>
      <c r="C46" t="s">
        <v>13</v>
      </c>
      <c r="D46" t="s">
        <v>202</v>
      </c>
      <c r="E46" t="s">
        <v>203</v>
      </c>
      <c r="F46" t="s">
        <v>204</v>
      </c>
      <c r="G46" t="s">
        <v>205</v>
      </c>
      <c r="H46" t="s">
        <v>17</v>
      </c>
      <c r="I46" t="s">
        <v>197</v>
      </c>
    </row>
    <row r="47" spans="1:9" x14ac:dyDescent="0.3">
      <c r="A47" t="s">
        <v>9</v>
      </c>
      <c r="B47" t="s">
        <v>192</v>
      </c>
      <c r="C47" t="s">
        <v>13</v>
      </c>
      <c r="D47" t="s">
        <v>206</v>
      </c>
      <c r="E47" t="s">
        <v>207</v>
      </c>
      <c r="F47" t="s">
        <v>208</v>
      </c>
      <c r="G47" t="s">
        <v>209</v>
      </c>
      <c r="H47" t="s">
        <v>17</v>
      </c>
      <c r="I47" t="s">
        <v>197</v>
      </c>
    </row>
    <row r="48" spans="1:9" x14ac:dyDescent="0.3">
      <c r="A48" t="s">
        <v>9</v>
      </c>
      <c r="B48" t="s">
        <v>192</v>
      </c>
      <c r="C48" t="s">
        <v>13</v>
      </c>
      <c r="D48" t="s">
        <v>210</v>
      </c>
      <c r="E48" t="s">
        <v>211</v>
      </c>
      <c r="F48" t="s">
        <v>212</v>
      </c>
      <c r="G48" t="s">
        <v>213</v>
      </c>
      <c r="H48" t="s">
        <v>17</v>
      </c>
      <c r="I48" t="s">
        <v>197</v>
      </c>
    </row>
    <row r="49" spans="1:9" x14ac:dyDescent="0.3">
      <c r="A49" t="s">
        <v>9</v>
      </c>
      <c r="B49" t="s">
        <v>192</v>
      </c>
      <c r="C49" t="s">
        <v>13</v>
      </c>
      <c r="D49" t="s">
        <v>214</v>
      </c>
      <c r="E49" t="s">
        <v>215</v>
      </c>
      <c r="F49" t="s">
        <v>216</v>
      </c>
      <c r="G49" t="s">
        <v>217</v>
      </c>
      <c r="H49" t="s">
        <v>17</v>
      </c>
      <c r="I49" t="s">
        <v>197</v>
      </c>
    </row>
    <row r="50" spans="1:9" x14ac:dyDescent="0.3">
      <c r="A50" t="s">
        <v>9</v>
      </c>
      <c r="B50" t="s">
        <v>192</v>
      </c>
      <c r="C50" t="s">
        <v>13</v>
      </c>
      <c r="D50" t="s">
        <v>218</v>
      </c>
      <c r="E50" t="s">
        <v>219</v>
      </c>
      <c r="F50" t="s">
        <v>220</v>
      </c>
      <c r="G50" t="s">
        <v>221</v>
      </c>
      <c r="H50" t="s">
        <v>17</v>
      </c>
      <c r="I50" t="s">
        <v>222</v>
      </c>
    </row>
    <row r="51" spans="1:9" x14ac:dyDescent="0.3">
      <c r="A51" t="s">
        <v>9</v>
      </c>
      <c r="B51" t="s">
        <v>192</v>
      </c>
      <c r="C51" t="s">
        <v>13</v>
      </c>
      <c r="D51" t="s">
        <v>223</v>
      </c>
      <c r="E51" t="s">
        <v>224</v>
      </c>
      <c r="F51" t="s">
        <v>225</v>
      </c>
      <c r="G51" t="s">
        <v>226</v>
      </c>
      <c r="H51" t="s">
        <v>17</v>
      </c>
      <c r="I51" t="s">
        <v>222</v>
      </c>
    </row>
    <row r="52" spans="1:9" x14ac:dyDescent="0.3">
      <c r="A52" t="s">
        <v>9</v>
      </c>
      <c r="B52" t="s">
        <v>227</v>
      </c>
      <c r="C52" t="s">
        <v>13</v>
      </c>
      <c r="D52" t="s">
        <v>228</v>
      </c>
      <c r="E52" t="s">
        <v>229</v>
      </c>
      <c r="F52" t="s">
        <v>230</v>
      </c>
      <c r="G52" t="s">
        <v>231</v>
      </c>
      <c r="H52" t="s">
        <v>17</v>
      </c>
      <c r="I52" t="s">
        <v>232</v>
      </c>
    </row>
    <row r="53" spans="1:9" x14ac:dyDescent="0.3">
      <c r="A53" t="s">
        <v>9</v>
      </c>
      <c r="B53" t="s">
        <v>227</v>
      </c>
      <c r="C53" t="s">
        <v>13</v>
      </c>
      <c r="D53" t="s">
        <v>233</v>
      </c>
      <c r="E53" t="s">
        <v>234</v>
      </c>
      <c r="F53" t="s">
        <v>235</v>
      </c>
      <c r="G53" t="s">
        <v>231</v>
      </c>
      <c r="H53" t="s">
        <v>17</v>
      </c>
      <c r="I53" t="s">
        <v>232</v>
      </c>
    </row>
    <row r="54" spans="1:9" x14ac:dyDescent="0.3">
      <c r="A54" t="s">
        <v>9</v>
      </c>
      <c r="B54" t="s">
        <v>227</v>
      </c>
      <c r="C54" t="s">
        <v>13</v>
      </c>
      <c r="D54" t="s">
        <v>236</v>
      </c>
      <c r="E54" t="s">
        <v>237</v>
      </c>
      <c r="F54" t="s">
        <v>238</v>
      </c>
      <c r="G54" t="s">
        <v>231</v>
      </c>
      <c r="H54" t="s">
        <v>17</v>
      </c>
      <c r="I54" t="s">
        <v>232</v>
      </c>
    </row>
    <row r="55" spans="1:9" x14ac:dyDescent="0.3">
      <c r="A55" t="s">
        <v>9</v>
      </c>
      <c r="B55" t="s">
        <v>227</v>
      </c>
      <c r="C55" t="s">
        <v>13</v>
      </c>
      <c r="D55" t="s">
        <v>239</v>
      </c>
      <c r="E55" t="s">
        <v>240</v>
      </c>
      <c r="F55" t="s">
        <v>241</v>
      </c>
      <c r="G55" t="s">
        <v>242</v>
      </c>
      <c r="H55" t="s">
        <v>17</v>
      </c>
      <c r="I55" t="s">
        <v>243</v>
      </c>
    </row>
    <row r="56" spans="1:9" x14ac:dyDescent="0.3">
      <c r="A56" t="s">
        <v>9</v>
      </c>
      <c r="B56" t="s">
        <v>244</v>
      </c>
      <c r="C56" t="s">
        <v>13</v>
      </c>
      <c r="D56" t="s">
        <v>245</v>
      </c>
      <c r="E56" t="s">
        <v>246</v>
      </c>
      <c r="F56" t="s">
        <v>247</v>
      </c>
      <c r="G56" t="s">
        <v>248</v>
      </c>
      <c r="H56" t="s">
        <v>17</v>
      </c>
      <c r="I56" t="s">
        <v>249</v>
      </c>
    </row>
    <row r="57" spans="1:9" x14ac:dyDescent="0.3">
      <c r="A57" t="s">
        <v>9</v>
      </c>
      <c r="B57" t="s">
        <v>244</v>
      </c>
      <c r="C57" t="s">
        <v>13</v>
      </c>
      <c r="D57" t="s">
        <v>250</v>
      </c>
      <c r="E57" t="s">
        <v>251</v>
      </c>
      <c r="F57" t="s">
        <v>252</v>
      </c>
      <c r="G57" t="s">
        <v>248</v>
      </c>
      <c r="H57" t="s">
        <v>17</v>
      </c>
      <c r="I57" t="s">
        <v>249</v>
      </c>
    </row>
    <row r="58" spans="1:9" x14ac:dyDescent="0.3">
      <c r="A58" t="s">
        <v>9</v>
      </c>
      <c r="B58" t="s">
        <v>244</v>
      </c>
      <c r="C58" t="s">
        <v>13</v>
      </c>
      <c r="D58" t="s">
        <v>253</v>
      </c>
      <c r="E58" t="s">
        <v>254</v>
      </c>
      <c r="F58" t="s">
        <v>255</v>
      </c>
      <c r="G58" t="s">
        <v>248</v>
      </c>
      <c r="H58" t="s">
        <v>17</v>
      </c>
      <c r="I58" t="s">
        <v>249</v>
      </c>
    </row>
    <row r="59" spans="1:9" x14ac:dyDescent="0.3">
      <c r="A59" t="s">
        <v>9</v>
      </c>
      <c r="B59" t="s">
        <v>244</v>
      </c>
      <c r="C59" t="s">
        <v>13</v>
      </c>
      <c r="D59" t="s">
        <v>256</v>
      </c>
      <c r="E59" t="s">
        <v>257</v>
      </c>
      <c r="F59" t="s">
        <v>258</v>
      </c>
      <c r="G59" t="s">
        <v>248</v>
      </c>
      <c r="H59" t="s">
        <v>17</v>
      </c>
      <c r="I59" t="s">
        <v>249</v>
      </c>
    </row>
    <row r="60" spans="1:9" x14ac:dyDescent="0.3">
      <c r="A60" t="s">
        <v>9</v>
      </c>
      <c r="B60" t="s">
        <v>244</v>
      </c>
      <c r="C60" t="s">
        <v>13</v>
      </c>
      <c r="D60" t="s">
        <v>259</v>
      </c>
      <c r="E60" t="s">
        <v>260</v>
      </c>
      <c r="F60" t="s">
        <v>261</v>
      </c>
      <c r="G60" t="s">
        <v>248</v>
      </c>
      <c r="H60" t="s">
        <v>17</v>
      </c>
      <c r="I60" t="s">
        <v>249</v>
      </c>
    </row>
    <row r="61" spans="1:9" x14ac:dyDescent="0.3">
      <c r="A61" t="s">
        <v>9</v>
      </c>
      <c r="B61" t="s">
        <v>244</v>
      </c>
      <c r="C61" t="s">
        <v>13</v>
      </c>
      <c r="D61" t="s">
        <v>262</v>
      </c>
      <c r="E61" t="s">
        <v>263</v>
      </c>
      <c r="F61" t="s">
        <v>264</v>
      </c>
      <c r="G61" t="s">
        <v>248</v>
      </c>
      <c r="H61" t="s">
        <v>17</v>
      </c>
      <c r="I61" t="s">
        <v>249</v>
      </c>
    </row>
    <row r="62" spans="1:9" x14ac:dyDescent="0.3">
      <c r="A62" t="s">
        <v>9</v>
      </c>
      <c r="B62" t="s">
        <v>244</v>
      </c>
      <c r="C62" t="s">
        <v>13</v>
      </c>
      <c r="D62" t="s">
        <v>265</v>
      </c>
      <c r="E62" t="s">
        <v>266</v>
      </c>
      <c r="F62" t="s">
        <v>267</v>
      </c>
      <c r="G62" t="s">
        <v>248</v>
      </c>
      <c r="H62" t="s">
        <v>17</v>
      </c>
      <c r="I62" t="s">
        <v>249</v>
      </c>
    </row>
    <row r="63" spans="1:9" x14ac:dyDescent="0.3">
      <c r="A63" t="s">
        <v>9</v>
      </c>
      <c r="B63" t="s">
        <v>244</v>
      </c>
      <c r="C63" t="s">
        <v>13</v>
      </c>
      <c r="D63" t="s">
        <v>268</v>
      </c>
      <c r="E63" t="s">
        <v>269</v>
      </c>
      <c r="F63" t="s">
        <v>270</v>
      </c>
      <c r="G63" t="s">
        <v>271</v>
      </c>
      <c r="H63" t="s">
        <v>17</v>
      </c>
      <c r="I63" t="s">
        <v>272</v>
      </c>
    </row>
    <row r="64" spans="1:9" x14ac:dyDescent="0.3">
      <c r="A64" t="s">
        <v>9</v>
      </c>
      <c r="B64" t="s">
        <v>244</v>
      </c>
      <c r="C64" t="s">
        <v>13</v>
      </c>
      <c r="D64" t="s">
        <v>273</v>
      </c>
      <c r="E64" t="s">
        <v>274</v>
      </c>
      <c r="F64" t="s">
        <v>275</v>
      </c>
      <c r="H64" t="s">
        <v>17</v>
      </c>
      <c r="I64" t="s">
        <v>249</v>
      </c>
    </row>
    <row r="65" spans="1:9" x14ac:dyDescent="0.3">
      <c r="A65" t="s">
        <v>9</v>
      </c>
      <c r="B65" t="s">
        <v>244</v>
      </c>
      <c r="C65" t="s">
        <v>13</v>
      </c>
      <c r="D65" t="s">
        <v>276</v>
      </c>
      <c r="E65" t="s">
        <v>277</v>
      </c>
      <c r="F65" t="s">
        <v>278</v>
      </c>
      <c r="H65" t="s">
        <v>17</v>
      </c>
      <c r="I65" t="s">
        <v>249</v>
      </c>
    </row>
    <row r="66" spans="1:9" x14ac:dyDescent="0.3">
      <c r="A66" t="s">
        <v>9</v>
      </c>
      <c r="B66" t="s">
        <v>244</v>
      </c>
      <c r="C66" t="s">
        <v>13</v>
      </c>
      <c r="D66" t="s">
        <v>279</v>
      </c>
      <c r="E66" t="s">
        <v>280</v>
      </c>
      <c r="F66" t="s">
        <v>281</v>
      </c>
      <c r="H66" t="s">
        <v>17</v>
      </c>
      <c r="I66" t="s">
        <v>249</v>
      </c>
    </row>
    <row r="67" spans="1:9" x14ac:dyDescent="0.3">
      <c r="A67" t="s">
        <v>9</v>
      </c>
      <c r="B67" t="s">
        <v>244</v>
      </c>
      <c r="C67" t="s">
        <v>13</v>
      </c>
      <c r="D67" t="s">
        <v>282</v>
      </c>
      <c r="E67" t="s">
        <v>283</v>
      </c>
      <c r="F67" t="s">
        <v>284</v>
      </c>
      <c r="H67" t="s">
        <v>17</v>
      </c>
      <c r="I67" t="s">
        <v>249</v>
      </c>
    </row>
    <row r="68" spans="1:9" x14ac:dyDescent="0.3">
      <c r="A68" t="s">
        <v>9</v>
      </c>
      <c r="B68" t="s">
        <v>244</v>
      </c>
      <c r="C68" t="s">
        <v>13</v>
      </c>
      <c r="D68" t="s">
        <v>285</v>
      </c>
      <c r="E68" t="s">
        <v>286</v>
      </c>
      <c r="F68" t="s">
        <v>287</v>
      </c>
      <c r="H68" t="s">
        <v>17</v>
      </c>
      <c r="I68" t="s">
        <v>249</v>
      </c>
    </row>
    <row r="69" spans="1:9" x14ac:dyDescent="0.3">
      <c r="A69" t="s">
        <v>9</v>
      </c>
      <c r="B69" t="s">
        <v>244</v>
      </c>
      <c r="C69" t="s">
        <v>13</v>
      </c>
      <c r="D69" t="s">
        <v>288</v>
      </c>
      <c r="E69" t="s">
        <v>289</v>
      </c>
      <c r="F69" t="s">
        <v>290</v>
      </c>
      <c r="H69" t="s">
        <v>17</v>
      </c>
      <c r="I69" t="s">
        <v>249</v>
      </c>
    </row>
    <row r="70" spans="1:9" x14ac:dyDescent="0.3">
      <c r="A70" t="s">
        <v>9</v>
      </c>
      <c r="B70" t="s">
        <v>244</v>
      </c>
      <c r="C70" t="s">
        <v>13</v>
      </c>
      <c r="D70" t="s">
        <v>291</v>
      </c>
      <c r="E70" t="s">
        <v>292</v>
      </c>
      <c r="F70" t="s">
        <v>293</v>
      </c>
      <c r="H70" t="s">
        <v>17</v>
      </c>
      <c r="I70" t="s">
        <v>249</v>
      </c>
    </row>
    <row r="71" spans="1:9" x14ac:dyDescent="0.3">
      <c r="A71" t="s">
        <v>9</v>
      </c>
      <c r="B71" t="s">
        <v>244</v>
      </c>
      <c r="C71" t="s">
        <v>13</v>
      </c>
      <c r="D71" t="s">
        <v>294</v>
      </c>
      <c r="E71" t="s">
        <v>295</v>
      </c>
      <c r="F71" t="s">
        <v>296</v>
      </c>
      <c r="H71" t="s">
        <v>17</v>
      </c>
      <c r="I71" t="s">
        <v>249</v>
      </c>
    </row>
    <row r="72" spans="1:9" x14ac:dyDescent="0.3">
      <c r="A72" t="s">
        <v>9</v>
      </c>
      <c r="B72" t="s">
        <v>244</v>
      </c>
      <c r="C72" t="s">
        <v>13</v>
      </c>
      <c r="D72" t="s">
        <v>297</v>
      </c>
      <c r="E72" t="s">
        <v>298</v>
      </c>
      <c r="F72" t="s">
        <v>299</v>
      </c>
      <c r="H72" t="s">
        <v>17</v>
      </c>
      <c r="I72" t="s">
        <v>249</v>
      </c>
    </row>
    <row r="73" spans="1:9" x14ac:dyDescent="0.3">
      <c r="A73" t="s">
        <v>9</v>
      </c>
      <c r="B73" t="s">
        <v>244</v>
      </c>
      <c r="C73" t="s">
        <v>13</v>
      </c>
      <c r="D73" t="s">
        <v>300</v>
      </c>
      <c r="E73" t="s">
        <v>301</v>
      </c>
      <c r="F73" t="s">
        <v>302</v>
      </c>
      <c r="H73" t="s">
        <v>17</v>
      </c>
      <c r="I73" t="s">
        <v>249</v>
      </c>
    </row>
    <row r="74" spans="1:9" x14ac:dyDescent="0.3">
      <c r="A74" t="s">
        <v>9</v>
      </c>
      <c r="B74" t="s">
        <v>244</v>
      </c>
      <c r="C74" t="s">
        <v>13</v>
      </c>
      <c r="D74" t="s">
        <v>303</v>
      </c>
      <c r="E74" t="s">
        <v>304</v>
      </c>
      <c r="F74" t="s">
        <v>305</v>
      </c>
      <c r="G74" t="s">
        <v>306</v>
      </c>
      <c r="H74" t="s">
        <v>17</v>
      </c>
      <c r="I74" t="s">
        <v>307</v>
      </c>
    </row>
    <row r="75" spans="1:9" x14ac:dyDescent="0.3">
      <c r="A75" t="s">
        <v>9</v>
      </c>
      <c r="B75" t="s">
        <v>244</v>
      </c>
      <c r="C75" t="s">
        <v>13</v>
      </c>
      <c r="D75" t="s">
        <v>308</v>
      </c>
      <c r="E75" t="s">
        <v>309</v>
      </c>
      <c r="F75" t="s">
        <v>310</v>
      </c>
      <c r="G75" t="s">
        <v>311</v>
      </c>
      <c r="H75" t="s">
        <v>17</v>
      </c>
      <c r="I75" t="s">
        <v>307</v>
      </c>
    </row>
    <row r="76" spans="1:9" x14ac:dyDescent="0.3">
      <c r="A76" t="s">
        <v>9</v>
      </c>
      <c r="B76" t="s">
        <v>244</v>
      </c>
      <c r="C76" t="s">
        <v>13</v>
      </c>
      <c r="D76" t="s">
        <v>312</v>
      </c>
      <c r="E76" t="s">
        <v>313</v>
      </c>
      <c r="F76" t="s">
        <v>314</v>
      </c>
      <c r="G76" t="s">
        <v>315</v>
      </c>
      <c r="H76" t="s">
        <v>17</v>
      </c>
      <c r="I76" t="s">
        <v>307</v>
      </c>
    </row>
    <row r="77" spans="1:9" x14ac:dyDescent="0.3">
      <c r="A77" t="s">
        <v>9</v>
      </c>
      <c r="B77" t="s">
        <v>244</v>
      </c>
      <c r="C77" t="s">
        <v>13</v>
      </c>
      <c r="D77" t="s">
        <v>316</v>
      </c>
      <c r="E77" t="s">
        <v>317</v>
      </c>
      <c r="F77" t="s">
        <v>310</v>
      </c>
      <c r="G77" t="s">
        <v>318</v>
      </c>
      <c r="H77" t="s">
        <v>17</v>
      </c>
      <c r="I77" t="s">
        <v>307</v>
      </c>
    </row>
    <row r="78" spans="1:9" x14ac:dyDescent="0.3">
      <c r="A78" t="s">
        <v>9</v>
      </c>
      <c r="B78" t="s">
        <v>244</v>
      </c>
      <c r="C78" t="s">
        <v>13</v>
      </c>
      <c r="D78" t="s">
        <v>319</v>
      </c>
      <c r="E78" t="s">
        <v>320</v>
      </c>
      <c r="F78" t="s">
        <v>321</v>
      </c>
      <c r="G78" t="s">
        <v>322</v>
      </c>
      <c r="H78" t="s">
        <v>17</v>
      </c>
      <c r="I78" t="s">
        <v>307</v>
      </c>
    </row>
    <row r="79" spans="1:9" x14ac:dyDescent="0.3">
      <c r="A79" t="s">
        <v>9</v>
      </c>
      <c r="B79" t="s">
        <v>244</v>
      </c>
      <c r="C79" t="s">
        <v>13</v>
      </c>
      <c r="D79" t="s">
        <v>323</v>
      </c>
      <c r="E79" t="s">
        <v>324</v>
      </c>
      <c r="F79" t="s">
        <v>310</v>
      </c>
      <c r="G79" t="s">
        <v>325</v>
      </c>
      <c r="H79" t="s">
        <v>17</v>
      </c>
      <c r="I79" t="s">
        <v>307</v>
      </c>
    </row>
    <row r="80" spans="1:9" x14ac:dyDescent="0.3">
      <c r="A80" t="s">
        <v>9</v>
      </c>
      <c r="B80" t="s">
        <v>326</v>
      </c>
      <c r="C80" t="s">
        <v>13</v>
      </c>
      <c r="D80" t="s">
        <v>327</v>
      </c>
      <c r="E80" t="s">
        <v>328</v>
      </c>
      <c r="F80" t="s">
        <v>329</v>
      </c>
      <c r="G80" t="s">
        <v>330</v>
      </c>
      <c r="H80" t="s">
        <v>17</v>
      </c>
      <c r="I80" t="s">
        <v>331</v>
      </c>
    </row>
    <row r="81" spans="1:9" x14ac:dyDescent="0.3">
      <c r="A81" t="s">
        <v>9</v>
      </c>
      <c r="B81" t="s">
        <v>326</v>
      </c>
      <c r="C81" t="s">
        <v>13</v>
      </c>
      <c r="D81" t="s">
        <v>332</v>
      </c>
      <c r="E81" t="s">
        <v>333</v>
      </c>
      <c r="F81" t="s">
        <v>334</v>
      </c>
      <c r="G81" t="s">
        <v>330</v>
      </c>
      <c r="H81" t="s">
        <v>17</v>
      </c>
      <c r="I81" t="s">
        <v>331</v>
      </c>
    </row>
    <row r="82" spans="1:9" x14ac:dyDescent="0.3">
      <c r="A82" t="s">
        <v>9</v>
      </c>
      <c r="B82" t="s">
        <v>326</v>
      </c>
      <c r="C82" t="s">
        <v>13</v>
      </c>
      <c r="D82" t="s">
        <v>335</v>
      </c>
      <c r="E82" t="s">
        <v>336</v>
      </c>
      <c r="F82" t="s">
        <v>337</v>
      </c>
      <c r="G82" t="s">
        <v>330</v>
      </c>
      <c r="H82" t="s">
        <v>17</v>
      </c>
      <c r="I82" t="s">
        <v>331</v>
      </c>
    </row>
    <row r="83" spans="1:9" x14ac:dyDescent="0.3">
      <c r="A83" t="s">
        <v>9</v>
      </c>
      <c r="B83" t="s">
        <v>326</v>
      </c>
      <c r="C83" t="s">
        <v>13</v>
      </c>
      <c r="D83" t="s">
        <v>338</v>
      </c>
      <c r="E83" t="s">
        <v>339</v>
      </c>
      <c r="F83" t="s">
        <v>340</v>
      </c>
      <c r="G83" t="s">
        <v>330</v>
      </c>
      <c r="H83" t="s">
        <v>17</v>
      </c>
      <c r="I83" t="s">
        <v>331</v>
      </c>
    </row>
    <row r="84" spans="1:9" x14ac:dyDescent="0.3">
      <c r="A84" t="s">
        <v>9</v>
      </c>
      <c r="B84" t="s">
        <v>326</v>
      </c>
      <c r="C84" t="s">
        <v>13</v>
      </c>
      <c r="D84" t="s">
        <v>341</v>
      </c>
      <c r="E84" t="s">
        <v>342</v>
      </c>
      <c r="F84" t="s">
        <v>343</v>
      </c>
      <c r="G84" t="s">
        <v>330</v>
      </c>
      <c r="H84" t="s">
        <v>17</v>
      </c>
      <c r="I84" t="s">
        <v>331</v>
      </c>
    </row>
    <row r="85" spans="1:9" x14ac:dyDescent="0.3">
      <c r="A85" t="s">
        <v>9</v>
      </c>
      <c r="B85" t="s">
        <v>326</v>
      </c>
      <c r="C85" t="s">
        <v>13</v>
      </c>
      <c r="D85" t="s">
        <v>344</v>
      </c>
      <c r="E85" t="s">
        <v>345</v>
      </c>
      <c r="F85" t="s">
        <v>346</v>
      </c>
      <c r="G85" t="s">
        <v>330</v>
      </c>
      <c r="H85" t="s">
        <v>17</v>
      </c>
      <c r="I85" t="s">
        <v>331</v>
      </c>
    </row>
    <row r="86" spans="1:9" x14ac:dyDescent="0.3">
      <c r="A86" t="s">
        <v>9</v>
      </c>
      <c r="B86" t="s">
        <v>326</v>
      </c>
      <c r="C86" t="s">
        <v>13</v>
      </c>
      <c r="D86" t="s">
        <v>347</v>
      </c>
      <c r="E86" t="s">
        <v>348</v>
      </c>
      <c r="F86" t="s">
        <v>349</v>
      </c>
      <c r="G86" t="s">
        <v>350</v>
      </c>
      <c r="H86" t="s">
        <v>17</v>
      </c>
      <c r="I86" t="s">
        <v>351</v>
      </c>
    </row>
    <row r="87" spans="1:9" x14ac:dyDescent="0.3">
      <c r="A87" t="s">
        <v>9</v>
      </c>
      <c r="B87" t="s">
        <v>352</v>
      </c>
      <c r="C87" t="s">
        <v>13</v>
      </c>
      <c r="D87" t="s">
        <v>353</v>
      </c>
      <c r="E87" t="s">
        <v>354</v>
      </c>
      <c r="F87" t="s">
        <v>355</v>
      </c>
      <c r="G87" t="s">
        <v>356</v>
      </c>
      <c r="H87" t="s">
        <v>17</v>
      </c>
      <c r="I87" t="s">
        <v>357</v>
      </c>
    </row>
    <row r="88" spans="1:9" x14ac:dyDescent="0.3">
      <c r="A88" t="s">
        <v>9</v>
      </c>
      <c r="B88" t="s">
        <v>352</v>
      </c>
      <c r="C88" t="s">
        <v>13</v>
      </c>
      <c r="D88" t="s">
        <v>358</v>
      </c>
      <c r="E88" t="s">
        <v>359</v>
      </c>
      <c r="F88" t="s">
        <v>360</v>
      </c>
      <c r="G88" t="s">
        <v>356</v>
      </c>
      <c r="H88" t="s">
        <v>17</v>
      </c>
      <c r="I88" t="s">
        <v>357</v>
      </c>
    </row>
    <row r="89" spans="1:9" x14ac:dyDescent="0.3">
      <c r="A89" t="s">
        <v>9</v>
      </c>
      <c r="B89" t="s">
        <v>352</v>
      </c>
      <c r="C89" t="s">
        <v>13</v>
      </c>
      <c r="D89" t="s">
        <v>361</v>
      </c>
      <c r="E89" t="s">
        <v>362</v>
      </c>
      <c r="F89" t="s">
        <v>363</v>
      </c>
      <c r="G89" t="s">
        <v>356</v>
      </c>
      <c r="H89" t="s">
        <v>17</v>
      </c>
      <c r="I89" t="s">
        <v>357</v>
      </c>
    </row>
    <row r="90" spans="1:9" x14ac:dyDescent="0.3">
      <c r="A90" t="s">
        <v>9</v>
      </c>
      <c r="B90" t="s">
        <v>352</v>
      </c>
      <c r="C90" t="s">
        <v>13</v>
      </c>
      <c r="D90" t="s">
        <v>364</v>
      </c>
      <c r="E90" t="s">
        <v>365</v>
      </c>
      <c r="F90" t="s">
        <v>366</v>
      </c>
      <c r="G90" t="s">
        <v>356</v>
      </c>
      <c r="H90" t="s">
        <v>17</v>
      </c>
      <c r="I90" t="s">
        <v>357</v>
      </c>
    </row>
    <row r="91" spans="1:9" x14ac:dyDescent="0.3">
      <c r="A91" t="s">
        <v>9</v>
      </c>
      <c r="B91" t="s">
        <v>352</v>
      </c>
      <c r="C91" t="s">
        <v>13</v>
      </c>
      <c r="D91" t="s">
        <v>367</v>
      </c>
      <c r="E91" t="s">
        <v>368</v>
      </c>
      <c r="F91" t="s">
        <v>369</v>
      </c>
      <c r="G91" t="s">
        <v>356</v>
      </c>
      <c r="H91" t="s">
        <v>17</v>
      </c>
      <c r="I91" t="s">
        <v>357</v>
      </c>
    </row>
    <row r="92" spans="1:9" x14ac:dyDescent="0.3">
      <c r="A92" t="s">
        <v>9</v>
      </c>
      <c r="B92" t="s">
        <v>352</v>
      </c>
      <c r="C92" t="s">
        <v>13</v>
      </c>
      <c r="D92" t="s">
        <v>370</v>
      </c>
      <c r="E92" t="s">
        <v>371</v>
      </c>
      <c r="F92" t="s">
        <v>372</v>
      </c>
      <c r="G92" t="s">
        <v>356</v>
      </c>
      <c r="H92" t="s">
        <v>17</v>
      </c>
      <c r="I92" t="s">
        <v>357</v>
      </c>
    </row>
    <row r="93" spans="1:9" x14ac:dyDescent="0.3">
      <c r="A93" t="s">
        <v>9</v>
      </c>
      <c r="B93" t="s">
        <v>352</v>
      </c>
      <c r="C93" t="s">
        <v>13</v>
      </c>
      <c r="D93" t="s">
        <v>373</v>
      </c>
      <c r="E93" t="s">
        <v>374</v>
      </c>
      <c r="F93" t="s">
        <v>375</v>
      </c>
      <c r="G93" t="s">
        <v>356</v>
      </c>
      <c r="H93" t="s">
        <v>17</v>
      </c>
      <c r="I93" t="s">
        <v>357</v>
      </c>
    </row>
    <row r="94" spans="1:9" x14ac:dyDescent="0.3">
      <c r="A94" t="s">
        <v>9</v>
      </c>
      <c r="B94" t="s">
        <v>352</v>
      </c>
      <c r="C94" t="s">
        <v>13</v>
      </c>
      <c r="D94" t="s">
        <v>376</v>
      </c>
      <c r="E94" t="s">
        <v>377</v>
      </c>
      <c r="F94" t="s">
        <v>378</v>
      </c>
      <c r="G94" t="s">
        <v>379</v>
      </c>
      <c r="H94" t="s">
        <v>17</v>
      </c>
      <c r="I94" t="s">
        <v>380</v>
      </c>
    </row>
    <row r="95" spans="1:9" x14ac:dyDescent="0.3">
      <c r="A95" t="s">
        <v>9</v>
      </c>
      <c r="B95" t="s">
        <v>381</v>
      </c>
      <c r="C95" t="s">
        <v>13</v>
      </c>
      <c r="D95" t="s">
        <v>382</v>
      </c>
      <c r="E95" t="s">
        <v>383</v>
      </c>
      <c r="F95" t="s">
        <v>384</v>
      </c>
      <c r="G95" t="s">
        <v>385</v>
      </c>
      <c r="H95" t="s">
        <v>17</v>
      </c>
      <c r="I95" t="s">
        <v>386</v>
      </c>
    </row>
    <row r="96" spans="1:9" x14ac:dyDescent="0.3">
      <c r="A96" t="s">
        <v>9</v>
      </c>
      <c r="B96" t="s">
        <v>381</v>
      </c>
      <c r="C96" t="s">
        <v>13</v>
      </c>
      <c r="D96" t="s">
        <v>387</v>
      </c>
      <c r="E96" t="s">
        <v>388</v>
      </c>
      <c r="F96" t="s">
        <v>389</v>
      </c>
      <c r="G96" t="s">
        <v>390</v>
      </c>
      <c r="H96" t="s">
        <v>17</v>
      </c>
      <c r="I96" t="s">
        <v>386</v>
      </c>
    </row>
    <row r="97" spans="1:9" x14ac:dyDescent="0.3">
      <c r="A97" t="s">
        <v>9</v>
      </c>
      <c r="B97" t="s">
        <v>381</v>
      </c>
      <c r="C97" t="s">
        <v>13</v>
      </c>
      <c r="D97" t="s">
        <v>391</v>
      </c>
      <c r="E97" t="s">
        <v>392</v>
      </c>
      <c r="F97" t="s">
        <v>393</v>
      </c>
      <c r="G97" t="s">
        <v>390</v>
      </c>
      <c r="H97" t="s">
        <v>17</v>
      </c>
      <c r="I97" t="s">
        <v>386</v>
      </c>
    </row>
    <row r="98" spans="1:9" x14ac:dyDescent="0.3">
      <c r="A98" t="s">
        <v>9</v>
      </c>
      <c r="B98" t="s">
        <v>381</v>
      </c>
      <c r="C98" t="s">
        <v>13</v>
      </c>
      <c r="D98" t="s">
        <v>394</v>
      </c>
      <c r="E98" t="s">
        <v>395</v>
      </c>
      <c r="F98" t="s">
        <v>396</v>
      </c>
      <c r="G98" t="s">
        <v>390</v>
      </c>
      <c r="H98" t="s">
        <v>17</v>
      </c>
      <c r="I98" t="s">
        <v>386</v>
      </c>
    </row>
    <row r="99" spans="1:9" x14ac:dyDescent="0.3">
      <c r="A99" t="s">
        <v>9</v>
      </c>
      <c r="B99" t="s">
        <v>381</v>
      </c>
      <c r="C99" t="s">
        <v>13</v>
      </c>
      <c r="D99" t="s">
        <v>397</v>
      </c>
      <c r="E99" t="s">
        <v>398</v>
      </c>
      <c r="F99" t="s">
        <v>399</v>
      </c>
      <c r="G99" t="s">
        <v>390</v>
      </c>
      <c r="H99" t="s">
        <v>17</v>
      </c>
      <c r="I99" t="s">
        <v>386</v>
      </c>
    </row>
    <row r="100" spans="1:9" x14ac:dyDescent="0.3">
      <c r="A100" t="s">
        <v>9</v>
      </c>
      <c r="B100" t="s">
        <v>381</v>
      </c>
      <c r="C100" t="s">
        <v>13</v>
      </c>
      <c r="D100" t="s">
        <v>400</v>
      </c>
      <c r="E100" t="s">
        <v>401</v>
      </c>
      <c r="F100" t="s">
        <v>402</v>
      </c>
      <c r="G100" t="s">
        <v>390</v>
      </c>
      <c r="H100" t="s">
        <v>17</v>
      </c>
      <c r="I100" t="s">
        <v>386</v>
      </c>
    </row>
    <row r="101" spans="1:9" x14ac:dyDescent="0.3">
      <c r="A101" t="s">
        <v>9</v>
      </c>
      <c r="B101" t="s">
        <v>381</v>
      </c>
      <c r="C101" t="s">
        <v>13</v>
      </c>
      <c r="D101" t="s">
        <v>403</v>
      </c>
      <c r="E101" t="s">
        <v>404</v>
      </c>
      <c r="F101" t="s">
        <v>405</v>
      </c>
      <c r="G101" t="s">
        <v>390</v>
      </c>
      <c r="H101" t="s">
        <v>17</v>
      </c>
      <c r="I101" t="s">
        <v>386</v>
      </c>
    </row>
    <row r="102" spans="1:9" x14ac:dyDescent="0.3">
      <c r="A102" t="s">
        <v>9</v>
      </c>
      <c r="B102" t="s">
        <v>381</v>
      </c>
      <c r="C102" t="s">
        <v>13</v>
      </c>
      <c r="D102" t="s">
        <v>406</v>
      </c>
      <c r="E102" t="s">
        <v>407</v>
      </c>
      <c r="F102" t="s">
        <v>408</v>
      </c>
      <c r="G102" t="s">
        <v>390</v>
      </c>
      <c r="H102" t="s">
        <v>17</v>
      </c>
      <c r="I102" t="s">
        <v>386</v>
      </c>
    </row>
    <row r="103" spans="1:9" x14ac:dyDescent="0.3">
      <c r="A103" t="s">
        <v>9</v>
      </c>
      <c r="B103" t="s">
        <v>409</v>
      </c>
      <c r="C103" t="s">
        <v>13</v>
      </c>
      <c r="D103" t="s">
        <v>410</v>
      </c>
      <c r="E103" t="s">
        <v>411</v>
      </c>
      <c r="F103" t="s">
        <v>412</v>
      </c>
      <c r="G103" t="s">
        <v>413</v>
      </c>
      <c r="H103" t="s">
        <v>17</v>
      </c>
      <c r="I103" t="s">
        <v>414</v>
      </c>
    </row>
    <row r="104" spans="1:9" x14ac:dyDescent="0.3">
      <c r="A104" t="s">
        <v>9</v>
      </c>
      <c r="B104" t="s">
        <v>409</v>
      </c>
      <c r="C104" t="s">
        <v>13</v>
      </c>
      <c r="D104" t="s">
        <v>415</v>
      </c>
      <c r="E104" t="s">
        <v>416</v>
      </c>
      <c r="F104" t="s">
        <v>417</v>
      </c>
      <c r="G104" t="s">
        <v>418</v>
      </c>
      <c r="H104" t="s">
        <v>17</v>
      </c>
      <c r="I104" t="s">
        <v>419</v>
      </c>
    </row>
    <row r="105" spans="1:9" x14ac:dyDescent="0.3">
      <c r="A105" t="s">
        <v>9</v>
      </c>
      <c r="B105" t="s">
        <v>409</v>
      </c>
      <c r="C105" t="s">
        <v>13</v>
      </c>
      <c r="D105" t="s">
        <v>420</v>
      </c>
      <c r="E105" t="s">
        <v>421</v>
      </c>
      <c r="F105" t="s">
        <v>422</v>
      </c>
      <c r="G105" t="s">
        <v>418</v>
      </c>
      <c r="H105" t="s">
        <v>17</v>
      </c>
      <c r="I105" t="s">
        <v>419</v>
      </c>
    </row>
    <row r="106" spans="1:9" x14ac:dyDescent="0.3">
      <c r="A106" t="s">
        <v>9</v>
      </c>
      <c r="B106" t="s">
        <v>409</v>
      </c>
      <c r="C106" t="s">
        <v>13</v>
      </c>
      <c r="D106" t="s">
        <v>423</v>
      </c>
      <c r="E106" t="s">
        <v>424</v>
      </c>
      <c r="F106" t="s">
        <v>425</v>
      </c>
      <c r="G106" t="s">
        <v>418</v>
      </c>
      <c r="H106" t="s">
        <v>17</v>
      </c>
      <c r="I106" t="s">
        <v>419</v>
      </c>
    </row>
    <row r="107" spans="1:9" x14ac:dyDescent="0.3">
      <c r="A107" t="s">
        <v>9</v>
      </c>
      <c r="B107" t="s">
        <v>409</v>
      </c>
      <c r="C107" t="s">
        <v>13</v>
      </c>
      <c r="D107" t="s">
        <v>426</v>
      </c>
      <c r="E107" t="s">
        <v>427</v>
      </c>
      <c r="F107" t="s">
        <v>428</v>
      </c>
      <c r="G107" t="s">
        <v>418</v>
      </c>
      <c r="H107" t="s">
        <v>17</v>
      </c>
      <c r="I107" t="s">
        <v>419</v>
      </c>
    </row>
    <row r="108" spans="1:9" x14ac:dyDescent="0.3">
      <c r="A108" t="s">
        <v>9</v>
      </c>
      <c r="B108" t="s">
        <v>409</v>
      </c>
      <c r="C108" t="s">
        <v>13</v>
      </c>
      <c r="D108" t="s">
        <v>429</v>
      </c>
      <c r="E108" t="s">
        <v>430</v>
      </c>
      <c r="F108" t="s">
        <v>431</v>
      </c>
      <c r="G108" t="s">
        <v>418</v>
      </c>
      <c r="H108" t="s">
        <v>17</v>
      </c>
      <c r="I108" t="s">
        <v>419</v>
      </c>
    </row>
    <row r="109" spans="1:9" x14ac:dyDescent="0.3">
      <c r="A109" t="s">
        <v>9</v>
      </c>
      <c r="B109" t="s">
        <v>409</v>
      </c>
      <c r="C109" t="s">
        <v>13</v>
      </c>
      <c r="D109" t="s">
        <v>432</v>
      </c>
      <c r="E109" t="s">
        <v>433</v>
      </c>
      <c r="F109" t="s">
        <v>434</v>
      </c>
      <c r="G109" t="s">
        <v>418</v>
      </c>
      <c r="H109" t="s">
        <v>17</v>
      </c>
      <c r="I109" t="s">
        <v>419</v>
      </c>
    </row>
    <row r="110" spans="1:9" x14ac:dyDescent="0.3">
      <c r="A110" t="s">
        <v>9</v>
      </c>
      <c r="B110" t="s">
        <v>409</v>
      </c>
      <c r="C110" t="s">
        <v>13</v>
      </c>
      <c r="D110" t="s">
        <v>435</v>
      </c>
      <c r="E110" t="s">
        <v>436</v>
      </c>
      <c r="F110" t="s">
        <v>437</v>
      </c>
      <c r="G110" t="s">
        <v>418</v>
      </c>
      <c r="H110" t="s">
        <v>17</v>
      </c>
      <c r="I110" t="s">
        <v>419</v>
      </c>
    </row>
    <row r="111" spans="1:9" x14ac:dyDescent="0.3">
      <c r="A111" t="s">
        <v>9</v>
      </c>
      <c r="B111" t="s">
        <v>409</v>
      </c>
      <c r="C111" t="s">
        <v>13</v>
      </c>
      <c r="D111" t="s">
        <v>438</v>
      </c>
      <c r="E111" t="s">
        <v>439</v>
      </c>
      <c r="F111" t="s">
        <v>440</v>
      </c>
      <c r="G111" t="s">
        <v>418</v>
      </c>
      <c r="H111" t="s">
        <v>17</v>
      </c>
      <c r="I111" t="s">
        <v>419</v>
      </c>
    </row>
    <row r="112" spans="1:9" x14ac:dyDescent="0.3">
      <c r="A112" t="s">
        <v>9</v>
      </c>
      <c r="B112" t="s">
        <v>409</v>
      </c>
      <c r="C112" t="s">
        <v>13</v>
      </c>
      <c r="D112" t="s">
        <v>441</v>
      </c>
      <c r="E112" t="s">
        <v>442</v>
      </c>
      <c r="F112" t="s">
        <v>443</v>
      </c>
      <c r="G112" t="s">
        <v>418</v>
      </c>
      <c r="H112" t="s">
        <v>17</v>
      </c>
      <c r="I112" t="s">
        <v>419</v>
      </c>
    </row>
    <row r="113" spans="1:9" x14ac:dyDescent="0.3">
      <c r="A113" t="s">
        <v>9</v>
      </c>
      <c r="B113" t="s">
        <v>409</v>
      </c>
      <c r="C113" t="s">
        <v>13</v>
      </c>
      <c r="D113" t="s">
        <v>444</v>
      </c>
      <c r="E113" t="s">
        <v>445</v>
      </c>
      <c r="F113" t="s">
        <v>446</v>
      </c>
      <c r="G113" t="s">
        <v>418</v>
      </c>
      <c r="H113" t="s">
        <v>17</v>
      </c>
      <c r="I113" t="s">
        <v>419</v>
      </c>
    </row>
    <row r="114" spans="1:9" x14ac:dyDescent="0.3">
      <c r="A114" t="s">
        <v>9</v>
      </c>
      <c r="B114" t="s">
        <v>447</v>
      </c>
      <c r="C114" t="s">
        <v>13</v>
      </c>
      <c r="D114" t="s">
        <v>448</v>
      </c>
      <c r="E114" t="s">
        <v>449</v>
      </c>
      <c r="F114" t="s">
        <v>450</v>
      </c>
      <c r="G114" t="s">
        <v>451</v>
      </c>
      <c r="H114" t="s">
        <v>17</v>
      </c>
      <c r="I114" t="s">
        <v>452</v>
      </c>
    </row>
    <row r="115" spans="1:9" x14ac:dyDescent="0.3">
      <c r="A115" t="s">
        <v>9</v>
      </c>
      <c r="B115" t="s">
        <v>447</v>
      </c>
      <c r="C115" t="s">
        <v>13</v>
      </c>
      <c r="D115" t="s">
        <v>453</v>
      </c>
      <c r="E115" t="s">
        <v>454</v>
      </c>
      <c r="F115" t="s">
        <v>455</v>
      </c>
      <c r="G115" t="s">
        <v>451</v>
      </c>
      <c r="H115" t="s">
        <v>17</v>
      </c>
      <c r="I115" t="s">
        <v>456</v>
      </c>
    </row>
    <row r="116" spans="1:9" x14ac:dyDescent="0.3">
      <c r="A116" t="s">
        <v>9</v>
      </c>
      <c r="B116" t="s">
        <v>447</v>
      </c>
      <c r="C116" t="s">
        <v>13</v>
      </c>
      <c r="D116" t="s">
        <v>457</v>
      </c>
      <c r="E116" t="s">
        <v>458</v>
      </c>
      <c r="F116" t="s">
        <v>459</v>
      </c>
      <c r="G116" t="s">
        <v>460</v>
      </c>
      <c r="H116" t="s">
        <v>17</v>
      </c>
      <c r="I116" t="s">
        <v>452</v>
      </c>
    </row>
    <row r="117" spans="1:9" x14ac:dyDescent="0.3">
      <c r="A117" t="s">
        <v>9</v>
      </c>
      <c r="B117" t="s">
        <v>447</v>
      </c>
      <c r="C117" t="s">
        <v>13</v>
      </c>
      <c r="D117" t="s">
        <v>461</v>
      </c>
      <c r="E117" t="s">
        <v>462</v>
      </c>
      <c r="F117" t="s">
        <v>463</v>
      </c>
      <c r="G117" t="s">
        <v>460</v>
      </c>
      <c r="H117" t="s">
        <v>17</v>
      </c>
      <c r="I117" t="s">
        <v>456</v>
      </c>
    </row>
    <row r="118" spans="1:9" x14ac:dyDescent="0.3">
      <c r="A118" t="s">
        <v>9</v>
      </c>
      <c r="B118" t="s">
        <v>447</v>
      </c>
      <c r="C118" t="s">
        <v>13</v>
      </c>
      <c r="D118" t="s">
        <v>464</v>
      </c>
      <c r="E118" t="s">
        <v>465</v>
      </c>
      <c r="F118" t="s">
        <v>466</v>
      </c>
      <c r="G118" t="s">
        <v>467</v>
      </c>
      <c r="H118" t="s">
        <v>17</v>
      </c>
      <c r="I118" t="s">
        <v>452</v>
      </c>
    </row>
    <row r="119" spans="1:9" x14ac:dyDescent="0.3">
      <c r="A119" t="s">
        <v>9</v>
      </c>
      <c r="B119" t="s">
        <v>447</v>
      </c>
      <c r="C119" t="s">
        <v>13</v>
      </c>
      <c r="D119" t="s">
        <v>468</v>
      </c>
      <c r="E119" t="s">
        <v>469</v>
      </c>
      <c r="F119" t="s">
        <v>470</v>
      </c>
      <c r="G119" t="s">
        <v>467</v>
      </c>
      <c r="H119" t="s">
        <v>17</v>
      </c>
      <c r="I119" t="s">
        <v>456</v>
      </c>
    </row>
    <row r="120" spans="1:9" x14ac:dyDescent="0.3">
      <c r="A120" t="s">
        <v>9</v>
      </c>
      <c r="B120" t="s">
        <v>447</v>
      </c>
      <c r="C120" t="s">
        <v>13</v>
      </c>
      <c r="D120" t="s">
        <v>471</v>
      </c>
      <c r="E120" t="s">
        <v>472</v>
      </c>
      <c r="F120" t="s">
        <v>473</v>
      </c>
      <c r="G120" t="s">
        <v>474</v>
      </c>
      <c r="H120" t="s">
        <v>17</v>
      </c>
      <c r="I120" t="s">
        <v>452</v>
      </c>
    </row>
    <row r="121" spans="1:9" x14ac:dyDescent="0.3">
      <c r="A121" t="s">
        <v>9</v>
      </c>
      <c r="B121" t="s">
        <v>447</v>
      </c>
      <c r="C121" t="s">
        <v>13</v>
      </c>
      <c r="D121" t="s">
        <v>475</v>
      </c>
      <c r="E121" t="s">
        <v>476</v>
      </c>
      <c r="F121" t="s">
        <v>477</v>
      </c>
      <c r="G121" t="s">
        <v>474</v>
      </c>
      <c r="H121" t="s">
        <v>17</v>
      </c>
      <c r="I121" t="s">
        <v>456</v>
      </c>
    </row>
    <row r="122" spans="1:9" x14ac:dyDescent="0.3">
      <c r="A122" t="s">
        <v>9</v>
      </c>
      <c r="B122" t="s">
        <v>447</v>
      </c>
      <c r="C122" t="s">
        <v>13</v>
      </c>
      <c r="D122" t="s">
        <v>478</v>
      </c>
      <c r="E122" t="s">
        <v>479</v>
      </c>
      <c r="F122" t="s">
        <v>480</v>
      </c>
      <c r="G122" t="s">
        <v>481</v>
      </c>
      <c r="H122" t="s">
        <v>17</v>
      </c>
      <c r="I122" t="s">
        <v>452</v>
      </c>
    </row>
    <row r="123" spans="1:9" x14ac:dyDescent="0.3">
      <c r="A123" t="s">
        <v>9</v>
      </c>
      <c r="B123" t="s">
        <v>447</v>
      </c>
      <c r="C123" t="s">
        <v>13</v>
      </c>
      <c r="D123" t="s">
        <v>482</v>
      </c>
      <c r="E123" t="s">
        <v>483</v>
      </c>
      <c r="F123" t="s">
        <v>484</v>
      </c>
      <c r="G123" t="s">
        <v>481</v>
      </c>
      <c r="H123" t="s">
        <v>17</v>
      </c>
      <c r="I123" t="s">
        <v>456</v>
      </c>
    </row>
    <row r="124" spans="1:9" x14ac:dyDescent="0.3">
      <c r="A124" t="s">
        <v>9</v>
      </c>
      <c r="B124" t="s">
        <v>447</v>
      </c>
      <c r="C124" t="s">
        <v>13</v>
      </c>
      <c r="D124" t="s">
        <v>485</v>
      </c>
      <c r="E124" t="s">
        <v>486</v>
      </c>
      <c r="F124" t="s">
        <v>487</v>
      </c>
      <c r="G124" t="s">
        <v>488</v>
      </c>
      <c r="H124" t="s">
        <v>17</v>
      </c>
      <c r="I124" t="s">
        <v>452</v>
      </c>
    </row>
    <row r="125" spans="1:9" x14ac:dyDescent="0.3">
      <c r="A125" t="s">
        <v>9</v>
      </c>
      <c r="B125" t="s">
        <v>447</v>
      </c>
      <c r="C125" t="s">
        <v>13</v>
      </c>
      <c r="D125" t="s">
        <v>489</v>
      </c>
      <c r="E125" t="s">
        <v>490</v>
      </c>
      <c r="F125" t="s">
        <v>491</v>
      </c>
      <c r="G125" t="s">
        <v>488</v>
      </c>
      <c r="H125" t="s">
        <v>17</v>
      </c>
      <c r="I125" t="s">
        <v>456</v>
      </c>
    </row>
    <row r="126" spans="1:9" x14ac:dyDescent="0.3">
      <c r="A126" t="s">
        <v>9</v>
      </c>
      <c r="B126" t="s">
        <v>447</v>
      </c>
      <c r="C126" t="s">
        <v>13</v>
      </c>
      <c r="D126" t="s">
        <v>492</v>
      </c>
      <c r="E126" t="s">
        <v>493</v>
      </c>
      <c r="F126" t="s">
        <v>494</v>
      </c>
      <c r="G126" t="s">
        <v>495</v>
      </c>
      <c r="H126" t="s">
        <v>17</v>
      </c>
      <c r="I126" t="s">
        <v>452</v>
      </c>
    </row>
    <row r="127" spans="1:9" x14ac:dyDescent="0.3">
      <c r="A127" t="s">
        <v>9</v>
      </c>
      <c r="B127" t="s">
        <v>447</v>
      </c>
      <c r="C127" t="s">
        <v>13</v>
      </c>
      <c r="D127" t="s">
        <v>496</v>
      </c>
      <c r="E127" t="s">
        <v>497</v>
      </c>
      <c r="F127" t="s">
        <v>498</v>
      </c>
      <c r="G127" t="s">
        <v>495</v>
      </c>
      <c r="H127" t="s">
        <v>17</v>
      </c>
      <c r="I127" t="s">
        <v>456</v>
      </c>
    </row>
    <row r="128" spans="1:9" x14ac:dyDescent="0.3">
      <c r="A128" t="s">
        <v>9</v>
      </c>
      <c r="B128" t="s">
        <v>447</v>
      </c>
      <c r="C128" t="s">
        <v>13</v>
      </c>
      <c r="D128" t="s">
        <v>499</v>
      </c>
      <c r="E128" t="s">
        <v>500</v>
      </c>
      <c r="F128" t="s">
        <v>501</v>
      </c>
      <c r="G128" t="s">
        <v>502</v>
      </c>
      <c r="H128" t="s">
        <v>17</v>
      </c>
      <c r="I128" t="s">
        <v>503</v>
      </c>
    </row>
    <row r="129" spans="1:9" x14ac:dyDescent="0.3">
      <c r="A129" t="s">
        <v>9</v>
      </c>
      <c r="B129" t="s">
        <v>447</v>
      </c>
      <c r="C129" t="s">
        <v>13</v>
      </c>
      <c r="D129" t="s">
        <v>504</v>
      </c>
      <c r="E129" t="s">
        <v>505</v>
      </c>
      <c r="F129" t="s">
        <v>506</v>
      </c>
      <c r="G129" t="s">
        <v>502</v>
      </c>
      <c r="H129" t="s">
        <v>17</v>
      </c>
      <c r="I129" t="s">
        <v>503</v>
      </c>
    </row>
    <row r="130" spans="1:9" x14ac:dyDescent="0.3">
      <c r="A130" t="s">
        <v>9</v>
      </c>
      <c r="B130" t="s">
        <v>447</v>
      </c>
      <c r="C130" t="s">
        <v>13</v>
      </c>
      <c r="D130" t="s">
        <v>507</v>
      </c>
      <c r="E130" t="s">
        <v>508</v>
      </c>
      <c r="F130" t="s">
        <v>509</v>
      </c>
      <c r="G130" t="s">
        <v>510</v>
      </c>
      <c r="H130" t="s">
        <v>17</v>
      </c>
      <c r="I130" t="s">
        <v>503</v>
      </c>
    </row>
    <row r="131" spans="1:9" x14ac:dyDescent="0.3">
      <c r="A131" t="s">
        <v>9</v>
      </c>
      <c r="B131" t="s">
        <v>447</v>
      </c>
      <c r="C131" t="s">
        <v>13</v>
      </c>
      <c r="D131" t="s">
        <v>511</v>
      </c>
      <c r="E131" t="s">
        <v>512</v>
      </c>
      <c r="F131" t="s">
        <v>513</v>
      </c>
      <c r="G131" t="s">
        <v>510</v>
      </c>
      <c r="H131" t="s">
        <v>17</v>
      </c>
      <c r="I131" t="s">
        <v>503</v>
      </c>
    </row>
    <row r="132" spans="1:9" x14ac:dyDescent="0.3">
      <c r="A132" t="s">
        <v>9</v>
      </c>
      <c r="B132" t="s">
        <v>447</v>
      </c>
      <c r="C132" t="s">
        <v>13</v>
      </c>
      <c r="D132" t="s">
        <v>514</v>
      </c>
      <c r="E132" t="s">
        <v>515</v>
      </c>
      <c r="F132" t="s">
        <v>516</v>
      </c>
      <c r="G132" t="s">
        <v>517</v>
      </c>
      <c r="H132" t="s">
        <v>17</v>
      </c>
      <c r="I132" t="s">
        <v>503</v>
      </c>
    </row>
    <row r="133" spans="1:9" x14ac:dyDescent="0.3">
      <c r="A133" t="s">
        <v>9</v>
      </c>
      <c r="B133" t="s">
        <v>447</v>
      </c>
      <c r="C133" t="s">
        <v>13</v>
      </c>
      <c r="D133" t="s">
        <v>518</v>
      </c>
      <c r="E133" t="s">
        <v>519</v>
      </c>
      <c r="F133" t="s">
        <v>520</v>
      </c>
      <c r="G133" t="s">
        <v>517</v>
      </c>
      <c r="H133" t="s">
        <v>17</v>
      </c>
      <c r="I133" t="s">
        <v>503</v>
      </c>
    </row>
    <row r="134" spans="1:9" x14ac:dyDescent="0.3">
      <c r="A134" t="s">
        <v>9</v>
      </c>
      <c r="B134" t="s">
        <v>447</v>
      </c>
      <c r="C134" t="s">
        <v>13</v>
      </c>
      <c r="D134" t="s">
        <v>521</v>
      </c>
      <c r="E134" t="s">
        <v>522</v>
      </c>
      <c r="F134" t="s">
        <v>523</v>
      </c>
      <c r="G134" t="s">
        <v>524</v>
      </c>
      <c r="H134" t="s">
        <v>17</v>
      </c>
      <c r="I134" t="s">
        <v>503</v>
      </c>
    </row>
    <row r="135" spans="1:9" x14ac:dyDescent="0.3">
      <c r="A135" t="s">
        <v>9</v>
      </c>
      <c r="B135" t="s">
        <v>447</v>
      </c>
      <c r="C135" t="s">
        <v>13</v>
      </c>
      <c r="D135" t="s">
        <v>525</v>
      </c>
      <c r="E135" t="s">
        <v>526</v>
      </c>
      <c r="F135" t="s">
        <v>527</v>
      </c>
      <c r="G135" t="s">
        <v>524</v>
      </c>
      <c r="H135" t="s">
        <v>17</v>
      </c>
      <c r="I135" t="s">
        <v>503</v>
      </c>
    </row>
    <row r="136" spans="1:9" x14ac:dyDescent="0.3">
      <c r="A136" t="s">
        <v>9</v>
      </c>
      <c r="B136" t="s">
        <v>447</v>
      </c>
      <c r="C136" t="s">
        <v>13</v>
      </c>
      <c r="D136" t="s">
        <v>528</v>
      </c>
      <c r="E136" t="s">
        <v>529</v>
      </c>
      <c r="F136" t="s">
        <v>530</v>
      </c>
      <c r="G136" t="s">
        <v>531</v>
      </c>
      <c r="H136" t="s">
        <v>17</v>
      </c>
      <c r="I136" t="s">
        <v>503</v>
      </c>
    </row>
    <row r="137" spans="1:9" x14ac:dyDescent="0.3">
      <c r="A137" t="s">
        <v>9</v>
      </c>
      <c r="B137" t="s">
        <v>447</v>
      </c>
      <c r="C137" t="s">
        <v>13</v>
      </c>
      <c r="D137" t="s">
        <v>532</v>
      </c>
      <c r="E137" t="s">
        <v>533</v>
      </c>
      <c r="F137" t="s">
        <v>534</v>
      </c>
      <c r="G137" t="s">
        <v>531</v>
      </c>
      <c r="H137" t="s">
        <v>17</v>
      </c>
      <c r="I137" t="s">
        <v>503</v>
      </c>
    </row>
    <row r="138" spans="1:9" x14ac:dyDescent="0.3">
      <c r="A138" t="s">
        <v>9</v>
      </c>
      <c r="B138" t="s">
        <v>447</v>
      </c>
      <c r="C138" t="s">
        <v>13</v>
      </c>
      <c r="D138" t="s">
        <v>535</v>
      </c>
      <c r="E138" t="s">
        <v>536</v>
      </c>
      <c r="F138" t="s">
        <v>537</v>
      </c>
      <c r="G138" t="s">
        <v>538</v>
      </c>
      <c r="H138" t="s">
        <v>17</v>
      </c>
      <c r="I138" t="s">
        <v>539</v>
      </c>
    </row>
    <row r="139" spans="1:9" x14ac:dyDescent="0.3">
      <c r="A139" t="s">
        <v>9</v>
      </c>
      <c r="B139" t="s">
        <v>447</v>
      </c>
      <c r="C139" t="s">
        <v>13</v>
      </c>
      <c r="D139" t="s">
        <v>540</v>
      </c>
      <c r="E139" t="s">
        <v>541</v>
      </c>
      <c r="F139" t="s">
        <v>542</v>
      </c>
      <c r="G139" t="s">
        <v>543</v>
      </c>
      <c r="H139" t="s">
        <v>17</v>
      </c>
      <c r="I139" t="s">
        <v>544</v>
      </c>
    </row>
    <row r="140" spans="1:9" x14ac:dyDescent="0.3">
      <c r="A140" t="s">
        <v>9</v>
      </c>
      <c r="B140" t="s">
        <v>447</v>
      </c>
      <c r="C140" t="s">
        <v>13</v>
      </c>
      <c r="D140" t="s">
        <v>545</v>
      </c>
      <c r="E140" t="s">
        <v>546</v>
      </c>
      <c r="F140" t="s">
        <v>384</v>
      </c>
      <c r="G140" t="s">
        <v>547</v>
      </c>
      <c r="H140" t="s">
        <v>17</v>
      </c>
      <c r="I140" t="s">
        <v>548</v>
      </c>
    </row>
    <row r="141" spans="1:9" x14ac:dyDescent="0.3">
      <c r="A141" t="s">
        <v>9</v>
      </c>
      <c r="B141" t="s">
        <v>549</v>
      </c>
      <c r="C141" t="s">
        <v>13</v>
      </c>
      <c r="D141" t="s">
        <v>550</v>
      </c>
      <c r="E141" t="s">
        <v>551</v>
      </c>
      <c r="F141" t="s">
        <v>552</v>
      </c>
      <c r="G141" t="s">
        <v>553</v>
      </c>
      <c r="H141" t="s">
        <v>17</v>
      </c>
      <c r="I141" t="s">
        <v>554</v>
      </c>
    </row>
    <row r="142" spans="1:9" x14ac:dyDescent="0.3">
      <c r="A142" t="s">
        <v>9</v>
      </c>
      <c r="B142" t="s">
        <v>549</v>
      </c>
      <c r="C142" t="s">
        <v>13</v>
      </c>
      <c r="D142" t="s">
        <v>555</v>
      </c>
      <c r="E142" t="s">
        <v>556</v>
      </c>
      <c r="F142" t="s">
        <v>557</v>
      </c>
      <c r="G142" t="s">
        <v>558</v>
      </c>
      <c r="H142" t="s">
        <v>17</v>
      </c>
    </row>
    <row r="143" spans="1:9" x14ac:dyDescent="0.3">
      <c r="A143" t="s">
        <v>9</v>
      </c>
      <c r="B143" t="s">
        <v>549</v>
      </c>
      <c r="C143" t="s">
        <v>13</v>
      </c>
      <c r="D143" t="s">
        <v>559</v>
      </c>
      <c r="E143" t="s">
        <v>560</v>
      </c>
      <c r="F143" t="s">
        <v>561</v>
      </c>
      <c r="G143" t="s">
        <v>562</v>
      </c>
      <c r="H143" t="s">
        <v>17</v>
      </c>
      <c r="I143" t="s">
        <v>563</v>
      </c>
    </row>
    <row r="144" spans="1:9" x14ac:dyDescent="0.3">
      <c r="A144" t="s">
        <v>9</v>
      </c>
      <c r="B144" t="s">
        <v>549</v>
      </c>
      <c r="C144" t="s">
        <v>13</v>
      </c>
      <c r="D144" t="s">
        <v>564</v>
      </c>
      <c r="E144" t="s">
        <v>565</v>
      </c>
      <c r="F144" t="s">
        <v>566</v>
      </c>
      <c r="G144" t="s">
        <v>567</v>
      </c>
      <c r="H144" t="s">
        <v>17</v>
      </c>
      <c r="I144" t="s">
        <v>568</v>
      </c>
    </row>
    <row r="145" spans="1:9" x14ac:dyDescent="0.3">
      <c r="A145" t="s">
        <v>9</v>
      </c>
      <c r="B145" t="s">
        <v>549</v>
      </c>
      <c r="C145" t="s">
        <v>13</v>
      </c>
      <c r="D145" t="s">
        <v>569</v>
      </c>
      <c r="E145" t="s">
        <v>570</v>
      </c>
      <c r="F145" t="s">
        <v>571</v>
      </c>
      <c r="G145" t="s">
        <v>572</v>
      </c>
      <c r="H145" t="s">
        <v>17</v>
      </c>
      <c r="I145" t="s">
        <v>573</v>
      </c>
    </row>
    <row r="146" spans="1:9" x14ac:dyDescent="0.3">
      <c r="A146" t="s">
        <v>9</v>
      </c>
      <c r="B146" t="s">
        <v>549</v>
      </c>
      <c r="C146" t="s">
        <v>13</v>
      </c>
      <c r="D146" t="s">
        <v>574</v>
      </c>
      <c r="E146" t="s">
        <v>575</v>
      </c>
      <c r="F146" t="s">
        <v>576</v>
      </c>
      <c r="G146" t="s">
        <v>577</v>
      </c>
      <c r="H146" t="s">
        <v>17</v>
      </c>
      <c r="I146" t="s">
        <v>578</v>
      </c>
    </row>
    <row r="147" spans="1:9" x14ac:dyDescent="0.3">
      <c r="A147" t="s">
        <v>9</v>
      </c>
      <c r="B147" t="s">
        <v>549</v>
      </c>
      <c r="C147" t="s">
        <v>13</v>
      </c>
      <c r="D147" t="s">
        <v>579</v>
      </c>
      <c r="E147" t="s">
        <v>580</v>
      </c>
      <c r="F147" t="s">
        <v>581</v>
      </c>
      <c r="G147" t="s">
        <v>582</v>
      </c>
      <c r="H147" t="s">
        <v>17</v>
      </c>
      <c r="I147" t="s">
        <v>583</v>
      </c>
    </row>
    <row r="148" spans="1:9" x14ac:dyDescent="0.3">
      <c r="A148" t="s">
        <v>9</v>
      </c>
      <c r="B148" t="s">
        <v>584</v>
      </c>
      <c r="C148" t="s">
        <v>13</v>
      </c>
      <c r="D148" t="s">
        <v>585</v>
      </c>
      <c r="E148" t="s">
        <v>586</v>
      </c>
      <c r="F148" t="s">
        <v>587</v>
      </c>
      <c r="G148" t="s">
        <v>588</v>
      </c>
      <c r="H148" t="s">
        <v>17</v>
      </c>
      <c r="I148" t="s">
        <v>589</v>
      </c>
    </row>
    <row r="149" spans="1:9" x14ac:dyDescent="0.3">
      <c r="A149" t="s">
        <v>9</v>
      </c>
      <c r="B149" t="s">
        <v>584</v>
      </c>
      <c r="C149" t="s">
        <v>13</v>
      </c>
      <c r="D149" t="s">
        <v>590</v>
      </c>
      <c r="E149" t="s">
        <v>591</v>
      </c>
      <c r="F149" t="s">
        <v>592</v>
      </c>
      <c r="G149" t="s">
        <v>593</v>
      </c>
      <c r="H149" t="s">
        <v>17</v>
      </c>
      <c r="I149" t="s">
        <v>594</v>
      </c>
    </row>
    <row r="150" spans="1:9" x14ac:dyDescent="0.3">
      <c r="A150" t="s">
        <v>9</v>
      </c>
      <c r="B150" t="s">
        <v>584</v>
      </c>
      <c r="C150" t="s">
        <v>13</v>
      </c>
      <c r="D150" t="s">
        <v>595</v>
      </c>
      <c r="E150" t="s">
        <v>596</v>
      </c>
      <c r="F150" t="s">
        <v>597</v>
      </c>
      <c r="G150" t="s">
        <v>598</v>
      </c>
      <c r="H150" t="s">
        <v>17</v>
      </c>
    </row>
    <row r="151" spans="1:9" x14ac:dyDescent="0.3">
      <c r="A151" t="s">
        <v>9</v>
      </c>
      <c r="B151" t="s">
        <v>584</v>
      </c>
      <c r="C151" t="s">
        <v>13</v>
      </c>
      <c r="D151" t="s">
        <v>599</v>
      </c>
      <c r="E151" t="s">
        <v>600</v>
      </c>
      <c r="F151" t="s">
        <v>601</v>
      </c>
      <c r="G151" t="s">
        <v>602</v>
      </c>
      <c r="H151" t="s">
        <v>17</v>
      </c>
    </row>
    <row r="152" spans="1:9" x14ac:dyDescent="0.3">
      <c r="A152" t="s">
        <v>9</v>
      </c>
      <c r="B152" t="s">
        <v>584</v>
      </c>
      <c r="C152" t="s">
        <v>13</v>
      </c>
      <c r="D152" t="s">
        <v>603</v>
      </c>
      <c r="E152" t="s">
        <v>604</v>
      </c>
      <c r="F152" t="s">
        <v>605</v>
      </c>
      <c r="G152" t="s">
        <v>606</v>
      </c>
      <c r="H152" t="s">
        <v>17</v>
      </c>
    </row>
    <row r="153" spans="1:9" x14ac:dyDescent="0.3">
      <c r="A153" t="s">
        <v>9</v>
      </c>
      <c r="B153" t="s">
        <v>584</v>
      </c>
      <c r="C153" t="s">
        <v>13</v>
      </c>
      <c r="D153" t="s">
        <v>607</v>
      </c>
      <c r="E153" t="s">
        <v>608</v>
      </c>
      <c r="F153" t="s">
        <v>609</v>
      </c>
      <c r="G153" t="s">
        <v>610</v>
      </c>
      <c r="H153" t="s">
        <v>17</v>
      </c>
    </row>
    <row r="154" spans="1:9" x14ac:dyDescent="0.3">
      <c r="A154" t="s">
        <v>9</v>
      </c>
      <c r="B154" t="s">
        <v>584</v>
      </c>
      <c r="C154" t="s">
        <v>13</v>
      </c>
      <c r="D154" t="s">
        <v>611</v>
      </c>
      <c r="E154" t="s">
        <v>612</v>
      </c>
      <c r="F154" t="s">
        <v>613</v>
      </c>
      <c r="G154" t="s">
        <v>614</v>
      </c>
      <c r="H154" t="s">
        <v>17</v>
      </c>
    </row>
    <row r="155" spans="1:9" x14ac:dyDescent="0.3">
      <c r="A155" t="s">
        <v>9</v>
      </c>
      <c r="B155" t="s">
        <v>584</v>
      </c>
      <c r="C155" t="s">
        <v>13</v>
      </c>
      <c r="D155" t="s">
        <v>615</v>
      </c>
      <c r="E155" t="s">
        <v>616</v>
      </c>
      <c r="F155" t="s">
        <v>617</v>
      </c>
      <c r="G155" t="s">
        <v>618</v>
      </c>
      <c r="H155" t="s">
        <v>17</v>
      </c>
    </row>
    <row r="156" spans="1:9" x14ac:dyDescent="0.3">
      <c r="A156" t="s">
        <v>9</v>
      </c>
      <c r="B156" t="s">
        <v>584</v>
      </c>
      <c r="C156" t="s">
        <v>13</v>
      </c>
      <c r="D156" t="s">
        <v>619</v>
      </c>
      <c r="E156" t="s">
        <v>620</v>
      </c>
      <c r="F156" t="s">
        <v>621</v>
      </c>
      <c r="G156" t="s">
        <v>622</v>
      </c>
      <c r="H156" t="s">
        <v>17</v>
      </c>
    </row>
    <row r="157" spans="1:9" x14ac:dyDescent="0.3">
      <c r="A157" t="s">
        <v>9</v>
      </c>
      <c r="B157" t="s">
        <v>584</v>
      </c>
      <c r="C157" t="s">
        <v>13</v>
      </c>
      <c r="D157" t="s">
        <v>623</v>
      </c>
      <c r="E157" t="s">
        <v>624</v>
      </c>
      <c r="F157" t="s">
        <v>625</v>
      </c>
      <c r="G157" t="s">
        <v>626</v>
      </c>
      <c r="H157" t="s">
        <v>17</v>
      </c>
    </row>
    <row r="158" spans="1:9" x14ac:dyDescent="0.3">
      <c r="A158" t="s">
        <v>9</v>
      </c>
      <c r="B158" t="s">
        <v>627</v>
      </c>
      <c r="C158" t="s">
        <v>13</v>
      </c>
      <c r="D158" t="s">
        <v>628</v>
      </c>
      <c r="E158" t="s">
        <v>629</v>
      </c>
      <c r="F158" t="s">
        <v>630</v>
      </c>
      <c r="G158" t="s">
        <v>631</v>
      </c>
      <c r="H158" t="s">
        <v>17</v>
      </c>
    </row>
    <row r="159" spans="1:9" x14ac:dyDescent="0.3">
      <c r="A159" t="s">
        <v>9</v>
      </c>
      <c r="B159" t="s">
        <v>627</v>
      </c>
      <c r="C159" t="s">
        <v>13</v>
      </c>
      <c r="D159" t="s">
        <v>632</v>
      </c>
      <c r="E159" t="s">
        <v>633</v>
      </c>
      <c r="F159" t="s">
        <v>634</v>
      </c>
      <c r="G159" t="s">
        <v>631</v>
      </c>
      <c r="H159" t="s">
        <v>17</v>
      </c>
    </row>
    <row r="160" spans="1:9" x14ac:dyDescent="0.3">
      <c r="A160" t="s">
        <v>9</v>
      </c>
      <c r="B160" t="s">
        <v>627</v>
      </c>
      <c r="C160" t="s">
        <v>13</v>
      </c>
      <c r="D160" t="s">
        <v>635</v>
      </c>
      <c r="E160" t="s">
        <v>636</v>
      </c>
      <c r="F160" t="s">
        <v>637</v>
      </c>
      <c r="G160" t="s">
        <v>631</v>
      </c>
      <c r="H160" t="s">
        <v>17</v>
      </c>
    </row>
    <row r="161" spans="1:9" x14ac:dyDescent="0.3">
      <c r="A161" t="s">
        <v>9</v>
      </c>
      <c r="B161" t="s">
        <v>627</v>
      </c>
      <c r="C161" t="s">
        <v>13</v>
      </c>
      <c r="D161" t="s">
        <v>638</v>
      </c>
      <c r="E161" t="s">
        <v>639</v>
      </c>
      <c r="F161" t="s">
        <v>640</v>
      </c>
      <c r="G161" t="s">
        <v>631</v>
      </c>
      <c r="H161" t="s">
        <v>17</v>
      </c>
    </row>
    <row r="162" spans="1:9" x14ac:dyDescent="0.3">
      <c r="A162" t="s">
        <v>9</v>
      </c>
      <c r="B162" t="s">
        <v>627</v>
      </c>
      <c r="C162" t="s">
        <v>13</v>
      </c>
      <c r="D162" t="s">
        <v>641</v>
      </c>
      <c r="E162" t="s">
        <v>642</v>
      </c>
      <c r="F162" t="s">
        <v>643</v>
      </c>
      <c r="G162" t="s">
        <v>631</v>
      </c>
      <c r="H162" t="s">
        <v>17</v>
      </c>
    </row>
    <row r="163" spans="1:9" x14ac:dyDescent="0.3">
      <c r="A163" t="s">
        <v>9</v>
      </c>
      <c r="B163" t="s">
        <v>627</v>
      </c>
      <c r="C163" t="s">
        <v>13</v>
      </c>
      <c r="D163" t="s">
        <v>644</v>
      </c>
      <c r="E163" t="s">
        <v>645</v>
      </c>
      <c r="F163" t="s">
        <v>646</v>
      </c>
      <c r="G163" t="s">
        <v>631</v>
      </c>
      <c r="H163" t="s">
        <v>17</v>
      </c>
    </row>
    <row r="164" spans="1:9" x14ac:dyDescent="0.3">
      <c r="A164" t="s">
        <v>9</v>
      </c>
      <c r="B164" t="s">
        <v>627</v>
      </c>
      <c r="C164" t="s">
        <v>13</v>
      </c>
      <c r="D164" t="s">
        <v>647</v>
      </c>
      <c r="E164" t="s">
        <v>648</v>
      </c>
      <c r="F164" t="s">
        <v>649</v>
      </c>
      <c r="G164" t="s">
        <v>631</v>
      </c>
      <c r="H164" t="s">
        <v>17</v>
      </c>
    </row>
    <row r="165" spans="1:9" x14ac:dyDescent="0.3">
      <c r="A165" t="s">
        <v>9</v>
      </c>
      <c r="B165" t="s">
        <v>627</v>
      </c>
      <c r="C165" t="s">
        <v>13</v>
      </c>
      <c r="D165" t="s">
        <v>650</v>
      </c>
      <c r="E165" t="s">
        <v>651</v>
      </c>
      <c r="F165" t="s">
        <v>652</v>
      </c>
      <c r="G165" t="s">
        <v>653</v>
      </c>
      <c r="H165" t="s">
        <v>17</v>
      </c>
      <c r="I165" t="s">
        <v>654</v>
      </c>
    </row>
    <row r="166" spans="1:9" x14ac:dyDescent="0.3">
      <c r="A166" t="s">
        <v>9</v>
      </c>
      <c r="B166" t="s">
        <v>627</v>
      </c>
      <c r="C166" t="s">
        <v>13</v>
      </c>
      <c r="D166" t="s">
        <v>655</v>
      </c>
      <c r="E166" t="s">
        <v>656</v>
      </c>
      <c r="F166" t="s">
        <v>657</v>
      </c>
      <c r="G166" t="s">
        <v>653</v>
      </c>
      <c r="H166" t="s">
        <v>17</v>
      </c>
      <c r="I166" t="s">
        <v>654</v>
      </c>
    </row>
    <row r="167" spans="1:9" x14ac:dyDescent="0.3">
      <c r="A167" t="s">
        <v>9</v>
      </c>
      <c r="B167" t="s">
        <v>627</v>
      </c>
      <c r="C167" t="s">
        <v>13</v>
      </c>
      <c r="D167" t="s">
        <v>658</v>
      </c>
      <c r="E167" t="s">
        <v>659</v>
      </c>
      <c r="F167" t="s">
        <v>660</v>
      </c>
      <c r="G167" t="s">
        <v>653</v>
      </c>
      <c r="H167" t="s">
        <v>17</v>
      </c>
      <c r="I167" t="s">
        <v>654</v>
      </c>
    </row>
    <row r="168" spans="1:9" x14ac:dyDescent="0.3">
      <c r="A168" t="s">
        <v>9</v>
      </c>
      <c r="B168" t="s">
        <v>627</v>
      </c>
      <c r="C168" t="s">
        <v>13</v>
      </c>
      <c r="D168" t="s">
        <v>661</v>
      </c>
      <c r="E168" t="s">
        <v>662</v>
      </c>
      <c r="F168" t="s">
        <v>663</v>
      </c>
      <c r="G168" t="s">
        <v>653</v>
      </c>
      <c r="H168" t="s">
        <v>17</v>
      </c>
      <c r="I168" t="s">
        <v>654</v>
      </c>
    </row>
    <row r="169" spans="1:9" x14ac:dyDescent="0.3">
      <c r="A169" t="s">
        <v>9</v>
      </c>
      <c r="B169" t="s">
        <v>627</v>
      </c>
      <c r="C169" t="s">
        <v>13</v>
      </c>
      <c r="D169" t="s">
        <v>664</v>
      </c>
      <c r="E169" t="s">
        <v>665</v>
      </c>
      <c r="F169" t="s">
        <v>666</v>
      </c>
      <c r="G169" t="s">
        <v>653</v>
      </c>
      <c r="H169" t="s">
        <v>17</v>
      </c>
      <c r="I169" t="s">
        <v>654</v>
      </c>
    </row>
    <row r="170" spans="1:9" x14ac:dyDescent="0.3">
      <c r="A170" t="s">
        <v>9</v>
      </c>
      <c r="B170" t="s">
        <v>627</v>
      </c>
      <c r="C170" t="s">
        <v>13</v>
      </c>
      <c r="D170" t="s">
        <v>667</v>
      </c>
      <c r="E170" t="s">
        <v>668</v>
      </c>
      <c r="F170" t="s">
        <v>669</v>
      </c>
      <c r="G170" t="s">
        <v>653</v>
      </c>
      <c r="H170" t="s">
        <v>17</v>
      </c>
      <c r="I170" t="s">
        <v>654</v>
      </c>
    </row>
    <row r="171" spans="1:9" x14ac:dyDescent="0.3">
      <c r="A171" t="s">
        <v>9</v>
      </c>
      <c r="B171" t="s">
        <v>627</v>
      </c>
      <c r="C171" t="s">
        <v>13</v>
      </c>
      <c r="D171" t="s">
        <v>670</v>
      </c>
      <c r="E171" t="s">
        <v>671</v>
      </c>
      <c r="F171" t="s">
        <v>672</v>
      </c>
      <c r="G171" t="s">
        <v>653</v>
      </c>
      <c r="H171" t="s">
        <v>17</v>
      </c>
      <c r="I171" t="s">
        <v>654</v>
      </c>
    </row>
    <row r="172" spans="1:9" x14ac:dyDescent="0.3">
      <c r="A172" t="s">
        <v>9</v>
      </c>
      <c r="B172" t="s">
        <v>627</v>
      </c>
      <c r="C172" t="s">
        <v>13</v>
      </c>
      <c r="D172" t="s">
        <v>673</v>
      </c>
      <c r="E172" t="s">
        <v>674</v>
      </c>
      <c r="F172" t="s">
        <v>675</v>
      </c>
      <c r="G172" t="s">
        <v>676</v>
      </c>
      <c r="H172" t="s">
        <v>17</v>
      </c>
      <c r="I172" t="s">
        <v>677</v>
      </c>
    </row>
    <row r="173" spans="1:9" x14ac:dyDescent="0.3">
      <c r="A173" t="s">
        <v>9</v>
      </c>
      <c r="B173" t="s">
        <v>678</v>
      </c>
      <c r="C173" t="s">
        <v>13</v>
      </c>
      <c r="D173" t="s">
        <v>679</v>
      </c>
      <c r="E173" t="s">
        <v>680</v>
      </c>
      <c r="F173" t="s">
        <v>681</v>
      </c>
      <c r="G173" t="s">
        <v>682</v>
      </c>
      <c r="H173" t="s">
        <v>17</v>
      </c>
      <c r="I173" t="s">
        <v>683</v>
      </c>
    </row>
    <row r="174" spans="1:9" x14ac:dyDescent="0.3">
      <c r="A174" t="s">
        <v>9</v>
      </c>
      <c r="B174" t="s">
        <v>678</v>
      </c>
      <c r="C174" t="s">
        <v>13</v>
      </c>
      <c r="D174" t="s">
        <v>684</v>
      </c>
      <c r="E174" t="s">
        <v>685</v>
      </c>
      <c r="F174" t="s">
        <v>686</v>
      </c>
      <c r="G174" t="s">
        <v>687</v>
      </c>
      <c r="H174" t="s">
        <v>17</v>
      </c>
      <c r="I174" t="s">
        <v>688</v>
      </c>
    </row>
    <row r="175" spans="1:9" x14ac:dyDescent="0.3">
      <c r="A175" t="s">
        <v>9</v>
      </c>
      <c r="B175" t="s">
        <v>678</v>
      </c>
      <c r="C175" t="s">
        <v>13</v>
      </c>
      <c r="D175" t="s">
        <v>689</v>
      </c>
      <c r="E175" t="s">
        <v>690</v>
      </c>
      <c r="F175" t="s">
        <v>691</v>
      </c>
      <c r="G175" t="s">
        <v>692</v>
      </c>
      <c r="H175" t="s">
        <v>17</v>
      </c>
      <c r="I175" t="s">
        <v>693</v>
      </c>
    </row>
    <row r="176" spans="1:9" x14ac:dyDescent="0.3">
      <c r="A176" t="s">
        <v>9</v>
      </c>
      <c r="B176" t="s">
        <v>678</v>
      </c>
      <c r="C176" t="s">
        <v>13</v>
      </c>
      <c r="D176" t="s">
        <v>694</v>
      </c>
      <c r="E176" t="s">
        <v>695</v>
      </c>
      <c r="F176" t="s">
        <v>696</v>
      </c>
      <c r="G176" t="s">
        <v>697</v>
      </c>
      <c r="H176" t="s">
        <v>17</v>
      </c>
      <c r="I176" t="s">
        <v>698</v>
      </c>
    </row>
    <row r="177" spans="1:9" x14ac:dyDescent="0.3">
      <c r="A177" t="s">
        <v>9</v>
      </c>
      <c r="B177" t="s">
        <v>699</v>
      </c>
      <c r="C177" t="s">
        <v>13</v>
      </c>
      <c r="D177" t="s">
        <v>700</v>
      </c>
      <c r="E177" t="s">
        <v>701</v>
      </c>
      <c r="F177" t="s">
        <v>702</v>
      </c>
      <c r="G177" t="s">
        <v>703</v>
      </c>
      <c r="H177" t="s">
        <v>17</v>
      </c>
      <c r="I177" t="s">
        <v>704</v>
      </c>
    </row>
    <row r="178" spans="1:9" x14ac:dyDescent="0.3">
      <c r="A178" t="s">
        <v>9</v>
      </c>
      <c r="B178" t="s">
        <v>699</v>
      </c>
      <c r="C178" t="s">
        <v>13</v>
      </c>
      <c r="D178" t="s">
        <v>705</v>
      </c>
      <c r="E178" t="s">
        <v>706</v>
      </c>
      <c r="F178" t="s">
        <v>707</v>
      </c>
      <c r="G178" t="s">
        <v>703</v>
      </c>
      <c r="H178" t="s">
        <v>17</v>
      </c>
      <c r="I178" t="s">
        <v>704</v>
      </c>
    </row>
    <row r="179" spans="1:9" x14ac:dyDescent="0.3">
      <c r="A179" t="s">
        <v>9</v>
      </c>
      <c r="B179" t="s">
        <v>699</v>
      </c>
      <c r="C179" t="s">
        <v>13</v>
      </c>
      <c r="D179" t="s">
        <v>708</v>
      </c>
      <c r="E179" t="s">
        <v>709</v>
      </c>
      <c r="F179" t="s">
        <v>710</v>
      </c>
      <c r="G179" t="s">
        <v>703</v>
      </c>
      <c r="H179" t="s">
        <v>17</v>
      </c>
      <c r="I179" t="s">
        <v>711</v>
      </c>
    </row>
    <row r="180" spans="1:9" x14ac:dyDescent="0.3">
      <c r="A180" t="s">
        <v>9</v>
      </c>
      <c r="B180" t="s">
        <v>699</v>
      </c>
      <c r="C180" t="s">
        <v>13</v>
      </c>
      <c r="D180" t="s">
        <v>712</v>
      </c>
      <c r="E180" t="s">
        <v>713</v>
      </c>
      <c r="F180" t="s">
        <v>714</v>
      </c>
      <c r="G180" t="s">
        <v>703</v>
      </c>
      <c r="H180" t="s">
        <v>17</v>
      </c>
      <c r="I180" t="s">
        <v>711</v>
      </c>
    </row>
    <row r="181" spans="1:9" x14ac:dyDescent="0.3">
      <c r="A181" t="s">
        <v>9</v>
      </c>
      <c r="B181" t="s">
        <v>699</v>
      </c>
      <c r="C181" t="s">
        <v>13</v>
      </c>
      <c r="D181" t="s">
        <v>715</v>
      </c>
      <c r="E181" t="s">
        <v>716</v>
      </c>
      <c r="F181" t="s">
        <v>717</v>
      </c>
      <c r="G181" t="s">
        <v>718</v>
      </c>
      <c r="H181" t="s">
        <v>17</v>
      </c>
      <c r="I181" t="s">
        <v>719</v>
      </c>
    </row>
    <row r="182" spans="1:9" x14ac:dyDescent="0.3">
      <c r="A182" t="s">
        <v>9</v>
      </c>
      <c r="B182" t="s">
        <v>699</v>
      </c>
      <c r="C182" t="s">
        <v>13</v>
      </c>
      <c r="D182" t="s">
        <v>720</v>
      </c>
      <c r="E182" t="s">
        <v>721</v>
      </c>
      <c r="F182" t="s">
        <v>722</v>
      </c>
      <c r="G182" t="s">
        <v>718</v>
      </c>
      <c r="H182" t="s">
        <v>17</v>
      </c>
      <c r="I182" t="s">
        <v>719</v>
      </c>
    </row>
    <row r="183" spans="1:9" x14ac:dyDescent="0.3">
      <c r="A183" t="s">
        <v>9</v>
      </c>
      <c r="B183" t="s">
        <v>699</v>
      </c>
      <c r="C183" t="s">
        <v>13</v>
      </c>
      <c r="D183" t="s">
        <v>723</v>
      </c>
      <c r="E183" t="s">
        <v>724</v>
      </c>
      <c r="F183" t="s">
        <v>725</v>
      </c>
      <c r="G183" t="s">
        <v>718</v>
      </c>
      <c r="H183" t="s">
        <v>17</v>
      </c>
      <c r="I183" t="s">
        <v>719</v>
      </c>
    </row>
    <row r="184" spans="1:9" x14ac:dyDescent="0.3">
      <c r="A184" t="s">
        <v>9</v>
      </c>
      <c r="B184" t="s">
        <v>699</v>
      </c>
      <c r="C184" t="s">
        <v>13</v>
      </c>
      <c r="D184" t="s">
        <v>726</v>
      </c>
      <c r="E184" t="s">
        <v>727</v>
      </c>
      <c r="F184" t="s">
        <v>728</v>
      </c>
      <c r="G184" t="s">
        <v>718</v>
      </c>
      <c r="H184" t="s">
        <v>17</v>
      </c>
      <c r="I184" t="s">
        <v>719</v>
      </c>
    </row>
    <row r="185" spans="1:9" x14ac:dyDescent="0.3">
      <c r="A185" t="s">
        <v>9</v>
      </c>
      <c r="B185" t="s">
        <v>699</v>
      </c>
      <c r="C185" t="s">
        <v>13</v>
      </c>
      <c r="D185" t="s">
        <v>729</v>
      </c>
      <c r="E185" t="s">
        <v>730</v>
      </c>
      <c r="F185" t="s">
        <v>731</v>
      </c>
      <c r="G185" t="s">
        <v>732</v>
      </c>
      <c r="H185" t="s">
        <v>17</v>
      </c>
      <c r="I185" t="s">
        <v>733</v>
      </c>
    </row>
    <row r="186" spans="1:9" x14ac:dyDescent="0.3">
      <c r="A186" t="s">
        <v>9</v>
      </c>
      <c r="B186" t="s">
        <v>699</v>
      </c>
      <c r="C186" t="s">
        <v>13</v>
      </c>
      <c r="D186" t="s">
        <v>734</v>
      </c>
      <c r="E186" t="s">
        <v>735</v>
      </c>
      <c r="F186" t="s">
        <v>736</v>
      </c>
      <c r="G186" t="s">
        <v>737</v>
      </c>
      <c r="H186" t="s">
        <v>17</v>
      </c>
      <c r="I186" t="s">
        <v>738</v>
      </c>
    </row>
    <row r="187" spans="1:9" x14ac:dyDescent="0.3">
      <c r="A187" t="s">
        <v>9</v>
      </c>
      <c r="B187" t="s">
        <v>699</v>
      </c>
      <c r="C187" t="s">
        <v>13</v>
      </c>
      <c r="D187" t="s">
        <v>739</v>
      </c>
      <c r="E187" t="s">
        <v>740</v>
      </c>
      <c r="F187" t="s">
        <v>741</v>
      </c>
      <c r="G187" t="s">
        <v>742</v>
      </c>
      <c r="H187" t="s">
        <v>17</v>
      </c>
      <c r="I187" t="s">
        <v>743</v>
      </c>
    </row>
    <row r="188" spans="1:9" x14ac:dyDescent="0.3">
      <c r="A188" t="s">
        <v>9</v>
      </c>
      <c r="B188" t="s">
        <v>744</v>
      </c>
      <c r="C188" t="s">
        <v>13</v>
      </c>
      <c r="D188" t="s">
        <v>745</v>
      </c>
      <c r="E188" t="s">
        <v>746</v>
      </c>
      <c r="F188" t="s">
        <v>747</v>
      </c>
      <c r="G188" t="s">
        <v>748</v>
      </c>
      <c r="H188" t="s">
        <v>17</v>
      </c>
    </row>
    <row r="189" spans="1:9" x14ac:dyDescent="0.3">
      <c r="A189" t="s">
        <v>9</v>
      </c>
      <c r="B189" t="s">
        <v>744</v>
      </c>
      <c r="C189" t="s">
        <v>13</v>
      </c>
      <c r="D189" t="s">
        <v>749</v>
      </c>
      <c r="E189" t="s">
        <v>750</v>
      </c>
      <c r="F189" t="s">
        <v>751</v>
      </c>
      <c r="G189" t="s">
        <v>752</v>
      </c>
      <c r="H189" t="s">
        <v>17</v>
      </c>
      <c r="I189" t="s">
        <v>753</v>
      </c>
    </row>
    <row r="190" spans="1:9" x14ac:dyDescent="0.3">
      <c r="A190" t="s">
        <v>9</v>
      </c>
      <c r="B190" t="s">
        <v>744</v>
      </c>
      <c r="C190" t="s">
        <v>13</v>
      </c>
      <c r="D190" t="s">
        <v>754</v>
      </c>
      <c r="E190" t="s">
        <v>755</v>
      </c>
      <c r="F190" t="s">
        <v>756</v>
      </c>
      <c r="G190" t="s">
        <v>757</v>
      </c>
      <c r="H190" t="s">
        <v>17</v>
      </c>
    </row>
    <row r="191" spans="1:9" x14ac:dyDescent="0.3">
      <c r="A191" t="s">
        <v>9</v>
      </c>
      <c r="B191" t="s">
        <v>744</v>
      </c>
      <c r="C191" t="s">
        <v>13</v>
      </c>
      <c r="D191" t="s">
        <v>758</v>
      </c>
      <c r="E191" t="s">
        <v>759</v>
      </c>
      <c r="F191" t="s">
        <v>760</v>
      </c>
      <c r="G191" t="s">
        <v>761</v>
      </c>
      <c r="H191" t="s">
        <v>17</v>
      </c>
    </row>
    <row r="192" spans="1:9" x14ac:dyDescent="0.3">
      <c r="A192" t="s">
        <v>9</v>
      </c>
      <c r="B192" t="s">
        <v>744</v>
      </c>
      <c r="C192" t="s">
        <v>13</v>
      </c>
      <c r="D192" t="s">
        <v>762</v>
      </c>
      <c r="E192" t="s">
        <v>763</v>
      </c>
      <c r="F192" t="s">
        <v>764</v>
      </c>
      <c r="G192" t="s">
        <v>765</v>
      </c>
      <c r="H192" t="s">
        <v>17</v>
      </c>
      <c r="I192" t="s">
        <v>766</v>
      </c>
    </row>
    <row r="193" spans="1:9" x14ac:dyDescent="0.3">
      <c r="A193" t="s">
        <v>9</v>
      </c>
      <c r="B193" t="s">
        <v>744</v>
      </c>
      <c r="C193" t="s">
        <v>13</v>
      </c>
      <c r="D193" t="s">
        <v>767</v>
      </c>
      <c r="E193" t="s">
        <v>768</v>
      </c>
      <c r="F193" t="s">
        <v>769</v>
      </c>
      <c r="G193" t="s">
        <v>770</v>
      </c>
      <c r="H193" t="s">
        <v>17</v>
      </c>
      <c r="I193" t="s">
        <v>771</v>
      </c>
    </row>
    <row r="194" spans="1:9" x14ac:dyDescent="0.3">
      <c r="A194" t="s">
        <v>9</v>
      </c>
      <c r="B194" t="s">
        <v>744</v>
      </c>
      <c r="C194" t="s">
        <v>13</v>
      </c>
      <c r="D194" t="s">
        <v>772</v>
      </c>
      <c r="E194" t="s">
        <v>773</v>
      </c>
      <c r="F194" t="s">
        <v>774</v>
      </c>
      <c r="G194" t="s">
        <v>775</v>
      </c>
      <c r="H194" t="s">
        <v>17</v>
      </c>
      <c r="I194" t="s">
        <v>776</v>
      </c>
    </row>
    <row r="195" spans="1:9" x14ac:dyDescent="0.3">
      <c r="A195" t="s">
        <v>9</v>
      </c>
      <c r="B195" t="s">
        <v>744</v>
      </c>
      <c r="C195" t="s">
        <v>13</v>
      </c>
      <c r="D195" t="s">
        <v>777</v>
      </c>
      <c r="E195" t="s">
        <v>778</v>
      </c>
      <c r="F195" t="s">
        <v>779</v>
      </c>
      <c r="G195" t="s">
        <v>780</v>
      </c>
      <c r="H195" t="s">
        <v>17</v>
      </c>
      <c r="I195" t="s">
        <v>781</v>
      </c>
    </row>
    <row r="196" spans="1:9" x14ac:dyDescent="0.3">
      <c r="A196" t="s">
        <v>9</v>
      </c>
      <c r="B196" t="s">
        <v>744</v>
      </c>
      <c r="C196" t="s">
        <v>13</v>
      </c>
      <c r="D196" t="s">
        <v>782</v>
      </c>
      <c r="E196" t="s">
        <v>783</v>
      </c>
      <c r="F196" t="s">
        <v>784</v>
      </c>
      <c r="G196" t="s">
        <v>785</v>
      </c>
      <c r="H196" t="s">
        <v>17</v>
      </c>
      <c r="I196" t="s">
        <v>786</v>
      </c>
    </row>
    <row r="197" spans="1:9" x14ac:dyDescent="0.3">
      <c r="A197" t="s">
        <v>9</v>
      </c>
      <c r="B197" t="s">
        <v>744</v>
      </c>
      <c r="C197" t="s">
        <v>13</v>
      </c>
      <c r="D197" t="s">
        <v>787</v>
      </c>
      <c r="E197" t="s">
        <v>788</v>
      </c>
      <c r="F197" t="s">
        <v>789</v>
      </c>
      <c r="G197" t="s">
        <v>790</v>
      </c>
      <c r="H197" t="s">
        <v>17</v>
      </c>
    </row>
    <row r="198" spans="1:9" x14ac:dyDescent="0.3">
      <c r="A198" t="s">
        <v>9</v>
      </c>
      <c r="B198" t="s">
        <v>744</v>
      </c>
      <c r="C198" t="s">
        <v>13</v>
      </c>
      <c r="D198" t="s">
        <v>791</v>
      </c>
      <c r="E198" t="s">
        <v>792</v>
      </c>
      <c r="F198" t="s">
        <v>793</v>
      </c>
      <c r="G198" t="s">
        <v>794</v>
      </c>
      <c r="H198" t="s">
        <v>17</v>
      </c>
    </row>
    <row r="199" spans="1:9" x14ac:dyDescent="0.3">
      <c r="A199" t="s">
        <v>9</v>
      </c>
      <c r="B199" t="s">
        <v>744</v>
      </c>
      <c r="C199" t="s">
        <v>13</v>
      </c>
      <c r="D199" t="s">
        <v>795</v>
      </c>
      <c r="E199" t="s">
        <v>796</v>
      </c>
      <c r="F199" t="s">
        <v>797</v>
      </c>
      <c r="G199" t="s">
        <v>798</v>
      </c>
      <c r="H199" t="s">
        <v>17</v>
      </c>
    </row>
    <row r="200" spans="1:9" x14ac:dyDescent="0.3">
      <c r="A200" t="s">
        <v>9</v>
      </c>
      <c r="B200" t="s">
        <v>744</v>
      </c>
      <c r="C200" t="s">
        <v>13</v>
      </c>
      <c r="D200" t="s">
        <v>799</v>
      </c>
      <c r="E200" t="s">
        <v>800</v>
      </c>
      <c r="F200" t="s">
        <v>801</v>
      </c>
      <c r="G200" t="s">
        <v>802</v>
      </c>
      <c r="H200" t="s">
        <v>17</v>
      </c>
      <c r="I200" t="s">
        <v>414</v>
      </c>
    </row>
    <row r="201" spans="1:9" x14ac:dyDescent="0.3">
      <c r="A201" t="s">
        <v>9</v>
      </c>
      <c r="B201" t="s">
        <v>744</v>
      </c>
      <c r="C201" t="s">
        <v>13</v>
      </c>
      <c r="D201" t="s">
        <v>803</v>
      </c>
      <c r="E201" t="s">
        <v>804</v>
      </c>
      <c r="F201" t="s">
        <v>805</v>
      </c>
      <c r="G201" t="s">
        <v>806</v>
      </c>
      <c r="H201" t="s">
        <v>807</v>
      </c>
    </row>
    <row r="202" spans="1:9" x14ac:dyDescent="0.3">
      <c r="A202" t="s">
        <v>9</v>
      </c>
      <c r="B202" t="s">
        <v>744</v>
      </c>
      <c r="C202" t="s">
        <v>13</v>
      </c>
      <c r="D202" t="s">
        <v>808</v>
      </c>
      <c r="E202" t="s">
        <v>809</v>
      </c>
      <c r="F202" t="s">
        <v>810</v>
      </c>
      <c r="G202" t="s">
        <v>811</v>
      </c>
      <c r="H202" t="s">
        <v>17</v>
      </c>
      <c r="I202" t="s">
        <v>812</v>
      </c>
    </row>
    <row r="203" spans="1:9" x14ac:dyDescent="0.3">
      <c r="A203" t="s">
        <v>9</v>
      </c>
      <c r="B203" t="s">
        <v>744</v>
      </c>
      <c r="C203" t="s">
        <v>13</v>
      </c>
      <c r="D203" t="s">
        <v>813</v>
      </c>
      <c r="E203" t="s">
        <v>814</v>
      </c>
      <c r="F203" t="s">
        <v>815</v>
      </c>
      <c r="G203" t="s">
        <v>816</v>
      </c>
      <c r="H203" t="s">
        <v>17</v>
      </c>
      <c r="I203" t="s">
        <v>817</v>
      </c>
    </row>
    <row r="204" spans="1:9" x14ac:dyDescent="0.3">
      <c r="A204" t="s">
        <v>9</v>
      </c>
      <c r="B204" t="s">
        <v>744</v>
      </c>
      <c r="C204" t="s">
        <v>13</v>
      </c>
      <c r="D204" t="s">
        <v>818</v>
      </c>
      <c r="E204" t="s">
        <v>819</v>
      </c>
      <c r="F204" t="s">
        <v>820</v>
      </c>
      <c r="G204" t="s">
        <v>821</v>
      </c>
      <c r="H204" t="s">
        <v>17</v>
      </c>
    </row>
    <row r="205" spans="1:9" x14ac:dyDescent="0.3">
      <c r="A205" t="s">
        <v>9</v>
      </c>
      <c r="B205" t="s">
        <v>744</v>
      </c>
      <c r="C205" t="s">
        <v>13</v>
      </c>
      <c r="D205" t="s">
        <v>822</v>
      </c>
      <c r="E205" t="s">
        <v>823</v>
      </c>
      <c r="F205" t="s">
        <v>824</v>
      </c>
      <c r="G205" t="s">
        <v>825</v>
      </c>
      <c r="H205" t="s">
        <v>17</v>
      </c>
    </row>
    <row r="206" spans="1:9" x14ac:dyDescent="0.3">
      <c r="A206" t="s">
        <v>9</v>
      </c>
      <c r="B206" t="s">
        <v>744</v>
      </c>
      <c r="C206" t="s">
        <v>13</v>
      </c>
      <c r="D206" t="s">
        <v>826</v>
      </c>
      <c r="E206" t="s">
        <v>827</v>
      </c>
      <c r="F206" t="s">
        <v>828</v>
      </c>
      <c r="G206" t="s">
        <v>829</v>
      </c>
      <c r="H206" t="s">
        <v>17</v>
      </c>
      <c r="I206" t="s">
        <v>830</v>
      </c>
    </row>
    <row r="207" spans="1:9" x14ac:dyDescent="0.3">
      <c r="A207" t="s">
        <v>9</v>
      </c>
      <c r="B207" t="s">
        <v>744</v>
      </c>
      <c r="C207" t="s">
        <v>13</v>
      </c>
      <c r="D207" t="s">
        <v>831</v>
      </c>
      <c r="E207" t="s">
        <v>832</v>
      </c>
      <c r="F207" t="s">
        <v>833</v>
      </c>
      <c r="G207" t="s">
        <v>834</v>
      </c>
      <c r="H207" t="s">
        <v>17</v>
      </c>
      <c r="I207" t="s">
        <v>835</v>
      </c>
    </row>
    <row r="208" spans="1:9" x14ac:dyDescent="0.3">
      <c r="A208" t="s">
        <v>9</v>
      </c>
      <c r="B208" t="s">
        <v>744</v>
      </c>
      <c r="C208" t="s">
        <v>13</v>
      </c>
      <c r="D208" t="s">
        <v>836</v>
      </c>
      <c r="E208" t="s">
        <v>837</v>
      </c>
      <c r="F208" t="s">
        <v>838</v>
      </c>
      <c r="G208" t="s">
        <v>839</v>
      </c>
      <c r="H208" t="s">
        <v>17</v>
      </c>
      <c r="I208" t="s">
        <v>840</v>
      </c>
    </row>
    <row r="209" spans="1:9" x14ac:dyDescent="0.3">
      <c r="A209" t="s">
        <v>9</v>
      </c>
      <c r="B209" t="s">
        <v>744</v>
      </c>
      <c r="C209" t="s">
        <v>13</v>
      </c>
      <c r="D209" t="s">
        <v>841</v>
      </c>
      <c r="E209" t="s">
        <v>842</v>
      </c>
      <c r="F209" t="s">
        <v>843</v>
      </c>
      <c r="G209" t="s">
        <v>844</v>
      </c>
      <c r="H209" t="s">
        <v>17</v>
      </c>
      <c r="I209" t="s">
        <v>845</v>
      </c>
    </row>
    <row r="210" spans="1:9" x14ac:dyDescent="0.3">
      <c r="A210" t="s">
        <v>9</v>
      </c>
      <c r="B210" t="s">
        <v>744</v>
      </c>
      <c r="C210" t="s">
        <v>13</v>
      </c>
      <c r="D210" t="s">
        <v>846</v>
      </c>
      <c r="E210" t="s">
        <v>847</v>
      </c>
      <c r="F210" t="s">
        <v>848</v>
      </c>
      <c r="G210" t="s">
        <v>849</v>
      </c>
      <c r="H210" t="s">
        <v>17</v>
      </c>
    </row>
    <row r="211" spans="1:9" x14ac:dyDescent="0.3">
      <c r="A211" t="s">
        <v>9</v>
      </c>
      <c r="B211" t="s">
        <v>744</v>
      </c>
      <c r="C211" t="s">
        <v>13</v>
      </c>
      <c r="D211" t="s">
        <v>850</v>
      </c>
      <c r="E211" t="s">
        <v>851</v>
      </c>
      <c r="F211" t="s">
        <v>852</v>
      </c>
      <c r="G211" t="s">
        <v>853</v>
      </c>
      <c r="H211" t="s">
        <v>17</v>
      </c>
      <c r="I211" t="s">
        <v>854</v>
      </c>
    </row>
    <row r="212" spans="1:9" x14ac:dyDescent="0.3">
      <c r="A212" t="s">
        <v>9</v>
      </c>
      <c r="B212" t="s">
        <v>744</v>
      </c>
      <c r="C212" t="s">
        <v>13</v>
      </c>
      <c r="D212" t="s">
        <v>855</v>
      </c>
      <c r="E212" t="s">
        <v>856</v>
      </c>
      <c r="F212" t="s">
        <v>857</v>
      </c>
      <c r="H212" t="s">
        <v>17</v>
      </c>
      <c r="I212" t="s">
        <v>858</v>
      </c>
    </row>
    <row r="213" spans="1:9" x14ac:dyDescent="0.3">
      <c r="A213" t="s">
        <v>9</v>
      </c>
      <c r="B213" t="s">
        <v>744</v>
      </c>
      <c r="C213" t="s">
        <v>13</v>
      </c>
      <c r="D213" t="s">
        <v>859</v>
      </c>
      <c r="E213" t="s">
        <v>860</v>
      </c>
      <c r="F213" t="s">
        <v>861</v>
      </c>
      <c r="H213" t="s">
        <v>17</v>
      </c>
    </row>
    <row r="214" spans="1:9" x14ac:dyDescent="0.3">
      <c r="A214" t="s">
        <v>9</v>
      </c>
      <c r="B214" t="s">
        <v>744</v>
      </c>
      <c r="C214" t="s">
        <v>13</v>
      </c>
      <c r="D214" t="s">
        <v>862</v>
      </c>
      <c r="E214" t="s">
        <v>863</v>
      </c>
      <c r="F214" t="s">
        <v>864</v>
      </c>
      <c r="H214" t="s">
        <v>17</v>
      </c>
    </row>
    <row r="215" spans="1:9" x14ac:dyDescent="0.3">
      <c r="A215" t="s">
        <v>9</v>
      </c>
      <c r="B215" t="s">
        <v>744</v>
      </c>
      <c r="C215" t="s">
        <v>13</v>
      </c>
      <c r="D215" t="s">
        <v>865</v>
      </c>
      <c r="E215" t="s">
        <v>866</v>
      </c>
      <c r="F215" t="s">
        <v>867</v>
      </c>
      <c r="H215" t="s">
        <v>17</v>
      </c>
      <c r="I215" t="s">
        <v>868</v>
      </c>
    </row>
    <row r="216" spans="1:9" x14ac:dyDescent="0.3">
      <c r="A216" t="s">
        <v>9</v>
      </c>
      <c r="B216" t="s">
        <v>869</v>
      </c>
      <c r="C216" t="s">
        <v>13</v>
      </c>
      <c r="D216" t="s">
        <v>870</v>
      </c>
      <c r="E216" t="s">
        <v>871</v>
      </c>
      <c r="F216" t="s">
        <v>872</v>
      </c>
      <c r="G216" t="s">
        <v>873</v>
      </c>
      <c r="H216" t="s">
        <v>17</v>
      </c>
      <c r="I216" t="s">
        <v>414</v>
      </c>
    </row>
    <row r="217" spans="1:9" x14ac:dyDescent="0.3">
      <c r="A217" t="s">
        <v>9</v>
      </c>
      <c r="B217" t="s">
        <v>869</v>
      </c>
      <c r="C217" t="s">
        <v>13</v>
      </c>
      <c r="D217" t="s">
        <v>874</v>
      </c>
      <c r="E217" t="s">
        <v>875</v>
      </c>
      <c r="F217" t="s">
        <v>876</v>
      </c>
      <c r="G217" t="s">
        <v>877</v>
      </c>
      <c r="H217" t="s">
        <v>17</v>
      </c>
      <c r="I217" t="s">
        <v>878</v>
      </c>
    </row>
    <row r="218" spans="1:9" x14ac:dyDescent="0.3">
      <c r="A218" t="s">
        <v>9</v>
      </c>
      <c r="B218" t="s">
        <v>869</v>
      </c>
      <c r="C218" t="s">
        <v>13</v>
      </c>
      <c r="D218" t="s">
        <v>879</v>
      </c>
      <c r="E218" t="s">
        <v>880</v>
      </c>
      <c r="F218" t="s">
        <v>881</v>
      </c>
      <c r="G218" t="s">
        <v>882</v>
      </c>
      <c r="H218" t="s">
        <v>17</v>
      </c>
    </row>
    <row r="219" spans="1:9" x14ac:dyDescent="0.3">
      <c r="A219" t="s">
        <v>9</v>
      </c>
      <c r="B219" t="s">
        <v>869</v>
      </c>
      <c r="C219" t="s">
        <v>13</v>
      </c>
      <c r="D219" t="s">
        <v>883</v>
      </c>
      <c r="E219" t="s">
        <v>884</v>
      </c>
      <c r="F219" t="s">
        <v>885</v>
      </c>
      <c r="G219" t="s">
        <v>886</v>
      </c>
      <c r="H219" t="s">
        <v>17</v>
      </c>
      <c r="I219" t="s">
        <v>887</v>
      </c>
    </row>
    <row r="220" spans="1:9" x14ac:dyDescent="0.3">
      <c r="A220" t="s">
        <v>9</v>
      </c>
      <c r="B220" t="s">
        <v>869</v>
      </c>
      <c r="C220" t="s">
        <v>13</v>
      </c>
      <c r="D220" t="s">
        <v>888</v>
      </c>
      <c r="E220" t="s">
        <v>889</v>
      </c>
      <c r="F220" t="s">
        <v>890</v>
      </c>
      <c r="G220" t="s">
        <v>891</v>
      </c>
      <c r="H220" t="s">
        <v>17</v>
      </c>
      <c r="I220" t="s">
        <v>892</v>
      </c>
    </row>
    <row r="221" spans="1:9" x14ac:dyDescent="0.3">
      <c r="A221" t="s">
        <v>9</v>
      </c>
      <c r="B221" t="s">
        <v>869</v>
      </c>
      <c r="C221" t="s">
        <v>13</v>
      </c>
      <c r="D221" t="s">
        <v>893</v>
      </c>
      <c r="E221" t="s">
        <v>894</v>
      </c>
      <c r="F221" t="s">
        <v>895</v>
      </c>
      <c r="G221" t="s">
        <v>896</v>
      </c>
      <c r="H221" t="s">
        <v>17</v>
      </c>
      <c r="I221" t="s">
        <v>897</v>
      </c>
    </row>
    <row r="222" spans="1:9" x14ac:dyDescent="0.3">
      <c r="A222" t="s">
        <v>9</v>
      </c>
      <c r="B222" t="s">
        <v>869</v>
      </c>
      <c r="C222" t="s">
        <v>13</v>
      </c>
      <c r="D222" t="s">
        <v>898</v>
      </c>
      <c r="E222" t="s">
        <v>899</v>
      </c>
      <c r="F222" t="s">
        <v>900</v>
      </c>
      <c r="G222" t="s">
        <v>901</v>
      </c>
      <c r="H222" t="s">
        <v>17</v>
      </c>
      <c r="I222" t="s">
        <v>414</v>
      </c>
    </row>
    <row r="223" spans="1:9" x14ac:dyDescent="0.3">
      <c r="A223" t="s">
        <v>9</v>
      </c>
      <c r="B223" t="s">
        <v>902</v>
      </c>
      <c r="C223" t="s">
        <v>13</v>
      </c>
      <c r="D223" t="s">
        <v>903</v>
      </c>
      <c r="E223" t="s">
        <v>904</v>
      </c>
      <c r="F223" t="s">
        <v>905</v>
      </c>
      <c r="G223" t="s">
        <v>906</v>
      </c>
      <c r="H223" t="s">
        <v>17</v>
      </c>
      <c r="I223" t="s">
        <v>907</v>
      </c>
    </row>
    <row r="224" spans="1:9" x14ac:dyDescent="0.3">
      <c r="A224" t="s">
        <v>9</v>
      </c>
      <c r="B224" t="s">
        <v>902</v>
      </c>
      <c r="C224" t="s">
        <v>13</v>
      </c>
      <c r="D224" t="s">
        <v>908</v>
      </c>
      <c r="E224" t="s">
        <v>909</v>
      </c>
      <c r="F224" t="s">
        <v>910</v>
      </c>
      <c r="G224" t="s">
        <v>911</v>
      </c>
      <c r="H224" t="s">
        <v>17</v>
      </c>
      <c r="I224" t="s">
        <v>907</v>
      </c>
    </row>
    <row r="225" spans="1:9" x14ac:dyDescent="0.3">
      <c r="A225" t="s">
        <v>9</v>
      </c>
      <c r="B225" t="s">
        <v>902</v>
      </c>
      <c r="C225" t="s">
        <v>13</v>
      </c>
      <c r="D225" t="s">
        <v>912</v>
      </c>
      <c r="E225" t="s">
        <v>913</v>
      </c>
      <c r="F225" t="s">
        <v>914</v>
      </c>
      <c r="G225" t="s">
        <v>915</v>
      </c>
      <c r="H225" t="s">
        <v>17</v>
      </c>
      <c r="I225" t="s">
        <v>907</v>
      </c>
    </row>
    <row r="226" spans="1:9" x14ac:dyDescent="0.3">
      <c r="A226" t="s">
        <v>9</v>
      </c>
      <c r="B226" t="s">
        <v>902</v>
      </c>
      <c r="C226" t="s">
        <v>13</v>
      </c>
      <c r="D226" t="s">
        <v>916</v>
      </c>
      <c r="E226" t="s">
        <v>917</v>
      </c>
      <c r="F226" t="s">
        <v>918</v>
      </c>
      <c r="G226" t="s">
        <v>919</v>
      </c>
      <c r="H226" t="s">
        <v>17</v>
      </c>
      <c r="I226" t="s">
        <v>907</v>
      </c>
    </row>
    <row r="227" spans="1:9" x14ac:dyDescent="0.3">
      <c r="A227" t="s">
        <v>9</v>
      </c>
      <c r="B227" t="s">
        <v>902</v>
      </c>
      <c r="C227" t="s">
        <v>13</v>
      </c>
      <c r="D227" t="s">
        <v>920</v>
      </c>
      <c r="E227" t="s">
        <v>921</v>
      </c>
      <c r="F227" t="s">
        <v>922</v>
      </c>
      <c r="G227" t="s">
        <v>923</v>
      </c>
      <c r="H227" t="s">
        <v>17</v>
      </c>
      <c r="I227" t="s">
        <v>907</v>
      </c>
    </row>
    <row r="228" spans="1:9" x14ac:dyDescent="0.3">
      <c r="A228" t="s">
        <v>9</v>
      </c>
      <c r="B228" t="s">
        <v>902</v>
      </c>
      <c r="C228" t="s">
        <v>13</v>
      </c>
      <c r="D228" t="s">
        <v>924</v>
      </c>
      <c r="E228" t="s">
        <v>925</v>
      </c>
      <c r="F228" t="s">
        <v>926</v>
      </c>
      <c r="G228" t="s">
        <v>927</v>
      </c>
      <c r="H228" t="s">
        <v>17</v>
      </c>
      <c r="I228" t="s">
        <v>907</v>
      </c>
    </row>
    <row r="229" spans="1:9" x14ac:dyDescent="0.3">
      <c r="A229" t="s">
        <v>9</v>
      </c>
      <c r="B229" t="s">
        <v>902</v>
      </c>
      <c r="C229" t="s">
        <v>13</v>
      </c>
      <c r="D229" t="s">
        <v>928</v>
      </c>
      <c r="E229" t="s">
        <v>929</v>
      </c>
      <c r="F229" t="s">
        <v>930</v>
      </c>
      <c r="G229" t="s">
        <v>931</v>
      </c>
      <c r="H229" t="s">
        <v>17</v>
      </c>
      <c r="I229" t="s">
        <v>932</v>
      </c>
    </row>
    <row r="230" spans="1:9" x14ac:dyDescent="0.3">
      <c r="A230" t="s">
        <v>9</v>
      </c>
      <c r="B230" t="s">
        <v>902</v>
      </c>
      <c r="C230" t="s">
        <v>13</v>
      </c>
      <c r="D230" t="s">
        <v>933</v>
      </c>
      <c r="E230" t="s">
        <v>934</v>
      </c>
      <c r="F230" t="s">
        <v>935</v>
      </c>
      <c r="G230" t="s">
        <v>936</v>
      </c>
      <c r="H230" t="s">
        <v>17</v>
      </c>
      <c r="I230" t="s">
        <v>937</v>
      </c>
    </row>
    <row r="231" spans="1:9" x14ac:dyDescent="0.3">
      <c r="A231" t="s">
        <v>9</v>
      </c>
      <c r="B231" t="s">
        <v>902</v>
      </c>
      <c r="C231" t="s">
        <v>13</v>
      </c>
      <c r="D231" t="s">
        <v>938</v>
      </c>
      <c r="E231" t="s">
        <v>939</v>
      </c>
      <c r="F231" t="s">
        <v>940</v>
      </c>
      <c r="G231" t="s">
        <v>941</v>
      </c>
      <c r="H231" t="s">
        <v>17</v>
      </c>
      <c r="I231" t="s">
        <v>937</v>
      </c>
    </row>
    <row r="232" spans="1:9" x14ac:dyDescent="0.3">
      <c r="A232" t="s">
        <v>9</v>
      </c>
      <c r="B232" t="s">
        <v>902</v>
      </c>
      <c r="C232" t="s">
        <v>13</v>
      </c>
      <c r="D232" t="s">
        <v>942</v>
      </c>
      <c r="E232" t="s">
        <v>943</v>
      </c>
      <c r="F232" t="s">
        <v>944</v>
      </c>
      <c r="G232" t="s">
        <v>945</v>
      </c>
      <c r="H232" t="s">
        <v>17</v>
      </c>
      <c r="I232" t="s">
        <v>937</v>
      </c>
    </row>
    <row r="233" spans="1:9" x14ac:dyDescent="0.3">
      <c r="A233" t="s">
        <v>9</v>
      </c>
      <c r="B233" t="s">
        <v>902</v>
      </c>
      <c r="C233" t="s">
        <v>13</v>
      </c>
      <c r="D233" t="s">
        <v>946</v>
      </c>
      <c r="E233" t="s">
        <v>947</v>
      </c>
      <c r="F233" t="s">
        <v>948</v>
      </c>
      <c r="G233" t="s">
        <v>949</v>
      </c>
      <c r="H233" t="s">
        <v>17</v>
      </c>
      <c r="I233" t="s">
        <v>937</v>
      </c>
    </row>
    <row r="234" spans="1:9" x14ac:dyDescent="0.3">
      <c r="A234" t="s">
        <v>9</v>
      </c>
      <c r="B234" t="s">
        <v>902</v>
      </c>
      <c r="C234" t="s">
        <v>13</v>
      </c>
      <c r="D234" t="s">
        <v>950</v>
      </c>
      <c r="E234" t="s">
        <v>951</v>
      </c>
      <c r="F234" t="s">
        <v>952</v>
      </c>
      <c r="G234" t="s">
        <v>953</v>
      </c>
      <c r="H234" t="s">
        <v>17</v>
      </c>
      <c r="I234" t="s">
        <v>937</v>
      </c>
    </row>
    <row r="235" spans="1:9" x14ac:dyDescent="0.3">
      <c r="A235" t="s">
        <v>9</v>
      </c>
      <c r="B235" t="s">
        <v>902</v>
      </c>
      <c r="C235" t="s">
        <v>13</v>
      </c>
      <c r="D235" t="s">
        <v>954</v>
      </c>
      <c r="E235" t="s">
        <v>955</v>
      </c>
      <c r="F235" t="s">
        <v>956</v>
      </c>
      <c r="G235" t="s">
        <v>957</v>
      </c>
      <c r="H235" t="s">
        <v>17</v>
      </c>
      <c r="I235" t="s">
        <v>958</v>
      </c>
    </row>
    <row r="236" spans="1:9" x14ac:dyDescent="0.3">
      <c r="A236" t="s">
        <v>9</v>
      </c>
      <c r="B236" t="s">
        <v>902</v>
      </c>
      <c r="C236" t="s">
        <v>13</v>
      </c>
      <c r="D236" t="s">
        <v>959</v>
      </c>
      <c r="E236" t="s">
        <v>960</v>
      </c>
      <c r="F236" t="s">
        <v>961</v>
      </c>
      <c r="G236" t="s">
        <v>962</v>
      </c>
      <c r="H236" t="s">
        <v>17</v>
      </c>
      <c r="I236" t="s">
        <v>963</v>
      </c>
    </row>
    <row r="237" spans="1:9" x14ac:dyDescent="0.3">
      <c r="A237" t="s">
        <v>9</v>
      </c>
      <c r="B237" t="s">
        <v>902</v>
      </c>
      <c r="C237" t="s">
        <v>13</v>
      </c>
      <c r="D237" t="s">
        <v>964</v>
      </c>
      <c r="E237" t="s">
        <v>965</v>
      </c>
      <c r="F237" t="s">
        <v>966</v>
      </c>
      <c r="G237" t="s">
        <v>967</v>
      </c>
      <c r="H237" t="s">
        <v>17</v>
      </c>
      <c r="I237" t="s">
        <v>968</v>
      </c>
    </row>
    <row r="238" spans="1:9" x14ac:dyDescent="0.3">
      <c r="A238" t="s">
        <v>9</v>
      </c>
      <c r="B238" t="s">
        <v>902</v>
      </c>
      <c r="C238" t="s">
        <v>13</v>
      </c>
      <c r="D238" t="s">
        <v>969</v>
      </c>
      <c r="E238" t="s">
        <v>970</v>
      </c>
      <c r="F238" t="s">
        <v>747</v>
      </c>
      <c r="G238" t="s">
        <v>971</v>
      </c>
      <c r="H238" t="s">
        <v>17</v>
      </c>
    </row>
    <row r="239" spans="1:9" x14ac:dyDescent="0.3">
      <c r="A239" t="s">
        <v>9</v>
      </c>
      <c r="B239" t="s">
        <v>902</v>
      </c>
      <c r="C239" t="s">
        <v>13</v>
      </c>
      <c r="D239" t="s">
        <v>972</v>
      </c>
      <c r="E239" t="s">
        <v>973</v>
      </c>
      <c r="F239" t="s">
        <v>833</v>
      </c>
      <c r="G239" t="s">
        <v>974</v>
      </c>
      <c r="H239" t="s">
        <v>17</v>
      </c>
      <c r="I239" t="s">
        <v>835</v>
      </c>
    </row>
    <row r="240" spans="1:9" x14ac:dyDescent="0.3">
      <c r="A240" t="s">
        <v>9</v>
      </c>
      <c r="B240" t="s">
        <v>902</v>
      </c>
      <c r="C240" t="s">
        <v>13</v>
      </c>
      <c r="D240" t="s">
        <v>975</v>
      </c>
      <c r="E240" t="s">
        <v>976</v>
      </c>
      <c r="F240" t="s">
        <v>797</v>
      </c>
      <c r="G240" t="s">
        <v>977</v>
      </c>
      <c r="H240" t="s">
        <v>17</v>
      </c>
    </row>
    <row r="241" spans="1:9" x14ac:dyDescent="0.3">
      <c r="A241" t="s">
        <v>9</v>
      </c>
      <c r="B241" t="s">
        <v>902</v>
      </c>
      <c r="C241" t="s">
        <v>13</v>
      </c>
      <c r="D241" t="s">
        <v>978</v>
      </c>
      <c r="E241" t="s">
        <v>979</v>
      </c>
      <c r="F241" t="s">
        <v>843</v>
      </c>
      <c r="G241" t="s">
        <v>980</v>
      </c>
      <c r="H241" t="s">
        <v>17</v>
      </c>
      <c r="I241" t="s">
        <v>845</v>
      </c>
    </row>
    <row r="242" spans="1:9" x14ac:dyDescent="0.3">
      <c r="A242" t="s">
        <v>9</v>
      </c>
      <c r="B242" t="s">
        <v>902</v>
      </c>
      <c r="C242" t="s">
        <v>13</v>
      </c>
      <c r="D242" t="s">
        <v>981</v>
      </c>
      <c r="E242" t="s">
        <v>982</v>
      </c>
      <c r="F242" t="s">
        <v>852</v>
      </c>
      <c r="G242" t="s">
        <v>983</v>
      </c>
      <c r="H242" t="s">
        <v>17</v>
      </c>
      <c r="I242" t="s">
        <v>854</v>
      </c>
    </row>
    <row r="243" spans="1:9" x14ac:dyDescent="0.3">
      <c r="A243" t="s">
        <v>9</v>
      </c>
      <c r="B243" t="s">
        <v>902</v>
      </c>
      <c r="C243" t="s">
        <v>13</v>
      </c>
      <c r="D243" t="s">
        <v>984</v>
      </c>
      <c r="E243" t="s">
        <v>985</v>
      </c>
      <c r="F243" t="s">
        <v>861</v>
      </c>
      <c r="H243" t="s">
        <v>17</v>
      </c>
    </row>
    <row r="244" spans="1:9" x14ac:dyDescent="0.3">
      <c r="A244" t="s">
        <v>9</v>
      </c>
      <c r="B244" t="s">
        <v>902</v>
      </c>
      <c r="C244" t="s">
        <v>13</v>
      </c>
      <c r="D244" t="s">
        <v>986</v>
      </c>
      <c r="E244" t="s">
        <v>987</v>
      </c>
      <c r="F244" t="s">
        <v>864</v>
      </c>
      <c r="H244" t="s">
        <v>17</v>
      </c>
      <c r="I244" t="s">
        <v>988</v>
      </c>
    </row>
    <row r="245" spans="1:9" x14ac:dyDescent="0.3">
      <c r="A245" t="s">
        <v>9</v>
      </c>
      <c r="B245" t="s">
        <v>902</v>
      </c>
      <c r="C245" t="s">
        <v>13</v>
      </c>
      <c r="D245" t="s">
        <v>989</v>
      </c>
      <c r="E245" t="s">
        <v>990</v>
      </c>
      <c r="F245" t="s">
        <v>991</v>
      </c>
      <c r="H245" t="s">
        <v>17</v>
      </c>
      <c r="I245" t="s">
        <v>992</v>
      </c>
    </row>
    <row r="246" spans="1:9" x14ac:dyDescent="0.3">
      <c r="A246" t="s">
        <v>993</v>
      </c>
      <c r="E246" t="s">
        <v>10</v>
      </c>
      <c r="F246" t="s">
        <v>994</v>
      </c>
    </row>
    <row r="247" spans="1:9" x14ac:dyDescent="0.3">
      <c r="A247" t="s">
        <v>993</v>
      </c>
      <c r="B247" t="s">
        <v>995</v>
      </c>
      <c r="C247" t="s">
        <v>13</v>
      </c>
      <c r="D247" t="s">
        <v>996</v>
      </c>
      <c r="E247" t="s">
        <v>997</v>
      </c>
      <c r="F247" t="s">
        <v>998</v>
      </c>
      <c r="G247" t="s">
        <v>999</v>
      </c>
      <c r="H247" t="s">
        <v>17</v>
      </c>
      <c r="I247" t="s">
        <v>1000</v>
      </c>
    </row>
    <row r="248" spans="1:9" x14ac:dyDescent="0.3">
      <c r="A248" t="s">
        <v>993</v>
      </c>
      <c r="B248" t="s">
        <v>995</v>
      </c>
      <c r="C248" t="s">
        <v>13</v>
      </c>
      <c r="D248" t="s">
        <v>1001</v>
      </c>
      <c r="E248" t="s">
        <v>1002</v>
      </c>
      <c r="F248" t="s">
        <v>29</v>
      </c>
      <c r="G248" t="s">
        <v>1003</v>
      </c>
      <c r="H248" t="s">
        <v>17</v>
      </c>
      <c r="I248" t="s">
        <v>1004</v>
      </c>
    </row>
    <row r="249" spans="1:9" x14ac:dyDescent="0.3">
      <c r="A249" t="s">
        <v>993</v>
      </c>
      <c r="B249" t="s">
        <v>995</v>
      </c>
      <c r="C249" t="s">
        <v>13</v>
      </c>
      <c r="D249" t="s">
        <v>1005</v>
      </c>
      <c r="E249" t="s">
        <v>1006</v>
      </c>
      <c r="F249" t="s">
        <v>34</v>
      </c>
      <c r="G249" t="s">
        <v>1007</v>
      </c>
      <c r="H249" t="s">
        <v>17</v>
      </c>
      <c r="I249" t="s">
        <v>1008</v>
      </c>
    </row>
    <row r="250" spans="1:9" x14ac:dyDescent="0.3">
      <c r="A250" t="s">
        <v>993</v>
      </c>
      <c r="B250" t="s">
        <v>995</v>
      </c>
      <c r="C250" t="s">
        <v>13</v>
      </c>
      <c r="D250" t="s">
        <v>27</v>
      </c>
      <c r="E250" t="s">
        <v>1009</v>
      </c>
      <c r="F250" t="s">
        <v>1010</v>
      </c>
      <c r="G250" t="s">
        <v>1011</v>
      </c>
      <c r="H250" t="s">
        <v>17</v>
      </c>
      <c r="I250" t="s">
        <v>1012</v>
      </c>
    </row>
    <row r="251" spans="1:9" x14ac:dyDescent="0.3">
      <c r="A251" t="s">
        <v>993</v>
      </c>
      <c r="B251" t="s">
        <v>1013</v>
      </c>
      <c r="C251" t="s">
        <v>13</v>
      </c>
      <c r="D251" t="s">
        <v>1014</v>
      </c>
      <c r="E251" t="s">
        <v>1015</v>
      </c>
      <c r="F251" t="s">
        <v>58</v>
      </c>
      <c r="H251" t="s">
        <v>17</v>
      </c>
      <c r="I251" t="s">
        <v>1016</v>
      </c>
    </row>
    <row r="252" spans="1:9" x14ac:dyDescent="0.3">
      <c r="A252" t="s">
        <v>993</v>
      </c>
      <c r="B252" t="s">
        <v>1013</v>
      </c>
      <c r="C252" t="s">
        <v>13</v>
      </c>
      <c r="D252" t="s">
        <v>1017</v>
      </c>
      <c r="E252" t="s">
        <v>1018</v>
      </c>
      <c r="F252" t="s">
        <v>1019</v>
      </c>
      <c r="G252" t="s">
        <v>1020</v>
      </c>
      <c r="H252" t="s">
        <v>17</v>
      </c>
      <c r="I252" t="s">
        <v>1016</v>
      </c>
    </row>
    <row r="253" spans="1:9" x14ac:dyDescent="0.3">
      <c r="A253" t="s">
        <v>993</v>
      </c>
      <c r="B253" t="s">
        <v>1013</v>
      </c>
      <c r="C253" t="s">
        <v>13</v>
      </c>
      <c r="D253" t="s">
        <v>36</v>
      </c>
      <c r="E253" t="s">
        <v>1021</v>
      </c>
      <c r="F253" t="s">
        <v>1022</v>
      </c>
      <c r="G253" t="s">
        <v>1023</v>
      </c>
      <c r="H253" t="s">
        <v>17</v>
      </c>
      <c r="I253" t="s">
        <v>1016</v>
      </c>
    </row>
    <row r="254" spans="1:9" x14ac:dyDescent="0.3">
      <c r="A254" t="s">
        <v>993</v>
      </c>
      <c r="B254" t="s">
        <v>1013</v>
      </c>
      <c r="C254" t="s">
        <v>13</v>
      </c>
      <c r="D254" t="s">
        <v>41</v>
      </c>
      <c r="E254" t="s">
        <v>1024</v>
      </c>
      <c r="F254" t="s">
        <v>1025</v>
      </c>
      <c r="G254" t="s">
        <v>1026</v>
      </c>
      <c r="H254" t="s">
        <v>17</v>
      </c>
      <c r="I254" t="s">
        <v>1016</v>
      </c>
    </row>
    <row r="255" spans="1:9" x14ac:dyDescent="0.3">
      <c r="A255" t="s">
        <v>993</v>
      </c>
      <c r="B255" t="s">
        <v>1013</v>
      </c>
      <c r="C255" t="s">
        <v>13</v>
      </c>
      <c r="D255" t="s">
        <v>45</v>
      </c>
      <c r="E255" t="s">
        <v>1027</v>
      </c>
      <c r="F255" t="s">
        <v>63</v>
      </c>
      <c r="G255" t="s">
        <v>1026</v>
      </c>
      <c r="H255" t="s">
        <v>17</v>
      </c>
      <c r="I255" t="s">
        <v>1016</v>
      </c>
    </row>
    <row r="256" spans="1:9" x14ac:dyDescent="0.3">
      <c r="A256" t="s">
        <v>993</v>
      </c>
      <c r="B256" t="s">
        <v>1013</v>
      </c>
      <c r="C256" t="s">
        <v>13</v>
      </c>
      <c r="D256" t="s">
        <v>50</v>
      </c>
      <c r="E256" t="s">
        <v>1028</v>
      </c>
      <c r="F256" t="s">
        <v>1029</v>
      </c>
      <c r="G256" t="s">
        <v>1030</v>
      </c>
      <c r="H256" t="s">
        <v>17</v>
      </c>
      <c r="I256" t="s">
        <v>1016</v>
      </c>
    </row>
    <row r="257" spans="1:9" x14ac:dyDescent="0.3">
      <c r="A257" t="s">
        <v>993</v>
      </c>
      <c r="B257" t="s">
        <v>1013</v>
      </c>
      <c r="C257" t="s">
        <v>13</v>
      </c>
      <c r="D257" t="s">
        <v>53</v>
      </c>
      <c r="E257" t="s">
        <v>1031</v>
      </c>
      <c r="F257" t="s">
        <v>1032</v>
      </c>
      <c r="G257" t="s">
        <v>1026</v>
      </c>
      <c r="H257" t="s">
        <v>17</v>
      </c>
      <c r="I257" t="s">
        <v>1016</v>
      </c>
    </row>
    <row r="258" spans="1:9" x14ac:dyDescent="0.3">
      <c r="A258" t="s">
        <v>993</v>
      </c>
      <c r="B258" t="s">
        <v>1013</v>
      </c>
      <c r="C258" t="s">
        <v>13</v>
      </c>
      <c r="D258" t="s">
        <v>56</v>
      </c>
      <c r="E258" t="s">
        <v>1033</v>
      </c>
      <c r="F258" t="s">
        <v>1034</v>
      </c>
      <c r="G258" t="s">
        <v>1026</v>
      </c>
      <c r="H258" t="s">
        <v>17</v>
      </c>
      <c r="I258" t="s">
        <v>1016</v>
      </c>
    </row>
    <row r="259" spans="1:9" x14ac:dyDescent="0.3">
      <c r="A259" t="s">
        <v>993</v>
      </c>
      <c r="B259" t="s">
        <v>1013</v>
      </c>
      <c r="C259" t="s">
        <v>13</v>
      </c>
      <c r="D259" t="s">
        <v>61</v>
      </c>
      <c r="E259" t="s">
        <v>1035</v>
      </c>
      <c r="F259" t="s">
        <v>1036</v>
      </c>
      <c r="G259" t="s">
        <v>1037</v>
      </c>
      <c r="H259" t="s">
        <v>17</v>
      </c>
      <c r="I259" t="s">
        <v>1038</v>
      </c>
    </row>
    <row r="260" spans="1:9" x14ac:dyDescent="0.3">
      <c r="A260" t="s">
        <v>993</v>
      </c>
      <c r="B260" t="s">
        <v>1013</v>
      </c>
      <c r="C260" t="s">
        <v>13</v>
      </c>
      <c r="D260" t="s">
        <v>1039</v>
      </c>
      <c r="E260" t="s">
        <v>1040</v>
      </c>
      <c r="F260" t="s">
        <v>92</v>
      </c>
      <c r="G260" t="s">
        <v>1041</v>
      </c>
      <c r="H260" t="s">
        <v>17</v>
      </c>
      <c r="I260" t="s">
        <v>1042</v>
      </c>
    </row>
    <row r="261" spans="1:9" x14ac:dyDescent="0.3">
      <c r="A261" t="s">
        <v>993</v>
      </c>
      <c r="B261" t="s">
        <v>1013</v>
      </c>
      <c r="C261" t="s">
        <v>13</v>
      </c>
      <c r="D261" t="s">
        <v>1043</v>
      </c>
      <c r="E261" t="s">
        <v>1044</v>
      </c>
      <c r="F261" t="s">
        <v>87</v>
      </c>
      <c r="H261" t="s">
        <v>17</v>
      </c>
      <c r="I261" t="s">
        <v>1045</v>
      </c>
    </row>
    <row r="262" spans="1:9" x14ac:dyDescent="0.3">
      <c r="A262" t="s">
        <v>993</v>
      </c>
      <c r="B262" t="s">
        <v>1013</v>
      </c>
      <c r="C262" t="s">
        <v>13</v>
      </c>
      <c r="D262" t="s">
        <v>71</v>
      </c>
      <c r="E262" t="s">
        <v>1046</v>
      </c>
      <c r="F262" t="s">
        <v>102</v>
      </c>
      <c r="G262" t="s">
        <v>1047</v>
      </c>
      <c r="H262" t="s">
        <v>17</v>
      </c>
      <c r="I262" t="s">
        <v>1048</v>
      </c>
    </row>
    <row r="263" spans="1:9" x14ac:dyDescent="0.3">
      <c r="A263" t="s">
        <v>993</v>
      </c>
      <c r="B263" t="s">
        <v>1049</v>
      </c>
      <c r="C263" t="s">
        <v>13</v>
      </c>
      <c r="D263" t="s">
        <v>1050</v>
      </c>
      <c r="E263" t="s">
        <v>1051</v>
      </c>
      <c r="F263" t="s">
        <v>1052</v>
      </c>
      <c r="G263" t="s">
        <v>1053</v>
      </c>
      <c r="H263" t="s">
        <v>17</v>
      </c>
      <c r="I263" t="s">
        <v>1054</v>
      </c>
    </row>
    <row r="264" spans="1:9" x14ac:dyDescent="0.3">
      <c r="A264" t="s">
        <v>993</v>
      </c>
      <c r="B264" t="s">
        <v>1049</v>
      </c>
      <c r="C264" t="s">
        <v>13</v>
      </c>
      <c r="D264" t="s">
        <v>1055</v>
      </c>
      <c r="E264" t="s">
        <v>1056</v>
      </c>
      <c r="F264" t="s">
        <v>113</v>
      </c>
      <c r="G264" t="s">
        <v>1057</v>
      </c>
      <c r="H264" t="s">
        <v>17</v>
      </c>
      <c r="I264" t="s">
        <v>1054</v>
      </c>
    </row>
    <row r="265" spans="1:9" x14ac:dyDescent="0.3">
      <c r="A265" t="s">
        <v>993</v>
      </c>
      <c r="B265" t="s">
        <v>1049</v>
      </c>
      <c r="C265" t="s">
        <v>13</v>
      </c>
      <c r="D265" t="s">
        <v>80</v>
      </c>
      <c r="E265" t="s">
        <v>1058</v>
      </c>
      <c r="F265" t="s">
        <v>116</v>
      </c>
      <c r="G265" t="s">
        <v>1059</v>
      </c>
      <c r="H265" t="s">
        <v>17</v>
      </c>
      <c r="I265" t="s">
        <v>1054</v>
      </c>
    </row>
    <row r="266" spans="1:9" x14ac:dyDescent="0.3">
      <c r="A266" t="s">
        <v>993</v>
      </c>
      <c r="B266" t="s">
        <v>1049</v>
      </c>
      <c r="C266" t="s">
        <v>13</v>
      </c>
      <c r="D266" t="s">
        <v>85</v>
      </c>
      <c r="E266" t="s">
        <v>1060</v>
      </c>
      <c r="F266" t="s">
        <v>119</v>
      </c>
      <c r="G266" t="s">
        <v>1061</v>
      </c>
      <c r="H266" t="s">
        <v>17</v>
      </c>
      <c r="I266" t="s">
        <v>1054</v>
      </c>
    </row>
    <row r="267" spans="1:9" x14ac:dyDescent="0.3">
      <c r="A267" t="s">
        <v>993</v>
      </c>
      <c r="B267" t="s">
        <v>1062</v>
      </c>
      <c r="C267" t="s">
        <v>13</v>
      </c>
      <c r="D267" t="s">
        <v>1063</v>
      </c>
      <c r="E267" t="s">
        <v>1064</v>
      </c>
      <c r="F267" t="s">
        <v>1065</v>
      </c>
      <c r="G267" t="s">
        <v>1066</v>
      </c>
      <c r="H267" t="s">
        <v>17</v>
      </c>
      <c r="I267" t="s">
        <v>1067</v>
      </c>
    </row>
    <row r="268" spans="1:9" x14ac:dyDescent="0.3">
      <c r="A268" t="s">
        <v>993</v>
      </c>
      <c r="B268" t="s">
        <v>1062</v>
      </c>
      <c r="C268" t="s">
        <v>13</v>
      </c>
      <c r="D268" t="s">
        <v>1068</v>
      </c>
      <c r="E268" t="s">
        <v>1069</v>
      </c>
      <c r="F268" t="s">
        <v>1070</v>
      </c>
      <c r="G268" t="s">
        <v>1071</v>
      </c>
      <c r="H268" t="s">
        <v>17</v>
      </c>
      <c r="I268" t="s">
        <v>1067</v>
      </c>
    </row>
    <row r="269" spans="1:9" x14ac:dyDescent="0.3">
      <c r="A269" t="s">
        <v>993</v>
      </c>
      <c r="B269" t="s">
        <v>1062</v>
      </c>
      <c r="C269" t="s">
        <v>13</v>
      </c>
      <c r="D269" t="s">
        <v>1072</v>
      </c>
      <c r="E269" t="s">
        <v>1073</v>
      </c>
      <c r="F269" t="s">
        <v>1074</v>
      </c>
      <c r="G269" t="s">
        <v>1075</v>
      </c>
      <c r="H269" t="s">
        <v>17</v>
      </c>
      <c r="I269" t="s">
        <v>1067</v>
      </c>
    </row>
    <row r="270" spans="1:9" x14ac:dyDescent="0.3">
      <c r="A270" t="s">
        <v>993</v>
      </c>
      <c r="B270" t="s">
        <v>1062</v>
      </c>
      <c r="C270" t="s">
        <v>13</v>
      </c>
      <c r="D270" t="s">
        <v>1076</v>
      </c>
      <c r="E270" t="s">
        <v>1077</v>
      </c>
      <c r="F270" t="s">
        <v>1078</v>
      </c>
      <c r="G270" t="s">
        <v>1079</v>
      </c>
      <c r="H270" t="s">
        <v>17</v>
      </c>
      <c r="I270" t="s">
        <v>1067</v>
      </c>
    </row>
    <row r="271" spans="1:9" x14ac:dyDescent="0.3">
      <c r="A271" t="s">
        <v>993</v>
      </c>
      <c r="B271" t="s">
        <v>1062</v>
      </c>
      <c r="C271" t="s">
        <v>13</v>
      </c>
      <c r="D271" t="s">
        <v>1080</v>
      </c>
      <c r="E271" t="s">
        <v>1081</v>
      </c>
      <c r="F271" t="s">
        <v>1082</v>
      </c>
      <c r="G271" t="s">
        <v>1083</v>
      </c>
      <c r="H271" t="s">
        <v>17</v>
      </c>
      <c r="I271" t="s">
        <v>1067</v>
      </c>
    </row>
    <row r="272" spans="1:9" x14ac:dyDescent="0.3">
      <c r="A272" t="s">
        <v>993</v>
      </c>
      <c r="B272" t="s">
        <v>1062</v>
      </c>
      <c r="C272" t="s">
        <v>13</v>
      </c>
      <c r="D272" t="s">
        <v>1084</v>
      </c>
      <c r="E272" t="s">
        <v>1085</v>
      </c>
      <c r="F272" t="s">
        <v>1086</v>
      </c>
      <c r="G272" t="s">
        <v>1087</v>
      </c>
      <c r="H272" t="s">
        <v>17</v>
      </c>
      <c r="I272" t="s">
        <v>1067</v>
      </c>
    </row>
    <row r="273" spans="1:9" x14ac:dyDescent="0.3">
      <c r="A273" t="s">
        <v>993</v>
      </c>
      <c r="B273" t="s">
        <v>1062</v>
      </c>
      <c r="C273" t="s">
        <v>13</v>
      </c>
      <c r="D273" t="s">
        <v>1088</v>
      </c>
      <c r="E273" t="s">
        <v>1089</v>
      </c>
      <c r="F273" t="s">
        <v>1090</v>
      </c>
      <c r="G273" t="s">
        <v>1091</v>
      </c>
      <c r="H273" t="s">
        <v>17</v>
      </c>
      <c r="I273" t="s">
        <v>1067</v>
      </c>
    </row>
    <row r="274" spans="1:9" x14ac:dyDescent="0.3">
      <c r="A274" t="s">
        <v>993</v>
      </c>
      <c r="B274" t="s">
        <v>1062</v>
      </c>
      <c r="C274" t="s">
        <v>13</v>
      </c>
      <c r="D274" t="s">
        <v>1092</v>
      </c>
      <c r="E274" t="s">
        <v>1093</v>
      </c>
      <c r="F274" t="s">
        <v>1094</v>
      </c>
      <c r="G274" t="s">
        <v>1095</v>
      </c>
      <c r="H274" t="s">
        <v>17</v>
      </c>
      <c r="I274" t="s">
        <v>1067</v>
      </c>
    </row>
    <row r="275" spans="1:9" x14ac:dyDescent="0.3">
      <c r="A275" t="s">
        <v>993</v>
      </c>
      <c r="B275" t="s">
        <v>1062</v>
      </c>
      <c r="C275" t="s">
        <v>13</v>
      </c>
      <c r="D275" t="s">
        <v>1096</v>
      </c>
      <c r="E275" t="s">
        <v>1097</v>
      </c>
      <c r="F275" t="s">
        <v>1098</v>
      </c>
      <c r="G275" t="s">
        <v>1099</v>
      </c>
      <c r="H275" t="s">
        <v>17</v>
      </c>
      <c r="I275" t="s">
        <v>1067</v>
      </c>
    </row>
    <row r="276" spans="1:9" x14ac:dyDescent="0.3">
      <c r="A276" t="s">
        <v>993</v>
      </c>
      <c r="B276" t="s">
        <v>1062</v>
      </c>
      <c r="C276" t="s">
        <v>13</v>
      </c>
      <c r="D276" t="s">
        <v>1100</v>
      </c>
      <c r="E276" t="s">
        <v>1101</v>
      </c>
      <c r="F276" t="s">
        <v>1102</v>
      </c>
      <c r="G276" t="s">
        <v>1103</v>
      </c>
      <c r="H276" t="s">
        <v>17</v>
      </c>
      <c r="I276" t="s">
        <v>1067</v>
      </c>
    </row>
    <row r="277" spans="1:9" x14ac:dyDescent="0.3">
      <c r="A277" t="s">
        <v>993</v>
      </c>
      <c r="B277" t="s">
        <v>1062</v>
      </c>
      <c r="C277" t="s">
        <v>13</v>
      </c>
      <c r="D277" t="s">
        <v>1104</v>
      </c>
      <c r="E277" t="s">
        <v>1105</v>
      </c>
      <c r="F277" t="s">
        <v>1106</v>
      </c>
      <c r="G277" t="s">
        <v>1107</v>
      </c>
      <c r="H277" t="s">
        <v>17</v>
      </c>
      <c r="I277" t="s">
        <v>1067</v>
      </c>
    </row>
    <row r="278" spans="1:9" x14ac:dyDescent="0.3">
      <c r="A278" t="s">
        <v>993</v>
      </c>
      <c r="B278" t="s">
        <v>1108</v>
      </c>
      <c r="C278" t="s">
        <v>13</v>
      </c>
      <c r="D278" t="s">
        <v>1109</v>
      </c>
      <c r="E278" t="s">
        <v>1110</v>
      </c>
      <c r="F278" t="s">
        <v>1111</v>
      </c>
      <c r="G278" t="s">
        <v>1112</v>
      </c>
      <c r="H278" t="s">
        <v>17</v>
      </c>
      <c r="I278" t="s">
        <v>1113</v>
      </c>
    </row>
    <row r="279" spans="1:9" x14ac:dyDescent="0.3">
      <c r="A279" t="s">
        <v>993</v>
      </c>
      <c r="B279" t="s">
        <v>1108</v>
      </c>
      <c r="C279" t="s">
        <v>13</v>
      </c>
      <c r="D279" t="s">
        <v>1114</v>
      </c>
      <c r="E279" t="s">
        <v>1115</v>
      </c>
      <c r="F279" t="s">
        <v>1116</v>
      </c>
      <c r="G279" t="s">
        <v>1117</v>
      </c>
      <c r="H279" t="s">
        <v>17</v>
      </c>
      <c r="I279" t="s">
        <v>1113</v>
      </c>
    </row>
    <row r="280" spans="1:9" x14ac:dyDescent="0.3">
      <c r="A280" t="s">
        <v>993</v>
      </c>
      <c r="B280" t="s">
        <v>1108</v>
      </c>
      <c r="C280" t="s">
        <v>13</v>
      </c>
      <c r="D280" t="s">
        <v>1118</v>
      </c>
      <c r="E280" t="s">
        <v>1119</v>
      </c>
      <c r="F280" t="s">
        <v>1120</v>
      </c>
      <c r="G280" t="s">
        <v>1121</v>
      </c>
      <c r="H280" t="s">
        <v>17</v>
      </c>
      <c r="I280" t="s">
        <v>1113</v>
      </c>
    </row>
    <row r="281" spans="1:9" x14ac:dyDescent="0.3">
      <c r="A281" t="s">
        <v>993</v>
      </c>
      <c r="B281" t="s">
        <v>1122</v>
      </c>
      <c r="C281" t="s">
        <v>13</v>
      </c>
      <c r="D281" t="s">
        <v>1123</v>
      </c>
      <c r="E281" t="s">
        <v>1124</v>
      </c>
      <c r="F281" t="s">
        <v>1125</v>
      </c>
      <c r="G281" t="s">
        <v>1126</v>
      </c>
      <c r="H281" t="s">
        <v>17</v>
      </c>
      <c r="I281" t="s">
        <v>1113</v>
      </c>
    </row>
    <row r="282" spans="1:9" x14ac:dyDescent="0.3">
      <c r="A282" t="s">
        <v>993</v>
      </c>
      <c r="B282" t="s">
        <v>1122</v>
      </c>
      <c r="C282" t="s">
        <v>13</v>
      </c>
      <c r="D282" t="s">
        <v>1127</v>
      </c>
      <c r="E282" t="s">
        <v>1128</v>
      </c>
      <c r="F282" t="s">
        <v>1129</v>
      </c>
      <c r="G282" t="s">
        <v>1130</v>
      </c>
      <c r="H282" t="s">
        <v>17</v>
      </c>
      <c r="I282" t="s">
        <v>1113</v>
      </c>
    </row>
    <row r="283" spans="1:9" x14ac:dyDescent="0.3">
      <c r="A283" t="s">
        <v>993</v>
      </c>
      <c r="B283" t="s">
        <v>1122</v>
      </c>
      <c r="C283" t="s">
        <v>13</v>
      </c>
      <c r="D283" t="s">
        <v>1131</v>
      </c>
      <c r="E283" t="s">
        <v>1132</v>
      </c>
      <c r="F283" t="s">
        <v>1133</v>
      </c>
      <c r="G283" t="s">
        <v>1134</v>
      </c>
      <c r="H283" t="s">
        <v>17</v>
      </c>
      <c r="I283" t="s">
        <v>1113</v>
      </c>
    </row>
    <row r="284" spans="1:9" x14ac:dyDescent="0.3">
      <c r="A284" t="s">
        <v>993</v>
      </c>
      <c r="B284" t="s">
        <v>1135</v>
      </c>
      <c r="C284" t="s">
        <v>13</v>
      </c>
      <c r="D284" t="s">
        <v>1136</v>
      </c>
      <c r="E284" t="s">
        <v>1137</v>
      </c>
      <c r="F284" t="s">
        <v>1138</v>
      </c>
      <c r="G284" t="s">
        <v>1139</v>
      </c>
      <c r="H284" t="s">
        <v>17</v>
      </c>
      <c r="I284" t="s">
        <v>1113</v>
      </c>
    </row>
    <row r="285" spans="1:9" x14ac:dyDescent="0.3">
      <c r="A285" t="s">
        <v>993</v>
      </c>
      <c r="B285" t="s">
        <v>1135</v>
      </c>
      <c r="C285" t="s">
        <v>13</v>
      </c>
      <c r="D285" t="s">
        <v>245</v>
      </c>
      <c r="E285" t="s">
        <v>1140</v>
      </c>
      <c r="F285" t="s">
        <v>1141</v>
      </c>
      <c r="G285" t="s">
        <v>1142</v>
      </c>
      <c r="H285" t="s">
        <v>17</v>
      </c>
      <c r="I285" t="s">
        <v>1113</v>
      </c>
    </row>
    <row r="286" spans="1:9" x14ac:dyDescent="0.3">
      <c r="A286" t="s">
        <v>993</v>
      </c>
      <c r="B286" t="s">
        <v>1135</v>
      </c>
      <c r="C286" t="s">
        <v>13</v>
      </c>
      <c r="D286" t="s">
        <v>250</v>
      </c>
      <c r="E286" t="s">
        <v>1143</v>
      </c>
      <c r="F286" t="s">
        <v>1144</v>
      </c>
      <c r="G286" t="s">
        <v>1145</v>
      </c>
      <c r="H286" t="s">
        <v>17</v>
      </c>
      <c r="I286" t="s">
        <v>1113</v>
      </c>
    </row>
    <row r="287" spans="1:9" x14ac:dyDescent="0.3">
      <c r="A287" t="s">
        <v>993</v>
      </c>
      <c r="B287" t="s">
        <v>1135</v>
      </c>
      <c r="C287" t="s">
        <v>13</v>
      </c>
      <c r="D287" t="s">
        <v>1146</v>
      </c>
      <c r="E287" t="s">
        <v>1147</v>
      </c>
      <c r="F287" t="s">
        <v>305</v>
      </c>
      <c r="G287" t="s">
        <v>1148</v>
      </c>
      <c r="H287" t="s">
        <v>17</v>
      </c>
      <c r="I287" t="s">
        <v>1149</v>
      </c>
    </row>
    <row r="288" spans="1:9" x14ac:dyDescent="0.3">
      <c r="A288" t="s">
        <v>993</v>
      </c>
      <c r="B288" t="s">
        <v>1135</v>
      </c>
      <c r="C288" t="s">
        <v>13</v>
      </c>
      <c r="D288" t="s">
        <v>1150</v>
      </c>
      <c r="E288" t="s">
        <v>1151</v>
      </c>
      <c r="F288" t="s">
        <v>1152</v>
      </c>
      <c r="G288" t="s">
        <v>1153</v>
      </c>
      <c r="H288" t="s">
        <v>17</v>
      </c>
      <c r="I288" t="s">
        <v>1149</v>
      </c>
    </row>
    <row r="289" spans="1:9" x14ac:dyDescent="0.3">
      <c r="A289" t="s">
        <v>993</v>
      </c>
      <c r="B289" t="s">
        <v>1135</v>
      </c>
      <c r="C289" t="s">
        <v>13</v>
      </c>
      <c r="D289" t="s">
        <v>1154</v>
      </c>
      <c r="E289" t="s">
        <v>1155</v>
      </c>
      <c r="F289" t="s">
        <v>384</v>
      </c>
      <c r="G289" t="s">
        <v>1156</v>
      </c>
      <c r="H289" t="s">
        <v>17</v>
      </c>
      <c r="I289" t="s">
        <v>548</v>
      </c>
    </row>
    <row r="290" spans="1:9" x14ac:dyDescent="0.3">
      <c r="A290" t="s">
        <v>993</v>
      </c>
      <c r="B290" t="s">
        <v>1157</v>
      </c>
      <c r="C290" t="s">
        <v>13</v>
      </c>
      <c r="D290" t="s">
        <v>1158</v>
      </c>
      <c r="E290" t="s">
        <v>1159</v>
      </c>
      <c r="F290" t="s">
        <v>329</v>
      </c>
      <c r="G290" t="s">
        <v>1160</v>
      </c>
      <c r="H290" t="s">
        <v>17</v>
      </c>
      <c r="I290" t="s">
        <v>1161</v>
      </c>
    </row>
    <row r="291" spans="1:9" x14ac:dyDescent="0.3">
      <c r="A291" t="s">
        <v>993</v>
      </c>
      <c r="B291" t="s">
        <v>1157</v>
      </c>
      <c r="C291" t="s">
        <v>13</v>
      </c>
      <c r="D291" t="s">
        <v>1162</v>
      </c>
      <c r="E291" t="s">
        <v>1163</v>
      </c>
      <c r="F291" t="s">
        <v>334</v>
      </c>
      <c r="G291" t="s">
        <v>1164</v>
      </c>
      <c r="H291" t="s">
        <v>17</v>
      </c>
      <c r="I291" t="s">
        <v>1161</v>
      </c>
    </row>
    <row r="292" spans="1:9" x14ac:dyDescent="0.3">
      <c r="A292" t="s">
        <v>993</v>
      </c>
      <c r="B292" t="s">
        <v>1157</v>
      </c>
      <c r="C292" t="s">
        <v>13</v>
      </c>
      <c r="D292" t="s">
        <v>1165</v>
      </c>
      <c r="E292" t="s">
        <v>1166</v>
      </c>
      <c r="F292" t="s">
        <v>337</v>
      </c>
      <c r="G292" t="s">
        <v>1167</v>
      </c>
      <c r="H292" t="s">
        <v>17</v>
      </c>
      <c r="I292" t="s">
        <v>1161</v>
      </c>
    </row>
    <row r="293" spans="1:9" x14ac:dyDescent="0.3">
      <c r="A293" t="s">
        <v>993</v>
      </c>
      <c r="B293" t="s">
        <v>1157</v>
      </c>
      <c r="C293" t="s">
        <v>13</v>
      </c>
      <c r="D293" t="s">
        <v>1168</v>
      </c>
      <c r="E293" t="s">
        <v>1169</v>
      </c>
      <c r="F293" t="s">
        <v>1170</v>
      </c>
      <c r="G293" t="s">
        <v>1171</v>
      </c>
      <c r="H293" t="s">
        <v>17</v>
      </c>
      <c r="I293" t="s">
        <v>1161</v>
      </c>
    </row>
    <row r="294" spans="1:9" x14ac:dyDescent="0.3">
      <c r="A294" t="s">
        <v>993</v>
      </c>
      <c r="B294" t="s">
        <v>1157</v>
      </c>
      <c r="C294" t="s">
        <v>13</v>
      </c>
      <c r="D294" t="s">
        <v>1172</v>
      </c>
      <c r="E294" t="s">
        <v>1173</v>
      </c>
      <c r="F294" t="s">
        <v>1174</v>
      </c>
      <c r="G294" t="s">
        <v>1175</v>
      </c>
      <c r="H294" t="s">
        <v>17</v>
      </c>
      <c r="I294" t="s">
        <v>1161</v>
      </c>
    </row>
    <row r="295" spans="1:9" x14ac:dyDescent="0.3">
      <c r="A295" t="s">
        <v>993</v>
      </c>
      <c r="B295" t="s">
        <v>1157</v>
      </c>
      <c r="C295" t="s">
        <v>13</v>
      </c>
      <c r="D295" t="s">
        <v>1176</v>
      </c>
      <c r="E295" t="s">
        <v>1177</v>
      </c>
      <c r="F295" t="s">
        <v>346</v>
      </c>
      <c r="G295" t="s">
        <v>1178</v>
      </c>
      <c r="H295" t="s">
        <v>17</v>
      </c>
      <c r="I295" t="s">
        <v>1161</v>
      </c>
    </row>
    <row r="296" spans="1:9" x14ac:dyDescent="0.3">
      <c r="A296" t="s">
        <v>993</v>
      </c>
      <c r="B296" t="s">
        <v>1157</v>
      </c>
      <c r="C296" t="s">
        <v>13</v>
      </c>
      <c r="D296" t="s">
        <v>1179</v>
      </c>
      <c r="E296" t="s">
        <v>1180</v>
      </c>
      <c r="F296" t="s">
        <v>349</v>
      </c>
      <c r="G296" t="s">
        <v>1181</v>
      </c>
      <c r="H296" t="s">
        <v>17</v>
      </c>
      <c r="I296" t="s">
        <v>1182</v>
      </c>
    </row>
    <row r="297" spans="1:9" x14ac:dyDescent="0.3">
      <c r="A297" t="s">
        <v>993</v>
      </c>
      <c r="B297" t="s">
        <v>1183</v>
      </c>
      <c r="C297" t="s">
        <v>13</v>
      </c>
      <c r="D297" t="s">
        <v>1184</v>
      </c>
      <c r="E297" t="s">
        <v>1185</v>
      </c>
      <c r="F297" t="s">
        <v>1186</v>
      </c>
      <c r="G297" t="s">
        <v>1187</v>
      </c>
      <c r="H297" t="s">
        <v>17</v>
      </c>
      <c r="I297" t="s">
        <v>1188</v>
      </c>
    </row>
    <row r="298" spans="1:9" x14ac:dyDescent="0.3">
      <c r="A298" t="s">
        <v>993</v>
      </c>
      <c r="B298" t="s">
        <v>1183</v>
      </c>
      <c r="C298" t="s">
        <v>13</v>
      </c>
      <c r="D298" t="s">
        <v>1189</v>
      </c>
      <c r="E298" t="s">
        <v>1190</v>
      </c>
      <c r="F298" t="s">
        <v>1191</v>
      </c>
      <c r="G298" t="s">
        <v>1192</v>
      </c>
      <c r="H298" t="s">
        <v>17</v>
      </c>
      <c r="I298" t="s">
        <v>1188</v>
      </c>
    </row>
    <row r="299" spans="1:9" x14ac:dyDescent="0.3">
      <c r="A299" t="s">
        <v>993</v>
      </c>
      <c r="B299" t="s">
        <v>1183</v>
      </c>
      <c r="C299" t="s">
        <v>13</v>
      </c>
      <c r="D299" t="s">
        <v>1193</v>
      </c>
      <c r="E299" t="s">
        <v>1194</v>
      </c>
      <c r="F299" t="s">
        <v>1195</v>
      </c>
      <c r="G299" t="s">
        <v>1196</v>
      </c>
      <c r="H299" t="s">
        <v>17</v>
      </c>
      <c r="I299" t="s">
        <v>1188</v>
      </c>
    </row>
    <row r="300" spans="1:9" x14ac:dyDescent="0.3">
      <c r="A300" t="s">
        <v>993</v>
      </c>
      <c r="B300" t="s">
        <v>1183</v>
      </c>
      <c r="C300" t="s">
        <v>13</v>
      </c>
      <c r="D300" t="s">
        <v>1197</v>
      </c>
      <c r="E300" t="s">
        <v>1198</v>
      </c>
      <c r="F300" t="s">
        <v>1199</v>
      </c>
      <c r="G300" t="s">
        <v>1200</v>
      </c>
      <c r="H300" t="s">
        <v>17</v>
      </c>
      <c r="I300" t="s">
        <v>1188</v>
      </c>
    </row>
    <row r="301" spans="1:9" x14ac:dyDescent="0.3">
      <c r="A301" t="s">
        <v>993</v>
      </c>
      <c r="B301" t="s">
        <v>1183</v>
      </c>
      <c r="C301" t="s">
        <v>13</v>
      </c>
      <c r="D301" t="s">
        <v>1201</v>
      </c>
      <c r="E301" t="s">
        <v>1202</v>
      </c>
      <c r="F301" t="s">
        <v>1203</v>
      </c>
      <c r="G301" t="s">
        <v>1204</v>
      </c>
      <c r="H301" t="s">
        <v>17</v>
      </c>
      <c r="I301" t="s">
        <v>1188</v>
      </c>
    </row>
    <row r="302" spans="1:9" x14ac:dyDescent="0.3">
      <c r="A302" t="s">
        <v>993</v>
      </c>
      <c r="B302" t="s">
        <v>1183</v>
      </c>
      <c r="C302" t="s">
        <v>13</v>
      </c>
      <c r="D302" t="s">
        <v>1205</v>
      </c>
      <c r="E302" t="s">
        <v>1206</v>
      </c>
      <c r="F302" t="s">
        <v>1207</v>
      </c>
      <c r="G302" t="s">
        <v>1208</v>
      </c>
      <c r="H302" t="s">
        <v>17</v>
      </c>
      <c r="I302" t="s">
        <v>1188</v>
      </c>
    </row>
    <row r="303" spans="1:9" x14ac:dyDescent="0.3">
      <c r="A303" t="s">
        <v>993</v>
      </c>
      <c r="B303" t="s">
        <v>1183</v>
      </c>
      <c r="C303" t="s">
        <v>13</v>
      </c>
      <c r="D303" t="s">
        <v>1209</v>
      </c>
      <c r="E303" t="s">
        <v>1210</v>
      </c>
      <c r="F303" t="s">
        <v>1211</v>
      </c>
      <c r="G303" t="s">
        <v>1212</v>
      </c>
      <c r="H303" t="s">
        <v>17</v>
      </c>
      <c r="I303" t="s">
        <v>1188</v>
      </c>
    </row>
    <row r="304" spans="1:9" x14ac:dyDescent="0.3">
      <c r="A304" t="s">
        <v>993</v>
      </c>
      <c r="B304" t="s">
        <v>1183</v>
      </c>
      <c r="C304" t="s">
        <v>13</v>
      </c>
      <c r="D304" t="s">
        <v>1213</v>
      </c>
      <c r="E304" t="s">
        <v>1214</v>
      </c>
      <c r="F304" t="s">
        <v>1215</v>
      </c>
      <c r="G304" t="s">
        <v>1216</v>
      </c>
      <c r="H304" t="s">
        <v>17</v>
      </c>
      <c r="I304" t="s">
        <v>1217</v>
      </c>
    </row>
    <row r="305" spans="1:9" x14ac:dyDescent="0.3">
      <c r="A305" t="s">
        <v>993</v>
      </c>
      <c r="B305" t="s">
        <v>1218</v>
      </c>
      <c r="C305" t="s">
        <v>13</v>
      </c>
      <c r="D305" t="s">
        <v>1219</v>
      </c>
      <c r="E305" t="s">
        <v>1220</v>
      </c>
      <c r="F305" t="s">
        <v>1221</v>
      </c>
      <c r="G305" t="s">
        <v>1222</v>
      </c>
      <c r="H305" t="s">
        <v>17</v>
      </c>
      <c r="I305" t="s">
        <v>1223</v>
      </c>
    </row>
    <row r="306" spans="1:9" x14ac:dyDescent="0.3">
      <c r="A306" t="s">
        <v>993</v>
      </c>
      <c r="B306" t="s">
        <v>1218</v>
      </c>
      <c r="C306" t="s">
        <v>13</v>
      </c>
      <c r="D306" t="s">
        <v>1224</v>
      </c>
      <c r="E306" t="s">
        <v>1225</v>
      </c>
      <c r="F306" t="s">
        <v>1226</v>
      </c>
      <c r="G306" t="s">
        <v>1227</v>
      </c>
      <c r="H306" t="s">
        <v>17</v>
      </c>
      <c r="I306" t="s">
        <v>1223</v>
      </c>
    </row>
    <row r="307" spans="1:9" x14ac:dyDescent="0.3">
      <c r="A307" t="s">
        <v>993</v>
      </c>
      <c r="B307" t="s">
        <v>1218</v>
      </c>
      <c r="C307" t="s">
        <v>13</v>
      </c>
      <c r="D307" t="s">
        <v>1228</v>
      </c>
      <c r="E307" t="s">
        <v>1229</v>
      </c>
      <c r="F307" t="s">
        <v>1230</v>
      </c>
      <c r="G307" t="s">
        <v>1231</v>
      </c>
      <c r="H307" t="s">
        <v>17</v>
      </c>
      <c r="I307" t="s">
        <v>1223</v>
      </c>
    </row>
    <row r="308" spans="1:9" x14ac:dyDescent="0.3">
      <c r="A308" t="s">
        <v>993</v>
      </c>
      <c r="B308" t="s">
        <v>1218</v>
      </c>
      <c r="C308" t="s">
        <v>13</v>
      </c>
      <c r="D308" t="s">
        <v>1232</v>
      </c>
      <c r="E308" t="s">
        <v>1233</v>
      </c>
      <c r="F308" t="s">
        <v>1234</v>
      </c>
      <c r="G308" t="s">
        <v>1235</v>
      </c>
      <c r="H308" t="s">
        <v>17</v>
      </c>
      <c r="I308" t="s">
        <v>1223</v>
      </c>
    </row>
    <row r="309" spans="1:9" x14ac:dyDescent="0.3">
      <c r="A309" t="s">
        <v>993</v>
      </c>
      <c r="B309" t="s">
        <v>1218</v>
      </c>
      <c r="C309" t="s">
        <v>13</v>
      </c>
      <c r="D309" t="s">
        <v>1236</v>
      </c>
      <c r="E309" t="s">
        <v>1237</v>
      </c>
      <c r="F309" t="s">
        <v>1238</v>
      </c>
      <c r="G309" t="s">
        <v>1239</v>
      </c>
      <c r="H309" t="s">
        <v>17</v>
      </c>
      <c r="I309" t="s">
        <v>1223</v>
      </c>
    </row>
    <row r="310" spans="1:9" x14ac:dyDescent="0.3">
      <c r="A310" t="s">
        <v>993</v>
      </c>
      <c r="B310" t="s">
        <v>1218</v>
      </c>
      <c r="C310" t="s">
        <v>13</v>
      </c>
      <c r="D310" t="s">
        <v>1240</v>
      </c>
      <c r="E310" t="s">
        <v>1241</v>
      </c>
      <c r="F310" t="s">
        <v>1242</v>
      </c>
      <c r="G310" t="s">
        <v>1243</v>
      </c>
      <c r="H310" t="s">
        <v>17</v>
      </c>
      <c r="I310" t="s">
        <v>1223</v>
      </c>
    </row>
    <row r="311" spans="1:9" x14ac:dyDescent="0.3">
      <c r="A311" t="s">
        <v>993</v>
      </c>
      <c r="B311" t="s">
        <v>1218</v>
      </c>
      <c r="C311" t="s">
        <v>13</v>
      </c>
      <c r="D311" t="s">
        <v>1244</v>
      </c>
      <c r="E311" t="s">
        <v>1245</v>
      </c>
      <c r="F311" t="s">
        <v>1246</v>
      </c>
      <c r="G311" t="s">
        <v>1247</v>
      </c>
      <c r="H311" t="s">
        <v>17</v>
      </c>
      <c r="I311" t="s">
        <v>1223</v>
      </c>
    </row>
    <row r="312" spans="1:9" x14ac:dyDescent="0.3">
      <c r="A312" t="s">
        <v>993</v>
      </c>
      <c r="B312" t="s">
        <v>1218</v>
      </c>
      <c r="C312" t="s">
        <v>13</v>
      </c>
      <c r="D312" t="s">
        <v>1248</v>
      </c>
      <c r="E312" t="s">
        <v>1249</v>
      </c>
      <c r="F312" t="s">
        <v>1250</v>
      </c>
      <c r="G312" t="s">
        <v>1251</v>
      </c>
      <c r="H312" t="s">
        <v>17</v>
      </c>
      <c r="I312" t="s">
        <v>1223</v>
      </c>
    </row>
    <row r="313" spans="1:9" x14ac:dyDescent="0.3">
      <c r="A313" t="s">
        <v>993</v>
      </c>
      <c r="B313" t="s">
        <v>1218</v>
      </c>
      <c r="C313" t="s">
        <v>13</v>
      </c>
      <c r="D313" t="s">
        <v>1252</v>
      </c>
      <c r="E313" t="s">
        <v>1253</v>
      </c>
      <c r="F313" t="s">
        <v>1254</v>
      </c>
      <c r="G313" t="s">
        <v>1255</v>
      </c>
      <c r="H313" t="s">
        <v>17</v>
      </c>
      <c r="I313" t="s">
        <v>1223</v>
      </c>
    </row>
    <row r="314" spans="1:9" x14ac:dyDescent="0.3">
      <c r="A314" t="s">
        <v>993</v>
      </c>
      <c r="B314" t="s">
        <v>1218</v>
      </c>
      <c r="C314" t="s">
        <v>13</v>
      </c>
      <c r="D314" t="s">
        <v>1256</v>
      </c>
      <c r="E314" t="s">
        <v>1257</v>
      </c>
      <c r="F314" t="s">
        <v>1258</v>
      </c>
      <c r="G314" t="s">
        <v>1259</v>
      </c>
      <c r="H314" t="s">
        <v>17</v>
      </c>
      <c r="I314" t="s">
        <v>1260</v>
      </c>
    </row>
    <row r="315" spans="1:9" x14ac:dyDescent="0.3">
      <c r="A315" t="s">
        <v>993</v>
      </c>
      <c r="B315" t="s">
        <v>1218</v>
      </c>
      <c r="C315" t="s">
        <v>13</v>
      </c>
      <c r="D315" t="s">
        <v>1261</v>
      </c>
      <c r="E315" t="s">
        <v>1262</v>
      </c>
      <c r="F315" t="s">
        <v>1263</v>
      </c>
      <c r="G315" t="s">
        <v>1264</v>
      </c>
      <c r="H315" t="s">
        <v>17</v>
      </c>
      <c r="I315" t="s">
        <v>1260</v>
      </c>
    </row>
    <row r="316" spans="1:9" x14ac:dyDescent="0.3">
      <c r="A316" t="s">
        <v>993</v>
      </c>
      <c r="B316" t="s">
        <v>1218</v>
      </c>
      <c r="C316" t="s">
        <v>13</v>
      </c>
      <c r="D316" t="s">
        <v>1265</v>
      </c>
      <c r="E316" t="s">
        <v>1266</v>
      </c>
      <c r="F316" t="s">
        <v>1267</v>
      </c>
      <c r="G316" t="s">
        <v>1268</v>
      </c>
      <c r="H316" t="s">
        <v>17</v>
      </c>
      <c r="I316" t="s">
        <v>1269</v>
      </c>
    </row>
    <row r="317" spans="1:9" x14ac:dyDescent="0.3">
      <c r="A317" t="s">
        <v>993</v>
      </c>
      <c r="B317" t="s">
        <v>1218</v>
      </c>
      <c r="C317" t="s">
        <v>13</v>
      </c>
      <c r="D317" t="s">
        <v>1270</v>
      </c>
      <c r="E317" t="s">
        <v>1271</v>
      </c>
      <c r="F317" t="s">
        <v>1272</v>
      </c>
      <c r="G317" t="s">
        <v>1273</v>
      </c>
      <c r="H317" t="s">
        <v>17</v>
      </c>
      <c r="I317" t="s">
        <v>1274</v>
      </c>
    </row>
    <row r="318" spans="1:9" x14ac:dyDescent="0.3">
      <c r="A318" t="s">
        <v>993</v>
      </c>
      <c r="B318" t="s">
        <v>1275</v>
      </c>
      <c r="C318" t="s">
        <v>13</v>
      </c>
      <c r="D318" t="s">
        <v>1276</v>
      </c>
      <c r="E318" t="s">
        <v>1277</v>
      </c>
      <c r="F318" t="s">
        <v>1278</v>
      </c>
      <c r="G318" t="s">
        <v>1279</v>
      </c>
      <c r="H318" t="s">
        <v>17</v>
      </c>
      <c r="I318" t="s">
        <v>1280</v>
      </c>
    </row>
    <row r="319" spans="1:9" x14ac:dyDescent="0.3">
      <c r="A319" t="s">
        <v>993</v>
      </c>
      <c r="B319" t="s">
        <v>1275</v>
      </c>
      <c r="C319" t="s">
        <v>13</v>
      </c>
      <c r="D319" t="s">
        <v>303</v>
      </c>
      <c r="E319" t="s">
        <v>1281</v>
      </c>
      <c r="F319" t="s">
        <v>1282</v>
      </c>
      <c r="G319" t="s">
        <v>1283</v>
      </c>
      <c r="H319" t="s">
        <v>17</v>
      </c>
      <c r="I319" t="s">
        <v>1280</v>
      </c>
    </row>
    <row r="320" spans="1:9" x14ac:dyDescent="0.3">
      <c r="A320" t="s">
        <v>993</v>
      </c>
      <c r="B320" t="s">
        <v>1275</v>
      </c>
      <c r="C320" t="s">
        <v>13</v>
      </c>
      <c r="D320" t="s">
        <v>308</v>
      </c>
      <c r="E320" t="s">
        <v>1284</v>
      </c>
      <c r="F320" t="s">
        <v>1285</v>
      </c>
      <c r="G320" t="s">
        <v>1286</v>
      </c>
      <c r="H320" t="s">
        <v>17</v>
      </c>
      <c r="I320" t="s">
        <v>1280</v>
      </c>
    </row>
    <row r="321" spans="1:9" x14ac:dyDescent="0.3">
      <c r="A321" t="s">
        <v>993</v>
      </c>
      <c r="B321" t="s">
        <v>1275</v>
      </c>
      <c r="C321" t="s">
        <v>13</v>
      </c>
      <c r="D321" t="s">
        <v>312</v>
      </c>
      <c r="E321" t="s">
        <v>1287</v>
      </c>
      <c r="F321" t="s">
        <v>1288</v>
      </c>
      <c r="G321" t="s">
        <v>1289</v>
      </c>
      <c r="H321" t="s">
        <v>17</v>
      </c>
      <c r="I321" t="s">
        <v>1280</v>
      </c>
    </row>
    <row r="322" spans="1:9" x14ac:dyDescent="0.3">
      <c r="A322" t="s">
        <v>993</v>
      </c>
      <c r="B322" t="s">
        <v>1275</v>
      </c>
      <c r="C322" t="s">
        <v>13</v>
      </c>
      <c r="D322" t="s">
        <v>316</v>
      </c>
      <c r="E322" t="s">
        <v>1290</v>
      </c>
      <c r="F322" t="s">
        <v>1291</v>
      </c>
      <c r="G322" t="s">
        <v>1292</v>
      </c>
      <c r="H322" t="s">
        <v>17</v>
      </c>
      <c r="I322" t="s">
        <v>1280</v>
      </c>
    </row>
    <row r="323" spans="1:9" x14ac:dyDescent="0.3">
      <c r="A323" t="s">
        <v>993</v>
      </c>
      <c r="B323" t="s">
        <v>1275</v>
      </c>
      <c r="C323" t="s">
        <v>13</v>
      </c>
      <c r="D323" t="s">
        <v>319</v>
      </c>
      <c r="E323" t="s">
        <v>1293</v>
      </c>
      <c r="F323" t="s">
        <v>1294</v>
      </c>
      <c r="G323" t="s">
        <v>1295</v>
      </c>
      <c r="H323" t="s">
        <v>17</v>
      </c>
      <c r="I323" t="s">
        <v>1280</v>
      </c>
    </row>
    <row r="324" spans="1:9" x14ac:dyDescent="0.3">
      <c r="A324" t="s">
        <v>993</v>
      </c>
      <c r="B324" t="s">
        <v>1275</v>
      </c>
      <c r="C324" t="s">
        <v>13</v>
      </c>
      <c r="D324" t="s">
        <v>323</v>
      </c>
      <c r="E324" t="s">
        <v>1296</v>
      </c>
      <c r="F324" t="s">
        <v>1297</v>
      </c>
      <c r="G324" t="s">
        <v>1298</v>
      </c>
      <c r="H324" t="s">
        <v>17</v>
      </c>
      <c r="I324" t="s">
        <v>1280</v>
      </c>
    </row>
    <row r="325" spans="1:9" x14ac:dyDescent="0.3">
      <c r="A325" t="s">
        <v>993</v>
      </c>
      <c r="B325" t="s">
        <v>1299</v>
      </c>
      <c r="C325" t="s">
        <v>13</v>
      </c>
      <c r="D325" t="s">
        <v>327</v>
      </c>
      <c r="E325" t="s">
        <v>1300</v>
      </c>
      <c r="F325" t="s">
        <v>1301</v>
      </c>
      <c r="G325" t="s">
        <v>1302</v>
      </c>
      <c r="H325" t="s">
        <v>17</v>
      </c>
      <c r="I325" t="s">
        <v>1303</v>
      </c>
    </row>
    <row r="326" spans="1:9" x14ac:dyDescent="0.3">
      <c r="A326" t="s">
        <v>993</v>
      </c>
      <c r="B326" t="s">
        <v>1299</v>
      </c>
      <c r="C326" t="s">
        <v>13</v>
      </c>
      <c r="D326" t="s">
        <v>332</v>
      </c>
      <c r="E326" t="s">
        <v>1304</v>
      </c>
      <c r="F326" t="s">
        <v>1305</v>
      </c>
      <c r="G326" t="s">
        <v>1306</v>
      </c>
      <c r="H326" t="s">
        <v>17</v>
      </c>
      <c r="I326" t="s">
        <v>1303</v>
      </c>
    </row>
    <row r="327" spans="1:9" x14ac:dyDescent="0.3">
      <c r="A327" t="s">
        <v>993</v>
      </c>
      <c r="B327" t="s">
        <v>1299</v>
      </c>
      <c r="C327" t="s">
        <v>13</v>
      </c>
      <c r="D327" t="s">
        <v>335</v>
      </c>
      <c r="E327" t="s">
        <v>1307</v>
      </c>
      <c r="F327" t="s">
        <v>1308</v>
      </c>
      <c r="G327" t="s">
        <v>1309</v>
      </c>
      <c r="H327" t="s">
        <v>17</v>
      </c>
      <c r="I327" t="s">
        <v>1303</v>
      </c>
    </row>
    <row r="328" spans="1:9" x14ac:dyDescent="0.3">
      <c r="A328" t="s">
        <v>993</v>
      </c>
      <c r="B328" t="s">
        <v>1299</v>
      </c>
      <c r="C328" t="s">
        <v>13</v>
      </c>
      <c r="D328" t="s">
        <v>338</v>
      </c>
      <c r="E328" t="s">
        <v>1310</v>
      </c>
      <c r="F328" t="s">
        <v>1311</v>
      </c>
      <c r="G328" t="s">
        <v>1312</v>
      </c>
      <c r="H328" t="s">
        <v>17</v>
      </c>
      <c r="I328" t="s">
        <v>1303</v>
      </c>
    </row>
    <row r="329" spans="1:9" x14ac:dyDescent="0.3">
      <c r="A329" t="s">
        <v>993</v>
      </c>
      <c r="B329" t="s">
        <v>1299</v>
      </c>
      <c r="C329" t="s">
        <v>13</v>
      </c>
      <c r="D329" t="s">
        <v>341</v>
      </c>
      <c r="E329" t="s">
        <v>1313</v>
      </c>
      <c r="F329" t="s">
        <v>1314</v>
      </c>
      <c r="G329" t="s">
        <v>1315</v>
      </c>
      <c r="H329" t="s">
        <v>17</v>
      </c>
      <c r="I329" t="s">
        <v>1303</v>
      </c>
    </row>
    <row r="330" spans="1:9" x14ac:dyDescent="0.3">
      <c r="A330" t="s">
        <v>993</v>
      </c>
      <c r="B330" t="s">
        <v>1316</v>
      </c>
      <c r="C330" t="s">
        <v>13</v>
      </c>
      <c r="D330" t="s">
        <v>1317</v>
      </c>
      <c r="E330" t="s">
        <v>1318</v>
      </c>
      <c r="F330" t="s">
        <v>1319</v>
      </c>
      <c r="G330" t="s">
        <v>1320</v>
      </c>
      <c r="H330" t="s">
        <v>17</v>
      </c>
    </row>
    <row r="331" spans="1:9" x14ac:dyDescent="0.3">
      <c r="A331" t="s">
        <v>993</v>
      </c>
      <c r="B331" t="s">
        <v>1316</v>
      </c>
      <c r="C331" t="s">
        <v>13</v>
      </c>
      <c r="D331" t="s">
        <v>1321</v>
      </c>
      <c r="E331" t="s">
        <v>1322</v>
      </c>
      <c r="F331" t="s">
        <v>1323</v>
      </c>
      <c r="G331" t="s">
        <v>1324</v>
      </c>
      <c r="H331" t="s">
        <v>17</v>
      </c>
    </row>
    <row r="332" spans="1:9" x14ac:dyDescent="0.3">
      <c r="A332" t="s">
        <v>993</v>
      </c>
      <c r="B332" t="s">
        <v>1316</v>
      </c>
      <c r="C332" t="s">
        <v>13</v>
      </c>
      <c r="D332" t="s">
        <v>1325</v>
      </c>
      <c r="E332" t="s">
        <v>1326</v>
      </c>
      <c r="F332" t="s">
        <v>1327</v>
      </c>
      <c r="G332" t="s">
        <v>1328</v>
      </c>
      <c r="H332" t="s">
        <v>17</v>
      </c>
    </row>
    <row r="333" spans="1:9" x14ac:dyDescent="0.3">
      <c r="A333" t="s">
        <v>993</v>
      </c>
      <c r="B333" t="s">
        <v>1316</v>
      </c>
      <c r="C333" t="s">
        <v>13</v>
      </c>
      <c r="D333" t="s">
        <v>1329</v>
      </c>
      <c r="E333" t="s">
        <v>1330</v>
      </c>
      <c r="F333" t="s">
        <v>1331</v>
      </c>
      <c r="G333" t="s">
        <v>1332</v>
      </c>
      <c r="H333" t="s">
        <v>17</v>
      </c>
    </row>
    <row r="334" spans="1:9" x14ac:dyDescent="0.3">
      <c r="A334" t="s">
        <v>993</v>
      </c>
      <c r="B334" t="s">
        <v>1316</v>
      </c>
      <c r="C334" t="s">
        <v>13</v>
      </c>
      <c r="D334" t="s">
        <v>1333</v>
      </c>
      <c r="E334" t="s">
        <v>1334</v>
      </c>
      <c r="F334" t="s">
        <v>1335</v>
      </c>
      <c r="G334" t="s">
        <v>1336</v>
      </c>
      <c r="H334" t="s">
        <v>17</v>
      </c>
    </row>
    <row r="335" spans="1:9" x14ac:dyDescent="0.3">
      <c r="A335" t="s">
        <v>993</v>
      </c>
      <c r="B335" t="s">
        <v>1316</v>
      </c>
      <c r="C335" t="s">
        <v>13</v>
      </c>
      <c r="D335" t="s">
        <v>1337</v>
      </c>
      <c r="E335" t="s">
        <v>1338</v>
      </c>
      <c r="F335" t="s">
        <v>1339</v>
      </c>
      <c r="G335" t="s">
        <v>1340</v>
      </c>
      <c r="H335" t="s">
        <v>17</v>
      </c>
    </row>
    <row r="336" spans="1:9" x14ac:dyDescent="0.3">
      <c r="A336" t="s">
        <v>993</v>
      </c>
      <c r="B336" t="s">
        <v>1316</v>
      </c>
      <c r="C336" t="s">
        <v>13</v>
      </c>
      <c r="D336" t="s">
        <v>1341</v>
      </c>
      <c r="E336" t="s">
        <v>1342</v>
      </c>
      <c r="F336" t="s">
        <v>1343</v>
      </c>
      <c r="G336" t="s">
        <v>1344</v>
      </c>
      <c r="H336" t="s">
        <v>17</v>
      </c>
    </row>
    <row r="337" spans="1:9" x14ac:dyDescent="0.3">
      <c r="A337" t="s">
        <v>993</v>
      </c>
      <c r="B337" t="s">
        <v>1316</v>
      </c>
      <c r="C337" t="s">
        <v>13</v>
      </c>
      <c r="D337" t="s">
        <v>1345</v>
      </c>
      <c r="E337" t="s">
        <v>1346</v>
      </c>
      <c r="F337" t="s">
        <v>1347</v>
      </c>
      <c r="G337" t="s">
        <v>1348</v>
      </c>
      <c r="H337" t="s">
        <v>17</v>
      </c>
    </row>
    <row r="338" spans="1:9" x14ac:dyDescent="0.3">
      <c r="A338" t="s">
        <v>993</v>
      </c>
      <c r="B338" t="s">
        <v>1349</v>
      </c>
      <c r="C338" t="s">
        <v>13</v>
      </c>
      <c r="D338" t="s">
        <v>1350</v>
      </c>
      <c r="E338" t="s">
        <v>1351</v>
      </c>
      <c r="F338" t="s">
        <v>1352</v>
      </c>
      <c r="G338" t="s">
        <v>1353</v>
      </c>
      <c r="H338" t="s">
        <v>17</v>
      </c>
    </row>
    <row r="339" spans="1:9" x14ac:dyDescent="0.3">
      <c r="A339" t="s">
        <v>993</v>
      </c>
      <c r="B339" t="s">
        <v>1349</v>
      </c>
      <c r="C339" t="s">
        <v>13</v>
      </c>
      <c r="D339" t="s">
        <v>1354</v>
      </c>
      <c r="E339" t="s">
        <v>1355</v>
      </c>
      <c r="F339" t="s">
        <v>1356</v>
      </c>
      <c r="G339" t="s">
        <v>1357</v>
      </c>
      <c r="H339" t="s">
        <v>17</v>
      </c>
    </row>
    <row r="340" spans="1:9" x14ac:dyDescent="0.3">
      <c r="A340" t="s">
        <v>993</v>
      </c>
      <c r="B340" t="s">
        <v>1349</v>
      </c>
      <c r="C340" t="s">
        <v>13</v>
      </c>
      <c r="D340" t="s">
        <v>1358</v>
      </c>
      <c r="E340" t="s">
        <v>1359</v>
      </c>
      <c r="F340" t="s">
        <v>1360</v>
      </c>
      <c r="G340" t="s">
        <v>1361</v>
      </c>
      <c r="H340" t="s">
        <v>17</v>
      </c>
    </row>
    <row r="341" spans="1:9" x14ac:dyDescent="0.3">
      <c r="A341" t="s">
        <v>993</v>
      </c>
      <c r="B341" t="s">
        <v>1349</v>
      </c>
      <c r="C341" t="s">
        <v>13</v>
      </c>
      <c r="D341" t="s">
        <v>1362</v>
      </c>
      <c r="E341" t="s">
        <v>1363</v>
      </c>
      <c r="F341" t="s">
        <v>1364</v>
      </c>
      <c r="G341" t="s">
        <v>1365</v>
      </c>
      <c r="H341" t="s">
        <v>17</v>
      </c>
    </row>
    <row r="342" spans="1:9" x14ac:dyDescent="0.3">
      <c r="A342" t="s">
        <v>993</v>
      </c>
      <c r="B342" t="s">
        <v>1349</v>
      </c>
      <c r="C342" t="s">
        <v>13</v>
      </c>
      <c r="D342" t="s">
        <v>1366</v>
      </c>
      <c r="E342" t="s">
        <v>1367</v>
      </c>
      <c r="F342" t="s">
        <v>1368</v>
      </c>
      <c r="G342" t="s">
        <v>1369</v>
      </c>
      <c r="H342" t="s">
        <v>17</v>
      </c>
    </row>
    <row r="343" spans="1:9" x14ac:dyDescent="0.3">
      <c r="A343" t="s">
        <v>993</v>
      </c>
      <c r="B343" t="s">
        <v>1349</v>
      </c>
      <c r="C343" t="s">
        <v>13</v>
      </c>
      <c r="D343" t="s">
        <v>1370</v>
      </c>
      <c r="E343" t="s">
        <v>1371</v>
      </c>
      <c r="F343" t="s">
        <v>1372</v>
      </c>
      <c r="G343" t="s">
        <v>1373</v>
      </c>
      <c r="H343" t="s">
        <v>17</v>
      </c>
    </row>
    <row r="344" spans="1:9" x14ac:dyDescent="0.3">
      <c r="A344" t="s">
        <v>993</v>
      </c>
      <c r="B344" t="s">
        <v>1349</v>
      </c>
      <c r="C344" t="s">
        <v>13</v>
      </c>
      <c r="D344" t="s">
        <v>1374</v>
      </c>
      <c r="E344" t="s">
        <v>1375</v>
      </c>
      <c r="F344" t="s">
        <v>1376</v>
      </c>
      <c r="G344" t="s">
        <v>1377</v>
      </c>
      <c r="H344" t="s">
        <v>17</v>
      </c>
    </row>
    <row r="345" spans="1:9" x14ac:dyDescent="0.3">
      <c r="A345" t="s">
        <v>993</v>
      </c>
      <c r="B345" t="s">
        <v>1349</v>
      </c>
      <c r="C345" t="s">
        <v>13</v>
      </c>
      <c r="D345" t="s">
        <v>1378</v>
      </c>
      <c r="E345" t="s">
        <v>1379</v>
      </c>
      <c r="F345" t="s">
        <v>1380</v>
      </c>
      <c r="G345" t="s">
        <v>1381</v>
      </c>
      <c r="H345" t="s">
        <v>17</v>
      </c>
    </row>
    <row r="346" spans="1:9" x14ac:dyDescent="0.3">
      <c r="A346" t="s">
        <v>993</v>
      </c>
      <c r="B346" t="s">
        <v>1382</v>
      </c>
      <c r="C346" t="s">
        <v>13</v>
      </c>
      <c r="D346" t="s">
        <v>1383</v>
      </c>
      <c r="E346" t="s">
        <v>1384</v>
      </c>
      <c r="F346" t="s">
        <v>1385</v>
      </c>
      <c r="G346" t="s">
        <v>1386</v>
      </c>
      <c r="H346" t="s">
        <v>17</v>
      </c>
    </row>
    <row r="347" spans="1:9" x14ac:dyDescent="0.3">
      <c r="A347" t="s">
        <v>993</v>
      </c>
      <c r="B347" t="s">
        <v>1382</v>
      </c>
      <c r="C347" t="s">
        <v>13</v>
      </c>
      <c r="D347" t="s">
        <v>1387</v>
      </c>
      <c r="E347" t="s">
        <v>1388</v>
      </c>
      <c r="F347" t="s">
        <v>1389</v>
      </c>
      <c r="G347" t="s">
        <v>1390</v>
      </c>
      <c r="H347" t="s">
        <v>17</v>
      </c>
    </row>
    <row r="348" spans="1:9" x14ac:dyDescent="0.3">
      <c r="A348" t="s">
        <v>993</v>
      </c>
      <c r="B348" t="s">
        <v>1382</v>
      </c>
      <c r="C348" t="s">
        <v>13</v>
      </c>
      <c r="D348" t="s">
        <v>1391</v>
      </c>
      <c r="E348" t="s">
        <v>1392</v>
      </c>
      <c r="F348" t="s">
        <v>1393</v>
      </c>
      <c r="G348" t="s">
        <v>1394</v>
      </c>
      <c r="H348" t="s">
        <v>17</v>
      </c>
    </row>
    <row r="349" spans="1:9" x14ac:dyDescent="0.3">
      <c r="A349" t="s">
        <v>993</v>
      </c>
      <c r="B349" t="s">
        <v>1382</v>
      </c>
      <c r="C349" t="s">
        <v>13</v>
      </c>
      <c r="D349" t="s">
        <v>1395</v>
      </c>
      <c r="E349" t="s">
        <v>1396</v>
      </c>
      <c r="F349" t="s">
        <v>1397</v>
      </c>
      <c r="G349" t="s">
        <v>1398</v>
      </c>
      <c r="H349" t="s">
        <v>17</v>
      </c>
    </row>
    <row r="350" spans="1:9" x14ac:dyDescent="0.3">
      <c r="A350" t="s">
        <v>993</v>
      </c>
      <c r="B350" t="s">
        <v>1399</v>
      </c>
      <c r="C350" t="s">
        <v>13</v>
      </c>
      <c r="D350" t="s">
        <v>525</v>
      </c>
      <c r="E350" t="s">
        <v>1400</v>
      </c>
      <c r="F350" t="s">
        <v>1385</v>
      </c>
      <c r="G350" t="s">
        <v>1401</v>
      </c>
      <c r="H350" t="s">
        <v>17</v>
      </c>
      <c r="I350" t="s">
        <v>1402</v>
      </c>
    </row>
    <row r="351" spans="1:9" x14ac:dyDescent="0.3">
      <c r="A351" t="s">
        <v>993</v>
      </c>
      <c r="B351" t="s">
        <v>1399</v>
      </c>
      <c r="C351" t="s">
        <v>13</v>
      </c>
      <c r="D351" t="s">
        <v>528</v>
      </c>
      <c r="E351" t="s">
        <v>1403</v>
      </c>
      <c r="F351" t="s">
        <v>1389</v>
      </c>
      <c r="G351" t="s">
        <v>1404</v>
      </c>
      <c r="H351" t="s">
        <v>17</v>
      </c>
      <c r="I351" t="s">
        <v>1402</v>
      </c>
    </row>
    <row r="352" spans="1:9" x14ac:dyDescent="0.3">
      <c r="A352" t="s">
        <v>993</v>
      </c>
      <c r="B352" t="s">
        <v>1399</v>
      </c>
      <c r="C352" t="s">
        <v>13</v>
      </c>
      <c r="D352" t="s">
        <v>532</v>
      </c>
      <c r="E352" t="s">
        <v>1405</v>
      </c>
      <c r="F352" t="s">
        <v>1393</v>
      </c>
      <c r="G352" t="s">
        <v>1406</v>
      </c>
      <c r="H352" t="s">
        <v>17</v>
      </c>
      <c r="I352" t="s">
        <v>1402</v>
      </c>
    </row>
    <row r="353" spans="1:9" x14ac:dyDescent="0.3">
      <c r="A353" t="s">
        <v>993</v>
      </c>
      <c r="B353" t="s">
        <v>1399</v>
      </c>
      <c r="C353" t="s">
        <v>13</v>
      </c>
      <c r="D353" t="s">
        <v>535</v>
      </c>
      <c r="E353" t="s">
        <v>1407</v>
      </c>
      <c r="F353" t="s">
        <v>1397</v>
      </c>
      <c r="G353" t="s">
        <v>1408</v>
      </c>
      <c r="H353" t="s">
        <v>17</v>
      </c>
      <c r="I353" t="s">
        <v>1402</v>
      </c>
    </row>
    <row r="354" spans="1:9" x14ac:dyDescent="0.3">
      <c r="A354" t="s">
        <v>993</v>
      </c>
      <c r="B354" t="s">
        <v>1399</v>
      </c>
      <c r="C354" t="s">
        <v>13</v>
      </c>
      <c r="D354" t="s">
        <v>1409</v>
      </c>
      <c r="E354" t="s">
        <v>1410</v>
      </c>
      <c r="F354" t="s">
        <v>592</v>
      </c>
      <c r="G354" t="s">
        <v>1411</v>
      </c>
      <c r="H354" t="s">
        <v>17</v>
      </c>
      <c r="I354" t="s">
        <v>1412</v>
      </c>
    </row>
    <row r="355" spans="1:9" x14ac:dyDescent="0.3">
      <c r="A355" t="s">
        <v>993</v>
      </c>
      <c r="B355" t="s">
        <v>1399</v>
      </c>
      <c r="C355" t="s">
        <v>13</v>
      </c>
      <c r="D355" t="s">
        <v>550</v>
      </c>
      <c r="E355" t="s">
        <v>1413</v>
      </c>
      <c r="F355" t="s">
        <v>681</v>
      </c>
      <c r="G355" t="s">
        <v>1414</v>
      </c>
      <c r="H355" t="s">
        <v>17</v>
      </c>
      <c r="I355" t="s">
        <v>1415</v>
      </c>
    </row>
    <row r="356" spans="1:9" x14ac:dyDescent="0.3">
      <c r="A356" t="s">
        <v>993</v>
      </c>
      <c r="B356" t="s">
        <v>1399</v>
      </c>
      <c r="C356" t="s">
        <v>13</v>
      </c>
      <c r="D356" t="s">
        <v>555</v>
      </c>
      <c r="E356" t="s">
        <v>1416</v>
      </c>
      <c r="F356" t="s">
        <v>686</v>
      </c>
      <c r="G356" t="s">
        <v>1417</v>
      </c>
      <c r="H356" t="s">
        <v>17</v>
      </c>
      <c r="I356" t="s">
        <v>1412</v>
      </c>
    </row>
    <row r="357" spans="1:9" x14ac:dyDescent="0.3">
      <c r="A357" t="s">
        <v>993</v>
      </c>
      <c r="B357" t="s">
        <v>1399</v>
      </c>
      <c r="C357" t="s">
        <v>13</v>
      </c>
      <c r="D357" t="s">
        <v>559</v>
      </c>
      <c r="E357" t="s">
        <v>1418</v>
      </c>
      <c r="F357" t="s">
        <v>1419</v>
      </c>
      <c r="G357" t="s">
        <v>1420</v>
      </c>
      <c r="H357" t="s">
        <v>17</v>
      </c>
      <c r="I357" t="s">
        <v>1421</v>
      </c>
    </row>
    <row r="358" spans="1:9" x14ac:dyDescent="0.3">
      <c r="A358" t="s">
        <v>993</v>
      </c>
      <c r="B358" t="s">
        <v>1399</v>
      </c>
      <c r="C358" t="s">
        <v>13</v>
      </c>
      <c r="D358" t="s">
        <v>1422</v>
      </c>
      <c r="E358" t="s">
        <v>1423</v>
      </c>
      <c r="F358" t="s">
        <v>1424</v>
      </c>
      <c r="G358" t="s">
        <v>1425</v>
      </c>
      <c r="H358" t="s">
        <v>17</v>
      </c>
      <c r="I358" t="s">
        <v>1426</v>
      </c>
    </row>
    <row r="359" spans="1:9" x14ac:dyDescent="0.3">
      <c r="A359" t="s">
        <v>993</v>
      </c>
      <c r="B359" t="s">
        <v>1399</v>
      </c>
      <c r="C359" t="s">
        <v>13</v>
      </c>
      <c r="D359" t="s">
        <v>1427</v>
      </c>
      <c r="E359" t="s">
        <v>1428</v>
      </c>
      <c r="F359" t="s">
        <v>1429</v>
      </c>
      <c r="G359" t="s">
        <v>1430</v>
      </c>
      <c r="H359" t="s">
        <v>17</v>
      </c>
      <c r="I359" t="s">
        <v>1431</v>
      </c>
    </row>
    <row r="360" spans="1:9" x14ac:dyDescent="0.3">
      <c r="A360" t="s">
        <v>993</v>
      </c>
      <c r="B360" t="s">
        <v>1399</v>
      </c>
      <c r="C360" t="s">
        <v>13</v>
      </c>
      <c r="D360" t="s">
        <v>574</v>
      </c>
      <c r="E360" t="s">
        <v>1432</v>
      </c>
      <c r="F360" t="s">
        <v>587</v>
      </c>
      <c r="G360" t="s">
        <v>1433</v>
      </c>
      <c r="H360" t="s">
        <v>17</v>
      </c>
      <c r="I360" t="s">
        <v>1434</v>
      </c>
    </row>
    <row r="361" spans="1:9" x14ac:dyDescent="0.3">
      <c r="A361" t="s">
        <v>993</v>
      </c>
      <c r="B361" t="s">
        <v>1399</v>
      </c>
      <c r="C361" t="s">
        <v>13</v>
      </c>
      <c r="D361" t="s">
        <v>579</v>
      </c>
      <c r="E361" t="s">
        <v>1435</v>
      </c>
      <c r="F361" t="s">
        <v>1436</v>
      </c>
      <c r="G361" t="s">
        <v>1437</v>
      </c>
      <c r="H361" t="s">
        <v>17</v>
      </c>
      <c r="I361" t="s">
        <v>1438</v>
      </c>
    </row>
    <row r="362" spans="1:9" x14ac:dyDescent="0.3">
      <c r="A362" t="s">
        <v>993</v>
      </c>
      <c r="B362" t="s">
        <v>1439</v>
      </c>
      <c r="C362" t="s">
        <v>13</v>
      </c>
      <c r="D362" t="s">
        <v>1440</v>
      </c>
      <c r="E362" t="s">
        <v>1441</v>
      </c>
      <c r="F362" t="s">
        <v>747</v>
      </c>
      <c r="G362" t="s">
        <v>1442</v>
      </c>
      <c r="H362" t="s">
        <v>17</v>
      </c>
    </row>
    <row r="363" spans="1:9" x14ac:dyDescent="0.3">
      <c r="A363" t="s">
        <v>993</v>
      </c>
      <c r="B363" t="s">
        <v>1439</v>
      </c>
      <c r="C363" t="s">
        <v>13</v>
      </c>
      <c r="D363" t="s">
        <v>1443</v>
      </c>
      <c r="E363" t="s">
        <v>1444</v>
      </c>
      <c r="F363" t="s">
        <v>751</v>
      </c>
      <c r="G363" t="s">
        <v>1445</v>
      </c>
      <c r="H363" t="s">
        <v>17</v>
      </c>
      <c r="I363" t="s">
        <v>1446</v>
      </c>
    </row>
    <row r="364" spans="1:9" x14ac:dyDescent="0.3">
      <c r="A364" t="s">
        <v>993</v>
      </c>
      <c r="B364" t="s">
        <v>1439</v>
      </c>
      <c r="C364" t="s">
        <v>13</v>
      </c>
      <c r="D364" t="s">
        <v>1447</v>
      </c>
      <c r="E364" t="s">
        <v>1448</v>
      </c>
      <c r="F364" t="s">
        <v>1449</v>
      </c>
      <c r="G364" t="s">
        <v>1450</v>
      </c>
      <c r="H364" t="s">
        <v>17</v>
      </c>
      <c r="I364" t="s">
        <v>1451</v>
      </c>
    </row>
    <row r="365" spans="1:9" x14ac:dyDescent="0.3">
      <c r="A365" t="s">
        <v>993</v>
      </c>
      <c r="B365" t="s">
        <v>1439</v>
      </c>
      <c r="C365" t="s">
        <v>13</v>
      </c>
      <c r="D365" t="s">
        <v>1452</v>
      </c>
      <c r="E365" t="s">
        <v>1453</v>
      </c>
      <c r="F365" t="s">
        <v>760</v>
      </c>
      <c r="G365" t="s">
        <v>1454</v>
      </c>
      <c r="H365" t="s">
        <v>17</v>
      </c>
    </row>
    <row r="366" spans="1:9" x14ac:dyDescent="0.3">
      <c r="A366" t="s">
        <v>993</v>
      </c>
      <c r="B366" t="s">
        <v>1439</v>
      </c>
      <c r="C366" t="s">
        <v>13</v>
      </c>
      <c r="D366" t="s">
        <v>1455</v>
      </c>
      <c r="E366" t="s">
        <v>1456</v>
      </c>
      <c r="F366" t="s">
        <v>1457</v>
      </c>
      <c r="H366" t="s">
        <v>17</v>
      </c>
      <c r="I366" t="s">
        <v>1458</v>
      </c>
    </row>
    <row r="367" spans="1:9" x14ac:dyDescent="0.3">
      <c r="A367" t="s">
        <v>993</v>
      </c>
      <c r="B367" t="s">
        <v>1439</v>
      </c>
      <c r="C367" t="s">
        <v>13</v>
      </c>
      <c r="D367" t="s">
        <v>1459</v>
      </c>
      <c r="E367" t="s">
        <v>1460</v>
      </c>
      <c r="F367" t="s">
        <v>797</v>
      </c>
      <c r="G367" t="s">
        <v>1461</v>
      </c>
      <c r="H367" t="s">
        <v>17</v>
      </c>
    </row>
    <row r="368" spans="1:9" x14ac:dyDescent="0.3">
      <c r="A368" t="s">
        <v>993</v>
      </c>
      <c r="B368" t="s">
        <v>1439</v>
      </c>
      <c r="C368" t="s">
        <v>13</v>
      </c>
      <c r="D368" t="s">
        <v>1462</v>
      </c>
      <c r="E368" t="s">
        <v>1463</v>
      </c>
      <c r="F368" t="s">
        <v>801</v>
      </c>
      <c r="G368" t="s">
        <v>1464</v>
      </c>
      <c r="H368" t="s">
        <v>17</v>
      </c>
      <c r="I368" t="s">
        <v>414</v>
      </c>
    </row>
    <row r="369" spans="1:9" x14ac:dyDescent="0.3">
      <c r="A369" t="s">
        <v>993</v>
      </c>
      <c r="B369" t="s">
        <v>1439</v>
      </c>
      <c r="C369" t="s">
        <v>13</v>
      </c>
      <c r="D369" t="s">
        <v>1465</v>
      </c>
      <c r="E369" t="s">
        <v>1466</v>
      </c>
      <c r="F369" t="s">
        <v>810</v>
      </c>
      <c r="G369" t="s">
        <v>1467</v>
      </c>
      <c r="H369" t="s">
        <v>17</v>
      </c>
      <c r="I369" t="s">
        <v>1468</v>
      </c>
    </row>
    <row r="370" spans="1:9" x14ac:dyDescent="0.3">
      <c r="A370" t="s">
        <v>993</v>
      </c>
      <c r="B370" t="s">
        <v>1439</v>
      </c>
      <c r="C370" t="s">
        <v>13</v>
      </c>
      <c r="D370" t="s">
        <v>1469</v>
      </c>
      <c r="E370" t="s">
        <v>1470</v>
      </c>
      <c r="F370" t="s">
        <v>815</v>
      </c>
      <c r="H370" t="s">
        <v>17</v>
      </c>
      <c r="I370" t="s">
        <v>1471</v>
      </c>
    </row>
    <row r="371" spans="1:9" x14ac:dyDescent="0.3">
      <c r="A371" t="s">
        <v>993</v>
      </c>
      <c r="B371" t="s">
        <v>1439</v>
      </c>
      <c r="C371" t="s">
        <v>13</v>
      </c>
      <c r="D371" t="s">
        <v>1472</v>
      </c>
      <c r="E371" t="s">
        <v>1473</v>
      </c>
      <c r="F371" t="s">
        <v>820</v>
      </c>
      <c r="G371" t="s">
        <v>1474</v>
      </c>
      <c r="H371" t="s">
        <v>17</v>
      </c>
    </row>
    <row r="372" spans="1:9" x14ac:dyDescent="0.3">
      <c r="A372" t="s">
        <v>993</v>
      </c>
      <c r="B372" t="s">
        <v>1439</v>
      </c>
      <c r="C372" t="s">
        <v>13</v>
      </c>
      <c r="D372" t="s">
        <v>1475</v>
      </c>
      <c r="E372" t="s">
        <v>1476</v>
      </c>
      <c r="F372" t="s">
        <v>824</v>
      </c>
      <c r="G372" t="s">
        <v>1477</v>
      </c>
      <c r="H372" t="s">
        <v>17</v>
      </c>
    </row>
    <row r="373" spans="1:9" x14ac:dyDescent="0.3">
      <c r="A373" t="s">
        <v>993</v>
      </c>
      <c r="B373" t="s">
        <v>1439</v>
      </c>
      <c r="C373" t="s">
        <v>13</v>
      </c>
      <c r="D373" t="s">
        <v>1478</v>
      </c>
      <c r="E373" t="s">
        <v>1479</v>
      </c>
      <c r="F373" t="s">
        <v>828</v>
      </c>
      <c r="G373" t="s">
        <v>1480</v>
      </c>
      <c r="H373" t="s">
        <v>17</v>
      </c>
      <c r="I373" t="s">
        <v>1481</v>
      </c>
    </row>
    <row r="374" spans="1:9" x14ac:dyDescent="0.3">
      <c r="A374" t="s">
        <v>993</v>
      </c>
      <c r="B374" t="s">
        <v>1439</v>
      </c>
      <c r="C374" t="s">
        <v>13</v>
      </c>
      <c r="D374" t="s">
        <v>1482</v>
      </c>
      <c r="E374" t="s">
        <v>1483</v>
      </c>
      <c r="F374" t="s">
        <v>1484</v>
      </c>
      <c r="G374" t="s">
        <v>1485</v>
      </c>
      <c r="H374" t="s">
        <v>17</v>
      </c>
      <c r="I374" t="s">
        <v>1486</v>
      </c>
    </row>
    <row r="375" spans="1:9" x14ac:dyDescent="0.3">
      <c r="A375" t="s">
        <v>993</v>
      </c>
      <c r="B375" t="s">
        <v>1439</v>
      </c>
      <c r="C375" t="s">
        <v>13</v>
      </c>
      <c r="D375" t="s">
        <v>1487</v>
      </c>
      <c r="E375" t="s">
        <v>1488</v>
      </c>
      <c r="F375" t="s">
        <v>1489</v>
      </c>
      <c r="G375" t="s">
        <v>1490</v>
      </c>
      <c r="H375" t="s">
        <v>17</v>
      </c>
      <c r="I375" t="s">
        <v>840</v>
      </c>
    </row>
    <row r="376" spans="1:9" x14ac:dyDescent="0.3">
      <c r="A376" t="s">
        <v>993</v>
      </c>
      <c r="B376" t="s">
        <v>1439</v>
      </c>
      <c r="C376" t="s">
        <v>13</v>
      </c>
      <c r="D376" t="s">
        <v>1491</v>
      </c>
      <c r="E376" t="s">
        <v>1492</v>
      </c>
      <c r="F376" t="s">
        <v>843</v>
      </c>
      <c r="G376" t="s">
        <v>1493</v>
      </c>
      <c r="H376" t="s">
        <v>17</v>
      </c>
      <c r="I376" t="s">
        <v>845</v>
      </c>
    </row>
    <row r="377" spans="1:9" x14ac:dyDescent="0.3">
      <c r="A377" t="s">
        <v>993</v>
      </c>
      <c r="B377" t="s">
        <v>1439</v>
      </c>
      <c r="C377" t="s">
        <v>13</v>
      </c>
      <c r="D377" t="s">
        <v>364</v>
      </c>
      <c r="E377" t="s">
        <v>1494</v>
      </c>
      <c r="F377" t="s">
        <v>552</v>
      </c>
      <c r="G377" t="s">
        <v>1495</v>
      </c>
      <c r="H377" t="s">
        <v>17</v>
      </c>
      <c r="I377" t="s">
        <v>1496</v>
      </c>
    </row>
    <row r="378" spans="1:9" x14ac:dyDescent="0.3">
      <c r="A378" t="s">
        <v>993</v>
      </c>
      <c r="B378" t="s">
        <v>1439</v>
      </c>
      <c r="C378" t="s">
        <v>13</v>
      </c>
      <c r="D378" t="s">
        <v>1497</v>
      </c>
      <c r="E378" t="s">
        <v>1498</v>
      </c>
      <c r="F378" t="s">
        <v>861</v>
      </c>
      <c r="G378" t="s">
        <v>1499</v>
      </c>
      <c r="H378" t="s">
        <v>17</v>
      </c>
    </row>
    <row r="379" spans="1:9" x14ac:dyDescent="0.3">
      <c r="A379" t="s">
        <v>993</v>
      </c>
      <c r="B379" t="s">
        <v>1439</v>
      </c>
      <c r="C379" t="s">
        <v>13</v>
      </c>
      <c r="D379" t="s">
        <v>1500</v>
      </c>
      <c r="E379" t="s">
        <v>1501</v>
      </c>
      <c r="F379" t="s">
        <v>864</v>
      </c>
      <c r="G379" t="s">
        <v>1502</v>
      </c>
      <c r="H379" t="s">
        <v>17</v>
      </c>
    </row>
    <row r="380" spans="1:9" x14ac:dyDescent="0.3">
      <c r="A380" t="s">
        <v>993</v>
      </c>
      <c r="B380" t="s">
        <v>1439</v>
      </c>
      <c r="C380" t="s">
        <v>13</v>
      </c>
      <c r="D380" t="s">
        <v>1503</v>
      </c>
      <c r="E380" t="s">
        <v>1504</v>
      </c>
      <c r="F380" t="s">
        <v>1505</v>
      </c>
      <c r="H380" t="s">
        <v>17</v>
      </c>
      <c r="I380" t="s">
        <v>1506</v>
      </c>
    </row>
    <row r="381" spans="1:9" x14ac:dyDescent="0.3">
      <c r="A381" t="s">
        <v>993</v>
      </c>
      <c r="B381" t="s">
        <v>1507</v>
      </c>
      <c r="C381" t="s">
        <v>13</v>
      </c>
      <c r="D381" t="s">
        <v>1508</v>
      </c>
      <c r="E381" t="s">
        <v>1509</v>
      </c>
      <c r="F381" t="s">
        <v>1510</v>
      </c>
      <c r="H381" t="s">
        <v>17</v>
      </c>
    </row>
    <row r="382" spans="1:9" x14ac:dyDescent="0.3">
      <c r="A382" t="s">
        <v>993</v>
      </c>
      <c r="B382" t="s">
        <v>1507</v>
      </c>
      <c r="C382" t="s">
        <v>13</v>
      </c>
      <c r="D382" t="s">
        <v>1511</v>
      </c>
      <c r="E382" t="s">
        <v>1512</v>
      </c>
      <c r="F382" t="s">
        <v>1513</v>
      </c>
      <c r="H382" t="s">
        <v>17</v>
      </c>
      <c r="I382" t="s">
        <v>1514</v>
      </c>
    </row>
    <row r="383" spans="1:9" x14ac:dyDescent="0.3">
      <c r="A383" t="s">
        <v>1515</v>
      </c>
      <c r="E383" t="s">
        <v>10</v>
      </c>
      <c r="F383" t="s">
        <v>1516</v>
      </c>
    </row>
    <row r="384" spans="1:9" x14ac:dyDescent="0.3">
      <c r="A384" t="s">
        <v>1515</v>
      </c>
      <c r="B384" t="s">
        <v>995</v>
      </c>
      <c r="C384" t="s">
        <v>13</v>
      </c>
      <c r="D384" t="s">
        <v>1517</v>
      </c>
      <c r="E384" t="s">
        <v>1518</v>
      </c>
      <c r="F384" t="s">
        <v>1519</v>
      </c>
      <c r="H384" t="s">
        <v>17</v>
      </c>
    </row>
    <row r="385" spans="1:9" x14ac:dyDescent="0.3">
      <c r="A385" t="s">
        <v>1515</v>
      </c>
      <c r="B385" t="s">
        <v>995</v>
      </c>
      <c r="C385" t="s">
        <v>13</v>
      </c>
      <c r="D385" t="s">
        <v>996</v>
      </c>
      <c r="E385" t="s">
        <v>23</v>
      </c>
      <c r="F385" t="s">
        <v>1520</v>
      </c>
      <c r="H385" t="s">
        <v>17</v>
      </c>
      <c r="I385" t="s">
        <v>1521</v>
      </c>
    </row>
    <row r="386" spans="1:9" x14ac:dyDescent="0.3">
      <c r="A386" t="s">
        <v>1515</v>
      </c>
      <c r="B386" t="s">
        <v>995</v>
      </c>
      <c r="C386" t="s">
        <v>13</v>
      </c>
      <c r="D386" t="s">
        <v>1001</v>
      </c>
      <c r="E386" t="s">
        <v>28</v>
      </c>
      <c r="F386" t="s">
        <v>1522</v>
      </c>
      <c r="H386" t="s">
        <v>17</v>
      </c>
      <c r="I386" t="s">
        <v>1523</v>
      </c>
    </row>
    <row r="387" spans="1:9" x14ac:dyDescent="0.3">
      <c r="A387" t="s">
        <v>1515</v>
      </c>
      <c r="B387" t="s">
        <v>995</v>
      </c>
      <c r="C387" t="s">
        <v>13</v>
      </c>
      <c r="D387" t="s">
        <v>1005</v>
      </c>
      <c r="E387" t="s">
        <v>33</v>
      </c>
      <c r="F387" t="s">
        <v>1524</v>
      </c>
      <c r="H387" t="s">
        <v>17</v>
      </c>
    </row>
    <row r="388" spans="1:9" x14ac:dyDescent="0.3">
      <c r="A388" t="s">
        <v>1515</v>
      </c>
      <c r="B388" t="s">
        <v>995</v>
      </c>
      <c r="C388" t="s">
        <v>13</v>
      </c>
      <c r="D388" t="s">
        <v>27</v>
      </c>
      <c r="E388" t="s">
        <v>37</v>
      </c>
      <c r="F388" t="s">
        <v>1525</v>
      </c>
      <c r="H388" t="s">
        <v>17</v>
      </c>
      <c r="I388" t="s">
        <v>1526</v>
      </c>
    </row>
    <row r="389" spans="1:9" x14ac:dyDescent="0.3">
      <c r="A389" t="s">
        <v>1515</v>
      </c>
      <c r="B389" t="s">
        <v>1527</v>
      </c>
      <c r="C389" t="s">
        <v>13</v>
      </c>
      <c r="D389" t="s">
        <v>1014</v>
      </c>
      <c r="E389" t="s">
        <v>42</v>
      </c>
      <c r="F389" t="s">
        <v>1528</v>
      </c>
      <c r="H389" t="s">
        <v>17</v>
      </c>
      <c r="I389" t="s">
        <v>1529</v>
      </c>
    </row>
    <row r="390" spans="1:9" x14ac:dyDescent="0.3">
      <c r="A390" t="s">
        <v>1515</v>
      </c>
      <c r="B390" t="s">
        <v>1527</v>
      </c>
      <c r="C390" t="s">
        <v>13</v>
      </c>
      <c r="D390" t="s">
        <v>1017</v>
      </c>
      <c r="E390" t="s">
        <v>46</v>
      </c>
      <c r="F390" t="s">
        <v>1530</v>
      </c>
      <c r="H390" t="s">
        <v>17</v>
      </c>
      <c r="I390" t="s">
        <v>1529</v>
      </c>
    </row>
    <row r="391" spans="1:9" x14ac:dyDescent="0.3">
      <c r="A391" t="s">
        <v>1515</v>
      </c>
      <c r="B391" t="s">
        <v>1527</v>
      </c>
      <c r="C391" t="s">
        <v>13</v>
      </c>
      <c r="D391" t="s">
        <v>36</v>
      </c>
      <c r="E391" t="s">
        <v>51</v>
      </c>
      <c r="F391" t="s">
        <v>1531</v>
      </c>
      <c r="H391" t="s">
        <v>17</v>
      </c>
      <c r="I391" t="s">
        <v>1529</v>
      </c>
    </row>
    <row r="392" spans="1:9" x14ac:dyDescent="0.3">
      <c r="A392" t="s">
        <v>1515</v>
      </c>
      <c r="B392" t="s">
        <v>1527</v>
      </c>
      <c r="C392" t="s">
        <v>13</v>
      </c>
      <c r="D392" t="s">
        <v>41</v>
      </c>
      <c r="E392" t="s">
        <v>54</v>
      </c>
      <c r="F392" t="s">
        <v>1532</v>
      </c>
      <c r="H392" t="s">
        <v>17</v>
      </c>
      <c r="I392" t="s">
        <v>1529</v>
      </c>
    </row>
    <row r="393" spans="1:9" x14ac:dyDescent="0.3">
      <c r="A393" t="s">
        <v>1515</v>
      </c>
      <c r="B393" t="s">
        <v>1527</v>
      </c>
      <c r="C393" t="s">
        <v>13</v>
      </c>
      <c r="D393" t="s">
        <v>45</v>
      </c>
      <c r="E393" t="s">
        <v>57</v>
      </c>
      <c r="F393" t="s">
        <v>1533</v>
      </c>
      <c r="H393" t="s">
        <v>17</v>
      </c>
      <c r="I393" t="s">
        <v>1529</v>
      </c>
    </row>
    <row r="394" spans="1:9" x14ac:dyDescent="0.3">
      <c r="A394" t="s">
        <v>1515</v>
      </c>
      <c r="B394" t="s">
        <v>1527</v>
      </c>
      <c r="C394" t="s">
        <v>13</v>
      </c>
      <c r="D394" t="s">
        <v>50</v>
      </c>
      <c r="E394" t="s">
        <v>62</v>
      </c>
      <c r="F394" t="s">
        <v>1534</v>
      </c>
      <c r="H394" t="s">
        <v>17</v>
      </c>
      <c r="I394" t="s">
        <v>1529</v>
      </c>
    </row>
    <row r="395" spans="1:9" x14ac:dyDescent="0.3">
      <c r="A395" t="s">
        <v>1515</v>
      </c>
      <c r="B395" t="s">
        <v>1527</v>
      </c>
      <c r="C395" t="s">
        <v>13</v>
      </c>
      <c r="D395" t="s">
        <v>53</v>
      </c>
      <c r="E395" t="s">
        <v>67</v>
      </c>
      <c r="F395" t="s">
        <v>1535</v>
      </c>
      <c r="H395" t="s">
        <v>17</v>
      </c>
      <c r="I395" t="s">
        <v>1536</v>
      </c>
    </row>
    <row r="396" spans="1:9" x14ac:dyDescent="0.3">
      <c r="A396" t="s">
        <v>1515</v>
      </c>
      <c r="B396" t="s">
        <v>1527</v>
      </c>
      <c r="C396" t="s">
        <v>13</v>
      </c>
      <c r="D396" t="s">
        <v>1537</v>
      </c>
      <c r="E396" t="s">
        <v>72</v>
      </c>
      <c r="F396" t="s">
        <v>1538</v>
      </c>
      <c r="H396" t="s">
        <v>17</v>
      </c>
    </row>
    <row r="397" spans="1:9" x14ac:dyDescent="0.3">
      <c r="A397" t="s">
        <v>1515</v>
      </c>
      <c r="B397" t="s">
        <v>1527</v>
      </c>
      <c r="C397" t="s">
        <v>13</v>
      </c>
      <c r="D397" t="s">
        <v>1039</v>
      </c>
      <c r="E397" t="s">
        <v>81</v>
      </c>
      <c r="F397" t="s">
        <v>1539</v>
      </c>
      <c r="H397" t="s">
        <v>17</v>
      </c>
      <c r="I397" t="s">
        <v>1540</v>
      </c>
    </row>
    <row r="398" spans="1:9" x14ac:dyDescent="0.3">
      <c r="A398" t="s">
        <v>1515</v>
      </c>
      <c r="B398" t="s">
        <v>1527</v>
      </c>
      <c r="C398" t="s">
        <v>13</v>
      </c>
      <c r="D398" t="s">
        <v>1043</v>
      </c>
      <c r="E398" t="s">
        <v>86</v>
      </c>
      <c r="F398" t="s">
        <v>1541</v>
      </c>
      <c r="H398" t="s">
        <v>17</v>
      </c>
      <c r="I398" t="s">
        <v>1542</v>
      </c>
    </row>
    <row r="399" spans="1:9" x14ac:dyDescent="0.3">
      <c r="A399" t="s">
        <v>1515</v>
      </c>
      <c r="B399" t="s">
        <v>1527</v>
      </c>
      <c r="C399" t="s">
        <v>13</v>
      </c>
      <c r="D399" t="s">
        <v>71</v>
      </c>
      <c r="E399" t="s">
        <v>91</v>
      </c>
      <c r="F399" t="s">
        <v>1543</v>
      </c>
      <c r="H399" t="s">
        <v>17</v>
      </c>
      <c r="I399" t="s">
        <v>1544</v>
      </c>
    </row>
    <row r="400" spans="1:9" x14ac:dyDescent="0.3">
      <c r="A400" t="s">
        <v>1515</v>
      </c>
      <c r="B400" t="s">
        <v>1527</v>
      </c>
      <c r="C400" t="s">
        <v>13</v>
      </c>
      <c r="D400" t="s">
        <v>1050</v>
      </c>
      <c r="E400" t="s">
        <v>96</v>
      </c>
      <c r="F400" t="s">
        <v>1545</v>
      </c>
      <c r="H400" t="s">
        <v>17</v>
      </c>
      <c r="I400" t="s">
        <v>1546</v>
      </c>
    </row>
    <row r="401" spans="1:9" x14ac:dyDescent="0.3">
      <c r="A401" t="s">
        <v>1515</v>
      </c>
      <c r="B401" t="s">
        <v>1527</v>
      </c>
      <c r="C401" t="s">
        <v>13</v>
      </c>
      <c r="D401" t="s">
        <v>1055</v>
      </c>
      <c r="E401" t="s">
        <v>101</v>
      </c>
      <c r="F401" t="s">
        <v>1547</v>
      </c>
      <c r="H401" t="s">
        <v>17</v>
      </c>
      <c r="I401" t="s">
        <v>1548</v>
      </c>
    </row>
    <row r="402" spans="1:9" x14ac:dyDescent="0.3">
      <c r="A402" t="s">
        <v>1515</v>
      </c>
      <c r="B402" t="s">
        <v>1549</v>
      </c>
      <c r="C402" t="s">
        <v>13</v>
      </c>
      <c r="D402" t="s">
        <v>80</v>
      </c>
      <c r="E402" t="s">
        <v>107</v>
      </c>
      <c r="F402" t="s">
        <v>1550</v>
      </c>
      <c r="H402" t="s">
        <v>17</v>
      </c>
      <c r="I402" t="s">
        <v>1551</v>
      </c>
    </row>
    <row r="403" spans="1:9" x14ac:dyDescent="0.3">
      <c r="A403" t="s">
        <v>1515</v>
      </c>
      <c r="B403" t="s">
        <v>1549</v>
      </c>
      <c r="C403" t="s">
        <v>13</v>
      </c>
      <c r="D403" t="s">
        <v>85</v>
      </c>
      <c r="E403" t="s">
        <v>112</v>
      </c>
      <c r="F403" t="s">
        <v>1552</v>
      </c>
      <c r="H403" t="s">
        <v>17</v>
      </c>
      <c r="I403" t="s">
        <v>1551</v>
      </c>
    </row>
    <row r="404" spans="1:9" x14ac:dyDescent="0.3">
      <c r="A404" t="s">
        <v>1515</v>
      </c>
      <c r="B404" t="s">
        <v>1549</v>
      </c>
      <c r="C404" t="s">
        <v>13</v>
      </c>
      <c r="D404" t="s">
        <v>90</v>
      </c>
      <c r="E404" t="s">
        <v>115</v>
      </c>
      <c r="F404" t="s">
        <v>1553</v>
      </c>
      <c r="H404" t="s">
        <v>17</v>
      </c>
      <c r="I404" t="s">
        <v>1551</v>
      </c>
    </row>
    <row r="405" spans="1:9" x14ac:dyDescent="0.3">
      <c r="A405" t="s">
        <v>1515</v>
      </c>
      <c r="B405" t="s">
        <v>1549</v>
      </c>
      <c r="C405" t="s">
        <v>13</v>
      </c>
      <c r="D405" t="s">
        <v>95</v>
      </c>
      <c r="E405" t="s">
        <v>118</v>
      </c>
      <c r="F405" t="s">
        <v>1554</v>
      </c>
      <c r="H405" t="s">
        <v>17</v>
      </c>
      <c r="I405" t="s">
        <v>1551</v>
      </c>
    </row>
    <row r="406" spans="1:9" x14ac:dyDescent="0.3">
      <c r="A406" t="s">
        <v>1515</v>
      </c>
      <c r="B406" t="s">
        <v>1549</v>
      </c>
      <c r="C406" t="s">
        <v>13</v>
      </c>
      <c r="D406" t="s">
        <v>100</v>
      </c>
      <c r="E406" t="s">
        <v>122</v>
      </c>
      <c r="F406" t="s">
        <v>1555</v>
      </c>
      <c r="H406" t="s">
        <v>17</v>
      </c>
      <c r="I406" t="s">
        <v>1551</v>
      </c>
    </row>
    <row r="407" spans="1:9" x14ac:dyDescent="0.3">
      <c r="A407" t="s">
        <v>1515</v>
      </c>
      <c r="B407" t="s">
        <v>1549</v>
      </c>
      <c r="C407" t="s">
        <v>13</v>
      </c>
      <c r="D407" t="s">
        <v>1556</v>
      </c>
      <c r="E407" t="s">
        <v>127</v>
      </c>
      <c r="F407" t="s">
        <v>1557</v>
      </c>
      <c r="H407" t="s">
        <v>17</v>
      </c>
      <c r="I407" t="s">
        <v>1558</v>
      </c>
    </row>
    <row r="408" spans="1:9" x14ac:dyDescent="0.3">
      <c r="A408" t="s">
        <v>1515</v>
      </c>
      <c r="B408" t="s">
        <v>1559</v>
      </c>
      <c r="C408" t="s">
        <v>13</v>
      </c>
      <c r="D408" t="s">
        <v>114</v>
      </c>
      <c r="E408" t="s">
        <v>133</v>
      </c>
      <c r="F408" t="s">
        <v>1560</v>
      </c>
      <c r="H408" t="s">
        <v>17</v>
      </c>
      <c r="I408" t="s">
        <v>1551</v>
      </c>
    </row>
    <row r="409" spans="1:9" x14ac:dyDescent="0.3">
      <c r="A409" t="s">
        <v>1515</v>
      </c>
      <c r="B409" t="s">
        <v>1559</v>
      </c>
      <c r="C409" t="s">
        <v>13</v>
      </c>
      <c r="D409" t="s">
        <v>117</v>
      </c>
      <c r="E409" t="s">
        <v>136</v>
      </c>
      <c r="F409" t="s">
        <v>1561</v>
      </c>
      <c r="H409" t="s">
        <v>17</v>
      </c>
      <c r="I409" t="s">
        <v>1551</v>
      </c>
    </row>
    <row r="410" spans="1:9" x14ac:dyDescent="0.3">
      <c r="A410" t="s">
        <v>1515</v>
      </c>
      <c r="B410" t="s">
        <v>1559</v>
      </c>
      <c r="C410" t="s">
        <v>13</v>
      </c>
      <c r="D410" t="s">
        <v>121</v>
      </c>
      <c r="E410" t="s">
        <v>139</v>
      </c>
      <c r="F410" t="s">
        <v>1562</v>
      </c>
      <c r="H410" t="s">
        <v>17</v>
      </c>
      <c r="I410" t="s">
        <v>1551</v>
      </c>
    </row>
    <row r="411" spans="1:9" x14ac:dyDescent="0.3">
      <c r="A411" t="s">
        <v>1515</v>
      </c>
      <c r="B411" t="s">
        <v>1559</v>
      </c>
      <c r="C411" t="s">
        <v>13</v>
      </c>
      <c r="D411" t="s">
        <v>126</v>
      </c>
      <c r="E411" t="s">
        <v>142</v>
      </c>
      <c r="F411" t="s">
        <v>1563</v>
      </c>
      <c r="H411" t="s">
        <v>17</v>
      </c>
      <c r="I411" t="s">
        <v>1551</v>
      </c>
    </row>
    <row r="412" spans="1:9" x14ac:dyDescent="0.3">
      <c r="A412" t="s">
        <v>1515</v>
      </c>
      <c r="B412" t="s">
        <v>1559</v>
      </c>
      <c r="C412" t="s">
        <v>13</v>
      </c>
      <c r="D412" t="s">
        <v>129</v>
      </c>
      <c r="E412" t="s">
        <v>145</v>
      </c>
      <c r="F412" t="s">
        <v>1564</v>
      </c>
      <c r="H412" t="s">
        <v>17</v>
      </c>
      <c r="I412" t="s">
        <v>1551</v>
      </c>
    </row>
    <row r="413" spans="1:9" x14ac:dyDescent="0.3">
      <c r="A413" t="s">
        <v>1515</v>
      </c>
      <c r="B413" t="s">
        <v>1559</v>
      </c>
      <c r="C413" t="s">
        <v>13</v>
      </c>
      <c r="D413" t="s">
        <v>1084</v>
      </c>
      <c r="E413" t="s">
        <v>148</v>
      </c>
      <c r="F413" t="s">
        <v>1557</v>
      </c>
      <c r="H413" t="s">
        <v>17</v>
      </c>
      <c r="I413" t="s">
        <v>1565</v>
      </c>
    </row>
    <row r="414" spans="1:9" x14ac:dyDescent="0.3">
      <c r="A414" t="s">
        <v>1515</v>
      </c>
      <c r="B414" t="s">
        <v>1559</v>
      </c>
      <c r="C414" t="s">
        <v>13</v>
      </c>
      <c r="D414" t="s">
        <v>138</v>
      </c>
      <c r="E414" t="s">
        <v>158</v>
      </c>
      <c r="F414" t="s">
        <v>1566</v>
      </c>
      <c r="H414" t="s">
        <v>17</v>
      </c>
      <c r="I414" t="s">
        <v>1567</v>
      </c>
    </row>
    <row r="415" spans="1:9" x14ac:dyDescent="0.3">
      <c r="A415" t="s">
        <v>1515</v>
      </c>
      <c r="B415" t="s">
        <v>1049</v>
      </c>
      <c r="C415" t="s">
        <v>13</v>
      </c>
      <c r="D415" t="s">
        <v>141</v>
      </c>
      <c r="E415" t="s">
        <v>163</v>
      </c>
      <c r="F415" t="s">
        <v>1568</v>
      </c>
      <c r="G415" t="s">
        <v>1569</v>
      </c>
      <c r="H415" t="s">
        <v>17</v>
      </c>
      <c r="I415" t="s">
        <v>110</v>
      </c>
    </row>
    <row r="416" spans="1:9" x14ac:dyDescent="0.3">
      <c r="A416" t="s">
        <v>1515</v>
      </c>
      <c r="B416" t="s">
        <v>1049</v>
      </c>
      <c r="C416" t="s">
        <v>13</v>
      </c>
      <c r="D416" t="s">
        <v>144</v>
      </c>
      <c r="E416" t="s">
        <v>168</v>
      </c>
      <c r="F416" t="s">
        <v>1570</v>
      </c>
      <c r="G416" t="s">
        <v>1569</v>
      </c>
      <c r="H416" t="s">
        <v>17</v>
      </c>
      <c r="I416" t="s">
        <v>110</v>
      </c>
    </row>
    <row r="417" spans="1:9" x14ac:dyDescent="0.3">
      <c r="A417" t="s">
        <v>1515</v>
      </c>
      <c r="B417" t="s">
        <v>1049</v>
      </c>
      <c r="C417" t="s">
        <v>13</v>
      </c>
      <c r="D417" t="s">
        <v>147</v>
      </c>
      <c r="E417" t="s">
        <v>173</v>
      </c>
      <c r="F417" t="s">
        <v>1571</v>
      </c>
      <c r="G417" t="s">
        <v>1569</v>
      </c>
      <c r="H417" t="s">
        <v>17</v>
      </c>
      <c r="I417" t="s">
        <v>110</v>
      </c>
    </row>
    <row r="418" spans="1:9" x14ac:dyDescent="0.3">
      <c r="A418" t="s">
        <v>1515</v>
      </c>
      <c r="B418" t="s">
        <v>1049</v>
      </c>
      <c r="C418" t="s">
        <v>13</v>
      </c>
      <c r="D418" t="s">
        <v>152</v>
      </c>
      <c r="E418" t="s">
        <v>178</v>
      </c>
      <c r="F418" t="s">
        <v>1572</v>
      </c>
      <c r="G418" t="s">
        <v>1569</v>
      </c>
      <c r="H418" t="s">
        <v>17</v>
      </c>
      <c r="I418" t="s">
        <v>110</v>
      </c>
    </row>
    <row r="419" spans="1:9" x14ac:dyDescent="0.3">
      <c r="A419" t="s">
        <v>1515</v>
      </c>
      <c r="B419" t="s">
        <v>1049</v>
      </c>
      <c r="C419" t="s">
        <v>13</v>
      </c>
      <c r="D419" t="s">
        <v>157</v>
      </c>
      <c r="E419" t="s">
        <v>183</v>
      </c>
      <c r="F419" t="s">
        <v>1573</v>
      </c>
      <c r="H419" t="s">
        <v>17</v>
      </c>
      <c r="I419" t="s">
        <v>1574</v>
      </c>
    </row>
    <row r="420" spans="1:9" x14ac:dyDescent="0.3">
      <c r="A420" t="s">
        <v>1515</v>
      </c>
      <c r="B420" t="s">
        <v>1575</v>
      </c>
      <c r="C420" t="s">
        <v>13</v>
      </c>
      <c r="D420" t="s">
        <v>1100</v>
      </c>
      <c r="E420" t="s">
        <v>188</v>
      </c>
      <c r="F420" t="s">
        <v>1576</v>
      </c>
      <c r="H420" t="s">
        <v>17</v>
      </c>
      <c r="I420" t="s">
        <v>1577</v>
      </c>
    </row>
    <row r="421" spans="1:9" x14ac:dyDescent="0.3">
      <c r="A421" t="s">
        <v>1515</v>
      </c>
      <c r="B421" t="s">
        <v>1575</v>
      </c>
      <c r="C421" t="s">
        <v>13</v>
      </c>
      <c r="D421" t="s">
        <v>1104</v>
      </c>
      <c r="E421" t="s">
        <v>194</v>
      </c>
      <c r="F421" t="s">
        <v>1578</v>
      </c>
      <c r="H421" t="s">
        <v>17</v>
      </c>
      <c r="I421" t="s">
        <v>1577</v>
      </c>
    </row>
    <row r="422" spans="1:9" x14ac:dyDescent="0.3">
      <c r="A422" t="s">
        <v>1515</v>
      </c>
      <c r="B422" t="s">
        <v>1575</v>
      </c>
      <c r="C422" t="s">
        <v>13</v>
      </c>
      <c r="D422" t="s">
        <v>1109</v>
      </c>
      <c r="E422" t="s">
        <v>199</v>
      </c>
      <c r="F422" t="s">
        <v>1579</v>
      </c>
      <c r="H422" t="s">
        <v>17</v>
      </c>
      <c r="I422" t="s">
        <v>1577</v>
      </c>
    </row>
    <row r="423" spans="1:9" x14ac:dyDescent="0.3">
      <c r="A423" t="s">
        <v>1515</v>
      </c>
      <c r="B423" t="s">
        <v>1575</v>
      </c>
      <c r="C423" t="s">
        <v>13</v>
      </c>
      <c r="D423" t="s">
        <v>1114</v>
      </c>
      <c r="E423" t="s">
        <v>203</v>
      </c>
      <c r="F423" t="s">
        <v>1580</v>
      </c>
      <c r="H423" t="s">
        <v>17</v>
      </c>
      <c r="I423" t="s">
        <v>1577</v>
      </c>
    </row>
    <row r="424" spans="1:9" x14ac:dyDescent="0.3">
      <c r="A424" t="s">
        <v>1515</v>
      </c>
      <c r="B424" t="s">
        <v>1575</v>
      </c>
      <c r="C424" t="s">
        <v>13</v>
      </c>
      <c r="D424" t="s">
        <v>1118</v>
      </c>
      <c r="E424" t="s">
        <v>207</v>
      </c>
      <c r="F424" t="s">
        <v>1581</v>
      </c>
      <c r="H424" t="s">
        <v>17</v>
      </c>
      <c r="I424" t="s">
        <v>1577</v>
      </c>
    </row>
    <row r="425" spans="1:9" x14ac:dyDescent="0.3">
      <c r="A425" t="s">
        <v>1515</v>
      </c>
      <c r="B425" t="s">
        <v>1575</v>
      </c>
      <c r="C425" t="s">
        <v>13</v>
      </c>
      <c r="D425" t="s">
        <v>1123</v>
      </c>
      <c r="E425" t="s">
        <v>211</v>
      </c>
      <c r="F425" t="s">
        <v>1582</v>
      </c>
      <c r="H425" t="s">
        <v>17</v>
      </c>
      <c r="I425" t="s">
        <v>1577</v>
      </c>
    </row>
    <row r="426" spans="1:9" x14ac:dyDescent="0.3">
      <c r="A426" t="s">
        <v>1515</v>
      </c>
      <c r="B426" t="s">
        <v>1575</v>
      </c>
      <c r="C426" t="s">
        <v>13</v>
      </c>
      <c r="D426" t="s">
        <v>1127</v>
      </c>
      <c r="E426" t="s">
        <v>215</v>
      </c>
      <c r="F426" t="s">
        <v>1583</v>
      </c>
      <c r="H426" t="s">
        <v>17</v>
      </c>
      <c r="I426" t="s">
        <v>1577</v>
      </c>
    </row>
    <row r="427" spans="1:9" x14ac:dyDescent="0.3">
      <c r="A427" t="s">
        <v>1515</v>
      </c>
      <c r="B427" t="s">
        <v>1575</v>
      </c>
      <c r="C427" t="s">
        <v>13</v>
      </c>
      <c r="D427" t="s">
        <v>1131</v>
      </c>
      <c r="E427" t="s">
        <v>1584</v>
      </c>
      <c r="F427" t="s">
        <v>1585</v>
      </c>
      <c r="H427" t="s">
        <v>17</v>
      </c>
      <c r="I427" t="s">
        <v>1577</v>
      </c>
    </row>
    <row r="428" spans="1:9" x14ac:dyDescent="0.3">
      <c r="A428" t="s">
        <v>1515</v>
      </c>
      <c r="B428" t="s">
        <v>1575</v>
      </c>
      <c r="C428" t="s">
        <v>13</v>
      </c>
      <c r="D428" t="s">
        <v>1136</v>
      </c>
      <c r="E428" t="s">
        <v>219</v>
      </c>
      <c r="F428" t="s">
        <v>1586</v>
      </c>
      <c r="H428" t="s">
        <v>17</v>
      </c>
      <c r="I428" t="s">
        <v>1577</v>
      </c>
    </row>
    <row r="429" spans="1:9" x14ac:dyDescent="0.3">
      <c r="A429" t="s">
        <v>1515</v>
      </c>
      <c r="B429" t="s">
        <v>1575</v>
      </c>
      <c r="C429" t="s">
        <v>13</v>
      </c>
      <c r="D429" t="s">
        <v>245</v>
      </c>
      <c r="E429" t="s">
        <v>224</v>
      </c>
      <c r="F429" t="s">
        <v>1587</v>
      </c>
      <c r="H429" t="s">
        <v>17</v>
      </c>
      <c r="I429" t="s">
        <v>1577</v>
      </c>
    </row>
    <row r="430" spans="1:9" x14ac:dyDescent="0.3">
      <c r="A430" t="s">
        <v>1515</v>
      </c>
      <c r="B430" t="s">
        <v>1575</v>
      </c>
      <c r="C430" t="s">
        <v>13</v>
      </c>
      <c r="D430" t="s">
        <v>1588</v>
      </c>
      <c r="E430" t="s">
        <v>229</v>
      </c>
      <c r="F430" t="s">
        <v>1272</v>
      </c>
      <c r="H430" t="s">
        <v>17</v>
      </c>
      <c r="I430" t="s">
        <v>1589</v>
      </c>
    </row>
    <row r="431" spans="1:9" x14ac:dyDescent="0.3">
      <c r="A431" t="s">
        <v>1515</v>
      </c>
      <c r="B431" t="s">
        <v>1575</v>
      </c>
      <c r="C431" t="s">
        <v>13</v>
      </c>
      <c r="D431" t="s">
        <v>1590</v>
      </c>
      <c r="E431" t="s">
        <v>234</v>
      </c>
      <c r="F431" t="s">
        <v>1591</v>
      </c>
      <c r="H431" t="s">
        <v>17</v>
      </c>
      <c r="I431" t="s">
        <v>1592</v>
      </c>
    </row>
    <row r="432" spans="1:9" x14ac:dyDescent="0.3">
      <c r="A432" t="s">
        <v>1515</v>
      </c>
      <c r="B432" t="s">
        <v>1575</v>
      </c>
      <c r="C432" t="s">
        <v>13</v>
      </c>
      <c r="D432" t="s">
        <v>1593</v>
      </c>
      <c r="E432" t="s">
        <v>237</v>
      </c>
      <c r="F432" t="s">
        <v>1594</v>
      </c>
      <c r="H432" t="s">
        <v>17</v>
      </c>
      <c r="I432" t="s">
        <v>1595</v>
      </c>
    </row>
    <row r="433" spans="1:9" x14ac:dyDescent="0.3">
      <c r="A433" t="s">
        <v>1515</v>
      </c>
      <c r="B433" t="s">
        <v>1596</v>
      </c>
      <c r="C433" t="s">
        <v>13</v>
      </c>
      <c r="D433" t="s">
        <v>1597</v>
      </c>
      <c r="E433" t="s">
        <v>240</v>
      </c>
      <c r="F433" t="s">
        <v>1598</v>
      </c>
      <c r="H433" t="s">
        <v>17</v>
      </c>
      <c r="I433" t="s">
        <v>1599</v>
      </c>
    </row>
    <row r="434" spans="1:9" x14ac:dyDescent="0.3">
      <c r="A434" t="s">
        <v>1515</v>
      </c>
      <c r="B434" t="s">
        <v>1596</v>
      </c>
      <c r="C434" t="s">
        <v>13</v>
      </c>
      <c r="D434" t="s">
        <v>1165</v>
      </c>
      <c r="E434" t="s">
        <v>246</v>
      </c>
      <c r="F434" t="s">
        <v>1600</v>
      </c>
      <c r="H434" t="s">
        <v>17</v>
      </c>
      <c r="I434" t="s">
        <v>1599</v>
      </c>
    </row>
    <row r="435" spans="1:9" x14ac:dyDescent="0.3">
      <c r="A435" t="s">
        <v>1515</v>
      </c>
      <c r="B435" t="s">
        <v>1596</v>
      </c>
      <c r="C435" t="s">
        <v>13</v>
      </c>
      <c r="D435" t="s">
        <v>1168</v>
      </c>
      <c r="E435" t="s">
        <v>251</v>
      </c>
      <c r="F435" t="s">
        <v>1601</v>
      </c>
      <c r="H435" t="s">
        <v>17</v>
      </c>
      <c r="I435" t="s">
        <v>1599</v>
      </c>
    </row>
    <row r="436" spans="1:9" x14ac:dyDescent="0.3">
      <c r="A436" t="s">
        <v>1515</v>
      </c>
      <c r="B436" t="s">
        <v>1596</v>
      </c>
      <c r="C436" t="s">
        <v>13</v>
      </c>
      <c r="D436" t="s">
        <v>1172</v>
      </c>
      <c r="E436" t="s">
        <v>254</v>
      </c>
      <c r="F436" t="s">
        <v>1602</v>
      </c>
      <c r="H436" t="s">
        <v>17</v>
      </c>
      <c r="I436" t="s">
        <v>1599</v>
      </c>
    </row>
    <row r="437" spans="1:9" x14ac:dyDescent="0.3">
      <c r="A437" t="s">
        <v>1515</v>
      </c>
      <c r="B437" t="s">
        <v>1596</v>
      </c>
      <c r="C437" t="s">
        <v>13</v>
      </c>
      <c r="D437" t="s">
        <v>1176</v>
      </c>
      <c r="E437" t="s">
        <v>257</v>
      </c>
      <c r="F437" t="s">
        <v>1603</v>
      </c>
      <c r="H437" t="s">
        <v>17</v>
      </c>
      <c r="I437" t="s">
        <v>1599</v>
      </c>
    </row>
    <row r="438" spans="1:9" x14ac:dyDescent="0.3">
      <c r="A438" t="s">
        <v>1515</v>
      </c>
      <c r="B438" t="s">
        <v>1596</v>
      </c>
      <c r="C438" t="s">
        <v>13</v>
      </c>
      <c r="D438" t="s">
        <v>1179</v>
      </c>
      <c r="E438" t="s">
        <v>260</v>
      </c>
      <c r="F438" t="s">
        <v>1604</v>
      </c>
      <c r="H438" t="s">
        <v>17</v>
      </c>
      <c r="I438" t="s">
        <v>1599</v>
      </c>
    </row>
    <row r="439" spans="1:9" x14ac:dyDescent="0.3">
      <c r="A439" t="s">
        <v>1515</v>
      </c>
      <c r="B439" t="s">
        <v>1596</v>
      </c>
      <c r="C439" t="s">
        <v>13</v>
      </c>
      <c r="D439" t="s">
        <v>1184</v>
      </c>
      <c r="E439" t="s">
        <v>263</v>
      </c>
      <c r="F439" t="s">
        <v>1605</v>
      </c>
      <c r="H439" t="s">
        <v>17</v>
      </c>
      <c r="I439" t="s">
        <v>1606</v>
      </c>
    </row>
    <row r="440" spans="1:9" x14ac:dyDescent="0.3">
      <c r="A440" t="s">
        <v>1515</v>
      </c>
      <c r="B440" t="s">
        <v>1596</v>
      </c>
      <c r="C440" t="s">
        <v>13</v>
      </c>
      <c r="D440" t="s">
        <v>1189</v>
      </c>
      <c r="E440" t="s">
        <v>266</v>
      </c>
      <c r="F440" t="s">
        <v>1607</v>
      </c>
      <c r="H440" t="s">
        <v>17</v>
      </c>
      <c r="I440" t="s">
        <v>1606</v>
      </c>
    </row>
    <row r="441" spans="1:9" x14ac:dyDescent="0.3">
      <c r="A441" t="s">
        <v>1515</v>
      </c>
      <c r="B441" t="s">
        <v>1596</v>
      </c>
      <c r="C441" t="s">
        <v>13</v>
      </c>
      <c r="D441" t="s">
        <v>1193</v>
      </c>
      <c r="E441" t="s">
        <v>269</v>
      </c>
      <c r="F441" t="s">
        <v>1608</v>
      </c>
      <c r="H441" t="s">
        <v>17</v>
      </c>
      <c r="I441" t="s">
        <v>548</v>
      </c>
    </row>
    <row r="442" spans="1:9" x14ac:dyDescent="0.3">
      <c r="A442" t="s">
        <v>1515</v>
      </c>
      <c r="B442" t="s">
        <v>1609</v>
      </c>
      <c r="C442" t="s">
        <v>13</v>
      </c>
      <c r="D442" t="s">
        <v>1197</v>
      </c>
      <c r="E442" t="s">
        <v>1610</v>
      </c>
      <c r="F442" t="s">
        <v>1611</v>
      </c>
      <c r="H442" t="s">
        <v>17</v>
      </c>
      <c r="I442" t="s">
        <v>1612</v>
      </c>
    </row>
    <row r="443" spans="1:9" x14ac:dyDescent="0.3">
      <c r="A443" t="s">
        <v>1515</v>
      </c>
      <c r="B443" t="s">
        <v>1609</v>
      </c>
      <c r="C443" t="s">
        <v>13</v>
      </c>
      <c r="D443" t="s">
        <v>1201</v>
      </c>
      <c r="E443" t="s">
        <v>274</v>
      </c>
      <c r="F443" t="s">
        <v>1613</v>
      </c>
      <c r="H443" t="s">
        <v>17</v>
      </c>
      <c r="I443" t="s">
        <v>1612</v>
      </c>
    </row>
    <row r="444" spans="1:9" x14ac:dyDescent="0.3">
      <c r="A444" t="s">
        <v>1515</v>
      </c>
      <c r="B444" t="s">
        <v>1609</v>
      </c>
      <c r="C444" t="s">
        <v>13</v>
      </c>
      <c r="D444" t="s">
        <v>1205</v>
      </c>
      <c r="E444" t="s">
        <v>277</v>
      </c>
      <c r="F444" t="s">
        <v>1614</v>
      </c>
      <c r="H444" t="s">
        <v>17</v>
      </c>
      <c r="I444" t="s">
        <v>1612</v>
      </c>
    </row>
    <row r="445" spans="1:9" x14ac:dyDescent="0.3">
      <c r="A445" t="s">
        <v>1515</v>
      </c>
      <c r="B445" t="s">
        <v>1609</v>
      </c>
      <c r="C445" t="s">
        <v>13</v>
      </c>
      <c r="D445" t="s">
        <v>1209</v>
      </c>
      <c r="E445" t="s">
        <v>280</v>
      </c>
      <c r="F445" t="s">
        <v>1615</v>
      </c>
      <c r="H445" t="s">
        <v>17</v>
      </c>
      <c r="I445" t="s">
        <v>1612</v>
      </c>
    </row>
    <row r="446" spans="1:9" x14ac:dyDescent="0.3">
      <c r="A446" t="s">
        <v>1515</v>
      </c>
      <c r="B446" t="s">
        <v>1609</v>
      </c>
      <c r="C446" t="s">
        <v>13</v>
      </c>
      <c r="D446" t="s">
        <v>1213</v>
      </c>
      <c r="E446" t="s">
        <v>283</v>
      </c>
      <c r="F446" t="s">
        <v>1616</v>
      </c>
      <c r="H446" t="s">
        <v>17</v>
      </c>
      <c r="I446" t="s">
        <v>1612</v>
      </c>
    </row>
    <row r="447" spans="1:9" x14ac:dyDescent="0.3">
      <c r="A447" t="s">
        <v>1515</v>
      </c>
      <c r="B447" t="s">
        <v>1609</v>
      </c>
      <c r="C447" t="s">
        <v>13</v>
      </c>
      <c r="D447" t="s">
        <v>1219</v>
      </c>
      <c r="E447" t="s">
        <v>286</v>
      </c>
      <c r="F447" t="s">
        <v>1617</v>
      </c>
      <c r="H447" t="s">
        <v>17</v>
      </c>
      <c r="I447" t="s">
        <v>1612</v>
      </c>
    </row>
    <row r="448" spans="1:9" x14ac:dyDescent="0.3">
      <c r="A448" t="s">
        <v>1515</v>
      </c>
      <c r="B448" t="s">
        <v>1609</v>
      </c>
      <c r="C448" t="s">
        <v>13</v>
      </c>
      <c r="D448" t="s">
        <v>1224</v>
      </c>
      <c r="E448" t="s">
        <v>289</v>
      </c>
      <c r="F448" t="s">
        <v>1618</v>
      </c>
      <c r="H448" t="s">
        <v>17</v>
      </c>
      <c r="I448" t="s">
        <v>1619</v>
      </c>
    </row>
    <row r="449" spans="1:9" x14ac:dyDescent="0.3">
      <c r="A449" t="s">
        <v>1515</v>
      </c>
      <c r="B449" t="s">
        <v>1609</v>
      </c>
      <c r="C449" t="s">
        <v>13</v>
      </c>
      <c r="D449" t="s">
        <v>1228</v>
      </c>
      <c r="E449" t="s">
        <v>292</v>
      </c>
      <c r="F449" t="s">
        <v>1620</v>
      </c>
      <c r="H449" t="s">
        <v>17</v>
      </c>
      <c r="I449" t="s">
        <v>1619</v>
      </c>
    </row>
    <row r="450" spans="1:9" x14ac:dyDescent="0.3">
      <c r="A450" t="s">
        <v>1515</v>
      </c>
      <c r="B450" t="s">
        <v>1609</v>
      </c>
      <c r="C450" t="s">
        <v>13</v>
      </c>
      <c r="D450" t="s">
        <v>1232</v>
      </c>
      <c r="E450" t="s">
        <v>295</v>
      </c>
      <c r="F450" t="s">
        <v>1621</v>
      </c>
      <c r="H450" t="s">
        <v>17</v>
      </c>
      <c r="I450" t="s">
        <v>1622</v>
      </c>
    </row>
    <row r="451" spans="1:9" x14ac:dyDescent="0.3">
      <c r="A451" t="s">
        <v>1515</v>
      </c>
      <c r="B451" t="s">
        <v>1609</v>
      </c>
      <c r="C451" t="s">
        <v>13</v>
      </c>
      <c r="D451" t="s">
        <v>1236</v>
      </c>
      <c r="E451" t="s">
        <v>298</v>
      </c>
      <c r="F451" t="s">
        <v>1623</v>
      </c>
      <c r="H451" t="s">
        <v>17</v>
      </c>
      <c r="I451" t="s">
        <v>1624</v>
      </c>
    </row>
    <row r="452" spans="1:9" x14ac:dyDescent="0.3">
      <c r="A452" t="s">
        <v>1515</v>
      </c>
      <c r="B452" t="s">
        <v>1625</v>
      </c>
      <c r="C452" t="s">
        <v>13</v>
      </c>
      <c r="D452" t="s">
        <v>1240</v>
      </c>
      <c r="E452" t="s">
        <v>301</v>
      </c>
      <c r="F452" t="s">
        <v>1626</v>
      </c>
      <c r="H452" t="s">
        <v>17</v>
      </c>
      <c r="I452" t="s">
        <v>1606</v>
      </c>
    </row>
    <row r="453" spans="1:9" x14ac:dyDescent="0.3">
      <c r="A453" t="s">
        <v>1515</v>
      </c>
      <c r="B453" t="s">
        <v>1625</v>
      </c>
      <c r="C453" t="s">
        <v>13</v>
      </c>
      <c r="D453" t="s">
        <v>1244</v>
      </c>
      <c r="E453" t="s">
        <v>304</v>
      </c>
      <c r="F453" t="s">
        <v>1627</v>
      </c>
      <c r="H453" t="s">
        <v>17</v>
      </c>
      <c r="I453" t="s">
        <v>1606</v>
      </c>
    </row>
    <row r="454" spans="1:9" x14ac:dyDescent="0.3">
      <c r="A454" t="s">
        <v>1515</v>
      </c>
      <c r="B454" t="s">
        <v>1625</v>
      </c>
      <c r="C454" t="s">
        <v>13</v>
      </c>
      <c r="D454" t="s">
        <v>1248</v>
      </c>
      <c r="E454" t="s">
        <v>309</v>
      </c>
      <c r="F454" t="s">
        <v>1628</v>
      </c>
      <c r="H454" t="s">
        <v>17</v>
      </c>
      <c r="I454" t="s">
        <v>1606</v>
      </c>
    </row>
    <row r="455" spans="1:9" x14ac:dyDescent="0.3">
      <c r="A455" t="s">
        <v>1515</v>
      </c>
      <c r="B455" t="s">
        <v>1625</v>
      </c>
      <c r="C455" t="s">
        <v>13</v>
      </c>
      <c r="D455" t="s">
        <v>1252</v>
      </c>
      <c r="E455" t="s">
        <v>313</v>
      </c>
      <c r="F455" t="s">
        <v>1629</v>
      </c>
      <c r="H455" t="s">
        <v>17</v>
      </c>
      <c r="I455" t="s">
        <v>1606</v>
      </c>
    </row>
    <row r="456" spans="1:9" x14ac:dyDescent="0.3">
      <c r="A456" t="s">
        <v>1515</v>
      </c>
      <c r="B456" t="s">
        <v>1625</v>
      </c>
      <c r="C456" t="s">
        <v>13</v>
      </c>
      <c r="D456" t="s">
        <v>1256</v>
      </c>
      <c r="E456" t="s">
        <v>317</v>
      </c>
      <c r="F456" t="s">
        <v>1630</v>
      </c>
      <c r="H456" t="s">
        <v>17</v>
      </c>
      <c r="I456" t="s">
        <v>1606</v>
      </c>
    </row>
    <row r="457" spans="1:9" x14ac:dyDescent="0.3">
      <c r="A457" t="s">
        <v>1515</v>
      </c>
      <c r="B457" t="s">
        <v>1625</v>
      </c>
      <c r="C457" t="s">
        <v>13</v>
      </c>
      <c r="D457" t="s">
        <v>1261</v>
      </c>
      <c r="E457" t="s">
        <v>320</v>
      </c>
      <c r="F457" t="s">
        <v>1631</v>
      </c>
      <c r="H457" t="s">
        <v>17</v>
      </c>
      <c r="I457" t="s">
        <v>1606</v>
      </c>
    </row>
    <row r="458" spans="1:9" x14ac:dyDescent="0.3">
      <c r="A458" t="s">
        <v>1515</v>
      </c>
      <c r="B458" t="s">
        <v>1625</v>
      </c>
      <c r="C458" t="s">
        <v>13</v>
      </c>
      <c r="D458" t="s">
        <v>1265</v>
      </c>
      <c r="E458" t="s">
        <v>324</v>
      </c>
      <c r="F458" t="s">
        <v>1632</v>
      </c>
      <c r="H458" t="s">
        <v>17</v>
      </c>
      <c r="I458" t="s">
        <v>1606</v>
      </c>
    </row>
    <row r="459" spans="1:9" x14ac:dyDescent="0.3">
      <c r="A459" t="s">
        <v>1515</v>
      </c>
      <c r="B459" t="s">
        <v>1625</v>
      </c>
      <c r="C459" t="s">
        <v>13</v>
      </c>
      <c r="D459" t="s">
        <v>1270</v>
      </c>
      <c r="E459" t="s">
        <v>328</v>
      </c>
      <c r="F459" t="s">
        <v>1633</v>
      </c>
      <c r="H459" t="s">
        <v>17</v>
      </c>
      <c r="I459" t="s">
        <v>1606</v>
      </c>
    </row>
    <row r="460" spans="1:9" x14ac:dyDescent="0.3">
      <c r="A460" t="s">
        <v>1515</v>
      </c>
      <c r="B460" t="s">
        <v>1634</v>
      </c>
      <c r="C460" t="s">
        <v>13</v>
      </c>
      <c r="D460" t="s">
        <v>1276</v>
      </c>
      <c r="E460" t="s">
        <v>377</v>
      </c>
      <c r="F460" t="s">
        <v>1635</v>
      </c>
      <c r="H460" t="s">
        <v>17</v>
      </c>
      <c r="I460" t="s">
        <v>1636</v>
      </c>
    </row>
    <row r="461" spans="1:9" x14ac:dyDescent="0.3">
      <c r="A461" t="s">
        <v>1515</v>
      </c>
      <c r="B461" t="s">
        <v>1634</v>
      </c>
      <c r="C461" t="s">
        <v>13</v>
      </c>
      <c r="D461" t="s">
        <v>303</v>
      </c>
      <c r="E461" t="s">
        <v>383</v>
      </c>
      <c r="F461" t="s">
        <v>552</v>
      </c>
      <c r="H461" t="s">
        <v>17</v>
      </c>
      <c r="I461" t="s">
        <v>1637</v>
      </c>
    </row>
    <row r="462" spans="1:9" x14ac:dyDescent="0.3">
      <c r="A462" t="s">
        <v>1515</v>
      </c>
      <c r="B462" t="s">
        <v>1634</v>
      </c>
      <c r="C462" t="s">
        <v>13</v>
      </c>
      <c r="D462" t="s">
        <v>308</v>
      </c>
      <c r="E462" t="s">
        <v>1638</v>
      </c>
      <c r="F462" t="s">
        <v>1639</v>
      </c>
      <c r="H462" t="s">
        <v>17</v>
      </c>
      <c r="I462" t="s">
        <v>1637</v>
      </c>
    </row>
    <row r="463" spans="1:9" x14ac:dyDescent="0.3">
      <c r="A463" t="s">
        <v>1515</v>
      </c>
      <c r="B463" t="s">
        <v>1634</v>
      </c>
      <c r="C463" t="s">
        <v>13</v>
      </c>
      <c r="D463" t="s">
        <v>312</v>
      </c>
      <c r="E463" t="s">
        <v>1640</v>
      </c>
      <c r="F463" t="s">
        <v>1641</v>
      </c>
      <c r="H463" t="s">
        <v>17</v>
      </c>
      <c r="I463" t="s">
        <v>1642</v>
      </c>
    </row>
    <row r="464" spans="1:9" x14ac:dyDescent="0.3">
      <c r="A464" t="s">
        <v>1515</v>
      </c>
      <c r="B464" t="s">
        <v>1634</v>
      </c>
      <c r="C464" t="s">
        <v>13</v>
      </c>
      <c r="D464" t="s">
        <v>316</v>
      </c>
      <c r="E464" t="s">
        <v>1643</v>
      </c>
      <c r="F464" t="s">
        <v>1644</v>
      </c>
      <c r="H464" t="s">
        <v>17</v>
      </c>
      <c r="I464" t="s">
        <v>1642</v>
      </c>
    </row>
    <row r="465" spans="1:9" x14ac:dyDescent="0.3">
      <c r="A465" t="s">
        <v>1515</v>
      </c>
      <c r="B465" t="s">
        <v>1634</v>
      </c>
      <c r="C465" t="s">
        <v>13</v>
      </c>
      <c r="D465" t="s">
        <v>319</v>
      </c>
      <c r="E465" t="s">
        <v>388</v>
      </c>
      <c r="F465" t="s">
        <v>1645</v>
      </c>
      <c r="H465" t="s">
        <v>17</v>
      </c>
      <c r="I465" t="s">
        <v>1646</v>
      </c>
    </row>
    <row r="466" spans="1:9" x14ac:dyDescent="0.3">
      <c r="A466" t="s">
        <v>1515</v>
      </c>
      <c r="B466" t="s">
        <v>1634</v>
      </c>
      <c r="C466" t="s">
        <v>13</v>
      </c>
      <c r="D466" t="s">
        <v>323</v>
      </c>
      <c r="E466" t="s">
        <v>1647</v>
      </c>
      <c r="F466" t="s">
        <v>1648</v>
      </c>
      <c r="H466" t="s">
        <v>17</v>
      </c>
      <c r="I466" t="s">
        <v>1649</v>
      </c>
    </row>
    <row r="467" spans="1:9" x14ac:dyDescent="0.3">
      <c r="A467" t="s">
        <v>1515</v>
      </c>
      <c r="B467" t="s">
        <v>1634</v>
      </c>
      <c r="C467" t="s">
        <v>13</v>
      </c>
      <c r="D467" t="s">
        <v>327</v>
      </c>
      <c r="E467" t="s">
        <v>392</v>
      </c>
      <c r="F467" t="s">
        <v>1650</v>
      </c>
      <c r="H467" t="s">
        <v>17</v>
      </c>
      <c r="I467" t="s">
        <v>1651</v>
      </c>
    </row>
    <row r="468" spans="1:9" x14ac:dyDescent="0.3">
      <c r="A468" t="s">
        <v>1515</v>
      </c>
      <c r="B468" t="s">
        <v>1634</v>
      </c>
      <c r="C468" t="s">
        <v>13</v>
      </c>
      <c r="D468" t="s">
        <v>1652</v>
      </c>
      <c r="E468" t="s">
        <v>1653</v>
      </c>
      <c r="F468" t="s">
        <v>1654</v>
      </c>
      <c r="H468" t="s">
        <v>17</v>
      </c>
      <c r="I468" t="s">
        <v>1655</v>
      </c>
    </row>
    <row r="469" spans="1:9" x14ac:dyDescent="0.3">
      <c r="A469" t="s">
        <v>1515</v>
      </c>
      <c r="B469" t="s">
        <v>1634</v>
      </c>
      <c r="C469" t="s">
        <v>13</v>
      </c>
      <c r="D469" t="s">
        <v>338</v>
      </c>
      <c r="E469" t="s">
        <v>1656</v>
      </c>
      <c r="F469" t="s">
        <v>1657</v>
      </c>
      <c r="H469" t="s">
        <v>17</v>
      </c>
      <c r="I469" t="s">
        <v>1658</v>
      </c>
    </row>
    <row r="470" spans="1:9" x14ac:dyDescent="0.3">
      <c r="A470" t="s">
        <v>1515</v>
      </c>
      <c r="B470" t="s">
        <v>1634</v>
      </c>
      <c r="C470" t="s">
        <v>13</v>
      </c>
      <c r="D470" t="s">
        <v>1659</v>
      </c>
      <c r="E470" t="s">
        <v>398</v>
      </c>
      <c r="F470" t="s">
        <v>1660</v>
      </c>
      <c r="H470" t="s">
        <v>17</v>
      </c>
    </row>
    <row r="471" spans="1:9" x14ac:dyDescent="0.3">
      <c r="A471" t="s">
        <v>1515</v>
      </c>
      <c r="B471" t="s">
        <v>1634</v>
      </c>
      <c r="C471" t="s">
        <v>13</v>
      </c>
      <c r="D471" t="s">
        <v>347</v>
      </c>
      <c r="E471" t="s">
        <v>401</v>
      </c>
      <c r="F471" t="s">
        <v>1661</v>
      </c>
      <c r="H471" t="s">
        <v>17</v>
      </c>
      <c r="I471" t="s">
        <v>1662</v>
      </c>
    </row>
    <row r="472" spans="1:9" x14ac:dyDescent="0.3">
      <c r="A472" t="s">
        <v>1515</v>
      </c>
      <c r="B472" t="s">
        <v>1634</v>
      </c>
      <c r="C472" t="s">
        <v>13</v>
      </c>
      <c r="D472" t="s">
        <v>353</v>
      </c>
      <c r="E472" t="s">
        <v>1663</v>
      </c>
      <c r="F472" t="s">
        <v>1424</v>
      </c>
      <c r="H472" t="s">
        <v>17</v>
      </c>
      <c r="I472" t="s">
        <v>1664</v>
      </c>
    </row>
    <row r="473" spans="1:9" x14ac:dyDescent="0.3">
      <c r="A473" t="s">
        <v>1515</v>
      </c>
      <c r="B473" t="s">
        <v>1634</v>
      </c>
      <c r="C473" t="s">
        <v>13</v>
      </c>
      <c r="D473" t="s">
        <v>1665</v>
      </c>
      <c r="E473" t="s">
        <v>404</v>
      </c>
      <c r="F473" t="s">
        <v>1429</v>
      </c>
      <c r="H473" t="s">
        <v>17</v>
      </c>
      <c r="I473" t="s">
        <v>1666</v>
      </c>
    </row>
    <row r="474" spans="1:9" x14ac:dyDescent="0.3">
      <c r="A474" t="s">
        <v>1515</v>
      </c>
      <c r="B474" t="s">
        <v>1667</v>
      </c>
      <c r="C474" t="s">
        <v>13</v>
      </c>
      <c r="D474" t="s">
        <v>364</v>
      </c>
      <c r="E474" t="s">
        <v>407</v>
      </c>
      <c r="F474" t="s">
        <v>587</v>
      </c>
      <c r="H474" t="s">
        <v>17</v>
      </c>
      <c r="I474" t="s">
        <v>1668</v>
      </c>
    </row>
    <row r="475" spans="1:9" x14ac:dyDescent="0.3">
      <c r="A475" t="s">
        <v>1515</v>
      </c>
      <c r="B475" t="s">
        <v>1667</v>
      </c>
      <c r="C475" t="s">
        <v>13</v>
      </c>
      <c r="D475" t="s">
        <v>1669</v>
      </c>
      <c r="E475" t="s">
        <v>1670</v>
      </c>
      <c r="F475" t="s">
        <v>747</v>
      </c>
      <c r="H475" t="s">
        <v>17</v>
      </c>
    </row>
    <row r="476" spans="1:9" x14ac:dyDescent="0.3">
      <c r="A476" t="s">
        <v>1515</v>
      </c>
      <c r="B476" t="s">
        <v>1667</v>
      </c>
      <c r="C476" t="s">
        <v>13</v>
      </c>
      <c r="D476" t="s">
        <v>373</v>
      </c>
      <c r="E476" t="s">
        <v>416</v>
      </c>
      <c r="F476" t="s">
        <v>1671</v>
      </c>
      <c r="H476" t="s">
        <v>17</v>
      </c>
      <c r="I476" t="s">
        <v>1672</v>
      </c>
    </row>
    <row r="477" spans="1:9" x14ac:dyDescent="0.3">
      <c r="A477" t="s">
        <v>1515</v>
      </c>
      <c r="B477" t="s">
        <v>1667</v>
      </c>
      <c r="C477" t="s">
        <v>13</v>
      </c>
      <c r="D477" t="s">
        <v>376</v>
      </c>
      <c r="E477" t="s">
        <v>421</v>
      </c>
      <c r="F477" t="s">
        <v>1673</v>
      </c>
      <c r="H477" t="s">
        <v>17</v>
      </c>
      <c r="I477" t="s">
        <v>840</v>
      </c>
    </row>
    <row r="478" spans="1:9" x14ac:dyDescent="0.3">
      <c r="A478" t="s">
        <v>1515</v>
      </c>
      <c r="B478" t="s">
        <v>1674</v>
      </c>
      <c r="C478" t="s">
        <v>13</v>
      </c>
      <c r="D478" t="s">
        <v>1675</v>
      </c>
      <c r="E478" t="s">
        <v>424</v>
      </c>
      <c r="F478" t="s">
        <v>1676</v>
      </c>
      <c r="H478" t="s">
        <v>17</v>
      </c>
      <c r="I478" t="s">
        <v>1677</v>
      </c>
    </row>
    <row r="479" spans="1:9" x14ac:dyDescent="0.3">
      <c r="A479" t="s">
        <v>1515</v>
      </c>
      <c r="B479" t="s">
        <v>1674</v>
      </c>
      <c r="C479" t="s">
        <v>13</v>
      </c>
      <c r="D479" t="s">
        <v>1678</v>
      </c>
      <c r="E479" t="s">
        <v>427</v>
      </c>
      <c r="F479" t="s">
        <v>1679</v>
      </c>
      <c r="H479" t="s">
        <v>17</v>
      </c>
      <c r="I479" t="s">
        <v>1680</v>
      </c>
    </row>
    <row r="480" spans="1:9" x14ac:dyDescent="0.3">
      <c r="A480" t="s">
        <v>1515</v>
      </c>
      <c r="B480" t="s">
        <v>1674</v>
      </c>
      <c r="C480" t="s">
        <v>13</v>
      </c>
      <c r="D480" t="s">
        <v>1681</v>
      </c>
      <c r="E480" t="s">
        <v>430</v>
      </c>
      <c r="F480" t="s">
        <v>1682</v>
      </c>
      <c r="H480" t="s">
        <v>17</v>
      </c>
      <c r="I480" t="s">
        <v>1680</v>
      </c>
    </row>
    <row r="481" spans="1:9" x14ac:dyDescent="0.3">
      <c r="A481" t="s">
        <v>1515</v>
      </c>
      <c r="B481" t="s">
        <v>1674</v>
      </c>
      <c r="C481" t="s">
        <v>13</v>
      </c>
      <c r="D481" t="s">
        <v>1683</v>
      </c>
      <c r="E481" t="s">
        <v>433</v>
      </c>
      <c r="F481" t="s">
        <v>1684</v>
      </c>
      <c r="H481" t="s">
        <v>17</v>
      </c>
      <c r="I481" t="s">
        <v>1680</v>
      </c>
    </row>
    <row r="482" spans="1:9" x14ac:dyDescent="0.3">
      <c r="A482" t="s">
        <v>1515</v>
      </c>
      <c r="B482" t="s">
        <v>1674</v>
      </c>
      <c r="C482" t="s">
        <v>13</v>
      </c>
      <c r="D482" t="s">
        <v>1685</v>
      </c>
      <c r="E482" t="s">
        <v>436</v>
      </c>
      <c r="F482" t="s">
        <v>1686</v>
      </c>
      <c r="H482" t="s">
        <v>17</v>
      </c>
      <c r="I482" t="s">
        <v>1680</v>
      </c>
    </row>
    <row r="483" spans="1:9" x14ac:dyDescent="0.3">
      <c r="A483" t="s">
        <v>1515</v>
      </c>
      <c r="B483" t="s">
        <v>1674</v>
      </c>
      <c r="C483" t="s">
        <v>13</v>
      </c>
      <c r="D483" t="s">
        <v>1687</v>
      </c>
      <c r="E483" t="s">
        <v>439</v>
      </c>
      <c r="F483" t="s">
        <v>1449</v>
      </c>
      <c r="H483" t="s">
        <v>17</v>
      </c>
      <c r="I483" t="s">
        <v>1688</v>
      </c>
    </row>
    <row r="484" spans="1:9" x14ac:dyDescent="0.3">
      <c r="A484" t="s">
        <v>1515</v>
      </c>
      <c r="B484" t="s">
        <v>1674</v>
      </c>
      <c r="C484" t="s">
        <v>13</v>
      </c>
      <c r="D484" t="s">
        <v>1689</v>
      </c>
      <c r="E484" t="s">
        <v>445</v>
      </c>
      <c r="F484" t="s">
        <v>760</v>
      </c>
      <c r="H484" t="s">
        <v>17</v>
      </c>
    </row>
    <row r="485" spans="1:9" x14ac:dyDescent="0.3">
      <c r="A485" t="s">
        <v>1515</v>
      </c>
      <c r="B485" t="s">
        <v>1674</v>
      </c>
      <c r="C485" t="s">
        <v>13</v>
      </c>
      <c r="D485" t="s">
        <v>1690</v>
      </c>
      <c r="E485" t="s">
        <v>454</v>
      </c>
      <c r="F485" t="s">
        <v>1691</v>
      </c>
      <c r="H485" t="s">
        <v>17</v>
      </c>
      <c r="I485" t="s">
        <v>414</v>
      </c>
    </row>
    <row r="486" spans="1:9" x14ac:dyDescent="0.3">
      <c r="A486" t="s">
        <v>1515</v>
      </c>
      <c r="B486" t="s">
        <v>1674</v>
      </c>
      <c r="C486" t="s">
        <v>13</v>
      </c>
      <c r="D486" t="s">
        <v>400</v>
      </c>
      <c r="E486" t="s">
        <v>458</v>
      </c>
      <c r="F486" t="s">
        <v>1692</v>
      </c>
      <c r="H486" t="s">
        <v>17</v>
      </c>
    </row>
    <row r="487" spans="1:9" x14ac:dyDescent="0.3">
      <c r="A487" t="s">
        <v>1515</v>
      </c>
      <c r="B487" t="s">
        <v>1674</v>
      </c>
      <c r="C487" t="s">
        <v>13</v>
      </c>
      <c r="D487" t="s">
        <v>1693</v>
      </c>
      <c r="E487" t="s">
        <v>465</v>
      </c>
      <c r="F487" t="s">
        <v>801</v>
      </c>
      <c r="H487" t="s">
        <v>17</v>
      </c>
      <c r="I487" t="s">
        <v>414</v>
      </c>
    </row>
    <row r="488" spans="1:9" x14ac:dyDescent="0.3">
      <c r="A488" t="s">
        <v>1515</v>
      </c>
      <c r="B488" t="s">
        <v>1674</v>
      </c>
      <c r="C488" t="s">
        <v>13</v>
      </c>
      <c r="D488" t="s">
        <v>1694</v>
      </c>
      <c r="E488" t="s">
        <v>469</v>
      </c>
      <c r="F488" t="s">
        <v>1695</v>
      </c>
      <c r="H488" t="s">
        <v>17</v>
      </c>
      <c r="I488" t="s">
        <v>1696</v>
      </c>
    </row>
    <row r="489" spans="1:9" x14ac:dyDescent="0.3">
      <c r="A489" t="s">
        <v>1515</v>
      </c>
      <c r="B489" t="s">
        <v>1674</v>
      </c>
      <c r="C489" t="s">
        <v>13</v>
      </c>
      <c r="D489" t="s">
        <v>406</v>
      </c>
      <c r="E489" t="s">
        <v>472</v>
      </c>
      <c r="F489" t="s">
        <v>1697</v>
      </c>
      <c r="H489" t="s">
        <v>17</v>
      </c>
    </row>
    <row r="490" spans="1:9" x14ac:dyDescent="0.3">
      <c r="A490" t="s">
        <v>1515</v>
      </c>
      <c r="B490" t="s">
        <v>1674</v>
      </c>
      <c r="C490" t="s">
        <v>13</v>
      </c>
      <c r="D490" t="s">
        <v>1698</v>
      </c>
      <c r="E490" t="s">
        <v>479</v>
      </c>
      <c r="F490" t="s">
        <v>824</v>
      </c>
      <c r="H490" t="s">
        <v>17</v>
      </c>
    </row>
    <row r="491" spans="1:9" x14ac:dyDescent="0.3">
      <c r="A491" t="s">
        <v>1515</v>
      </c>
      <c r="B491" t="s">
        <v>1674</v>
      </c>
      <c r="C491" t="s">
        <v>13</v>
      </c>
      <c r="D491" t="s">
        <v>420</v>
      </c>
      <c r="E491" t="s">
        <v>486</v>
      </c>
      <c r="F491" t="s">
        <v>1699</v>
      </c>
      <c r="H491" t="s">
        <v>17</v>
      </c>
      <c r="I491" t="s">
        <v>1700</v>
      </c>
    </row>
    <row r="492" spans="1:9" x14ac:dyDescent="0.3">
      <c r="A492" t="s">
        <v>1515</v>
      </c>
      <c r="B492" t="s">
        <v>1701</v>
      </c>
      <c r="C492" t="s">
        <v>13</v>
      </c>
      <c r="D492" t="s">
        <v>423</v>
      </c>
      <c r="E492" t="s">
        <v>490</v>
      </c>
      <c r="F492" t="s">
        <v>843</v>
      </c>
      <c r="H492" t="s">
        <v>17</v>
      </c>
      <c r="I492" t="s">
        <v>845</v>
      </c>
    </row>
    <row r="493" spans="1:9" x14ac:dyDescent="0.3">
      <c r="A493" t="s">
        <v>1515</v>
      </c>
      <c r="B493" t="s">
        <v>1701</v>
      </c>
      <c r="C493" t="s">
        <v>13</v>
      </c>
      <c r="D493" t="s">
        <v>1702</v>
      </c>
      <c r="E493" t="s">
        <v>493</v>
      </c>
      <c r="F493" t="s">
        <v>1703</v>
      </c>
      <c r="H493" t="s">
        <v>17</v>
      </c>
    </row>
    <row r="494" spans="1:9" x14ac:dyDescent="0.3">
      <c r="A494" t="s">
        <v>1515</v>
      </c>
      <c r="B494" t="s">
        <v>1701</v>
      </c>
      <c r="C494" t="s">
        <v>13</v>
      </c>
      <c r="D494" t="s">
        <v>435</v>
      </c>
      <c r="E494" t="s">
        <v>505</v>
      </c>
      <c r="F494" t="s">
        <v>864</v>
      </c>
      <c r="H494" t="s">
        <v>17</v>
      </c>
      <c r="I494" t="s">
        <v>1704</v>
      </c>
    </row>
    <row r="495" spans="1:9" x14ac:dyDescent="0.3">
      <c r="A495" t="s">
        <v>1515</v>
      </c>
      <c r="B495" t="s">
        <v>1701</v>
      </c>
      <c r="C495" t="s">
        <v>13</v>
      </c>
      <c r="D495" t="s">
        <v>1705</v>
      </c>
      <c r="E495" t="s">
        <v>508</v>
      </c>
      <c r="F495" t="s">
        <v>1706</v>
      </c>
      <c r="H495" t="s">
        <v>17</v>
      </c>
    </row>
    <row r="496" spans="1:9" x14ac:dyDescent="0.3">
      <c r="A496" t="s">
        <v>1515</v>
      </c>
      <c r="B496" t="s">
        <v>1701</v>
      </c>
      <c r="C496" t="s">
        <v>13</v>
      </c>
      <c r="D496" t="s">
        <v>448</v>
      </c>
      <c r="E496" t="s">
        <v>519</v>
      </c>
      <c r="F496" t="s">
        <v>1707</v>
      </c>
      <c r="H496" t="s">
        <v>17</v>
      </c>
      <c r="I496" t="s">
        <v>1708</v>
      </c>
    </row>
    <row r="497" spans="1:9" x14ac:dyDescent="0.3">
      <c r="A497" t="s">
        <v>1515</v>
      </c>
      <c r="B497" t="s">
        <v>1701</v>
      </c>
      <c r="C497" t="s">
        <v>13</v>
      </c>
      <c r="D497" t="s">
        <v>453</v>
      </c>
      <c r="E497" t="s">
        <v>522</v>
      </c>
      <c r="F497" t="s">
        <v>1709</v>
      </c>
      <c r="H497" t="s">
        <v>17</v>
      </c>
    </row>
    <row r="498" spans="1:9" x14ac:dyDescent="0.3">
      <c r="A498" t="s">
        <v>1515</v>
      </c>
      <c r="B498" t="s">
        <v>1701</v>
      </c>
      <c r="C498" t="s">
        <v>13</v>
      </c>
      <c r="D498" t="s">
        <v>457</v>
      </c>
      <c r="E498" t="s">
        <v>556</v>
      </c>
      <c r="F498" t="s">
        <v>1710</v>
      </c>
      <c r="H498" t="s">
        <v>17</v>
      </c>
      <c r="I498" t="s">
        <v>1711</v>
      </c>
    </row>
    <row r="499" spans="1:9" x14ac:dyDescent="0.3">
      <c r="A499" t="s">
        <v>1515</v>
      </c>
      <c r="B499" t="s">
        <v>1701</v>
      </c>
      <c r="C499" t="s">
        <v>13</v>
      </c>
      <c r="D499" t="s">
        <v>461</v>
      </c>
      <c r="E499" t="s">
        <v>1712</v>
      </c>
      <c r="F499" t="s">
        <v>1713</v>
      </c>
      <c r="H499" t="s">
        <v>17</v>
      </c>
      <c r="I499" t="s">
        <v>1714</v>
      </c>
    </row>
    <row r="500" spans="1:9" x14ac:dyDescent="0.3">
      <c r="A500" t="s">
        <v>1515</v>
      </c>
      <c r="B500" t="s">
        <v>1701</v>
      </c>
      <c r="C500" t="s">
        <v>13</v>
      </c>
      <c r="D500" t="s">
        <v>464</v>
      </c>
      <c r="E500" t="s">
        <v>560</v>
      </c>
      <c r="F500" t="s">
        <v>1715</v>
      </c>
      <c r="H500" t="s">
        <v>17</v>
      </c>
      <c r="I500" t="s">
        <v>414</v>
      </c>
    </row>
    <row r="501" spans="1:9" x14ac:dyDescent="0.3">
      <c r="A501" t="s">
        <v>1515</v>
      </c>
      <c r="B501" t="s">
        <v>1701</v>
      </c>
      <c r="C501" t="s">
        <v>13</v>
      </c>
      <c r="D501" t="s">
        <v>468</v>
      </c>
      <c r="E501" t="s">
        <v>565</v>
      </c>
      <c r="F501" t="s">
        <v>1716</v>
      </c>
      <c r="H501" t="s">
        <v>17</v>
      </c>
      <c r="I501" t="s">
        <v>414</v>
      </c>
    </row>
    <row r="502" spans="1:9" x14ac:dyDescent="0.3">
      <c r="A502" t="s">
        <v>1515</v>
      </c>
      <c r="B502" t="s">
        <v>1701</v>
      </c>
      <c r="C502" t="s">
        <v>13</v>
      </c>
      <c r="D502" t="s">
        <v>471</v>
      </c>
      <c r="E502" t="s">
        <v>1717</v>
      </c>
      <c r="F502" t="s">
        <v>1718</v>
      </c>
      <c r="H502" t="s">
        <v>17</v>
      </c>
      <c r="I502" t="s">
        <v>414</v>
      </c>
    </row>
    <row r="503" spans="1:9" x14ac:dyDescent="0.3">
      <c r="A503" t="s">
        <v>1515</v>
      </c>
      <c r="B503" t="s">
        <v>1701</v>
      </c>
      <c r="C503" t="s">
        <v>13</v>
      </c>
      <c r="D503" t="s">
        <v>475</v>
      </c>
      <c r="E503" t="s">
        <v>570</v>
      </c>
      <c r="F503" t="s">
        <v>1719</v>
      </c>
      <c r="H503" t="s">
        <v>17</v>
      </c>
      <c r="I503" t="s">
        <v>414</v>
      </c>
    </row>
    <row r="504" spans="1:9" x14ac:dyDescent="0.3">
      <c r="A504" t="s">
        <v>1515</v>
      </c>
      <c r="B504" t="s">
        <v>1701</v>
      </c>
      <c r="C504" t="s">
        <v>13</v>
      </c>
      <c r="D504" t="s">
        <v>478</v>
      </c>
      <c r="E504" t="s">
        <v>575</v>
      </c>
      <c r="F504" t="s">
        <v>1720</v>
      </c>
      <c r="H504" t="s">
        <v>17</v>
      </c>
      <c r="I504" t="s">
        <v>414</v>
      </c>
    </row>
    <row r="505" spans="1:9" x14ac:dyDescent="0.3">
      <c r="A505" t="s">
        <v>1515</v>
      </c>
      <c r="B505" t="s">
        <v>1701</v>
      </c>
      <c r="C505" t="s">
        <v>13</v>
      </c>
      <c r="D505" t="s">
        <v>482</v>
      </c>
      <c r="E505" t="s">
        <v>580</v>
      </c>
      <c r="F505" t="s">
        <v>1721</v>
      </c>
      <c r="H505" t="s">
        <v>17</v>
      </c>
      <c r="I505" t="s">
        <v>414</v>
      </c>
    </row>
    <row r="506" spans="1:9" x14ac:dyDescent="0.3">
      <c r="A506" t="s">
        <v>1515</v>
      </c>
      <c r="B506" t="s">
        <v>1701</v>
      </c>
      <c r="C506" t="s">
        <v>13</v>
      </c>
      <c r="D506" t="s">
        <v>485</v>
      </c>
      <c r="E506" t="s">
        <v>586</v>
      </c>
      <c r="F506" t="s">
        <v>1722</v>
      </c>
      <c r="H506" t="s">
        <v>17</v>
      </c>
      <c r="I506" t="s">
        <v>414</v>
      </c>
    </row>
    <row r="507" spans="1:9" x14ac:dyDescent="0.3">
      <c r="A507" t="s">
        <v>1515</v>
      </c>
      <c r="B507" t="s">
        <v>1701</v>
      </c>
      <c r="C507" t="s">
        <v>13</v>
      </c>
      <c r="D507" t="s">
        <v>489</v>
      </c>
      <c r="E507" t="s">
        <v>591</v>
      </c>
      <c r="F507" t="s">
        <v>1723</v>
      </c>
      <c r="H507" t="s">
        <v>17</v>
      </c>
      <c r="I507" t="s">
        <v>414</v>
      </c>
    </row>
    <row r="508" spans="1:9" x14ac:dyDescent="0.3">
      <c r="A508" t="s">
        <v>1515</v>
      </c>
      <c r="B508" t="s">
        <v>1701</v>
      </c>
      <c r="C508" t="s">
        <v>13</v>
      </c>
      <c r="D508" t="s">
        <v>492</v>
      </c>
      <c r="E508" t="s">
        <v>1724</v>
      </c>
      <c r="F508" t="s">
        <v>1725</v>
      </c>
      <c r="H508" t="s">
        <v>17</v>
      </c>
      <c r="I508" t="s">
        <v>414</v>
      </c>
    </row>
    <row r="509" spans="1:9" x14ac:dyDescent="0.3">
      <c r="A509" t="s">
        <v>1515</v>
      </c>
      <c r="B509" t="s">
        <v>1701</v>
      </c>
      <c r="C509" t="s">
        <v>13</v>
      </c>
      <c r="D509" t="s">
        <v>496</v>
      </c>
      <c r="E509" t="s">
        <v>596</v>
      </c>
      <c r="F509" t="s">
        <v>1726</v>
      </c>
      <c r="H509" t="s">
        <v>17</v>
      </c>
      <c r="I509" t="s">
        <v>414</v>
      </c>
    </row>
    <row r="510" spans="1:9" x14ac:dyDescent="0.3">
      <c r="A510" t="s">
        <v>1515</v>
      </c>
      <c r="B510" t="s">
        <v>1701</v>
      </c>
      <c r="C510" t="s">
        <v>13</v>
      </c>
      <c r="D510" t="s">
        <v>499</v>
      </c>
      <c r="E510" t="s">
        <v>1727</v>
      </c>
      <c r="F510" t="s">
        <v>1728</v>
      </c>
      <c r="H510" t="s">
        <v>17</v>
      </c>
      <c r="I510" t="s">
        <v>414</v>
      </c>
    </row>
    <row r="511" spans="1:9" x14ac:dyDescent="0.3">
      <c r="A511" t="s">
        <v>1515</v>
      </c>
      <c r="B511" t="s">
        <v>1701</v>
      </c>
      <c r="C511" t="s">
        <v>13</v>
      </c>
      <c r="D511" t="s">
        <v>504</v>
      </c>
      <c r="E511" t="s">
        <v>1729</v>
      </c>
      <c r="F511" t="s">
        <v>1730</v>
      </c>
      <c r="H511" t="s">
        <v>17</v>
      </c>
      <c r="I511" t="s">
        <v>414</v>
      </c>
    </row>
    <row r="512" spans="1:9" x14ac:dyDescent="0.3">
      <c r="A512" t="s">
        <v>1515</v>
      </c>
      <c r="B512" t="s">
        <v>1701</v>
      </c>
      <c r="C512" t="s">
        <v>13</v>
      </c>
      <c r="D512" t="s">
        <v>507</v>
      </c>
      <c r="E512" t="s">
        <v>1731</v>
      </c>
      <c r="F512" t="s">
        <v>1732</v>
      </c>
      <c r="H512" t="s">
        <v>17</v>
      </c>
      <c r="I512" t="s">
        <v>1733</v>
      </c>
    </row>
    <row r="513" spans="1:9" x14ac:dyDescent="0.3">
      <c r="A513" t="s">
        <v>1515</v>
      </c>
      <c r="B513" t="s">
        <v>1701</v>
      </c>
      <c r="C513" t="s">
        <v>13</v>
      </c>
      <c r="D513" t="s">
        <v>511</v>
      </c>
      <c r="E513" t="s">
        <v>604</v>
      </c>
      <c r="F513" t="s">
        <v>1732</v>
      </c>
      <c r="H513" t="s">
        <v>17</v>
      </c>
      <c r="I513" t="s">
        <v>1733</v>
      </c>
    </row>
    <row r="514" spans="1:9" x14ac:dyDescent="0.3">
      <c r="A514" t="s">
        <v>1515</v>
      </c>
      <c r="B514" t="s">
        <v>1701</v>
      </c>
      <c r="C514" t="s">
        <v>13</v>
      </c>
      <c r="D514" t="s">
        <v>514</v>
      </c>
      <c r="E514" t="s">
        <v>1734</v>
      </c>
      <c r="F514" t="s">
        <v>1735</v>
      </c>
      <c r="H514" t="s">
        <v>17</v>
      </c>
      <c r="I514" t="s">
        <v>1736</v>
      </c>
    </row>
    <row r="515" spans="1:9" x14ac:dyDescent="0.3">
      <c r="A515" t="s">
        <v>1515</v>
      </c>
      <c r="B515" t="s">
        <v>1701</v>
      </c>
      <c r="C515" t="s">
        <v>13</v>
      </c>
      <c r="D515" t="s">
        <v>518</v>
      </c>
      <c r="E515" t="s">
        <v>1737</v>
      </c>
      <c r="F515" t="s">
        <v>1735</v>
      </c>
      <c r="H515" t="s">
        <v>17</v>
      </c>
      <c r="I515" t="s">
        <v>1738</v>
      </c>
    </row>
    <row r="516" spans="1:9" x14ac:dyDescent="0.3">
      <c r="A516" t="s">
        <v>1739</v>
      </c>
      <c r="E516" t="s">
        <v>10</v>
      </c>
      <c r="F516" t="s">
        <v>1740</v>
      </c>
    </row>
    <row r="517" spans="1:9" x14ac:dyDescent="0.3">
      <c r="A517" t="s">
        <v>1739</v>
      </c>
      <c r="B517" t="s">
        <v>1741</v>
      </c>
      <c r="C517" t="s">
        <v>13</v>
      </c>
      <c r="D517" t="s">
        <v>14</v>
      </c>
      <c r="E517" t="s">
        <v>1742</v>
      </c>
      <c r="F517" t="s">
        <v>16</v>
      </c>
      <c r="H517" t="s">
        <v>17</v>
      </c>
    </row>
    <row r="518" spans="1:9" x14ac:dyDescent="0.3">
      <c r="A518" t="s">
        <v>1739</v>
      </c>
      <c r="B518" t="s">
        <v>1741</v>
      </c>
      <c r="C518" t="s">
        <v>13</v>
      </c>
      <c r="D518" t="s">
        <v>1743</v>
      </c>
      <c r="E518" t="s">
        <v>1744</v>
      </c>
      <c r="F518" t="s">
        <v>1745</v>
      </c>
      <c r="H518" t="s">
        <v>17</v>
      </c>
    </row>
    <row r="519" spans="1:9" x14ac:dyDescent="0.3">
      <c r="A519" t="s">
        <v>1739</v>
      </c>
      <c r="B519" t="s">
        <v>1746</v>
      </c>
      <c r="C519" t="s">
        <v>13</v>
      </c>
      <c r="D519" t="s">
        <v>996</v>
      </c>
      <c r="E519" t="s">
        <v>1747</v>
      </c>
      <c r="F519" t="s">
        <v>1748</v>
      </c>
      <c r="H519" t="s">
        <v>17</v>
      </c>
      <c r="I519" t="s">
        <v>1749</v>
      </c>
    </row>
    <row r="520" spans="1:9" x14ac:dyDescent="0.3">
      <c r="A520" t="s">
        <v>1739</v>
      </c>
      <c r="B520" t="s">
        <v>1746</v>
      </c>
      <c r="C520" t="s">
        <v>13</v>
      </c>
      <c r="D520" t="s">
        <v>1001</v>
      </c>
      <c r="E520" t="s">
        <v>1750</v>
      </c>
      <c r="F520" t="s">
        <v>1522</v>
      </c>
      <c r="H520" t="s">
        <v>17</v>
      </c>
      <c r="I520" t="s">
        <v>1751</v>
      </c>
    </row>
    <row r="521" spans="1:9" x14ac:dyDescent="0.3">
      <c r="A521" t="s">
        <v>1739</v>
      </c>
      <c r="B521" t="s">
        <v>1746</v>
      </c>
      <c r="C521" t="s">
        <v>13</v>
      </c>
      <c r="D521" t="s">
        <v>1005</v>
      </c>
      <c r="E521" t="s">
        <v>1752</v>
      </c>
      <c r="F521" t="s">
        <v>1753</v>
      </c>
      <c r="H521" t="s">
        <v>17</v>
      </c>
    </row>
    <row r="522" spans="1:9" x14ac:dyDescent="0.3">
      <c r="A522" t="s">
        <v>1739</v>
      </c>
      <c r="B522" t="s">
        <v>1746</v>
      </c>
      <c r="C522" t="s">
        <v>13</v>
      </c>
      <c r="D522" t="s">
        <v>27</v>
      </c>
      <c r="E522" t="s">
        <v>1754</v>
      </c>
      <c r="F522" t="s">
        <v>1755</v>
      </c>
      <c r="H522" t="s">
        <v>17</v>
      </c>
      <c r="I522" t="s">
        <v>1756</v>
      </c>
    </row>
    <row r="523" spans="1:9" x14ac:dyDescent="0.3">
      <c r="A523" t="s">
        <v>1739</v>
      </c>
      <c r="B523" t="s">
        <v>1746</v>
      </c>
      <c r="C523" t="s">
        <v>13</v>
      </c>
      <c r="D523" t="s">
        <v>32</v>
      </c>
      <c r="E523" t="s">
        <v>1757</v>
      </c>
      <c r="F523" t="s">
        <v>1758</v>
      </c>
      <c r="H523" t="s">
        <v>17</v>
      </c>
      <c r="I523" t="s">
        <v>1759</v>
      </c>
    </row>
    <row r="524" spans="1:9" x14ac:dyDescent="0.3">
      <c r="A524" t="s">
        <v>1739</v>
      </c>
      <c r="B524" t="s">
        <v>1746</v>
      </c>
      <c r="C524" t="s">
        <v>13</v>
      </c>
      <c r="D524" t="s">
        <v>36</v>
      </c>
      <c r="E524" t="s">
        <v>1760</v>
      </c>
      <c r="F524" t="s">
        <v>1761</v>
      </c>
      <c r="H524" t="s">
        <v>17</v>
      </c>
      <c r="I524" t="s">
        <v>1762</v>
      </c>
    </row>
    <row r="525" spans="1:9" x14ac:dyDescent="0.3">
      <c r="A525" t="s">
        <v>1739</v>
      </c>
      <c r="B525" t="s">
        <v>1746</v>
      </c>
      <c r="C525" t="s">
        <v>13</v>
      </c>
      <c r="D525" t="s">
        <v>41</v>
      </c>
      <c r="E525" t="s">
        <v>1763</v>
      </c>
      <c r="F525" t="s">
        <v>1764</v>
      </c>
      <c r="H525" t="s">
        <v>17</v>
      </c>
      <c r="I525" t="s">
        <v>1762</v>
      </c>
    </row>
    <row r="526" spans="1:9" x14ac:dyDescent="0.3">
      <c r="A526" t="s">
        <v>1739</v>
      </c>
      <c r="B526" t="s">
        <v>1746</v>
      </c>
      <c r="C526" t="s">
        <v>13</v>
      </c>
      <c r="D526" t="s">
        <v>45</v>
      </c>
      <c r="E526" t="s">
        <v>1765</v>
      </c>
      <c r="F526" t="s">
        <v>1766</v>
      </c>
      <c r="H526" t="s">
        <v>17</v>
      </c>
      <c r="I526" t="s">
        <v>1767</v>
      </c>
    </row>
    <row r="527" spans="1:9" x14ac:dyDescent="0.3">
      <c r="A527" t="s">
        <v>1739</v>
      </c>
      <c r="B527" t="s">
        <v>1746</v>
      </c>
      <c r="C527" t="s">
        <v>13</v>
      </c>
      <c r="D527" t="s">
        <v>50</v>
      </c>
      <c r="E527" t="s">
        <v>1768</v>
      </c>
      <c r="F527" t="s">
        <v>1769</v>
      </c>
      <c r="G527" t="s">
        <v>1770</v>
      </c>
      <c r="H527" t="s">
        <v>17</v>
      </c>
      <c r="I527" t="s">
        <v>1767</v>
      </c>
    </row>
    <row r="528" spans="1:9" x14ac:dyDescent="0.3">
      <c r="A528" t="s">
        <v>1739</v>
      </c>
      <c r="B528" t="s">
        <v>1746</v>
      </c>
      <c r="C528" t="s">
        <v>13</v>
      </c>
      <c r="D528" t="s">
        <v>53</v>
      </c>
      <c r="E528" t="s">
        <v>1771</v>
      </c>
      <c r="F528" t="s">
        <v>1772</v>
      </c>
      <c r="G528" t="s">
        <v>1773</v>
      </c>
      <c r="H528" t="s">
        <v>17</v>
      </c>
      <c r="I528" t="s">
        <v>1774</v>
      </c>
    </row>
    <row r="529" spans="1:9" x14ac:dyDescent="0.3">
      <c r="A529" t="s">
        <v>1739</v>
      </c>
      <c r="B529" t="s">
        <v>1746</v>
      </c>
      <c r="C529" t="s">
        <v>13</v>
      </c>
      <c r="D529" t="s">
        <v>56</v>
      </c>
      <c r="E529" t="s">
        <v>1775</v>
      </c>
      <c r="F529" t="s">
        <v>1776</v>
      </c>
      <c r="G529" t="s">
        <v>1773</v>
      </c>
      <c r="H529" t="s">
        <v>17</v>
      </c>
      <c r="I529" t="s">
        <v>1774</v>
      </c>
    </row>
    <row r="530" spans="1:9" x14ac:dyDescent="0.3">
      <c r="A530" t="s">
        <v>1739</v>
      </c>
      <c r="B530" t="s">
        <v>1746</v>
      </c>
      <c r="C530" t="s">
        <v>13</v>
      </c>
      <c r="D530" t="s">
        <v>61</v>
      </c>
      <c r="E530" t="s">
        <v>1777</v>
      </c>
      <c r="F530" t="s">
        <v>1778</v>
      </c>
      <c r="G530" t="s">
        <v>1773</v>
      </c>
      <c r="H530" t="s">
        <v>17</v>
      </c>
      <c r="I530" t="s">
        <v>1774</v>
      </c>
    </row>
    <row r="531" spans="1:9" x14ac:dyDescent="0.3">
      <c r="A531" t="s">
        <v>1739</v>
      </c>
      <c r="B531" t="s">
        <v>1746</v>
      </c>
      <c r="C531" t="s">
        <v>13</v>
      </c>
      <c r="D531" t="s">
        <v>1039</v>
      </c>
      <c r="E531" t="s">
        <v>1779</v>
      </c>
      <c r="F531" t="s">
        <v>1780</v>
      </c>
      <c r="G531" t="s">
        <v>1773</v>
      </c>
      <c r="H531" t="s">
        <v>17</v>
      </c>
      <c r="I531" t="s">
        <v>1774</v>
      </c>
    </row>
    <row r="532" spans="1:9" x14ac:dyDescent="0.3">
      <c r="A532" t="s">
        <v>1739</v>
      </c>
      <c r="B532" t="s">
        <v>1746</v>
      </c>
      <c r="C532" t="s">
        <v>13</v>
      </c>
      <c r="D532" t="s">
        <v>1043</v>
      </c>
      <c r="E532" t="s">
        <v>1781</v>
      </c>
      <c r="F532" t="s">
        <v>1782</v>
      </c>
      <c r="H532" t="s">
        <v>17</v>
      </c>
      <c r="I532" t="s">
        <v>1783</v>
      </c>
    </row>
    <row r="533" spans="1:9" x14ac:dyDescent="0.3">
      <c r="A533" t="s">
        <v>1739</v>
      </c>
      <c r="B533" t="s">
        <v>1746</v>
      </c>
      <c r="C533" t="s">
        <v>13</v>
      </c>
      <c r="D533" t="s">
        <v>71</v>
      </c>
      <c r="E533" t="s">
        <v>1784</v>
      </c>
      <c r="F533" t="s">
        <v>1785</v>
      </c>
      <c r="H533" t="s">
        <v>17</v>
      </c>
      <c r="I533" t="s">
        <v>1786</v>
      </c>
    </row>
    <row r="534" spans="1:9" x14ac:dyDescent="0.3">
      <c r="A534" t="s">
        <v>1739</v>
      </c>
      <c r="B534" t="s">
        <v>1746</v>
      </c>
      <c r="C534" t="s">
        <v>13</v>
      </c>
      <c r="D534" t="s">
        <v>1050</v>
      </c>
      <c r="E534" t="s">
        <v>1787</v>
      </c>
      <c r="F534" t="s">
        <v>1788</v>
      </c>
      <c r="G534" t="s">
        <v>1770</v>
      </c>
      <c r="H534" t="s">
        <v>17</v>
      </c>
      <c r="I534" t="s">
        <v>1786</v>
      </c>
    </row>
    <row r="535" spans="1:9" x14ac:dyDescent="0.3">
      <c r="A535" t="s">
        <v>1739</v>
      </c>
      <c r="B535" t="s">
        <v>1746</v>
      </c>
      <c r="C535" t="s">
        <v>13</v>
      </c>
      <c r="D535" t="s">
        <v>1055</v>
      </c>
      <c r="E535" t="s">
        <v>1789</v>
      </c>
      <c r="F535" t="s">
        <v>1790</v>
      </c>
      <c r="H535" t="s">
        <v>17</v>
      </c>
      <c r="I535" t="s">
        <v>1791</v>
      </c>
    </row>
    <row r="536" spans="1:9" x14ac:dyDescent="0.3">
      <c r="A536" t="s">
        <v>1739</v>
      </c>
      <c r="B536" t="s">
        <v>1746</v>
      </c>
      <c r="C536" t="s">
        <v>13</v>
      </c>
      <c r="D536" t="s">
        <v>1792</v>
      </c>
      <c r="E536" t="s">
        <v>1793</v>
      </c>
      <c r="F536" t="s">
        <v>1794</v>
      </c>
      <c r="H536" t="s">
        <v>17</v>
      </c>
    </row>
    <row r="537" spans="1:9" x14ac:dyDescent="0.3">
      <c r="A537" t="s">
        <v>1739</v>
      </c>
      <c r="B537" t="s">
        <v>1746</v>
      </c>
      <c r="C537" t="s">
        <v>13</v>
      </c>
      <c r="D537" t="s">
        <v>90</v>
      </c>
      <c r="E537" t="s">
        <v>1795</v>
      </c>
      <c r="F537" t="s">
        <v>1796</v>
      </c>
      <c r="H537" t="s">
        <v>17</v>
      </c>
      <c r="I537" t="s">
        <v>1797</v>
      </c>
    </row>
    <row r="538" spans="1:9" x14ac:dyDescent="0.3">
      <c r="A538" t="s">
        <v>1739</v>
      </c>
      <c r="B538" t="s">
        <v>1746</v>
      </c>
      <c r="C538" t="s">
        <v>13</v>
      </c>
      <c r="D538" t="s">
        <v>95</v>
      </c>
      <c r="E538" t="s">
        <v>1798</v>
      </c>
      <c r="F538" t="s">
        <v>1799</v>
      </c>
      <c r="H538" t="s">
        <v>17</v>
      </c>
      <c r="I538" t="s">
        <v>1800</v>
      </c>
    </row>
    <row r="539" spans="1:9" x14ac:dyDescent="0.3">
      <c r="A539" t="s">
        <v>1739</v>
      </c>
      <c r="B539" t="s">
        <v>1746</v>
      </c>
      <c r="C539" t="s">
        <v>13</v>
      </c>
      <c r="D539" t="s">
        <v>100</v>
      </c>
      <c r="E539" t="s">
        <v>1801</v>
      </c>
      <c r="F539" t="s">
        <v>87</v>
      </c>
      <c r="H539" t="s">
        <v>17</v>
      </c>
      <c r="I539" t="s">
        <v>1802</v>
      </c>
    </row>
    <row r="540" spans="1:9" x14ac:dyDescent="0.3">
      <c r="A540" t="s">
        <v>1739</v>
      </c>
      <c r="B540" t="s">
        <v>1746</v>
      </c>
      <c r="C540" t="s">
        <v>13</v>
      </c>
      <c r="D540" t="s">
        <v>106</v>
      </c>
      <c r="E540" t="s">
        <v>1803</v>
      </c>
      <c r="F540" t="s">
        <v>1804</v>
      </c>
      <c r="H540" t="s">
        <v>17</v>
      </c>
      <c r="I540" t="s">
        <v>1805</v>
      </c>
    </row>
    <row r="541" spans="1:9" x14ac:dyDescent="0.3">
      <c r="A541" t="s">
        <v>1739</v>
      </c>
      <c r="B541" t="s">
        <v>1746</v>
      </c>
      <c r="C541" t="s">
        <v>13</v>
      </c>
      <c r="D541" t="s">
        <v>111</v>
      </c>
      <c r="E541" t="s">
        <v>1806</v>
      </c>
      <c r="F541" t="s">
        <v>1807</v>
      </c>
      <c r="H541" t="s">
        <v>17</v>
      </c>
      <c r="I541" t="s">
        <v>104</v>
      </c>
    </row>
    <row r="542" spans="1:9" x14ac:dyDescent="0.3">
      <c r="A542" t="s">
        <v>1739</v>
      </c>
      <c r="B542" t="s">
        <v>1746</v>
      </c>
      <c r="C542" t="s">
        <v>13</v>
      </c>
      <c r="D542" t="s">
        <v>114</v>
      </c>
      <c r="E542" t="s">
        <v>1808</v>
      </c>
      <c r="F542" t="s">
        <v>1809</v>
      </c>
      <c r="H542" t="s">
        <v>17</v>
      </c>
      <c r="I542" t="s">
        <v>1810</v>
      </c>
    </row>
    <row r="543" spans="1:9" x14ac:dyDescent="0.3">
      <c r="A543" t="s">
        <v>1739</v>
      </c>
      <c r="B543" t="s">
        <v>1746</v>
      </c>
      <c r="C543" t="s">
        <v>13</v>
      </c>
      <c r="D543" t="s">
        <v>117</v>
      </c>
      <c r="E543" t="s">
        <v>1811</v>
      </c>
      <c r="F543" t="s">
        <v>1812</v>
      </c>
      <c r="H543" t="s">
        <v>17</v>
      </c>
      <c r="I543" t="s">
        <v>1813</v>
      </c>
    </row>
    <row r="544" spans="1:9" x14ac:dyDescent="0.3">
      <c r="A544" t="s">
        <v>1739</v>
      </c>
      <c r="B544" t="s">
        <v>1746</v>
      </c>
      <c r="C544" t="s">
        <v>13</v>
      </c>
      <c r="D544" t="s">
        <v>121</v>
      </c>
      <c r="E544" t="s">
        <v>1814</v>
      </c>
      <c r="F544" t="s">
        <v>1815</v>
      </c>
      <c r="H544" t="s">
        <v>17</v>
      </c>
      <c r="I544" t="s">
        <v>1816</v>
      </c>
    </row>
    <row r="545" spans="1:9" x14ac:dyDescent="0.3">
      <c r="A545" t="s">
        <v>1739</v>
      </c>
      <c r="B545" t="s">
        <v>1817</v>
      </c>
      <c r="C545" t="s">
        <v>13</v>
      </c>
      <c r="D545" t="s">
        <v>126</v>
      </c>
      <c r="E545" t="s">
        <v>1818</v>
      </c>
      <c r="F545" t="s">
        <v>1819</v>
      </c>
      <c r="H545" t="s">
        <v>17</v>
      </c>
      <c r="I545" t="s">
        <v>1816</v>
      </c>
    </row>
    <row r="546" spans="1:9" x14ac:dyDescent="0.3">
      <c r="A546" t="s">
        <v>1739</v>
      </c>
      <c r="B546" t="s">
        <v>1817</v>
      </c>
      <c r="C546" t="s">
        <v>13</v>
      </c>
      <c r="D546" t="s">
        <v>129</v>
      </c>
      <c r="E546" t="s">
        <v>1820</v>
      </c>
      <c r="F546" t="s">
        <v>1821</v>
      </c>
      <c r="H546" t="s">
        <v>17</v>
      </c>
      <c r="I546" t="s">
        <v>1816</v>
      </c>
    </row>
    <row r="547" spans="1:9" x14ac:dyDescent="0.3">
      <c r="A547" t="s">
        <v>1739</v>
      </c>
      <c r="B547" t="s">
        <v>1817</v>
      </c>
      <c r="C547" t="s">
        <v>13</v>
      </c>
      <c r="D547" t="s">
        <v>132</v>
      </c>
      <c r="E547" t="s">
        <v>1822</v>
      </c>
      <c r="F547" t="s">
        <v>1823</v>
      </c>
      <c r="H547" t="s">
        <v>17</v>
      </c>
      <c r="I547" t="s">
        <v>1816</v>
      </c>
    </row>
    <row r="548" spans="1:9" x14ac:dyDescent="0.3">
      <c r="A548" t="s">
        <v>1739</v>
      </c>
      <c r="B548" t="s">
        <v>1817</v>
      </c>
      <c r="C548" t="s">
        <v>13</v>
      </c>
      <c r="D548" t="s">
        <v>135</v>
      </c>
      <c r="E548" t="s">
        <v>1824</v>
      </c>
      <c r="F548" t="s">
        <v>1825</v>
      </c>
      <c r="H548" t="s">
        <v>17</v>
      </c>
      <c r="I548" t="s">
        <v>1816</v>
      </c>
    </row>
    <row r="549" spans="1:9" x14ac:dyDescent="0.3">
      <c r="A549" t="s">
        <v>1739</v>
      </c>
      <c r="B549" t="s">
        <v>1817</v>
      </c>
      <c r="C549" t="s">
        <v>13</v>
      </c>
      <c r="D549" t="s">
        <v>138</v>
      </c>
      <c r="E549" t="s">
        <v>1826</v>
      </c>
      <c r="F549" t="s">
        <v>1827</v>
      </c>
      <c r="H549" t="s">
        <v>17</v>
      </c>
      <c r="I549" t="s">
        <v>1816</v>
      </c>
    </row>
    <row r="550" spans="1:9" x14ac:dyDescent="0.3">
      <c r="A550" t="s">
        <v>1739</v>
      </c>
      <c r="B550" t="s">
        <v>1817</v>
      </c>
      <c r="C550" t="s">
        <v>13</v>
      </c>
      <c r="D550" t="s">
        <v>141</v>
      </c>
      <c r="E550" t="s">
        <v>1828</v>
      </c>
      <c r="F550" t="s">
        <v>1829</v>
      </c>
      <c r="H550" t="s">
        <v>17</v>
      </c>
      <c r="I550" t="s">
        <v>1830</v>
      </c>
    </row>
    <row r="551" spans="1:9" x14ac:dyDescent="0.3">
      <c r="A551" t="s">
        <v>1739</v>
      </c>
      <c r="B551" t="s">
        <v>1817</v>
      </c>
      <c r="C551" t="s">
        <v>13</v>
      </c>
      <c r="D551" t="s">
        <v>144</v>
      </c>
      <c r="E551" t="s">
        <v>1831</v>
      </c>
      <c r="F551" t="s">
        <v>1832</v>
      </c>
      <c r="H551" t="s">
        <v>17</v>
      </c>
      <c r="I551" t="s">
        <v>1830</v>
      </c>
    </row>
    <row r="552" spans="1:9" x14ac:dyDescent="0.3">
      <c r="A552" t="s">
        <v>1739</v>
      </c>
      <c r="B552" t="s">
        <v>1817</v>
      </c>
      <c r="C552" t="s">
        <v>13</v>
      </c>
      <c r="D552" t="s">
        <v>147</v>
      </c>
      <c r="E552" t="s">
        <v>1833</v>
      </c>
      <c r="F552" t="s">
        <v>1834</v>
      </c>
      <c r="H552" t="s">
        <v>17</v>
      </c>
      <c r="I552" t="s">
        <v>1835</v>
      </c>
    </row>
    <row r="553" spans="1:9" x14ac:dyDescent="0.3">
      <c r="A553" t="s">
        <v>1739</v>
      </c>
      <c r="B553" t="s">
        <v>1817</v>
      </c>
      <c r="C553" t="s">
        <v>13</v>
      </c>
      <c r="D553" t="s">
        <v>152</v>
      </c>
      <c r="E553" t="s">
        <v>1836</v>
      </c>
      <c r="F553" t="s">
        <v>1837</v>
      </c>
      <c r="H553" t="s">
        <v>17</v>
      </c>
      <c r="I553" t="s">
        <v>1835</v>
      </c>
    </row>
    <row r="554" spans="1:9" x14ac:dyDescent="0.3">
      <c r="A554" t="s">
        <v>1739</v>
      </c>
      <c r="B554" t="s">
        <v>1817</v>
      </c>
      <c r="C554" t="s">
        <v>13</v>
      </c>
      <c r="D554" t="s">
        <v>157</v>
      </c>
      <c r="E554" t="s">
        <v>1838</v>
      </c>
      <c r="F554" t="s">
        <v>1839</v>
      </c>
      <c r="H554" t="s">
        <v>17</v>
      </c>
      <c r="I554" t="s">
        <v>1835</v>
      </c>
    </row>
    <row r="555" spans="1:9" x14ac:dyDescent="0.3">
      <c r="A555" t="s">
        <v>1739</v>
      </c>
      <c r="B555" t="s">
        <v>1817</v>
      </c>
      <c r="C555" t="s">
        <v>13</v>
      </c>
      <c r="D555" t="s">
        <v>162</v>
      </c>
      <c r="E555" t="s">
        <v>1840</v>
      </c>
      <c r="F555" t="s">
        <v>1841</v>
      </c>
      <c r="H555" t="s">
        <v>17</v>
      </c>
      <c r="I555" t="s">
        <v>1835</v>
      </c>
    </row>
    <row r="556" spans="1:9" x14ac:dyDescent="0.3">
      <c r="A556" t="s">
        <v>1739</v>
      </c>
      <c r="B556" t="s">
        <v>1842</v>
      </c>
      <c r="C556" t="s">
        <v>13</v>
      </c>
      <c r="D556" t="s">
        <v>167</v>
      </c>
      <c r="E556" t="s">
        <v>1843</v>
      </c>
      <c r="F556" t="s">
        <v>1844</v>
      </c>
      <c r="G556" t="s">
        <v>1845</v>
      </c>
      <c r="H556" t="s">
        <v>17</v>
      </c>
      <c r="I556" t="s">
        <v>1846</v>
      </c>
    </row>
    <row r="557" spans="1:9" x14ac:dyDescent="0.3">
      <c r="A557" t="s">
        <v>1739</v>
      </c>
      <c r="B557" t="s">
        <v>1842</v>
      </c>
      <c r="C557" t="s">
        <v>13</v>
      </c>
      <c r="D557" t="s">
        <v>172</v>
      </c>
      <c r="E557" t="s">
        <v>1847</v>
      </c>
      <c r="F557" t="s">
        <v>1848</v>
      </c>
      <c r="G557" t="s">
        <v>1845</v>
      </c>
      <c r="H557" t="s">
        <v>17</v>
      </c>
      <c r="I557" t="s">
        <v>1846</v>
      </c>
    </row>
    <row r="558" spans="1:9" x14ac:dyDescent="0.3">
      <c r="A558" t="s">
        <v>1739</v>
      </c>
      <c r="B558" t="s">
        <v>1842</v>
      </c>
      <c r="C558" t="s">
        <v>13</v>
      </c>
      <c r="D558" t="s">
        <v>177</v>
      </c>
      <c r="E558" t="s">
        <v>1849</v>
      </c>
      <c r="F558" t="s">
        <v>1850</v>
      </c>
      <c r="G558" t="s">
        <v>1845</v>
      </c>
      <c r="H558" t="s">
        <v>17</v>
      </c>
      <c r="I558" t="s">
        <v>1846</v>
      </c>
    </row>
    <row r="559" spans="1:9" x14ac:dyDescent="0.3">
      <c r="A559" t="s">
        <v>1739</v>
      </c>
      <c r="B559" t="s">
        <v>1842</v>
      </c>
      <c r="C559" t="s">
        <v>13</v>
      </c>
      <c r="D559" t="s">
        <v>182</v>
      </c>
      <c r="E559" t="s">
        <v>1851</v>
      </c>
      <c r="F559" t="s">
        <v>1852</v>
      </c>
      <c r="G559" t="s">
        <v>1845</v>
      </c>
      <c r="H559" t="s">
        <v>17</v>
      </c>
      <c r="I559" t="s">
        <v>1846</v>
      </c>
    </row>
    <row r="560" spans="1:9" x14ac:dyDescent="0.3">
      <c r="A560" t="s">
        <v>1739</v>
      </c>
      <c r="B560" t="s">
        <v>1842</v>
      </c>
      <c r="C560" t="s">
        <v>13</v>
      </c>
      <c r="D560" t="s">
        <v>187</v>
      </c>
      <c r="E560" t="s">
        <v>1853</v>
      </c>
      <c r="F560" t="s">
        <v>1854</v>
      </c>
      <c r="G560" t="s">
        <v>1845</v>
      </c>
      <c r="H560" t="s">
        <v>17</v>
      </c>
      <c r="I560" t="s">
        <v>1846</v>
      </c>
    </row>
    <row r="561" spans="1:9" x14ac:dyDescent="0.3">
      <c r="A561" t="s">
        <v>1739</v>
      </c>
      <c r="B561" t="s">
        <v>1842</v>
      </c>
      <c r="C561" t="s">
        <v>13</v>
      </c>
      <c r="D561" t="s">
        <v>193</v>
      </c>
      <c r="E561" t="s">
        <v>1855</v>
      </c>
      <c r="F561" t="s">
        <v>1856</v>
      </c>
      <c r="G561" t="s">
        <v>1845</v>
      </c>
      <c r="H561" t="s">
        <v>17</v>
      </c>
      <c r="I561" t="s">
        <v>1846</v>
      </c>
    </row>
    <row r="562" spans="1:9" x14ac:dyDescent="0.3">
      <c r="A562" t="s">
        <v>1739</v>
      </c>
      <c r="B562" t="s">
        <v>1842</v>
      </c>
      <c r="C562" t="s">
        <v>13</v>
      </c>
      <c r="D562" t="s">
        <v>198</v>
      </c>
      <c r="E562" t="s">
        <v>1857</v>
      </c>
      <c r="F562" t="s">
        <v>1858</v>
      </c>
      <c r="G562" t="s">
        <v>1845</v>
      </c>
      <c r="H562" t="s">
        <v>17</v>
      </c>
      <c r="I562" t="s">
        <v>1846</v>
      </c>
    </row>
    <row r="563" spans="1:9" x14ac:dyDescent="0.3">
      <c r="A563" t="s">
        <v>1739</v>
      </c>
      <c r="B563" t="s">
        <v>1842</v>
      </c>
      <c r="C563" t="s">
        <v>13</v>
      </c>
      <c r="D563" t="s">
        <v>202</v>
      </c>
      <c r="E563" t="s">
        <v>1859</v>
      </c>
      <c r="F563" t="s">
        <v>1860</v>
      </c>
      <c r="G563" t="s">
        <v>1845</v>
      </c>
      <c r="H563" t="s">
        <v>17</v>
      </c>
      <c r="I563" t="s">
        <v>1846</v>
      </c>
    </row>
    <row r="564" spans="1:9" x14ac:dyDescent="0.3">
      <c r="A564" t="s">
        <v>1739</v>
      </c>
      <c r="B564" t="s">
        <v>1842</v>
      </c>
      <c r="C564" t="s">
        <v>13</v>
      </c>
      <c r="D564" t="s">
        <v>206</v>
      </c>
      <c r="E564" t="s">
        <v>1861</v>
      </c>
      <c r="F564" t="s">
        <v>1862</v>
      </c>
      <c r="G564" t="s">
        <v>1845</v>
      </c>
      <c r="H564" t="s">
        <v>17</v>
      </c>
      <c r="I564" t="s">
        <v>1846</v>
      </c>
    </row>
    <row r="565" spans="1:9" x14ac:dyDescent="0.3">
      <c r="A565" t="s">
        <v>1739</v>
      </c>
      <c r="B565" t="s">
        <v>1842</v>
      </c>
      <c r="C565" t="s">
        <v>13</v>
      </c>
      <c r="D565" t="s">
        <v>210</v>
      </c>
      <c r="E565" t="s">
        <v>1863</v>
      </c>
      <c r="F565" t="s">
        <v>1864</v>
      </c>
      <c r="G565" t="s">
        <v>1845</v>
      </c>
      <c r="H565" t="s">
        <v>17</v>
      </c>
      <c r="I565" t="s">
        <v>1846</v>
      </c>
    </row>
    <row r="566" spans="1:9" x14ac:dyDescent="0.3">
      <c r="A566" t="s">
        <v>1739</v>
      </c>
      <c r="B566" t="s">
        <v>1842</v>
      </c>
      <c r="C566" t="s">
        <v>13</v>
      </c>
      <c r="D566" t="s">
        <v>214</v>
      </c>
      <c r="E566" t="s">
        <v>1865</v>
      </c>
      <c r="F566" t="s">
        <v>1866</v>
      </c>
      <c r="G566" t="s">
        <v>1845</v>
      </c>
      <c r="H566" t="s">
        <v>17</v>
      </c>
      <c r="I566" t="s">
        <v>1846</v>
      </c>
    </row>
    <row r="567" spans="1:9" x14ac:dyDescent="0.3">
      <c r="A567" t="s">
        <v>1739</v>
      </c>
      <c r="B567" t="s">
        <v>1842</v>
      </c>
      <c r="C567" t="s">
        <v>13</v>
      </c>
      <c r="D567" t="s">
        <v>218</v>
      </c>
      <c r="E567" t="s">
        <v>1867</v>
      </c>
      <c r="F567" t="s">
        <v>1868</v>
      </c>
      <c r="G567" t="s">
        <v>1845</v>
      </c>
      <c r="H567" t="s">
        <v>17</v>
      </c>
      <c r="I567" t="s">
        <v>1846</v>
      </c>
    </row>
    <row r="568" spans="1:9" x14ac:dyDescent="0.3">
      <c r="A568" t="s">
        <v>1739</v>
      </c>
      <c r="B568" t="s">
        <v>1842</v>
      </c>
      <c r="C568" t="s">
        <v>13</v>
      </c>
      <c r="D568" t="s">
        <v>223</v>
      </c>
      <c r="E568" t="s">
        <v>1869</v>
      </c>
      <c r="F568" t="s">
        <v>1870</v>
      </c>
      <c r="G568" t="s">
        <v>1845</v>
      </c>
      <c r="H568" t="s">
        <v>17</v>
      </c>
      <c r="I568" t="s">
        <v>1846</v>
      </c>
    </row>
    <row r="569" spans="1:9" x14ac:dyDescent="0.3">
      <c r="A569" t="s">
        <v>1739</v>
      </c>
      <c r="B569" t="s">
        <v>1842</v>
      </c>
      <c r="C569" t="s">
        <v>13</v>
      </c>
      <c r="D569" t="s">
        <v>228</v>
      </c>
      <c r="E569" t="s">
        <v>1871</v>
      </c>
      <c r="F569" t="s">
        <v>1872</v>
      </c>
      <c r="G569" t="s">
        <v>1845</v>
      </c>
      <c r="H569" t="s">
        <v>17</v>
      </c>
      <c r="I569" t="s">
        <v>1846</v>
      </c>
    </row>
    <row r="570" spans="1:9" x14ac:dyDescent="0.3">
      <c r="A570" t="s">
        <v>1739</v>
      </c>
      <c r="B570" t="s">
        <v>1842</v>
      </c>
      <c r="C570" t="s">
        <v>13</v>
      </c>
      <c r="D570" t="s">
        <v>233</v>
      </c>
      <c r="E570" t="s">
        <v>1873</v>
      </c>
      <c r="F570" t="s">
        <v>1874</v>
      </c>
      <c r="G570" t="s">
        <v>1845</v>
      </c>
      <c r="H570" t="s">
        <v>17</v>
      </c>
      <c r="I570" t="s">
        <v>1846</v>
      </c>
    </row>
    <row r="571" spans="1:9" x14ac:dyDescent="0.3">
      <c r="A571" t="s">
        <v>1739</v>
      </c>
      <c r="B571" t="s">
        <v>1842</v>
      </c>
      <c r="C571" t="s">
        <v>13</v>
      </c>
      <c r="D571" t="s">
        <v>236</v>
      </c>
      <c r="E571" t="s">
        <v>1875</v>
      </c>
      <c r="F571" t="s">
        <v>1876</v>
      </c>
      <c r="G571" t="s">
        <v>1845</v>
      </c>
      <c r="H571" t="s">
        <v>17</v>
      </c>
      <c r="I571" t="s">
        <v>1846</v>
      </c>
    </row>
    <row r="572" spans="1:9" x14ac:dyDescent="0.3">
      <c r="A572" t="s">
        <v>1739</v>
      </c>
      <c r="B572" t="s">
        <v>1877</v>
      </c>
      <c r="C572" t="s">
        <v>13</v>
      </c>
      <c r="D572" t="s">
        <v>239</v>
      </c>
      <c r="E572" t="s">
        <v>1878</v>
      </c>
      <c r="F572" t="s">
        <v>1879</v>
      </c>
      <c r="G572" t="s">
        <v>1845</v>
      </c>
      <c r="H572" t="s">
        <v>17</v>
      </c>
      <c r="I572" t="s">
        <v>1880</v>
      </c>
    </row>
    <row r="573" spans="1:9" x14ac:dyDescent="0.3">
      <c r="A573" t="s">
        <v>1739</v>
      </c>
      <c r="B573" t="s">
        <v>1877</v>
      </c>
      <c r="C573" t="s">
        <v>13</v>
      </c>
      <c r="D573" t="s">
        <v>1881</v>
      </c>
      <c r="E573" t="s">
        <v>1882</v>
      </c>
      <c r="F573" t="s">
        <v>1883</v>
      </c>
      <c r="H573" t="s">
        <v>17</v>
      </c>
      <c r="I573" t="s">
        <v>1884</v>
      </c>
    </row>
    <row r="574" spans="1:9" x14ac:dyDescent="0.3">
      <c r="A574" t="s">
        <v>1739</v>
      </c>
      <c r="B574" t="s">
        <v>1877</v>
      </c>
      <c r="C574" t="s">
        <v>13</v>
      </c>
      <c r="D574" t="s">
        <v>1885</v>
      </c>
      <c r="E574" t="s">
        <v>1886</v>
      </c>
      <c r="F574" t="s">
        <v>1887</v>
      </c>
      <c r="H574" t="s">
        <v>17</v>
      </c>
      <c r="I574" t="s">
        <v>1888</v>
      </c>
    </row>
    <row r="575" spans="1:9" x14ac:dyDescent="0.3">
      <c r="A575" t="s">
        <v>1739</v>
      </c>
      <c r="B575" t="s">
        <v>1877</v>
      </c>
      <c r="C575" t="s">
        <v>13</v>
      </c>
      <c r="D575" t="s">
        <v>1588</v>
      </c>
      <c r="E575" t="s">
        <v>1889</v>
      </c>
      <c r="F575" t="s">
        <v>1890</v>
      </c>
      <c r="H575" t="s">
        <v>17</v>
      </c>
      <c r="I575" t="s">
        <v>1891</v>
      </c>
    </row>
    <row r="576" spans="1:9" x14ac:dyDescent="0.3">
      <c r="A576" t="s">
        <v>1739</v>
      </c>
      <c r="B576" t="s">
        <v>1877</v>
      </c>
      <c r="C576" t="s">
        <v>13</v>
      </c>
      <c r="D576" t="s">
        <v>1892</v>
      </c>
      <c r="E576" t="s">
        <v>1893</v>
      </c>
      <c r="F576" t="s">
        <v>1894</v>
      </c>
      <c r="H576" t="s">
        <v>17</v>
      </c>
      <c r="I576" t="s">
        <v>1895</v>
      </c>
    </row>
    <row r="577" spans="1:9" x14ac:dyDescent="0.3">
      <c r="A577" t="s">
        <v>1739</v>
      </c>
      <c r="B577" t="s">
        <v>1877</v>
      </c>
      <c r="C577" t="s">
        <v>13</v>
      </c>
      <c r="D577" t="s">
        <v>1146</v>
      </c>
      <c r="E577" t="s">
        <v>1896</v>
      </c>
      <c r="F577" t="s">
        <v>1897</v>
      </c>
      <c r="H577" t="s">
        <v>17</v>
      </c>
      <c r="I577" t="s">
        <v>1895</v>
      </c>
    </row>
    <row r="578" spans="1:9" x14ac:dyDescent="0.3">
      <c r="A578" t="s">
        <v>1739</v>
      </c>
      <c r="B578" t="s">
        <v>1877</v>
      </c>
      <c r="C578" t="s">
        <v>13</v>
      </c>
      <c r="D578" t="s">
        <v>1150</v>
      </c>
      <c r="E578" t="s">
        <v>1898</v>
      </c>
      <c r="F578" t="s">
        <v>1899</v>
      </c>
      <c r="H578" t="s">
        <v>17</v>
      </c>
      <c r="I578" t="s">
        <v>1900</v>
      </c>
    </row>
    <row r="579" spans="1:9" x14ac:dyDescent="0.3">
      <c r="A579" t="s">
        <v>1739</v>
      </c>
      <c r="B579" t="s">
        <v>1877</v>
      </c>
      <c r="C579" t="s">
        <v>13</v>
      </c>
      <c r="D579" t="s">
        <v>1154</v>
      </c>
      <c r="E579" t="s">
        <v>1901</v>
      </c>
      <c r="F579" t="s">
        <v>1902</v>
      </c>
      <c r="H579" t="s">
        <v>17</v>
      </c>
      <c r="I579" t="s">
        <v>1900</v>
      </c>
    </row>
    <row r="580" spans="1:9" x14ac:dyDescent="0.3">
      <c r="A580" t="s">
        <v>1739</v>
      </c>
      <c r="B580" t="s">
        <v>1877</v>
      </c>
      <c r="C580" t="s">
        <v>13</v>
      </c>
      <c r="D580" t="s">
        <v>1158</v>
      </c>
      <c r="E580" t="s">
        <v>1903</v>
      </c>
      <c r="F580" t="s">
        <v>1904</v>
      </c>
      <c r="H580" t="s">
        <v>17</v>
      </c>
      <c r="I580" t="s">
        <v>1900</v>
      </c>
    </row>
    <row r="581" spans="1:9" x14ac:dyDescent="0.3">
      <c r="A581" t="s">
        <v>1739</v>
      </c>
      <c r="B581" t="s">
        <v>1877</v>
      </c>
      <c r="C581" t="s">
        <v>13</v>
      </c>
      <c r="D581" t="s">
        <v>1162</v>
      </c>
      <c r="E581" t="s">
        <v>1905</v>
      </c>
      <c r="F581" t="s">
        <v>1906</v>
      </c>
      <c r="H581" t="s">
        <v>17</v>
      </c>
      <c r="I581" t="s">
        <v>1900</v>
      </c>
    </row>
    <row r="582" spans="1:9" x14ac:dyDescent="0.3">
      <c r="A582" t="s">
        <v>1739</v>
      </c>
      <c r="B582" t="s">
        <v>1877</v>
      </c>
      <c r="C582" t="s">
        <v>13</v>
      </c>
      <c r="D582" t="s">
        <v>1165</v>
      </c>
      <c r="E582" t="s">
        <v>1907</v>
      </c>
      <c r="F582" t="s">
        <v>1908</v>
      </c>
      <c r="H582" t="s">
        <v>17</v>
      </c>
      <c r="I582" t="s">
        <v>1900</v>
      </c>
    </row>
    <row r="583" spans="1:9" x14ac:dyDescent="0.3">
      <c r="A583" t="s">
        <v>1739</v>
      </c>
      <c r="B583" t="s">
        <v>1877</v>
      </c>
      <c r="C583" t="s">
        <v>13</v>
      </c>
      <c r="D583" t="s">
        <v>1168</v>
      </c>
      <c r="E583" t="s">
        <v>1909</v>
      </c>
      <c r="F583" t="s">
        <v>1910</v>
      </c>
      <c r="H583" t="s">
        <v>17</v>
      </c>
      <c r="I583" t="s">
        <v>1900</v>
      </c>
    </row>
    <row r="584" spans="1:9" x14ac:dyDescent="0.3">
      <c r="A584" t="s">
        <v>1739</v>
      </c>
      <c r="B584" t="s">
        <v>1877</v>
      </c>
      <c r="C584" t="s">
        <v>13</v>
      </c>
      <c r="D584" t="s">
        <v>1172</v>
      </c>
      <c r="E584" t="s">
        <v>1911</v>
      </c>
      <c r="F584" t="s">
        <v>1912</v>
      </c>
      <c r="H584" t="s">
        <v>17</v>
      </c>
      <c r="I584" t="s">
        <v>1913</v>
      </c>
    </row>
    <row r="585" spans="1:9" x14ac:dyDescent="0.3">
      <c r="A585" t="s">
        <v>1739</v>
      </c>
      <c r="B585" t="s">
        <v>1877</v>
      </c>
      <c r="C585" t="s">
        <v>13</v>
      </c>
      <c r="D585" t="s">
        <v>1176</v>
      </c>
      <c r="E585" t="s">
        <v>1914</v>
      </c>
      <c r="F585" t="s">
        <v>1915</v>
      </c>
      <c r="G585" t="s">
        <v>1916</v>
      </c>
      <c r="H585" t="s">
        <v>17</v>
      </c>
      <c r="I585" t="s">
        <v>1913</v>
      </c>
    </row>
    <row r="586" spans="1:9" x14ac:dyDescent="0.3">
      <c r="A586" t="s">
        <v>1739</v>
      </c>
      <c r="B586" t="s">
        <v>1877</v>
      </c>
      <c r="C586" t="s">
        <v>13</v>
      </c>
      <c r="D586" t="s">
        <v>1179</v>
      </c>
      <c r="E586" t="s">
        <v>1917</v>
      </c>
      <c r="F586" t="s">
        <v>1918</v>
      </c>
      <c r="G586" t="s">
        <v>1916</v>
      </c>
      <c r="H586" t="s">
        <v>17</v>
      </c>
      <c r="I586" t="s">
        <v>1913</v>
      </c>
    </row>
    <row r="587" spans="1:9" x14ac:dyDescent="0.3">
      <c r="A587" t="s">
        <v>1739</v>
      </c>
      <c r="B587" t="s">
        <v>1877</v>
      </c>
      <c r="C587" t="s">
        <v>13</v>
      </c>
      <c r="D587" t="s">
        <v>1184</v>
      </c>
      <c r="E587" t="s">
        <v>1919</v>
      </c>
      <c r="F587" t="s">
        <v>1920</v>
      </c>
      <c r="G587" t="s">
        <v>1916</v>
      </c>
      <c r="H587" t="s">
        <v>17</v>
      </c>
      <c r="I587" t="s">
        <v>1913</v>
      </c>
    </row>
    <row r="588" spans="1:9" x14ac:dyDescent="0.3">
      <c r="A588" t="s">
        <v>1739</v>
      </c>
      <c r="B588" t="s">
        <v>1877</v>
      </c>
      <c r="C588" t="s">
        <v>13</v>
      </c>
      <c r="D588" t="s">
        <v>1189</v>
      </c>
      <c r="E588" t="s">
        <v>1921</v>
      </c>
      <c r="F588" t="s">
        <v>1922</v>
      </c>
      <c r="G588" t="s">
        <v>1916</v>
      </c>
      <c r="H588" t="s">
        <v>17</v>
      </c>
      <c r="I588" t="s">
        <v>1913</v>
      </c>
    </row>
    <row r="589" spans="1:9" x14ac:dyDescent="0.3">
      <c r="A589" t="s">
        <v>1739</v>
      </c>
      <c r="B589" t="s">
        <v>1877</v>
      </c>
      <c r="C589" t="s">
        <v>13</v>
      </c>
      <c r="D589" t="s">
        <v>1193</v>
      </c>
      <c r="E589" t="s">
        <v>1923</v>
      </c>
      <c r="F589" t="s">
        <v>1924</v>
      </c>
      <c r="G589" t="s">
        <v>1916</v>
      </c>
      <c r="H589" t="s">
        <v>17</v>
      </c>
      <c r="I589" t="s">
        <v>1913</v>
      </c>
    </row>
    <row r="590" spans="1:9" x14ac:dyDescent="0.3">
      <c r="A590" t="s">
        <v>1739</v>
      </c>
      <c r="B590" t="s">
        <v>1877</v>
      </c>
      <c r="C590" t="s">
        <v>13</v>
      </c>
      <c r="D590" t="s">
        <v>1197</v>
      </c>
      <c r="E590" t="s">
        <v>1925</v>
      </c>
      <c r="F590" t="s">
        <v>1926</v>
      </c>
      <c r="G590" t="s">
        <v>1916</v>
      </c>
      <c r="H590" t="s">
        <v>17</v>
      </c>
      <c r="I590" t="s">
        <v>1913</v>
      </c>
    </row>
    <row r="591" spans="1:9" x14ac:dyDescent="0.3">
      <c r="A591" t="s">
        <v>1739</v>
      </c>
      <c r="B591" t="s">
        <v>1877</v>
      </c>
      <c r="C591" t="s">
        <v>13</v>
      </c>
      <c r="D591" t="s">
        <v>1201</v>
      </c>
      <c r="E591" t="s">
        <v>1927</v>
      </c>
      <c r="F591" t="s">
        <v>1928</v>
      </c>
      <c r="G591" t="s">
        <v>1916</v>
      </c>
      <c r="H591" t="s">
        <v>17</v>
      </c>
      <c r="I591" t="s">
        <v>1913</v>
      </c>
    </row>
    <row r="592" spans="1:9" x14ac:dyDescent="0.3">
      <c r="A592" t="s">
        <v>1739</v>
      </c>
      <c r="B592" t="s">
        <v>1877</v>
      </c>
      <c r="C592" t="s">
        <v>13</v>
      </c>
      <c r="D592" t="s">
        <v>1205</v>
      </c>
      <c r="E592" t="s">
        <v>1929</v>
      </c>
      <c r="F592" t="s">
        <v>1930</v>
      </c>
      <c r="H592" t="s">
        <v>17</v>
      </c>
      <c r="I592" t="s">
        <v>1913</v>
      </c>
    </row>
    <row r="593" spans="1:9" x14ac:dyDescent="0.3">
      <c r="A593" t="s">
        <v>1739</v>
      </c>
      <c r="B593" t="s">
        <v>1877</v>
      </c>
      <c r="C593" t="s">
        <v>13</v>
      </c>
      <c r="D593" t="s">
        <v>1209</v>
      </c>
      <c r="E593" t="s">
        <v>1931</v>
      </c>
      <c r="F593" t="s">
        <v>1932</v>
      </c>
      <c r="G593" t="s">
        <v>1916</v>
      </c>
      <c r="H593" t="s">
        <v>17</v>
      </c>
      <c r="I593" t="s">
        <v>1913</v>
      </c>
    </row>
    <row r="594" spans="1:9" x14ac:dyDescent="0.3">
      <c r="A594" t="s">
        <v>1739</v>
      </c>
      <c r="B594" t="s">
        <v>1877</v>
      </c>
      <c r="C594" t="s">
        <v>13</v>
      </c>
      <c r="D594" t="s">
        <v>1213</v>
      </c>
      <c r="E594" t="s">
        <v>1933</v>
      </c>
      <c r="F594" t="s">
        <v>1934</v>
      </c>
      <c r="G594" t="s">
        <v>1916</v>
      </c>
      <c r="H594" t="s">
        <v>17</v>
      </c>
      <c r="I594" t="s">
        <v>1913</v>
      </c>
    </row>
    <row r="595" spans="1:9" x14ac:dyDescent="0.3">
      <c r="A595" t="s">
        <v>1739</v>
      </c>
      <c r="B595" t="s">
        <v>1935</v>
      </c>
      <c r="C595" t="s">
        <v>1936</v>
      </c>
      <c r="D595" t="s">
        <v>996</v>
      </c>
      <c r="E595" t="s">
        <v>1937</v>
      </c>
      <c r="F595" t="s">
        <v>1938</v>
      </c>
      <c r="H595" t="s">
        <v>17</v>
      </c>
      <c r="I595" t="s">
        <v>1939</v>
      </c>
    </row>
    <row r="596" spans="1:9" x14ac:dyDescent="0.3">
      <c r="A596" t="s">
        <v>1739</v>
      </c>
      <c r="B596" t="s">
        <v>1935</v>
      </c>
      <c r="C596" t="s">
        <v>1936</v>
      </c>
      <c r="D596" t="s">
        <v>1001</v>
      </c>
      <c r="E596" t="s">
        <v>1940</v>
      </c>
      <c r="F596" t="s">
        <v>1941</v>
      </c>
      <c r="H596" t="s">
        <v>17</v>
      </c>
      <c r="I596" t="s">
        <v>1939</v>
      </c>
    </row>
    <row r="597" spans="1:9" x14ac:dyDescent="0.3">
      <c r="A597" t="s">
        <v>1739</v>
      </c>
      <c r="B597" t="s">
        <v>1935</v>
      </c>
      <c r="C597" t="s">
        <v>1936</v>
      </c>
      <c r="D597" t="s">
        <v>1942</v>
      </c>
      <c r="E597" t="s">
        <v>1943</v>
      </c>
      <c r="F597" t="s">
        <v>1607</v>
      </c>
      <c r="H597" t="s">
        <v>17</v>
      </c>
      <c r="I597" t="s">
        <v>1939</v>
      </c>
    </row>
    <row r="598" spans="1:9" x14ac:dyDescent="0.3">
      <c r="A598" t="s">
        <v>1739</v>
      </c>
      <c r="B598" t="s">
        <v>1935</v>
      </c>
      <c r="C598" t="s">
        <v>1936</v>
      </c>
      <c r="D598" t="s">
        <v>22</v>
      </c>
      <c r="E598" t="s">
        <v>1944</v>
      </c>
      <c r="F598" t="s">
        <v>1945</v>
      </c>
      <c r="H598" t="s">
        <v>17</v>
      </c>
      <c r="I598" t="s">
        <v>1939</v>
      </c>
    </row>
    <row r="599" spans="1:9" x14ac:dyDescent="0.3">
      <c r="A599" t="s">
        <v>1739</v>
      </c>
      <c r="B599" t="s">
        <v>1935</v>
      </c>
      <c r="C599" t="s">
        <v>1936</v>
      </c>
      <c r="D599" t="s">
        <v>27</v>
      </c>
      <c r="E599" t="s">
        <v>1946</v>
      </c>
      <c r="F599" t="s">
        <v>1947</v>
      </c>
      <c r="H599" t="s">
        <v>17</v>
      </c>
      <c r="I599" t="s">
        <v>414</v>
      </c>
    </row>
    <row r="600" spans="1:9" x14ac:dyDescent="0.3">
      <c r="A600" t="s">
        <v>1739</v>
      </c>
      <c r="B600" t="s">
        <v>1935</v>
      </c>
      <c r="C600" t="s">
        <v>1936</v>
      </c>
      <c r="D600" t="s">
        <v>1014</v>
      </c>
      <c r="E600" t="s">
        <v>1948</v>
      </c>
      <c r="F600" t="s">
        <v>1949</v>
      </c>
      <c r="H600" t="s">
        <v>17</v>
      </c>
      <c r="I600" t="s">
        <v>414</v>
      </c>
    </row>
    <row r="601" spans="1:9" x14ac:dyDescent="0.3">
      <c r="A601" t="s">
        <v>1739</v>
      </c>
      <c r="B601" t="s">
        <v>1935</v>
      </c>
      <c r="C601" t="s">
        <v>1936</v>
      </c>
      <c r="D601" t="s">
        <v>1017</v>
      </c>
      <c r="E601" t="s">
        <v>1950</v>
      </c>
      <c r="F601" t="s">
        <v>1951</v>
      </c>
      <c r="H601" t="s">
        <v>17</v>
      </c>
      <c r="I601" t="s">
        <v>414</v>
      </c>
    </row>
    <row r="602" spans="1:9" x14ac:dyDescent="0.3">
      <c r="A602" t="s">
        <v>1739</v>
      </c>
      <c r="B602" t="s">
        <v>1935</v>
      </c>
      <c r="C602" t="s">
        <v>1936</v>
      </c>
      <c r="D602" t="s">
        <v>36</v>
      </c>
      <c r="E602" t="s">
        <v>1952</v>
      </c>
      <c r="F602" t="s">
        <v>1953</v>
      </c>
      <c r="H602" t="s">
        <v>17</v>
      </c>
      <c r="I602" t="s">
        <v>414</v>
      </c>
    </row>
    <row r="603" spans="1:9" x14ac:dyDescent="0.3">
      <c r="A603" t="s">
        <v>1739</v>
      </c>
      <c r="B603" t="s">
        <v>1935</v>
      </c>
      <c r="C603" t="s">
        <v>1936</v>
      </c>
      <c r="D603" t="s">
        <v>41</v>
      </c>
      <c r="E603" t="s">
        <v>1954</v>
      </c>
      <c r="F603" t="s">
        <v>1955</v>
      </c>
      <c r="H603" t="s">
        <v>17</v>
      </c>
      <c r="I603" t="s">
        <v>414</v>
      </c>
    </row>
    <row r="604" spans="1:9" x14ac:dyDescent="0.3">
      <c r="A604" t="s">
        <v>1739</v>
      </c>
      <c r="B604" t="s">
        <v>1935</v>
      </c>
      <c r="C604" t="s">
        <v>1936</v>
      </c>
      <c r="D604" t="s">
        <v>45</v>
      </c>
      <c r="E604" t="s">
        <v>1956</v>
      </c>
      <c r="F604" t="s">
        <v>1957</v>
      </c>
      <c r="H604" t="s">
        <v>17</v>
      </c>
      <c r="I604" t="s">
        <v>414</v>
      </c>
    </row>
    <row r="605" spans="1:9" x14ac:dyDescent="0.3">
      <c r="A605" t="s">
        <v>1739</v>
      </c>
      <c r="B605" t="s">
        <v>1935</v>
      </c>
      <c r="C605" t="s">
        <v>1936</v>
      </c>
      <c r="D605" t="s">
        <v>50</v>
      </c>
      <c r="E605" t="s">
        <v>1958</v>
      </c>
      <c r="F605" t="s">
        <v>1959</v>
      </c>
      <c r="H605" t="s">
        <v>17</v>
      </c>
      <c r="I605" t="s">
        <v>414</v>
      </c>
    </row>
    <row r="606" spans="1:9" x14ac:dyDescent="0.3">
      <c r="A606" t="s">
        <v>1739</v>
      </c>
      <c r="B606" t="s">
        <v>1935</v>
      </c>
      <c r="C606" t="s">
        <v>1936</v>
      </c>
      <c r="D606" t="s">
        <v>53</v>
      </c>
      <c r="E606" t="s">
        <v>1960</v>
      </c>
      <c r="F606" t="s">
        <v>1961</v>
      </c>
      <c r="H606" t="s">
        <v>17</v>
      </c>
      <c r="I606" t="s">
        <v>414</v>
      </c>
    </row>
    <row r="607" spans="1:9" x14ac:dyDescent="0.3">
      <c r="A607" t="s">
        <v>1739</v>
      </c>
      <c r="B607" t="s">
        <v>1935</v>
      </c>
      <c r="C607" t="s">
        <v>1936</v>
      </c>
      <c r="D607" t="s">
        <v>56</v>
      </c>
      <c r="E607" t="s">
        <v>1962</v>
      </c>
      <c r="F607" t="s">
        <v>1963</v>
      </c>
      <c r="H607" t="s">
        <v>17</v>
      </c>
      <c r="I607" t="s">
        <v>414</v>
      </c>
    </row>
    <row r="608" spans="1:9" x14ac:dyDescent="0.3">
      <c r="A608" t="s">
        <v>1739</v>
      </c>
      <c r="B608" t="s">
        <v>1935</v>
      </c>
      <c r="C608" t="s">
        <v>1936</v>
      </c>
      <c r="D608" t="s">
        <v>61</v>
      </c>
      <c r="E608" t="s">
        <v>1964</v>
      </c>
      <c r="F608" t="s">
        <v>1965</v>
      </c>
      <c r="H608" t="s">
        <v>17</v>
      </c>
      <c r="I608" t="s">
        <v>414</v>
      </c>
    </row>
    <row r="609" spans="1:9" x14ac:dyDescent="0.3">
      <c r="A609" t="s">
        <v>1739</v>
      </c>
      <c r="B609" t="s">
        <v>1935</v>
      </c>
      <c r="C609" t="s">
        <v>1936</v>
      </c>
      <c r="D609" t="s">
        <v>1039</v>
      </c>
      <c r="E609" t="s">
        <v>1966</v>
      </c>
      <c r="F609" t="s">
        <v>1967</v>
      </c>
      <c r="H609" t="s">
        <v>17</v>
      </c>
      <c r="I609" t="s">
        <v>414</v>
      </c>
    </row>
    <row r="610" spans="1:9" x14ac:dyDescent="0.3">
      <c r="A610" t="s">
        <v>1739</v>
      </c>
      <c r="B610" t="s">
        <v>1935</v>
      </c>
      <c r="C610" t="s">
        <v>1936</v>
      </c>
      <c r="D610" t="s">
        <v>1043</v>
      </c>
      <c r="E610" t="s">
        <v>1968</v>
      </c>
      <c r="F610" t="s">
        <v>1969</v>
      </c>
      <c r="H610" t="s">
        <v>17</v>
      </c>
      <c r="I610" t="s">
        <v>414</v>
      </c>
    </row>
    <row r="611" spans="1:9" x14ac:dyDescent="0.3">
      <c r="A611" t="s">
        <v>1739</v>
      </c>
      <c r="B611" t="s">
        <v>1970</v>
      </c>
      <c r="C611" t="s">
        <v>1936</v>
      </c>
      <c r="D611" t="s">
        <v>71</v>
      </c>
      <c r="E611" t="s">
        <v>1971</v>
      </c>
      <c r="F611" t="s">
        <v>1972</v>
      </c>
      <c r="G611" t="s">
        <v>1973</v>
      </c>
      <c r="H611" t="s">
        <v>17</v>
      </c>
      <c r="I611" t="s">
        <v>1974</v>
      </c>
    </row>
    <row r="612" spans="1:9" x14ac:dyDescent="0.3">
      <c r="A612" t="s">
        <v>1739</v>
      </c>
      <c r="B612" t="s">
        <v>1970</v>
      </c>
      <c r="C612" t="s">
        <v>1936</v>
      </c>
      <c r="D612" t="s">
        <v>1050</v>
      </c>
      <c r="E612" t="s">
        <v>1975</v>
      </c>
      <c r="F612" t="s">
        <v>1976</v>
      </c>
      <c r="G612" t="s">
        <v>1977</v>
      </c>
      <c r="H612" t="s">
        <v>17</v>
      </c>
      <c r="I612" t="s">
        <v>1978</v>
      </c>
    </row>
    <row r="613" spans="1:9" x14ac:dyDescent="0.3">
      <c r="A613" t="s">
        <v>1739</v>
      </c>
      <c r="B613" t="s">
        <v>1970</v>
      </c>
      <c r="C613" t="s">
        <v>1936</v>
      </c>
      <c r="D613" t="s">
        <v>1055</v>
      </c>
      <c r="E613" t="s">
        <v>1979</v>
      </c>
      <c r="F613" t="s">
        <v>1980</v>
      </c>
      <c r="G613" t="s">
        <v>1977</v>
      </c>
      <c r="H613" t="s">
        <v>17</v>
      </c>
      <c r="I613" t="s">
        <v>1981</v>
      </c>
    </row>
    <row r="614" spans="1:9" x14ac:dyDescent="0.3">
      <c r="A614" t="s">
        <v>1739</v>
      </c>
      <c r="B614" t="s">
        <v>1970</v>
      </c>
      <c r="C614" t="s">
        <v>1936</v>
      </c>
      <c r="D614" t="s">
        <v>80</v>
      </c>
      <c r="E614" t="s">
        <v>1982</v>
      </c>
      <c r="F614" t="s">
        <v>1983</v>
      </c>
      <c r="H614" t="s">
        <v>17</v>
      </c>
      <c r="I614" t="s">
        <v>1984</v>
      </c>
    </row>
    <row r="615" spans="1:9" x14ac:dyDescent="0.3">
      <c r="A615" t="s">
        <v>1739</v>
      </c>
      <c r="B615" t="s">
        <v>1970</v>
      </c>
      <c r="C615" t="s">
        <v>1936</v>
      </c>
      <c r="D615" t="s">
        <v>85</v>
      </c>
      <c r="E615" t="s">
        <v>1985</v>
      </c>
      <c r="F615" t="s">
        <v>1986</v>
      </c>
      <c r="H615" t="s">
        <v>17</v>
      </c>
      <c r="I615" t="s">
        <v>1900</v>
      </c>
    </row>
    <row r="616" spans="1:9" x14ac:dyDescent="0.3">
      <c r="A616" t="s">
        <v>1739</v>
      </c>
      <c r="B616" t="s">
        <v>1970</v>
      </c>
      <c r="C616" t="s">
        <v>1936</v>
      </c>
      <c r="D616" t="s">
        <v>90</v>
      </c>
      <c r="E616" t="s">
        <v>1987</v>
      </c>
      <c r="F616" t="s">
        <v>1988</v>
      </c>
      <c r="H616" t="s">
        <v>17</v>
      </c>
      <c r="I616" t="s">
        <v>1900</v>
      </c>
    </row>
    <row r="617" spans="1:9" x14ac:dyDescent="0.3">
      <c r="A617" t="s">
        <v>1739</v>
      </c>
      <c r="B617" t="s">
        <v>1970</v>
      </c>
      <c r="C617" t="s">
        <v>1936</v>
      </c>
      <c r="D617" t="s">
        <v>95</v>
      </c>
      <c r="E617" t="s">
        <v>1989</v>
      </c>
      <c r="F617" t="s">
        <v>1990</v>
      </c>
      <c r="H617" t="s">
        <v>17</v>
      </c>
      <c r="I617" t="s">
        <v>1900</v>
      </c>
    </row>
    <row r="618" spans="1:9" x14ac:dyDescent="0.3">
      <c r="A618" t="s">
        <v>1739</v>
      </c>
      <c r="B618" t="s">
        <v>1970</v>
      </c>
      <c r="C618" t="s">
        <v>1936</v>
      </c>
      <c r="D618" t="s">
        <v>100</v>
      </c>
      <c r="E618" t="s">
        <v>1991</v>
      </c>
      <c r="F618" t="s">
        <v>1992</v>
      </c>
      <c r="H618" t="s">
        <v>17</v>
      </c>
      <c r="I618" t="s">
        <v>1900</v>
      </c>
    </row>
    <row r="619" spans="1:9" x14ac:dyDescent="0.3">
      <c r="A619" t="s">
        <v>1739</v>
      </c>
      <c r="B619" t="s">
        <v>1970</v>
      </c>
      <c r="C619" t="s">
        <v>1936</v>
      </c>
      <c r="D619" t="s">
        <v>106</v>
      </c>
      <c r="E619" t="s">
        <v>1993</v>
      </c>
      <c r="F619" t="s">
        <v>1994</v>
      </c>
      <c r="H619" t="s">
        <v>17</v>
      </c>
      <c r="I619" t="s">
        <v>1900</v>
      </c>
    </row>
    <row r="620" spans="1:9" x14ac:dyDescent="0.3">
      <c r="A620" t="s">
        <v>1739</v>
      </c>
      <c r="B620" t="s">
        <v>1970</v>
      </c>
      <c r="C620" t="s">
        <v>1936</v>
      </c>
      <c r="D620" t="s">
        <v>111</v>
      </c>
      <c r="E620" t="s">
        <v>1995</v>
      </c>
      <c r="F620" t="s">
        <v>1996</v>
      </c>
      <c r="H620" t="s">
        <v>17</v>
      </c>
      <c r="I620" t="s">
        <v>1900</v>
      </c>
    </row>
    <row r="621" spans="1:9" x14ac:dyDescent="0.3">
      <c r="A621" t="s">
        <v>1739</v>
      </c>
      <c r="B621" t="s">
        <v>1970</v>
      </c>
      <c r="C621" t="s">
        <v>1936</v>
      </c>
      <c r="D621" t="s">
        <v>114</v>
      </c>
      <c r="E621" t="s">
        <v>1997</v>
      </c>
      <c r="F621" t="s">
        <v>1998</v>
      </c>
      <c r="H621" t="s">
        <v>17</v>
      </c>
      <c r="I621" t="s">
        <v>1900</v>
      </c>
    </row>
    <row r="622" spans="1:9" x14ac:dyDescent="0.3">
      <c r="A622" t="s">
        <v>1739</v>
      </c>
      <c r="B622" t="s">
        <v>1970</v>
      </c>
      <c r="C622" t="s">
        <v>1936</v>
      </c>
      <c r="D622" t="s">
        <v>117</v>
      </c>
      <c r="E622" t="s">
        <v>1999</v>
      </c>
      <c r="F622" t="s">
        <v>2000</v>
      </c>
      <c r="H622" t="s">
        <v>17</v>
      </c>
      <c r="I622" t="s">
        <v>1900</v>
      </c>
    </row>
    <row r="623" spans="1:9" x14ac:dyDescent="0.3">
      <c r="A623" t="s">
        <v>1739</v>
      </c>
      <c r="B623" t="s">
        <v>1970</v>
      </c>
      <c r="C623" t="s">
        <v>1936</v>
      </c>
      <c r="D623" t="s">
        <v>121</v>
      </c>
      <c r="E623" t="s">
        <v>2001</v>
      </c>
      <c r="F623" t="s">
        <v>2002</v>
      </c>
      <c r="H623" t="s">
        <v>17</v>
      </c>
      <c r="I623" t="s">
        <v>1900</v>
      </c>
    </row>
    <row r="624" spans="1:9" x14ac:dyDescent="0.3">
      <c r="A624" t="s">
        <v>1739</v>
      </c>
      <c r="B624" t="s">
        <v>2003</v>
      </c>
      <c r="C624" t="s">
        <v>1936</v>
      </c>
      <c r="D624" t="s">
        <v>126</v>
      </c>
      <c r="E624" t="s">
        <v>2004</v>
      </c>
      <c r="F624" t="s">
        <v>2005</v>
      </c>
      <c r="H624" t="s">
        <v>17</v>
      </c>
      <c r="I624" t="s">
        <v>2006</v>
      </c>
    </row>
    <row r="625" spans="1:9" x14ac:dyDescent="0.3">
      <c r="A625" t="s">
        <v>1739</v>
      </c>
      <c r="B625" t="s">
        <v>2003</v>
      </c>
      <c r="C625" t="s">
        <v>1936</v>
      </c>
      <c r="D625" t="s">
        <v>129</v>
      </c>
      <c r="E625" t="s">
        <v>2007</v>
      </c>
      <c r="F625" t="s">
        <v>2008</v>
      </c>
      <c r="H625" t="s">
        <v>17</v>
      </c>
      <c r="I625" t="s">
        <v>2006</v>
      </c>
    </row>
    <row r="626" spans="1:9" x14ac:dyDescent="0.3">
      <c r="A626" t="s">
        <v>1739</v>
      </c>
      <c r="B626" t="s">
        <v>2003</v>
      </c>
      <c r="C626" t="s">
        <v>1936</v>
      </c>
      <c r="D626" t="s">
        <v>132</v>
      </c>
      <c r="E626" t="s">
        <v>2009</v>
      </c>
      <c r="F626" t="s">
        <v>2010</v>
      </c>
      <c r="H626" t="s">
        <v>17</v>
      </c>
      <c r="I626" t="s">
        <v>2006</v>
      </c>
    </row>
    <row r="627" spans="1:9" x14ac:dyDescent="0.3">
      <c r="A627" t="s">
        <v>1739</v>
      </c>
      <c r="B627" t="s">
        <v>2003</v>
      </c>
      <c r="C627" t="s">
        <v>1936</v>
      </c>
      <c r="D627" t="s">
        <v>135</v>
      </c>
      <c r="E627" t="s">
        <v>2011</v>
      </c>
      <c r="F627" t="s">
        <v>2012</v>
      </c>
      <c r="H627" t="s">
        <v>17</v>
      </c>
      <c r="I627" t="s">
        <v>2006</v>
      </c>
    </row>
    <row r="628" spans="1:9" x14ac:dyDescent="0.3">
      <c r="A628" t="s">
        <v>1739</v>
      </c>
      <c r="B628" t="s">
        <v>2003</v>
      </c>
      <c r="C628" t="s">
        <v>1936</v>
      </c>
      <c r="D628" t="s">
        <v>138</v>
      </c>
      <c r="E628" t="s">
        <v>2013</v>
      </c>
      <c r="F628" t="s">
        <v>2014</v>
      </c>
      <c r="H628" t="s">
        <v>17</v>
      </c>
      <c r="I628" t="s">
        <v>2006</v>
      </c>
    </row>
    <row r="629" spans="1:9" x14ac:dyDescent="0.3">
      <c r="A629" t="s">
        <v>1739</v>
      </c>
      <c r="B629" t="s">
        <v>2003</v>
      </c>
      <c r="C629" t="s">
        <v>1936</v>
      </c>
      <c r="D629" t="s">
        <v>141</v>
      </c>
      <c r="E629" t="s">
        <v>2015</v>
      </c>
      <c r="F629" t="s">
        <v>2016</v>
      </c>
      <c r="H629" t="s">
        <v>17</v>
      </c>
      <c r="I629" t="s">
        <v>2006</v>
      </c>
    </row>
    <row r="630" spans="1:9" x14ac:dyDescent="0.3">
      <c r="A630" t="s">
        <v>1739</v>
      </c>
      <c r="B630" t="s">
        <v>2003</v>
      </c>
      <c r="C630" t="s">
        <v>1936</v>
      </c>
      <c r="D630" t="s">
        <v>144</v>
      </c>
      <c r="E630" t="s">
        <v>2017</v>
      </c>
      <c r="F630" t="s">
        <v>2018</v>
      </c>
      <c r="H630" t="s">
        <v>17</v>
      </c>
      <c r="I630" t="s">
        <v>2006</v>
      </c>
    </row>
    <row r="631" spans="1:9" x14ac:dyDescent="0.3">
      <c r="A631" t="s">
        <v>1739</v>
      </c>
      <c r="B631" t="s">
        <v>2003</v>
      </c>
      <c r="C631" t="s">
        <v>1936</v>
      </c>
      <c r="D631" t="s">
        <v>147</v>
      </c>
      <c r="E631" t="s">
        <v>2019</v>
      </c>
      <c r="F631" t="s">
        <v>2020</v>
      </c>
      <c r="H631" t="s">
        <v>17</v>
      </c>
      <c r="I631" t="s">
        <v>2021</v>
      </c>
    </row>
    <row r="632" spans="1:9" x14ac:dyDescent="0.3">
      <c r="A632" t="s">
        <v>1739</v>
      </c>
      <c r="B632" t="s">
        <v>2022</v>
      </c>
      <c r="C632" t="s">
        <v>1936</v>
      </c>
      <c r="D632" t="s">
        <v>152</v>
      </c>
      <c r="E632" t="s">
        <v>2023</v>
      </c>
      <c r="F632" t="s">
        <v>412</v>
      </c>
      <c r="H632" t="s">
        <v>17</v>
      </c>
      <c r="I632" t="s">
        <v>414</v>
      </c>
    </row>
    <row r="633" spans="1:9" x14ac:dyDescent="0.3">
      <c r="A633" t="s">
        <v>1739</v>
      </c>
      <c r="B633" t="s">
        <v>2022</v>
      </c>
      <c r="C633" t="s">
        <v>1936</v>
      </c>
      <c r="D633" t="s">
        <v>157</v>
      </c>
      <c r="E633" t="s">
        <v>2024</v>
      </c>
      <c r="F633" t="s">
        <v>2025</v>
      </c>
      <c r="H633" t="s">
        <v>17</v>
      </c>
      <c r="I633" t="s">
        <v>2026</v>
      </c>
    </row>
    <row r="634" spans="1:9" x14ac:dyDescent="0.3">
      <c r="A634" t="s">
        <v>1739</v>
      </c>
      <c r="B634" t="s">
        <v>2022</v>
      </c>
      <c r="C634" t="s">
        <v>1936</v>
      </c>
      <c r="D634" t="s">
        <v>162</v>
      </c>
      <c r="E634" t="s">
        <v>2027</v>
      </c>
      <c r="F634" t="s">
        <v>2028</v>
      </c>
      <c r="H634" t="s">
        <v>17</v>
      </c>
      <c r="I634" t="s">
        <v>2026</v>
      </c>
    </row>
    <row r="635" spans="1:9" x14ac:dyDescent="0.3">
      <c r="A635" t="s">
        <v>1739</v>
      </c>
      <c r="B635" t="s">
        <v>2022</v>
      </c>
      <c r="C635" t="s">
        <v>1936</v>
      </c>
      <c r="D635" t="s">
        <v>167</v>
      </c>
      <c r="E635" t="s">
        <v>2029</v>
      </c>
      <c r="F635" t="s">
        <v>2030</v>
      </c>
      <c r="H635" t="s">
        <v>17</v>
      </c>
      <c r="I635" t="s">
        <v>2026</v>
      </c>
    </row>
    <row r="636" spans="1:9" x14ac:dyDescent="0.3">
      <c r="A636" t="s">
        <v>1739</v>
      </c>
      <c r="B636" t="s">
        <v>2022</v>
      </c>
      <c r="C636" t="s">
        <v>1936</v>
      </c>
      <c r="D636" t="s">
        <v>172</v>
      </c>
      <c r="E636" t="s">
        <v>2031</v>
      </c>
      <c r="F636" t="s">
        <v>2032</v>
      </c>
      <c r="H636" t="s">
        <v>17</v>
      </c>
      <c r="I636" t="s">
        <v>2026</v>
      </c>
    </row>
    <row r="637" spans="1:9" x14ac:dyDescent="0.3">
      <c r="A637" t="s">
        <v>1739</v>
      </c>
      <c r="B637" t="s">
        <v>2022</v>
      </c>
      <c r="C637" t="s">
        <v>1936</v>
      </c>
      <c r="D637" t="s">
        <v>177</v>
      </c>
      <c r="E637" t="s">
        <v>2033</v>
      </c>
      <c r="F637" t="s">
        <v>2034</v>
      </c>
      <c r="H637" t="s">
        <v>17</v>
      </c>
      <c r="I637" t="s">
        <v>2026</v>
      </c>
    </row>
    <row r="638" spans="1:9" x14ac:dyDescent="0.3">
      <c r="A638" t="s">
        <v>1739</v>
      </c>
      <c r="B638" t="s">
        <v>2022</v>
      </c>
      <c r="C638" t="s">
        <v>1936</v>
      </c>
      <c r="D638" t="s">
        <v>182</v>
      </c>
      <c r="E638" t="s">
        <v>2035</v>
      </c>
      <c r="F638" t="s">
        <v>2036</v>
      </c>
      <c r="H638" t="s">
        <v>17</v>
      </c>
      <c r="I638" t="s">
        <v>2026</v>
      </c>
    </row>
    <row r="639" spans="1:9" x14ac:dyDescent="0.3">
      <c r="A639" t="s">
        <v>1739</v>
      </c>
      <c r="B639" t="s">
        <v>2022</v>
      </c>
      <c r="C639" t="s">
        <v>1936</v>
      </c>
      <c r="D639" t="s">
        <v>187</v>
      </c>
      <c r="E639" t="s">
        <v>2037</v>
      </c>
      <c r="F639" t="s">
        <v>2038</v>
      </c>
      <c r="H639" t="s">
        <v>17</v>
      </c>
      <c r="I639" t="s">
        <v>2026</v>
      </c>
    </row>
    <row r="640" spans="1:9" x14ac:dyDescent="0.3">
      <c r="A640" t="s">
        <v>1739</v>
      </c>
      <c r="B640" t="s">
        <v>2022</v>
      </c>
      <c r="C640" t="s">
        <v>1936</v>
      </c>
      <c r="D640" t="s">
        <v>193</v>
      </c>
      <c r="E640" t="s">
        <v>2039</v>
      </c>
      <c r="F640" t="s">
        <v>2040</v>
      </c>
      <c r="H640" t="s">
        <v>17</v>
      </c>
      <c r="I640" t="s">
        <v>2026</v>
      </c>
    </row>
    <row r="641" spans="1:9" x14ac:dyDescent="0.3">
      <c r="A641" t="s">
        <v>1739</v>
      </c>
      <c r="B641" t="s">
        <v>2022</v>
      </c>
      <c r="C641" t="s">
        <v>1936</v>
      </c>
      <c r="D641" t="s">
        <v>198</v>
      </c>
      <c r="E641" t="s">
        <v>2041</v>
      </c>
      <c r="F641" t="s">
        <v>2042</v>
      </c>
      <c r="H641" t="s">
        <v>17</v>
      </c>
      <c r="I641" t="s">
        <v>2026</v>
      </c>
    </row>
    <row r="642" spans="1:9" x14ac:dyDescent="0.3">
      <c r="A642" t="s">
        <v>1739</v>
      </c>
      <c r="B642" t="s">
        <v>2022</v>
      </c>
      <c r="C642" t="s">
        <v>1936</v>
      </c>
      <c r="D642" t="s">
        <v>202</v>
      </c>
      <c r="E642" t="s">
        <v>2043</v>
      </c>
      <c r="F642" t="s">
        <v>2044</v>
      </c>
      <c r="H642" t="s">
        <v>17</v>
      </c>
      <c r="I642" t="s">
        <v>2026</v>
      </c>
    </row>
    <row r="643" spans="1:9" x14ac:dyDescent="0.3">
      <c r="A643" t="s">
        <v>1739</v>
      </c>
      <c r="B643" t="s">
        <v>2022</v>
      </c>
      <c r="C643" t="s">
        <v>1936</v>
      </c>
      <c r="D643" t="s">
        <v>206</v>
      </c>
      <c r="E643" t="s">
        <v>2045</v>
      </c>
      <c r="F643" t="s">
        <v>2046</v>
      </c>
      <c r="H643" t="s">
        <v>17</v>
      </c>
      <c r="I643" t="s">
        <v>2026</v>
      </c>
    </row>
    <row r="644" spans="1:9" x14ac:dyDescent="0.3">
      <c r="A644" t="s">
        <v>1739</v>
      </c>
      <c r="B644" t="s">
        <v>2022</v>
      </c>
      <c r="C644" t="s">
        <v>1936</v>
      </c>
      <c r="D644" t="s">
        <v>210</v>
      </c>
      <c r="E644" t="s">
        <v>2047</v>
      </c>
      <c r="F644" t="s">
        <v>2048</v>
      </c>
      <c r="H644" t="s">
        <v>17</v>
      </c>
      <c r="I644" t="s">
        <v>2049</v>
      </c>
    </row>
    <row r="645" spans="1:9" x14ac:dyDescent="0.3">
      <c r="A645" t="s">
        <v>1739</v>
      </c>
      <c r="B645" t="s">
        <v>2022</v>
      </c>
      <c r="C645" t="s">
        <v>1936</v>
      </c>
      <c r="D645" t="s">
        <v>214</v>
      </c>
      <c r="E645" t="s">
        <v>2050</v>
      </c>
      <c r="F645" t="s">
        <v>2051</v>
      </c>
      <c r="H645" t="s">
        <v>17</v>
      </c>
      <c r="I645" t="s">
        <v>2052</v>
      </c>
    </row>
    <row r="646" spans="1:9" x14ac:dyDescent="0.3">
      <c r="A646" t="s">
        <v>1739</v>
      </c>
      <c r="B646" t="s">
        <v>2022</v>
      </c>
      <c r="C646" t="s">
        <v>1936</v>
      </c>
      <c r="D646" t="s">
        <v>218</v>
      </c>
      <c r="E646" t="s">
        <v>2053</v>
      </c>
      <c r="F646" t="s">
        <v>2054</v>
      </c>
      <c r="H646" t="s">
        <v>17</v>
      </c>
      <c r="I646" t="s">
        <v>2052</v>
      </c>
    </row>
    <row r="647" spans="1:9" x14ac:dyDescent="0.3">
      <c r="A647" t="s">
        <v>1739</v>
      </c>
      <c r="B647" t="s">
        <v>2022</v>
      </c>
      <c r="C647" t="s">
        <v>1936</v>
      </c>
      <c r="D647" t="s">
        <v>223</v>
      </c>
      <c r="E647" t="s">
        <v>2055</v>
      </c>
      <c r="F647" t="s">
        <v>2056</v>
      </c>
      <c r="H647" t="s">
        <v>17</v>
      </c>
      <c r="I647" t="s">
        <v>2057</v>
      </c>
    </row>
    <row r="648" spans="1:9" x14ac:dyDescent="0.3">
      <c r="A648" t="s">
        <v>1739</v>
      </c>
      <c r="B648" t="s">
        <v>2022</v>
      </c>
      <c r="C648" t="s">
        <v>1936</v>
      </c>
      <c r="D648" t="s">
        <v>228</v>
      </c>
      <c r="E648" t="s">
        <v>2058</v>
      </c>
      <c r="F648" t="s">
        <v>2059</v>
      </c>
      <c r="H648" t="s">
        <v>17</v>
      </c>
      <c r="I648" t="s">
        <v>2060</v>
      </c>
    </row>
    <row r="649" spans="1:9" x14ac:dyDescent="0.3">
      <c r="A649" t="s">
        <v>1739</v>
      </c>
      <c r="B649" t="s">
        <v>2022</v>
      </c>
      <c r="C649" t="s">
        <v>1936</v>
      </c>
      <c r="D649" t="s">
        <v>233</v>
      </c>
      <c r="E649" t="s">
        <v>2061</v>
      </c>
      <c r="F649" t="s">
        <v>2062</v>
      </c>
      <c r="H649" t="s">
        <v>17</v>
      </c>
      <c r="I649" t="s">
        <v>2063</v>
      </c>
    </row>
    <row r="650" spans="1:9" x14ac:dyDescent="0.3">
      <c r="A650" t="s">
        <v>1739</v>
      </c>
      <c r="B650" t="s">
        <v>2022</v>
      </c>
      <c r="C650" t="s">
        <v>1936</v>
      </c>
      <c r="D650" t="s">
        <v>236</v>
      </c>
      <c r="E650" t="s">
        <v>2064</v>
      </c>
      <c r="F650" t="s">
        <v>2065</v>
      </c>
      <c r="H650" t="s">
        <v>17</v>
      </c>
      <c r="I650" t="s">
        <v>2066</v>
      </c>
    </row>
    <row r="651" spans="1:9" x14ac:dyDescent="0.3">
      <c r="A651" t="s">
        <v>1739</v>
      </c>
      <c r="B651" t="s">
        <v>2067</v>
      </c>
      <c r="C651" t="s">
        <v>1936</v>
      </c>
      <c r="D651" t="s">
        <v>239</v>
      </c>
      <c r="E651" t="s">
        <v>2068</v>
      </c>
      <c r="F651" t="s">
        <v>2069</v>
      </c>
      <c r="H651" t="s">
        <v>17</v>
      </c>
      <c r="I651" t="s">
        <v>2070</v>
      </c>
    </row>
    <row r="652" spans="1:9" x14ac:dyDescent="0.3">
      <c r="A652" t="s">
        <v>1739</v>
      </c>
      <c r="B652" t="s">
        <v>2067</v>
      </c>
      <c r="C652" t="s">
        <v>1936</v>
      </c>
      <c r="D652" t="s">
        <v>1881</v>
      </c>
      <c r="E652" t="s">
        <v>2071</v>
      </c>
      <c r="F652" t="s">
        <v>2072</v>
      </c>
      <c r="H652" t="s">
        <v>17</v>
      </c>
      <c r="I652" t="s">
        <v>2070</v>
      </c>
    </row>
    <row r="653" spans="1:9" x14ac:dyDescent="0.3">
      <c r="A653" t="s">
        <v>1739</v>
      </c>
      <c r="B653" t="s">
        <v>2067</v>
      </c>
      <c r="C653" t="s">
        <v>1936</v>
      </c>
      <c r="D653" t="s">
        <v>1885</v>
      </c>
      <c r="E653" t="s">
        <v>2073</v>
      </c>
      <c r="F653" t="s">
        <v>2074</v>
      </c>
      <c r="H653" t="s">
        <v>17</v>
      </c>
      <c r="I653" t="s">
        <v>2070</v>
      </c>
    </row>
    <row r="654" spans="1:9" x14ac:dyDescent="0.3">
      <c r="A654" t="s">
        <v>1739</v>
      </c>
      <c r="B654" t="s">
        <v>2067</v>
      </c>
      <c r="C654" t="s">
        <v>1936</v>
      </c>
      <c r="D654" t="s">
        <v>1588</v>
      </c>
      <c r="E654" t="s">
        <v>2075</v>
      </c>
      <c r="F654" t="s">
        <v>2076</v>
      </c>
      <c r="H654" t="s">
        <v>17</v>
      </c>
      <c r="I654" t="s">
        <v>2070</v>
      </c>
    </row>
    <row r="655" spans="1:9" x14ac:dyDescent="0.3">
      <c r="A655" t="s">
        <v>1739</v>
      </c>
      <c r="B655" t="s">
        <v>2067</v>
      </c>
      <c r="C655" t="s">
        <v>1936</v>
      </c>
      <c r="D655" t="s">
        <v>1892</v>
      </c>
      <c r="E655" t="s">
        <v>2077</v>
      </c>
      <c r="F655" t="s">
        <v>2078</v>
      </c>
      <c r="H655" t="s">
        <v>17</v>
      </c>
      <c r="I655" t="s">
        <v>2070</v>
      </c>
    </row>
    <row r="656" spans="1:9" x14ac:dyDescent="0.3">
      <c r="A656" t="s">
        <v>1739</v>
      </c>
      <c r="B656" t="s">
        <v>2067</v>
      </c>
      <c r="C656" t="s">
        <v>1936</v>
      </c>
      <c r="D656" t="s">
        <v>1146</v>
      </c>
      <c r="E656" t="s">
        <v>2079</v>
      </c>
      <c r="F656" t="s">
        <v>2080</v>
      </c>
      <c r="H656" t="s">
        <v>17</v>
      </c>
      <c r="I656" t="s">
        <v>2070</v>
      </c>
    </row>
    <row r="657" spans="1:9" x14ac:dyDescent="0.3">
      <c r="A657" t="s">
        <v>1739</v>
      </c>
      <c r="B657" t="s">
        <v>2067</v>
      </c>
      <c r="C657" t="s">
        <v>1936</v>
      </c>
      <c r="D657" t="s">
        <v>1150</v>
      </c>
      <c r="E657" t="s">
        <v>2081</v>
      </c>
      <c r="F657" t="s">
        <v>2082</v>
      </c>
      <c r="H657" t="s">
        <v>17</v>
      </c>
      <c r="I657" t="s">
        <v>2070</v>
      </c>
    </row>
    <row r="658" spans="1:9" x14ac:dyDescent="0.3">
      <c r="A658" t="s">
        <v>1739</v>
      </c>
      <c r="B658" t="s">
        <v>2067</v>
      </c>
      <c r="C658" t="s">
        <v>1936</v>
      </c>
      <c r="D658" t="s">
        <v>1154</v>
      </c>
      <c r="E658" t="s">
        <v>2083</v>
      </c>
      <c r="F658" t="s">
        <v>1294</v>
      </c>
      <c r="H658" t="s">
        <v>17</v>
      </c>
      <c r="I658" t="s">
        <v>2070</v>
      </c>
    </row>
    <row r="659" spans="1:9" x14ac:dyDescent="0.3">
      <c r="A659" t="s">
        <v>1739</v>
      </c>
      <c r="B659" t="s">
        <v>2067</v>
      </c>
      <c r="C659" t="s">
        <v>1936</v>
      </c>
      <c r="D659" t="s">
        <v>1158</v>
      </c>
      <c r="E659" t="s">
        <v>2084</v>
      </c>
      <c r="F659" t="s">
        <v>2085</v>
      </c>
      <c r="H659" t="s">
        <v>17</v>
      </c>
      <c r="I659" t="s">
        <v>2070</v>
      </c>
    </row>
    <row r="660" spans="1:9" x14ac:dyDescent="0.3">
      <c r="A660" t="s">
        <v>1739</v>
      </c>
      <c r="B660" t="s">
        <v>2067</v>
      </c>
      <c r="C660" t="s">
        <v>1936</v>
      </c>
      <c r="D660" t="s">
        <v>1162</v>
      </c>
      <c r="E660" t="s">
        <v>2086</v>
      </c>
      <c r="F660" t="s">
        <v>2087</v>
      </c>
      <c r="H660" t="s">
        <v>17</v>
      </c>
      <c r="I660" t="s">
        <v>2070</v>
      </c>
    </row>
    <row r="661" spans="1:9" x14ac:dyDescent="0.3">
      <c r="A661" t="s">
        <v>1739</v>
      </c>
      <c r="B661" t="s">
        <v>2067</v>
      </c>
      <c r="C661" t="s">
        <v>1936</v>
      </c>
      <c r="D661" t="s">
        <v>1165</v>
      </c>
      <c r="E661" t="s">
        <v>2088</v>
      </c>
      <c r="F661" t="s">
        <v>2089</v>
      </c>
      <c r="H661" t="s">
        <v>17</v>
      </c>
      <c r="I661" t="s">
        <v>2070</v>
      </c>
    </row>
    <row r="662" spans="1:9" x14ac:dyDescent="0.3">
      <c r="A662" t="s">
        <v>1739</v>
      </c>
      <c r="B662" t="s">
        <v>2067</v>
      </c>
      <c r="C662" t="s">
        <v>1936</v>
      </c>
      <c r="D662" t="s">
        <v>1168</v>
      </c>
      <c r="E662" t="s">
        <v>2090</v>
      </c>
      <c r="F662" t="s">
        <v>2091</v>
      </c>
      <c r="H662" t="s">
        <v>17</v>
      </c>
      <c r="I662" t="s">
        <v>2092</v>
      </c>
    </row>
    <row r="663" spans="1:9" x14ac:dyDescent="0.3">
      <c r="A663" t="s">
        <v>1739</v>
      </c>
      <c r="B663" t="s">
        <v>2067</v>
      </c>
      <c r="C663" t="s">
        <v>1936</v>
      </c>
      <c r="D663" t="s">
        <v>1172</v>
      </c>
      <c r="E663" t="s">
        <v>2093</v>
      </c>
      <c r="F663" t="s">
        <v>2094</v>
      </c>
      <c r="H663" t="s">
        <v>17</v>
      </c>
      <c r="I663" t="s">
        <v>2095</v>
      </c>
    </row>
    <row r="664" spans="1:9" x14ac:dyDescent="0.3">
      <c r="A664" t="s">
        <v>1739</v>
      </c>
      <c r="B664" t="s">
        <v>2067</v>
      </c>
      <c r="C664" t="s">
        <v>1936</v>
      </c>
      <c r="D664" t="s">
        <v>1176</v>
      </c>
      <c r="E664" t="s">
        <v>2096</v>
      </c>
      <c r="F664" t="s">
        <v>2097</v>
      </c>
      <c r="H664" t="s">
        <v>17</v>
      </c>
      <c r="I664" t="s">
        <v>2092</v>
      </c>
    </row>
    <row r="665" spans="1:9" x14ac:dyDescent="0.3">
      <c r="A665" t="s">
        <v>1739</v>
      </c>
      <c r="B665" t="s">
        <v>2067</v>
      </c>
      <c r="C665" t="s">
        <v>1936</v>
      </c>
      <c r="D665" t="s">
        <v>1179</v>
      </c>
      <c r="E665" t="s">
        <v>2098</v>
      </c>
      <c r="F665" t="s">
        <v>2099</v>
      </c>
      <c r="H665" t="s">
        <v>17</v>
      </c>
      <c r="I665" t="s">
        <v>2095</v>
      </c>
    </row>
    <row r="666" spans="1:9" x14ac:dyDescent="0.3">
      <c r="A666" t="s">
        <v>1739</v>
      </c>
      <c r="B666" t="s">
        <v>2067</v>
      </c>
      <c r="C666" t="s">
        <v>1936</v>
      </c>
      <c r="D666" t="s">
        <v>1184</v>
      </c>
      <c r="E666" t="s">
        <v>2100</v>
      </c>
      <c r="F666" t="s">
        <v>2101</v>
      </c>
      <c r="H666" t="s">
        <v>17</v>
      </c>
      <c r="I666" t="s">
        <v>2092</v>
      </c>
    </row>
    <row r="667" spans="1:9" x14ac:dyDescent="0.3">
      <c r="A667" t="s">
        <v>1739</v>
      </c>
      <c r="B667" t="s">
        <v>2067</v>
      </c>
      <c r="C667" t="s">
        <v>1936</v>
      </c>
      <c r="D667" t="s">
        <v>1189</v>
      </c>
      <c r="E667" t="s">
        <v>2102</v>
      </c>
      <c r="F667" t="s">
        <v>2103</v>
      </c>
      <c r="H667" t="s">
        <v>17</v>
      </c>
      <c r="I667" t="s">
        <v>2095</v>
      </c>
    </row>
    <row r="668" spans="1:9" x14ac:dyDescent="0.3">
      <c r="A668" t="s">
        <v>1739</v>
      </c>
      <c r="B668" t="s">
        <v>2067</v>
      </c>
      <c r="C668" t="s">
        <v>1936</v>
      </c>
      <c r="D668" t="s">
        <v>1193</v>
      </c>
      <c r="E668" t="s">
        <v>2104</v>
      </c>
      <c r="F668" t="s">
        <v>2105</v>
      </c>
      <c r="H668" t="s">
        <v>17</v>
      </c>
      <c r="I668" t="s">
        <v>2092</v>
      </c>
    </row>
    <row r="669" spans="1:9" x14ac:dyDescent="0.3">
      <c r="A669" t="s">
        <v>1739</v>
      </c>
      <c r="B669" t="s">
        <v>2067</v>
      </c>
      <c r="C669" t="s">
        <v>1936</v>
      </c>
      <c r="D669" t="s">
        <v>1197</v>
      </c>
      <c r="E669" t="s">
        <v>2106</v>
      </c>
      <c r="F669" t="s">
        <v>2107</v>
      </c>
      <c r="H669" t="s">
        <v>17</v>
      </c>
      <c r="I669" t="s">
        <v>2095</v>
      </c>
    </row>
    <row r="670" spans="1:9" x14ac:dyDescent="0.3">
      <c r="A670" t="s">
        <v>1739</v>
      </c>
      <c r="B670" t="s">
        <v>2067</v>
      </c>
      <c r="C670" t="s">
        <v>1936</v>
      </c>
      <c r="D670" t="s">
        <v>1201</v>
      </c>
      <c r="E670" t="s">
        <v>2108</v>
      </c>
      <c r="F670" t="s">
        <v>2109</v>
      </c>
      <c r="H670" t="s">
        <v>17</v>
      </c>
      <c r="I670" t="s">
        <v>2092</v>
      </c>
    </row>
    <row r="671" spans="1:9" x14ac:dyDescent="0.3">
      <c r="A671" t="s">
        <v>1739</v>
      </c>
      <c r="B671" t="s">
        <v>2067</v>
      </c>
      <c r="C671" t="s">
        <v>1936</v>
      </c>
      <c r="D671" t="s">
        <v>1205</v>
      </c>
      <c r="E671" t="s">
        <v>2110</v>
      </c>
      <c r="F671" t="s">
        <v>2111</v>
      </c>
      <c r="H671" t="s">
        <v>17</v>
      </c>
      <c r="I671" t="s">
        <v>2095</v>
      </c>
    </row>
    <row r="672" spans="1:9" x14ac:dyDescent="0.3">
      <c r="A672" t="s">
        <v>1739</v>
      </c>
      <c r="B672" t="s">
        <v>2067</v>
      </c>
      <c r="C672" t="s">
        <v>1936</v>
      </c>
      <c r="D672" t="s">
        <v>1209</v>
      </c>
      <c r="E672" t="s">
        <v>2112</v>
      </c>
      <c r="F672" t="s">
        <v>2113</v>
      </c>
      <c r="H672" t="s">
        <v>17</v>
      </c>
      <c r="I672" t="s">
        <v>2092</v>
      </c>
    </row>
    <row r="673" spans="1:9" x14ac:dyDescent="0.3">
      <c r="A673" t="s">
        <v>1739</v>
      </c>
      <c r="B673" t="s">
        <v>2067</v>
      </c>
      <c r="C673" t="s">
        <v>1936</v>
      </c>
      <c r="D673" t="s">
        <v>1213</v>
      </c>
      <c r="E673" t="s">
        <v>2114</v>
      </c>
      <c r="F673" t="s">
        <v>2115</v>
      </c>
      <c r="H673" t="s">
        <v>17</v>
      </c>
      <c r="I673" t="s">
        <v>2095</v>
      </c>
    </row>
    <row r="674" spans="1:9" x14ac:dyDescent="0.3">
      <c r="A674" t="s">
        <v>1739</v>
      </c>
      <c r="B674" t="s">
        <v>2067</v>
      </c>
      <c r="C674" t="s">
        <v>1936</v>
      </c>
      <c r="D674" t="s">
        <v>1219</v>
      </c>
      <c r="E674" t="s">
        <v>2116</v>
      </c>
      <c r="F674" t="s">
        <v>2117</v>
      </c>
      <c r="H674" t="s">
        <v>17</v>
      </c>
      <c r="I674" t="s">
        <v>2092</v>
      </c>
    </row>
    <row r="675" spans="1:9" x14ac:dyDescent="0.3">
      <c r="A675" t="s">
        <v>1739</v>
      </c>
      <c r="B675" t="s">
        <v>2067</v>
      </c>
      <c r="C675" t="s">
        <v>1936</v>
      </c>
      <c r="D675" t="s">
        <v>1224</v>
      </c>
      <c r="E675" t="s">
        <v>2118</v>
      </c>
      <c r="F675" t="s">
        <v>2119</v>
      </c>
      <c r="H675" t="s">
        <v>17</v>
      </c>
      <c r="I675" t="s">
        <v>2095</v>
      </c>
    </row>
    <row r="676" spans="1:9" x14ac:dyDescent="0.3">
      <c r="A676" t="s">
        <v>1739</v>
      </c>
      <c r="B676" t="s">
        <v>2067</v>
      </c>
      <c r="C676" t="s">
        <v>1936</v>
      </c>
      <c r="D676" t="s">
        <v>1228</v>
      </c>
      <c r="E676" t="s">
        <v>2120</v>
      </c>
      <c r="F676" t="s">
        <v>2121</v>
      </c>
      <c r="H676" t="s">
        <v>17</v>
      </c>
      <c r="I676" t="s">
        <v>2092</v>
      </c>
    </row>
    <row r="677" spans="1:9" x14ac:dyDescent="0.3">
      <c r="A677" t="s">
        <v>1739</v>
      </c>
      <c r="B677" t="s">
        <v>2067</v>
      </c>
      <c r="C677" t="s">
        <v>1936</v>
      </c>
      <c r="D677" t="s">
        <v>1232</v>
      </c>
      <c r="E677" t="s">
        <v>2122</v>
      </c>
      <c r="F677" t="s">
        <v>2123</v>
      </c>
      <c r="H677" t="s">
        <v>17</v>
      </c>
      <c r="I677" t="s">
        <v>2095</v>
      </c>
    </row>
    <row r="678" spans="1:9" x14ac:dyDescent="0.3">
      <c r="A678" t="s">
        <v>1739</v>
      </c>
      <c r="B678" t="s">
        <v>2067</v>
      </c>
      <c r="C678" t="s">
        <v>1936</v>
      </c>
      <c r="D678" t="s">
        <v>1236</v>
      </c>
      <c r="E678" t="s">
        <v>2124</v>
      </c>
      <c r="F678" t="s">
        <v>2125</v>
      </c>
      <c r="H678" t="s">
        <v>17</v>
      </c>
      <c r="I678" t="s">
        <v>2092</v>
      </c>
    </row>
    <row r="679" spans="1:9" x14ac:dyDescent="0.3">
      <c r="A679" t="s">
        <v>1739</v>
      </c>
      <c r="B679" t="s">
        <v>2067</v>
      </c>
      <c r="C679" t="s">
        <v>1936</v>
      </c>
      <c r="D679" t="s">
        <v>1244</v>
      </c>
      <c r="E679" t="s">
        <v>2126</v>
      </c>
      <c r="F679" t="s">
        <v>2127</v>
      </c>
      <c r="H679" t="s">
        <v>17</v>
      </c>
      <c r="I679" t="s">
        <v>2092</v>
      </c>
    </row>
    <row r="680" spans="1:9" x14ac:dyDescent="0.3">
      <c r="A680" t="s">
        <v>1739</v>
      </c>
      <c r="B680" t="s">
        <v>2067</v>
      </c>
      <c r="C680" t="s">
        <v>1936</v>
      </c>
      <c r="D680" t="s">
        <v>1248</v>
      </c>
      <c r="E680" t="s">
        <v>2128</v>
      </c>
      <c r="F680" t="s">
        <v>2129</v>
      </c>
      <c r="H680" t="s">
        <v>17</v>
      </c>
      <c r="I680" t="s">
        <v>2095</v>
      </c>
    </row>
    <row r="681" spans="1:9" x14ac:dyDescent="0.3">
      <c r="A681" t="s">
        <v>1739</v>
      </c>
      <c r="B681" t="s">
        <v>2067</v>
      </c>
      <c r="C681" t="s">
        <v>1936</v>
      </c>
      <c r="D681" t="s">
        <v>1252</v>
      </c>
      <c r="E681" t="s">
        <v>2130</v>
      </c>
      <c r="F681" t="s">
        <v>2131</v>
      </c>
      <c r="H681" t="s">
        <v>17</v>
      </c>
      <c r="I681" t="s">
        <v>2092</v>
      </c>
    </row>
    <row r="682" spans="1:9" x14ac:dyDescent="0.3">
      <c r="A682" t="s">
        <v>1739</v>
      </c>
      <c r="B682" t="s">
        <v>2067</v>
      </c>
      <c r="C682" t="s">
        <v>1936</v>
      </c>
      <c r="D682" t="s">
        <v>1256</v>
      </c>
      <c r="E682" t="s">
        <v>2132</v>
      </c>
      <c r="F682" t="s">
        <v>2133</v>
      </c>
      <c r="H682" t="s">
        <v>17</v>
      </c>
      <c r="I682" t="s">
        <v>2095</v>
      </c>
    </row>
    <row r="683" spans="1:9" x14ac:dyDescent="0.3">
      <c r="A683" t="s">
        <v>1739</v>
      </c>
      <c r="B683" t="s">
        <v>2134</v>
      </c>
      <c r="C683" t="s">
        <v>2135</v>
      </c>
      <c r="D683" t="s">
        <v>996</v>
      </c>
      <c r="E683" t="s">
        <v>2136</v>
      </c>
      <c r="F683" t="s">
        <v>552</v>
      </c>
      <c r="H683" t="s">
        <v>17</v>
      </c>
      <c r="I683" t="s">
        <v>2137</v>
      </c>
    </row>
    <row r="684" spans="1:9" x14ac:dyDescent="0.3">
      <c r="A684" t="s">
        <v>1739</v>
      </c>
      <c r="B684" t="s">
        <v>2134</v>
      </c>
      <c r="C684" t="s">
        <v>2135</v>
      </c>
      <c r="D684" t="s">
        <v>1001</v>
      </c>
      <c r="E684" t="s">
        <v>2138</v>
      </c>
      <c r="F684" t="s">
        <v>1641</v>
      </c>
      <c r="H684" t="s">
        <v>17</v>
      </c>
      <c r="I684" t="s">
        <v>2139</v>
      </c>
    </row>
    <row r="685" spans="1:9" x14ac:dyDescent="0.3">
      <c r="A685" t="s">
        <v>1739</v>
      </c>
      <c r="B685" t="s">
        <v>2134</v>
      </c>
      <c r="C685" t="s">
        <v>2135</v>
      </c>
      <c r="D685" t="s">
        <v>1942</v>
      </c>
      <c r="E685" t="s">
        <v>2140</v>
      </c>
      <c r="F685" t="s">
        <v>1644</v>
      </c>
      <c r="H685" t="s">
        <v>17</v>
      </c>
      <c r="I685" t="s">
        <v>2141</v>
      </c>
    </row>
    <row r="686" spans="1:9" x14ac:dyDescent="0.3">
      <c r="A686" t="s">
        <v>1739</v>
      </c>
      <c r="B686" t="s">
        <v>2134</v>
      </c>
      <c r="C686" t="s">
        <v>2135</v>
      </c>
      <c r="D686" t="s">
        <v>22</v>
      </c>
      <c r="E686" t="s">
        <v>629</v>
      </c>
      <c r="F686" t="s">
        <v>2142</v>
      </c>
      <c r="H686" t="s">
        <v>17</v>
      </c>
      <c r="I686" t="s">
        <v>2143</v>
      </c>
    </row>
    <row r="687" spans="1:9" x14ac:dyDescent="0.3">
      <c r="A687" t="s">
        <v>1739</v>
      </c>
      <c r="B687" t="s">
        <v>2134</v>
      </c>
      <c r="C687" t="s">
        <v>2135</v>
      </c>
      <c r="D687" t="s">
        <v>27</v>
      </c>
      <c r="E687" t="s">
        <v>2144</v>
      </c>
      <c r="F687" t="s">
        <v>2145</v>
      </c>
      <c r="H687" t="s">
        <v>17</v>
      </c>
      <c r="I687" t="s">
        <v>2146</v>
      </c>
    </row>
    <row r="688" spans="1:9" x14ac:dyDescent="0.3">
      <c r="A688" t="s">
        <v>1739</v>
      </c>
      <c r="B688" t="s">
        <v>2134</v>
      </c>
      <c r="C688" t="s">
        <v>2135</v>
      </c>
      <c r="D688" t="s">
        <v>1014</v>
      </c>
      <c r="E688" t="s">
        <v>2147</v>
      </c>
      <c r="F688" t="s">
        <v>1645</v>
      </c>
      <c r="H688" t="s">
        <v>17</v>
      </c>
      <c r="I688" t="s">
        <v>2143</v>
      </c>
    </row>
    <row r="689" spans="1:9" x14ac:dyDescent="0.3">
      <c r="A689" t="s">
        <v>1739</v>
      </c>
      <c r="B689" t="s">
        <v>2148</v>
      </c>
      <c r="C689" t="s">
        <v>2135</v>
      </c>
      <c r="D689" t="s">
        <v>1017</v>
      </c>
      <c r="E689" t="s">
        <v>633</v>
      </c>
      <c r="F689" t="s">
        <v>2149</v>
      </c>
      <c r="H689" t="s">
        <v>17</v>
      </c>
      <c r="I689" t="s">
        <v>2150</v>
      </c>
    </row>
    <row r="690" spans="1:9" x14ac:dyDescent="0.3">
      <c r="A690" t="s">
        <v>1739</v>
      </c>
      <c r="B690" t="s">
        <v>2148</v>
      </c>
      <c r="C690" t="s">
        <v>2135</v>
      </c>
      <c r="D690" t="s">
        <v>36</v>
      </c>
      <c r="E690" t="s">
        <v>2151</v>
      </c>
      <c r="F690" t="s">
        <v>1648</v>
      </c>
      <c r="H690" t="s">
        <v>17</v>
      </c>
      <c r="I690" t="s">
        <v>2152</v>
      </c>
    </row>
    <row r="691" spans="1:9" x14ac:dyDescent="0.3">
      <c r="A691" t="s">
        <v>1739</v>
      </c>
      <c r="B691" t="s">
        <v>2148</v>
      </c>
      <c r="C691" t="s">
        <v>2135</v>
      </c>
      <c r="D691" t="s">
        <v>41</v>
      </c>
      <c r="E691" t="s">
        <v>2153</v>
      </c>
      <c r="F691" t="s">
        <v>2154</v>
      </c>
      <c r="H691" t="s">
        <v>17</v>
      </c>
      <c r="I691" t="s">
        <v>2155</v>
      </c>
    </row>
    <row r="692" spans="1:9" x14ac:dyDescent="0.3">
      <c r="A692" t="s">
        <v>1739</v>
      </c>
      <c r="B692" t="s">
        <v>2148</v>
      </c>
      <c r="C692" t="s">
        <v>2135</v>
      </c>
      <c r="D692" t="s">
        <v>2156</v>
      </c>
      <c r="E692" t="s">
        <v>636</v>
      </c>
      <c r="F692" t="s">
        <v>2157</v>
      </c>
      <c r="H692" t="s">
        <v>17</v>
      </c>
      <c r="I692" t="s">
        <v>2158</v>
      </c>
    </row>
    <row r="693" spans="1:9" x14ac:dyDescent="0.3">
      <c r="A693" t="s">
        <v>1739</v>
      </c>
      <c r="B693" t="s">
        <v>2148</v>
      </c>
      <c r="C693" t="s">
        <v>2135</v>
      </c>
      <c r="D693" t="s">
        <v>53</v>
      </c>
      <c r="E693" t="s">
        <v>2159</v>
      </c>
      <c r="F693" t="s">
        <v>2160</v>
      </c>
      <c r="H693" t="s">
        <v>17</v>
      </c>
      <c r="I693" t="s">
        <v>2161</v>
      </c>
    </row>
    <row r="694" spans="1:9" x14ac:dyDescent="0.3">
      <c r="A694" t="s">
        <v>1739</v>
      </c>
      <c r="B694" t="s">
        <v>2148</v>
      </c>
      <c r="C694" t="s">
        <v>2135</v>
      </c>
      <c r="D694" t="s">
        <v>56</v>
      </c>
      <c r="E694" t="s">
        <v>2162</v>
      </c>
      <c r="F694" t="s">
        <v>2163</v>
      </c>
      <c r="H694" t="s">
        <v>17</v>
      </c>
      <c r="I694" t="s">
        <v>2164</v>
      </c>
    </row>
    <row r="695" spans="1:9" x14ac:dyDescent="0.3">
      <c r="A695" t="s">
        <v>1739</v>
      </c>
      <c r="B695" t="s">
        <v>2148</v>
      </c>
      <c r="C695" t="s">
        <v>2135</v>
      </c>
      <c r="D695" t="s">
        <v>61</v>
      </c>
      <c r="E695" t="s">
        <v>639</v>
      </c>
      <c r="F695" t="s">
        <v>1661</v>
      </c>
      <c r="H695" t="s">
        <v>17</v>
      </c>
      <c r="I695" t="s">
        <v>2095</v>
      </c>
    </row>
    <row r="696" spans="1:9" x14ac:dyDescent="0.3">
      <c r="A696" t="s">
        <v>1739</v>
      </c>
      <c r="B696" t="s">
        <v>2148</v>
      </c>
      <c r="C696" t="s">
        <v>2135</v>
      </c>
      <c r="D696" t="s">
        <v>1039</v>
      </c>
      <c r="E696" t="s">
        <v>2165</v>
      </c>
      <c r="F696" t="s">
        <v>2166</v>
      </c>
      <c r="H696" t="s">
        <v>17</v>
      </c>
      <c r="I696" t="s">
        <v>2167</v>
      </c>
    </row>
    <row r="697" spans="1:9" x14ac:dyDescent="0.3">
      <c r="A697" t="s">
        <v>1739</v>
      </c>
      <c r="B697" t="s">
        <v>2148</v>
      </c>
      <c r="C697" t="s">
        <v>2135</v>
      </c>
      <c r="D697" t="s">
        <v>2168</v>
      </c>
      <c r="E697" t="s">
        <v>2169</v>
      </c>
      <c r="F697" t="s">
        <v>2170</v>
      </c>
      <c r="H697" t="s">
        <v>17</v>
      </c>
      <c r="I697" t="s">
        <v>2171</v>
      </c>
    </row>
    <row r="698" spans="1:9" x14ac:dyDescent="0.3">
      <c r="A698" t="s">
        <v>1739</v>
      </c>
      <c r="B698" t="s">
        <v>2148</v>
      </c>
      <c r="C698" t="s">
        <v>2135</v>
      </c>
      <c r="D698" t="s">
        <v>1050</v>
      </c>
      <c r="E698" t="s">
        <v>642</v>
      </c>
      <c r="F698" t="s">
        <v>2172</v>
      </c>
      <c r="H698" t="s">
        <v>17</v>
      </c>
      <c r="I698" t="s">
        <v>2173</v>
      </c>
    </row>
    <row r="699" spans="1:9" x14ac:dyDescent="0.3">
      <c r="A699" t="s">
        <v>1739</v>
      </c>
      <c r="B699" t="s">
        <v>2148</v>
      </c>
      <c r="C699" t="s">
        <v>2135</v>
      </c>
      <c r="D699" t="s">
        <v>1055</v>
      </c>
      <c r="E699" t="s">
        <v>2174</v>
      </c>
      <c r="F699" t="s">
        <v>1436</v>
      </c>
      <c r="H699" t="s">
        <v>17</v>
      </c>
      <c r="I699" t="s">
        <v>1438</v>
      </c>
    </row>
    <row r="700" spans="1:9" x14ac:dyDescent="0.3">
      <c r="A700" t="s">
        <v>1739</v>
      </c>
      <c r="B700" t="s">
        <v>2175</v>
      </c>
      <c r="C700" t="s">
        <v>2135</v>
      </c>
      <c r="D700" t="s">
        <v>1792</v>
      </c>
      <c r="E700" t="s">
        <v>2176</v>
      </c>
      <c r="F700" t="s">
        <v>747</v>
      </c>
      <c r="H700" t="s">
        <v>17</v>
      </c>
    </row>
    <row r="701" spans="1:9" x14ac:dyDescent="0.3">
      <c r="A701" t="s">
        <v>1739</v>
      </c>
      <c r="B701" t="s">
        <v>2175</v>
      </c>
      <c r="C701" t="s">
        <v>2135</v>
      </c>
      <c r="D701" t="s">
        <v>90</v>
      </c>
      <c r="E701" t="s">
        <v>645</v>
      </c>
      <c r="F701" t="s">
        <v>2177</v>
      </c>
      <c r="H701" t="s">
        <v>17</v>
      </c>
      <c r="I701" t="s">
        <v>2178</v>
      </c>
    </row>
    <row r="702" spans="1:9" x14ac:dyDescent="0.3">
      <c r="A702" t="s">
        <v>1739</v>
      </c>
      <c r="B702" t="s">
        <v>2175</v>
      </c>
      <c r="C702" t="s">
        <v>2135</v>
      </c>
      <c r="D702" t="s">
        <v>95</v>
      </c>
      <c r="E702" t="s">
        <v>2179</v>
      </c>
      <c r="F702" t="s">
        <v>1679</v>
      </c>
      <c r="H702" t="s">
        <v>17</v>
      </c>
      <c r="I702" t="s">
        <v>2180</v>
      </c>
    </row>
    <row r="703" spans="1:9" x14ac:dyDescent="0.3">
      <c r="A703" t="s">
        <v>1739</v>
      </c>
      <c r="B703" t="s">
        <v>2175</v>
      </c>
      <c r="C703" t="s">
        <v>2135</v>
      </c>
      <c r="D703" t="s">
        <v>100</v>
      </c>
      <c r="E703" t="s">
        <v>2181</v>
      </c>
      <c r="F703" t="s">
        <v>1682</v>
      </c>
      <c r="H703" t="s">
        <v>17</v>
      </c>
      <c r="I703" t="s">
        <v>2180</v>
      </c>
    </row>
    <row r="704" spans="1:9" x14ac:dyDescent="0.3">
      <c r="A704" t="s">
        <v>1739</v>
      </c>
      <c r="B704" t="s">
        <v>2175</v>
      </c>
      <c r="C704" t="s">
        <v>2135</v>
      </c>
      <c r="D704" t="s">
        <v>106</v>
      </c>
      <c r="E704" t="s">
        <v>648</v>
      </c>
      <c r="F704" t="s">
        <v>1684</v>
      </c>
      <c r="H704" t="s">
        <v>17</v>
      </c>
      <c r="I704" t="s">
        <v>2180</v>
      </c>
    </row>
    <row r="705" spans="1:9" x14ac:dyDescent="0.3">
      <c r="A705" t="s">
        <v>1739</v>
      </c>
      <c r="B705" t="s">
        <v>2175</v>
      </c>
      <c r="C705" t="s">
        <v>2135</v>
      </c>
      <c r="D705" t="s">
        <v>111</v>
      </c>
      <c r="E705" t="s">
        <v>2182</v>
      </c>
      <c r="F705" t="s">
        <v>1686</v>
      </c>
      <c r="H705" t="s">
        <v>17</v>
      </c>
      <c r="I705" t="s">
        <v>2180</v>
      </c>
    </row>
    <row r="706" spans="1:9" x14ac:dyDescent="0.3">
      <c r="A706" t="s">
        <v>1739</v>
      </c>
      <c r="B706" t="s">
        <v>2175</v>
      </c>
      <c r="C706" t="s">
        <v>2135</v>
      </c>
      <c r="D706" t="s">
        <v>2183</v>
      </c>
      <c r="E706" t="s">
        <v>2184</v>
      </c>
      <c r="F706" t="s">
        <v>2185</v>
      </c>
      <c r="G706" t="s">
        <v>2186</v>
      </c>
      <c r="H706" t="s">
        <v>17</v>
      </c>
      <c r="I706" t="s">
        <v>2187</v>
      </c>
    </row>
    <row r="707" spans="1:9" x14ac:dyDescent="0.3">
      <c r="A707" t="s">
        <v>1739</v>
      </c>
      <c r="B707" t="s">
        <v>2175</v>
      </c>
      <c r="C707" t="s">
        <v>2135</v>
      </c>
      <c r="D707" t="s">
        <v>2188</v>
      </c>
      <c r="E707" t="s">
        <v>651</v>
      </c>
      <c r="F707" t="s">
        <v>760</v>
      </c>
      <c r="H707" t="s">
        <v>17</v>
      </c>
    </row>
    <row r="708" spans="1:9" x14ac:dyDescent="0.3">
      <c r="A708" t="s">
        <v>1739</v>
      </c>
      <c r="B708" t="s">
        <v>2175</v>
      </c>
      <c r="C708" t="s">
        <v>2135</v>
      </c>
      <c r="D708" t="s">
        <v>2189</v>
      </c>
      <c r="E708" t="s">
        <v>656</v>
      </c>
      <c r="F708" t="s">
        <v>1692</v>
      </c>
      <c r="H708" t="s">
        <v>17</v>
      </c>
    </row>
    <row r="709" spans="1:9" x14ac:dyDescent="0.3">
      <c r="A709" t="s">
        <v>1739</v>
      </c>
      <c r="B709" t="s">
        <v>2175</v>
      </c>
      <c r="C709" t="s">
        <v>2135</v>
      </c>
      <c r="D709" t="s">
        <v>135</v>
      </c>
      <c r="E709" t="s">
        <v>659</v>
      </c>
      <c r="F709" t="s">
        <v>2190</v>
      </c>
      <c r="G709" t="s">
        <v>2191</v>
      </c>
      <c r="H709" t="s">
        <v>17</v>
      </c>
      <c r="I709" t="s">
        <v>414</v>
      </c>
    </row>
    <row r="710" spans="1:9" x14ac:dyDescent="0.3">
      <c r="A710" t="s">
        <v>1739</v>
      </c>
      <c r="B710" t="s">
        <v>2175</v>
      </c>
      <c r="C710" t="s">
        <v>2135</v>
      </c>
      <c r="D710" t="s">
        <v>138</v>
      </c>
      <c r="E710" t="s">
        <v>662</v>
      </c>
      <c r="F710" t="s">
        <v>2192</v>
      </c>
      <c r="G710" t="s">
        <v>2193</v>
      </c>
      <c r="H710" t="s">
        <v>17</v>
      </c>
      <c r="I710" t="s">
        <v>2194</v>
      </c>
    </row>
    <row r="711" spans="1:9" x14ac:dyDescent="0.3">
      <c r="A711" t="s">
        <v>1739</v>
      </c>
      <c r="B711" t="s">
        <v>2175</v>
      </c>
      <c r="C711" t="s">
        <v>2135</v>
      </c>
      <c r="D711" t="s">
        <v>141</v>
      </c>
      <c r="E711" t="s">
        <v>665</v>
      </c>
      <c r="F711" t="s">
        <v>2195</v>
      </c>
      <c r="H711" t="s">
        <v>17</v>
      </c>
      <c r="I711" t="s">
        <v>414</v>
      </c>
    </row>
    <row r="712" spans="1:9" x14ac:dyDescent="0.3">
      <c r="A712" t="s">
        <v>1739</v>
      </c>
      <c r="B712" t="s">
        <v>2175</v>
      </c>
      <c r="C712" t="s">
        <v>2135</v>
      </c>
      <c r="D712" t="s">
        <v>144</v>
      </c>
      <c r="E712" t="s">
        <v>668</v>
      </c>
      <c r="F712" t="s">
        <v>2196</v>
      </c>
      <c r="H712" t="s">
        <v>17</v>
      </c>
      <c r="I712" t="s">
        <v>2197</v>
      </c>
    </row>
    <row r="713" spans="1:9" x14ac:dyDescent="0.3">
      <c r="A713" t="s">
        <v>1739</v>
      </c>
      <c r="B713" t="s">
        <v>2175</v>
      </c>
      <c r="C713" t="s">
        <v>2135</v>
      </c>
      <c r="D713" t="s">
        <v>147</v>
      </c>
      <c r="E713" t="s">
        <v>671</v>
      </c>
      <c r="F713" t="s">
        <v>2198</v>
      </c>
      <c r="H713" t="s">
        <v>17</v>
      </c>
      <c r="I713" t="s">
        <v>2199</v>
      </c>
    </row>
    <row r="714" spans="1:9" x14ac:dyDescent="0.3">
      <c r="A714" t="s">
        <v>1739</v>
      </c>
      <c r="B714" t="s">
        <v>2175</v>
      </c>
      <c r="C714" t="s">
        <v>2135</v>
      </c>
      <c r="D714" t="s">
        <v>152</v>
      </c>
      <c r="E714" t="s">
        <v>674</v>
      </c>
      <c r="F714" t="s">
        <v>1697</v>
      </c>
      <c r="H714" t="s">
        <v>17</v>
      </c>
    </row>
    <row r="715" spans="1:9" x14ac:dyDescent="0.3">
      <c r="A715" t="s">
        <v>1739</v>
      </c>
      <c r="B715" t="s">
        <v>2175</v>
      </c>
      <c r="C715" t="s">
        <v>2135</v>
      </c>
      <c r="D715" t="s">
        <v>2200</v>
      </c>
      <c r="E715" t="s">
        <v>2201</v>
      </c>
      <c r="F715" t="s">
        <v>824</v>
      </c>
      <c r="H715" t="s">
        <v>17</v>
      </c>
    </row>
    <row r="716" spans="1:9" x14ac:dyDescent="0.3">
      <c r="A716" t="s">
        <v>1739</v>
      </c>
      <c r="B716" t="s">
        <v>2175</v>
      </c>
      <c r="C716" t="s">
        <v>2135</v>
      </c>
      <c r="D716" t="s">
        <v>167</v>
      </c>
      <c r="E716" t="s">
        <v>680</v>
      </c>
      <c r="F716" t="s">
        <v>1699</v>
      </c>
      <c r="H716" t="s">
        <v>17</v>
      </c>
      <c r="I716" t="s">
        <v>2202</v>
      </c>
    </row>
    <row r="717" spans="1:9" x14ac:dyDescent="0.3">
      <c r="A717" t="s">
        <v>1739</v>
      </c>
      <c r="B717" t="s">
        <v>2175</v>
      </c>
      <c r="C717" t="s">
        <v>2135</v>
      </c>
      <c r="D717" t="s">
        <v>172</v>
      </c>
      <c r="E717" t="s">
        <v>2203</v>
      </c>
      <c r="F717" t="s">
        <v>2204</v>
      </c>
      <c r="H717" t="s">
        <v>17</v>
      </c>
      <c r="I717" t="s">
        <v>2205</v>
      </c>
    </row>
    <row r="718" spans="1:9" x14ac:dyDescent="0.3">
      <c r="A718" t="s">
        <v>1739</v>
      </c>
      <c r="B718" t="s">
        <v>2175</v>
      </c>
      <c r="C718" t="s">
        <v>2135</v>
      </c>
      <c r="D718" t="s">
        <v>177</v>
      </c>
      <c r="E718" t="s">
        <v>685</v>
      </c>
      <c r="F718" t="s">
        <v>2206</v>
      </c>
      <c r="H718" t="s">
        <v>17</v>
      </c>
      <c r="I718" t="s">
        <v>2207</v>
      </c>
    </row>
    <row r="719" spans="1:9" x14ac:dyDescent="0.3">
      <c r="A719" t="s">
        <v>1739</v>
      </c>
      <c r="B719" t="s">
        <v>2175</v>
      </c>
      <c r="C719" t="s">
        <v>2135</v>
      </c>
      <c r="D719" t="s">
        <v>182</v>
      </c>
      <c r="E719" t="s">
        <v>2208</v>
      </c>
      <c r="F719" t="s">
        <v>843</v>
      </c>
      <c r="H719" t="s">
        <v>17</v>
      </c>
      <c r="I719" t="s">
        <v>2209</v>
      </c>
    </row>
    <row r="720" spans="1:9" x14ac:dyDescent="0.3">
      <c r="A720" t="s">
        <v>1739</v>
      </c>
      <c r="B720" t="s">
        <v>2175</v>
      </c>
      <c r="C720" t="s">
        <v>2135</v>
      </c>
      <c r="D720" t="s">
        <v>202</v>
      </c>
      <c r="E720" t="s">
        <v>2210</v>
      </c>
      <c r="F720" t="s">
        <v>864</v>
      </c>
      <c r="H720" t="s">
        <v>17</v>
      </c>
      <c r="I720" t="s">
        <v>2211</v>
      </c>
    </row>
    <row r="721" spans="1:9" x14ac:dyDescent="0.3">
      <c r="A721" t="s">
        <v>2212</v>
      </c>
      <c r="E721" t="s">
        <v>10</v>
      </c>
      <c r="F721" t="s">
        <v>2213</v>
      </c>
    </row>
    <row r="722" spans="1:9" x14ac:dyDescent="0.3">
      <c r="A722" t="s">
        <v>2212</v>
      </c>
      <c r="C722" t="s">
        <v>13</v>
      </c>
      <c r="D722" t="s">
        <v>13</v>
      </c>
      <c r="E722" t="s">
        <v>629</v>
      </c>
      <c r="F722" t="s">
        <v>1520</v>
      </c>
      <c r="H722" t="s">
        <v>17</v>
      </c>
      <c r="I722" t="s">
        <v>2214</v>
      </c>
    </row>
    <row r="723" spans="1:9" x14ac:dyDescent="0.3">
      <c r="A723" t="s">
        <v>2212</v>
      </c>
      <c r="C723" t="s">
        <v>13</v>
      </c>
      <c r="D723" t="s">
        <v>1936</v>
      </c>
      <c r="E723" t="s">
        <v>2144</v>
      </c>
      <c r="F723" t="s">
        <v>2215</v>
      </c>
      <c r="H723" t="s">
        <v>17</v>
      </c>
      <c r="I723" t="s">
        <v>2216</v>
      </c>
    </row>
    <row r="724" spans="1:9" x14ac:dyDescent="0.3">
      <c r="A724" t="s">
        <v>2212</v>
      </c>
      <c r="C724" t="s">
        <v>13</v>
      </c>
      <c r="D724" t="s">
        <v>2217</v>
      </c>
      <c r="E724" t="s">
        <v>2147</v>
      </c>
      <c r="F724" t="s">
        <v>2218</v>
      </c>
      <c r="H724" t="s">
        <v>17</v>
      </c>
      <c r="I724" t="s">
        <v>2219</v>
      </c>
    </row>
    <row r="725" spans="1:9" x14ac:dyDescent="0.3">
      <c r="A725" t="s">
        <v>2212</v>
      </c>
      <c r="C725" t="s">
        <v>13</v>
      </c>
      <c r="D725" t="s">
        <v>1743</v>
      </c>
      <c r="E725" t="s">
        <v>2151</v>
      </c>
      <c r="F725" t="s">
        <v>2220</v>
      </c>
      <c r="H725" t="s">
        <v>17</v>
      </c>
      <c r="I725" t="s">
        <v>2221</v>
      </c>
    </row>
    <row r="726" spans="1:9" x14ac:dyDescent="0.3">
      <c r="A726" t="s">
        <v>2212</v>
      </c>
      <c r="C726" t="s">
        <v>13</v>
      </c>
      <c r="D726" t="s">
        <v>2222</v>
      </c>
      <c r="E726" t="s">
        <v>2153</v>
      </c>
      <c r="F726" t="s">
        <v>2223</v>
      </c>
      <c r="H726" t="s">
        <v>17</v>
      </c>
      <c r="I726" t="s">
        <v>2224</v>
      </c>
    </row>
    <row r="727" spans="1:9" x14ac:dyDescent="0.3">
      <c r="A727" t="s">
        <v>2212</v>
      </c>
      <c r="C727" t="s">
        <v>13</v>
      </c>
      <c r="D727" t="s">
        <v>1942</v>
      </c>
      <c r="E727" t="s">
        <v>2159</v>
      </c>
      <c r="F727" t="s">
        <v>2225</v>
      </c>
      <c r="H727" t="s">
        <v>17</v>
      </c>
      <c r="I727" t="s">
        <v>2226</v>
      </c>
    </row>
    <row r="728" spans="1:9" x14ac:dyDescent="0.3">
      <c r="A728" t="s">
        <v>2212</v>
      </c>
      <c r="C728" t="s">
        <v>13</v>
      </c>
      <c r="D728" t="s">
        <v>22</v>
      </c>
      <c r="E728" t="s">
        <v>2162</v>
      </c>
      <c r="F728" t="s">
        <v>2227</v>
      </c>
      <c r="H728" t="s">
        <v>17</v>
      </c>
      <c r="I728" t="s">
        <v>2226</v>
      </c>
    </row>
    <row r="729" spans="1:9" x14ac:dyDescent="0.3">
      <c r="A729" t="s">
        <v>2212</v>
      </c>
      <c r="C729" t="s">
        <v>13</v>
      </c>
      <c r="D729" t="s">
        <v>27</v>
      </c>
      <c r="E729" t="s">
        <v>639</v>
      </c>
      <c r="F729" t="s">
        <v>2228</v>
      </c>
      <c r="H729" t="s">
        <v>17</v>
      </c>
      <c r="I729" t="s">
        <v>2226</v>
      </c>
    </row>
    <row r="730" spans="1:9" x14ac:dyDescent="0.3">
      <c r="A730" t="s">
        <v>2212</v>
      </c>
      <c r="C730" t="s">
        <v>13</v>
      </c>
      <c r="D730" t="s">
        <v>1014</v>
      </c>
      <c r="E730" t="s">
        <v>2165</v>
      </c>
      <c r="F730" t="s">
        <v>2229</v>
      </c>
      <c r="H730" t="s">
        <v>17</v>
      </c>
      <c r="I730" t="s">
        <v>2230</v>
      </c>
    </row>
    <row r="731" spans="1:9" x14ac:dyDescent="0.3">
      <c r="A731" t="s">
        <v>2212</v>
      </c>
      <c r="C731" t="s">
        <v>13</v>
      </c>
      <c r="D731" t="s">
        <v>1017</v>
      </c>
      <c r="E731" t="s">
        <v>2169</v>
      </c>
      <c r="F731" t="s">
        <v>2231</v>
      </c>
      <c r="H731" t="s">
        <v>17</v>
      </c>
      <c r="I731" t="s">
        <v>2232</v>
      </c>
    </row>
    <row r="732" spans="1:9" x14ac:dyDescent="0.3">
      <c r="A732" t="s">
        <v>2212</v>
      </c>
      <c r="C732" t="s">
        <v>13</v>
      </c>
      <c r="D732" t="s">
        <v>36</v>
      </c>
      <c r="E732" t="s">
        <v>642</v>
      </c>
      <c r="F732" t="s">
        <v>2233</v>
      </c>
      <c r="H732" t="s">
        <v>17</v>
      </c>
      <c r="I732" t="s">
        <v>2234</v>
      </c>
    </row>
    <row r="733" spans="1:9" x14ac:dyDescent="0.3">
      <c r="A733" t="s">
        <v>2212</v>
      </c>
      <c r="C733" t="s">
        <v>13</v>
      </c>
      <c r="D733" t="s">
        <v>41</v>
      </c>
      <c r="E733" t="s">
        <v>2174</v>
      </c>
      <c r="F733" t="s">
        <v>2235</v>
      </c>
      <c r="H733" t="s">
        <v>17</v>
      </c>
      <c r="I733" t="s">
        <v>2236</v>
      </c>
    </row>
    <row r="734" spans="1:9" x14ac:dyDescent="0.3">
      <c r="A734" t="s">
        <v>2212</v>
      </c>
      <c r="C734" t="s">
        <v>13</v>
      </c>
      <c r="D734" t="s">
        <v>45</v>
      </c>
      <c r="E734" t="s">
        <v>2176</v>
      </c>
      <c r="F734" t="s">
        <v>2237</v>
      </c>
      <c r="H734" t="s">
        <v>17</v>
      </c>
      <c r="I734" t="s">
        <v>2234</v>
      </c>
    </row>
    <row r="735" spans="1:9" x14ac:dyDescent="0.3">
      <c r="A735" t="s">
        <v>2212</v>
      </c>
      <c r="C735" t="s">
        <v>13</v>
      </c>
      <c r="D735" t="s">
        <v>2238</v>
      </c>
      <c r="E735" t="s">
        <v>645</v>
      </c>
      <c r="F735" t="s">
        <v>2239</v>
      </c>
      <c r="H735" t="s">
        <v>17</v>
      </c>
    </row>
    <row r="736" spans="1:9" x14ac:dyDescent="0.3">
      <c r="A736" t="s">
        <v>2212</v>
      </c>
      <c r="C736" t="s">
        <v>13</v>
      </c>
      <c r="D736" t="s">
        <v>56</v>
      </c>
      <c r="E736" t="s">
        <v>2181</v>
      </c>
      <c r="F736" t="s">
        <v>2240</v>
      </c>
      <c r="H736" t="s">
        <v>17</v>
      </c>
      <c r="I736" t="s">
        <v>2241</v>
      </c>
    </row>
    <row r="737" spans="1:9" x14ac:dyDescent="0.3">
      <c r="A737" t="s">
        <v>2212</v>
      </c>
      <c r="C737" t="s">
        <v>13</v>
      </c>
      <c r="D737" t="s">
        <v>61</v>
      </c>
      <c r="E737" t="s">
        <v>648</v>
      </c>
      <c r="F737" t="s">
        <v>2242</v>
      </c>
      <c r="H737" t="s">
        <v>17</v>
      </c>
      <c r="I737" t="s">
        <v>2243</v>
      </c>
    </row>
    <row r="738" spans="1:9" x14ac:dyDescent="0.3">
      <c r="A738" t="s">
        <v>2212</v>
      </c>
      <c r="C738" t="s">
        <v>13</v>
      </c>
      <c r="D738" t="s">
        <v>1039</v>
      </c>
      <c r="E738" t="s">
        <v>2182</v>
      </c>
      <c r="F738" t="s">
        <v>2244</v>
      </c>
      <c r="H738" t="s">
        <v>17</v>
      </c>
      <c r="I738" t="s">
        <v>2245</v>
      </c>
    </row>
    <row r="739" spans="1:9" x14ac:dyDescent="0.3">
      <c r="A739" t="s">
        <v>2212</v>
      </c>
      <c r="C739" t="s">
        <v>13</v>
      </c>
      <c r="D739" t="s">
        <v>1043</v>
      </c>
      <c r="E739" t="s">
        <v>2184</v>
      </c>
      <c r="F739" t="s">
        <v>2246</v>
      </c>
      <c r="H739" t="s">
        <v>17</v>
      </c>
      <c r="I739" t="s">
        <v>2247</v>
      </c>
    </row>
    <row r="740" spans="1:9" x14ac:dyDescent="0.3">
      <c r="A740" t="s">
        <v>2212</v>
      </c>
      <c r="C740" t="s">
        <v>13</v>
      </c>
      <c r="D740" t="s">
        <v>71</v>
      </c>
      <c r="E740" t="s">
        <v>651</v>
      </c>
      <c r="F740" t="s">
        <v>2248</v>
      </c>
      <c r="H740" t="s">
        <v>17</v>
      </c>
      <c r="I740" t="s">
        <v>2249</v>
      </c>
    </row>
    <row r="741" spans="1:9" x14ac:dyDescent="0.3">
      <c r="A741" t="s">
        <v>2212</v>
      </c>
      <c r="C741" t="s">
        <v>13</v>
      </c>
      <c r="D741" t="s">
        <v>1050</v>
      </c>
      <c r="E741" t="s">
        <v>656</v>
      </c>
      <c r="F741" t="s">
        <v>2250</v>
      </c>
      <c r="H741" t="s">
        <v>17</v>
      </c>
      <c r="I741" t="s">
        <v>2251</v>
      </c>
    </row>
    <row r="742" spans="1:9" x14ac:dyDescent="0.3">
      <c r="A742" t="s">
        <v>2212</v>
      </c>
      <c r="C742" t="s">
        <v>13</v>
      </c>
      <c r="D742" t="s">
        <v>1055</v>
      </c>
      <c r="E742" t="s">
        <v>659</v>
      </c>
      <c r="F742" t="s">
        <v>2252</v>
      </c>
      <c r="H742" t="s">
        <v>17</v>
      </c>
      <c r="I742" t="s">
        <v>2253</v>
      </c>
    </row>
    <row r="743" spans="1:9" x14ac:dyDescent="0.3">
      <c r="A743" t="s">
        <v>2212</v>
      </c>
      <c r="C743" t="s">
        <v>13</v>
      </c>
      <c r="D743" t="s">
        <v>80</v>
      </c>
      <c r="E743" t="s">
        <v>662</v>
      </c>
      <c r="F743" t="s">
        <v>2254</v>
      </c>
      <c r="H743" t="s">
        <v>17</v>
      </c>
      <c r="I743" t="s">
        <v>2255</v>
      </c>
    </row>
    <row r="744" spans="1:9" x14ac:dyDescent="0.3">
      <c r="A744" t="s">
        <v>2212</v>
      </c>
      <c r="C744" t="s">
        <v>13</v>
      </c>
      <c r="D744" t="s">
        <v>85</v>
      </c>
      <c r="E744" t="s">
        <v>665</v>
      </c>
      <c r="F744" t="s">
        <v>2256</v>
      </c>
      <c r="H744" t="s">
        <v>17</v>
      </c>
      <c r="I744" t="s">
        <v>2257</v>
      </c>
    </row>
    <row r="745" spans="1:9" x14ac:dyDescent="0.3">
      <c r="A745" t="s">
        <v>2212</v>
      </c>
      <c r="C745" t="s">
        <v>13</v>
      </c>
      <c r="D745" t="s">
        <v>90</v>
      </c>
      <c r="E745" t="s">
        <v>668</v>
      </c>
      <c r="F745" t="s">
        <v>2258</v>
      </c>
      <c r="H745" t="s">
        <v>17</v>
      </c>
      <c r="I745" t="s">
        <v>2259</v>
      </c>
    </row>
    <row r="746" spans="1:9" x14ac:dyDescent="0.3">
      <c r="A746" t="s">
        <v>2212</v>
      </c>
      <c r="C746" t="s">
        <v>13</v>
      </c>
      <c r="D746" t="s">
        <v>100</v>
      </c>
      <c r="E746" t="s">
        <v>674</v>
      </c>
      <c r="F746" t="s">
        <v>2260</v>
      </c>
      <c r="H746" t="s">
        <v>17</v>
      </c>
      <c r="I746" t="s">
        <v>2261</v>
      </c>
    </row>
    <row r="747" spans="1:9" x14ac:dyDescent="0.3">
      <c r="A747" t="s">
        <v>2212</v>
      </c>
      <c r="C747" t="s">
        <v>13</v>
      </c>
      <c r="D747" t="s">
        <v>106</v>
      </c>
      <c r="E747" t="s">
        <v>2201</v>
      </c>
      <c r="F747" t="s">
        <v>2262</v>
      </c>
      <c r="H747" t="s">
        <v>17</v>
      </c>
      <c r="I747" t="s">
        <v>2263</v>
      </c>
    </row>
    <row r="748" spans="1:9" x14ac:dyDescent="0.3">
      <c r="A748" t="s">
        <v>2212</v>
      </c>
      <c r="C748" t="s">
        <v>13</v>
      </c>
      <c r="D748" t="s">
        <v>1072</v>
      </c>
      <c r="E748" t="s">
        <v>680</v>
      </c>
      <c r="F748" t="s">
        <v>2264</v>
      </c>
      <c r="H748" t="s">
        <v>17</v>
      </c>
    </row>
    <row r="749" spans="1:9" x14ac:dyDescent="0.3">
      <c r="A749" t="s">
        <v>2212</v>
      </c>
      <c r="C749" t="s">
        <v>13</v>
      </c>
      <c r="D749" t="s">
        <v>117</v>
      </c>
      <c r="E749" t="s">
        <v>685</v>
      </c>
      <c r="F749" t="s">
        <v>2265</v>
      </c>
      <c r="H749" t="s">
        <v>17</v>
      </c>
      <c r="I749" t="s">
        <v>2266</v>
      </c>
    </row>
    <row r="750" spans="1:9" x14ac:dyDescent="0.3">
      <c r="A750" t="s">
        <v>2212</v>
      </c>
      <c r="C750" t="s">
        <v>13</v>
      </c>
      <c r="D750" t="s">
        <v>121</v>
      </c>
      <c r="E750" t="s">
        <v>2208</v>
      </c>
      <c r="F750" t="s">
        <v>2267</v>
      </c>
      <c r="H750" t="s">
        <v>17</v>
      </c>
      <c r="I750" t="s">
        <v>2268</v>
      </c>
    </row>
    <row r="751" spans="1:9" x14ac:dyDescent="0.3">
      <c r="A751" t="s">
        <v>2212</v>
      </c>
      <c r="C751" t="s">
        <v>13</v>
      </c>
      <c r="D751" t="s">
        <v>126</v>
      </c>
      <c r="E751" t="s">
        <v>690</v>
      </c>
      <c r="F751" t="s">
        <v>2269</v>
      </c>
      <c r="H751" t="s">
        <v>17</v>
      </c>
      <c r="I751" t="s">
        <v>2270</v>
      </c>
    </row>
    <row r="752" spans="1:9" x14ac:dyDescent="0.3">
      <c r="A752" t="s">
        <v>2212</v>
      </c>
      <c r="C752" t="s">
        <v>13</v>
      </c>
      <c r="D752" t="s">
        <v>129</v>
      </c>
      <c r="E752" t="s">
        <v>2210</v>
      </c>
      <c r="F752" t="s">
        <v>2271</v>
      </c>
      <c r="H752" t="s">
        <v>17</v>
      </c>
      <c r="I752" t="s">
        <v>2272</v>
      </c>
    </row>
    <row r="753" spans="1:9" x14ac:dyDescent="0.3">
      <c r="A753" t="s">
        <v>2212</v>
      </c>
      <c r="C753" t="s">
        <v>13</v>
      </c>
      <c r="D753" t="s">
        <v>132</v>
      </c>
      <c r="E753" t="s">
        <v>695</v>
      </c>
      <c r="F753" t="s">
        <v>2273</v>
      </c>
      <c r="H753" t="s">
        <v>17</v>
      </c>
      <c r="I753" t="s">
        <v>104</v>
      </c>
    </row>
    <row r="754" spans="1:9" x14ac:dyDescent="0.3">
      <c r="A754" t="s">
        <v>2212</v>
      </c>
      <c r="C754" t="s">
        <v>13</v>
      </c>
      <c r="D754" t="s">
        <v>135</v>
      </c>
      <c r="E754" t="s">
        <v>701</v>
      </c>
      <c r="F754" t="s">
        <v>2274</v>
      </c>
      <c r="H754" t="s">
        <v>17</v>
      </c>
      <c r="I754" t="s">
        <v>414</v>
      </c>
    </row>
    <row r="755" spans="1:9" x14ac:dyDescent="0.3">
      <c r="A755" t="s">
        <v>2212</v>
      </c>
      <c r="C755" t="s">
        <v>13</v>
      </c>
      <c r="D755" t="s">
        <v>138</v>
      </c>
      <c r="E755" t="s">
        <v>706</v>
      </c>
      <c r="F755" t="s">
        <v>2275</v>
      </c>
      <c r="H755" t="s">
        <v>17</v>
      </c>
      <c r="I755" t="s">
        <v>2276</v>
      </c>
    </row>
    <row r="756" spans="1:9" x14ac:dyDescent="0.3">
      <c r="A756" t="s">
        <v>2212</v>
      </c>
      <c r="C756" t="s">
        <v>13</v>
      </c>
      <c r="D756" t="s">
        <v>141</v>
      </c>
      <c r="E756" t="s">
        <v>709</v>
      </c>
      <c r="F756" t="s">
        <v>2277</v>
      </c>
      <c r="H756" t="s">
        <v>17</v>
      </c>
      <c r="I756" t="s">
        <v>2278</v>
      </c>
    </row>
    <row r="757" spans="1:9" x14ac:dyDescent="0.3">
      <c r="A757" t="s">
        <v>2212</v>
      </c>
      <c r="C757" t="s">
        <v>13</v>
      </c>
      <c r="D757" t="s">
        <v>144</v>
      </c>
      <c r="E757" t="s">
        <v>713</v>
      </c>
      <c r="F757" t="s">
        <v>2279</v>
      </c>
      <c r="H757" t="s">
        <v>17</v>
      </c>
      <c r="I757" t="s">
        <v>2280</v>
      </c>
    </row>
    <row r="758" spans="1:9" x14ac:dyDescent="0.3">
      <c r="A758" t="s">
        <v>2212</v>
      </c>
      <c r="C758" t="s">
        <v>13</v>
      </c>
      <c r="D758" t="s">
        <v>147</v>
      </c>
      <c r="E758" t="s">
        <v>716</v>
      </c>
      <c r="F758" t="s">
        <v>2281</v>
      </c>
      <c r="H758" t="s">
        <v>17</v>
      </c>
      <c r="I758" t="s">
        <v>414</v>
      </c>
    </row>
    <row r="759" spans="1:9" x14ac:dyDescent="0.3">
      <c r="A759" t="s">
        <v>2212</v>
      </c>
      <c r="C759" t="s">
        <v>13</v>
      </c>
      <c r="D759" t="s">
        <v>152</v>
      </c>
      <c r="E759" t="s">
        <v>721</v>
      </c>
      <c r="F759" t="s">
        <v>2282</v>
      </c>
      <c r="H759" t="s">
        <v>17</v>
      </c>
      <c r="I759" t="s">
        <v>2283</v>
      </c>
    </row>
    <row r="760" spans="1:9" x14ac:dyDescent="0.3">
      <c r="A760" t="s">
        <v>2212</v>
      </c>
      <c r="C760" t="s">
        <v>13</v>
      </c>
      <c r="D760" t="s">
        <v>157</v>
      </c>
      <c r="E760" t="s">
        <v>724</v>
      </c>
      <c r="F760" t="s">
        <v>2284</v>
      </c>
      <c r="H760" t="s">
        <v>17</v>
      </c>
      <c r="I760" t="s">
        <v>2283</v>
      </c>
    </row>
    <row r="761" spans="1:9" x14ac:dyDescent="0.3">
      <c r="A761" t="s">
        <v>2212</v>
      </c>
      <c r="C761" t="s">
        <v>13</v>
      </c>
      <c r="D761" t="s">
        <v>162</v>
      </c>
      <c r="E761" t="s">
        <v>727</v>
      </c>
      <c r="F761" t="s">
        <v>2285</v>
      </c>
      <c r="H761" t="s">
        <v>17</v>
      </c>
      <c r="I761" t="s">
        <v>2283</v>
      </c>
    </row>
    <row r="762" spans="1:9" x14ac:dyDescent="0.3">
      <c r="A762" t="s">
        <v>2212</v>
      </c>
      <c r="C762" t="s">
        <v>13</v>
      </c>
      <c r="D762" t="s">
        <v>167</v>
      </c>
      <c r="E762" t="s">
        <v>730</v>
      </c>
      <c r="F762" t="s">
        <v>2286</v>
      </c>
      <c r="H762" t="s">
        <v>17</v>
      </c>
      <c r="I762" t="s">
        <v>2283</v>
      </c>
    </row>
    <row r="763" spans="1:9" x14ac:dyDescent="0.3">
      <c r="A763" t="s">
        <v>2212</v>
      </c>
      <c r="C763" t="s">
        <v>13</v>
      </c>
      <c r="D763" t="s">
        <v>172</v>
      </c>
      <c r="E763" t="s">
        <v>735</v>
      </c>
      <c r="F763" t="s">
        <v>2287</v>
      </c>
      <c r="H763" t="s">
        <v>17</v>
      </c>
      <c r="I763" t="s">
        <v>2288</v>
      </c>
    </row>
    <row r="764" spans="1:9" x14ac:dyDescent="0.3">
      <c r="A764" t="s">
        <v>2212</v>
      </c>
      <c r="C764" t="s">
        <v>13</v>
      </c>
      <c r="D764" t="s">
        <v>177</v>
      </c>
      <c r="E764" t="s">
        <v>740</v>
      </c>
      <c r="F764" t="s">
        <v>2289</v>
      </c>
      <c r="H764" t="s">
        <v>17</v>
      </c>
      <c r="I764" t="s">
        <v>2290</v>
      </c>
    </row>
    <row r="765" spans="1:9" x14ac:dyDescent="0.3">
      <c r="A765" t="s">
        <v>2212</v>
      </c>
      <c r="C765" t="s">
        <v>13</v>
      </c>
      <c r="D765" t="s">
        <v>1118</v>
      </c>
      <c r="E765" t="s">
        <v>2291</v>
      </c>
      <c r="F765" t="s">
        <v>2292</v>
      </c>
      <c r="H765" t="s">
        <v>17</v>
      </c>
      <c r="I765" t="s">
        <v>2293</v>
      </c>
    </row>
    <row r="766" spans="1:9" x14ac:dyDescent="0.3">
      <c r="A766" t="s">
        <v>2212</v>
      </c>
      <c r="C766" t="s">
        <v>13</v>
      </c>
      <c r="D766" t="s">
        <v>1123</v>
      </c>
      <c r="E766" t="s">
        <v>2294</v>
      </c>
      <c r="F766" t="s">
        <v>2295</v>
      </c>
      <c r="H766" t="s">
        <v>17</v>
      </c>
      <c r="I766" t="s">
        <v>2293</v>
      </c>
    </row>
    <row r="767" spans="1:9" x14ac:dyDescent="0.3">
      <c r="A767" t="s">
        <v>2212</v>
      </c>
      <c r="C767" t="s">
        <v>13</v>
      </c>
      <c r="D767" t="s">
        <v>1127</v>
      </c>
      <c r="E767" t="s">
        <v>759</v>
      </c>
      <c r="F767" t="s">
        <v>2296</v>
      </c>
      <c r="H767" t="s">
        <v>17</v>
      </c>
      <c r="I767" t="s">
        <v>2293</v>
      </c>
    </row>
    <row r="768" spans="1:9" x14ac:dyDescent="0.3">
      <c r="A768" t="s">
        <v>2212</v>
      </c>
      <c r="C768" t="s">
        <v>13</v>
      </c>
      <c r="D768" t="s">
        <v>1131</v>
      </c>
      <c r="E768" t="s">
        <v>2297</v>
      </c>
      <c r="F768" t="s">
        <v>2298</v>
      </c>
      <c r="H768" t="s">
        <v>17</v>
      </c>
      <c r="I768" t="s">
        <v>2293</v>
      </c>
    </row>
    <row r="769" spans="1:9" x14ac:dyDescent="0.3">
      <c r="A769" t="s">
        <v>2212</v>
      </c>
      <c r="C769" t="s">
        <v>13</v>
      </c>
      <c r="D769" t="s">
        <v>1136</v>
      </c>
      <c r="E769" t="s">
        <v>763</v>
      </c>
      <c r="F769" t="s">
        <v>2299</v>
      </c>
      <c r="H769" t="s">
        <v>17</v>
      </c>
      <c r="I769" t="s">
        <v>2293</v>
      </c>
    </row>
    <row r="770" spans="1:9" x14ac:dyDescent="0.3">
      <c r="A770" t="s">
        <v>2212</v>
      </c>
      <c r="C770" t="s">
        <v>13</v>
      </c>
      <c r="D770" t="s">
        <v>245</v>
      </c>
      <c r="E770" t="s">
        <v>768</v>
      </c>
      <c r="F770" t="s">
        <v>2300</v>
      </c>
      <c r="H770" t="s">
        <v>17</v>
      </c>
      <c r="I770" t="s">
        <v>2293</v>
      </c>
    </row>
    <row r="771" spans="1:9" x14ac:dyDescent="0.3">
      <c r="A771" t="s">
        <v>2212</v>
      </c>
      <c r="C771" t="s">
        <v>13</v>
      </c>
      <c r="D771" t="s">
        <v>250</v>
      </c>
      <c r="E771" t="s">
        <v>2301</v>
      </c>
      <c r="F771" t="s">
        <v>2302</v>
      </c>
      <c r="H771" t="s">
        <v>17</v>
      </c>
      <c r="I771" t="s">
        <v>2293</v>
      </c>
    </row>
    <row r="772" spans="1:9" x14ac:dyDescent="0.3">
      <c r="A772" t="s">
        <v>2212</v>
      </c>
      <c r="C772" t="s">
        <v>13</v>
      </c>
      <c r="D772" t="s">
        <v>253</v>
      </c>
      <c r="E772" t="s">
        <v>773</v>
      </c>
      <c r="F772" t="s">
        <v>2303</v>
      </c>
      <c r="H772" t="s">
        <v>17</v>
      </c>
      <c r="I772" t="s">
        <v>2293</v>
      </c>
    </row>
    <row r="773" spans="1:9" x14ac:dyDescent="0.3">
      <c r="A773" t="s">
        <v>2212</v>
      </c>
      <c r="C773" t="s">
        <v>13</v>
      </c>
      <c r="D773" t="s">
        <v>256</v>
      </c>
      <c r="E773" t="s">
        <v>2304</v>
      </c>
      <c r="F773" t="s">
        <v>2305</v>
      </c>
      <c r="H773" t="s">
        <v>17</v>
      </c>
      <c r="I773" t="s">
        <v>2293</v>
      </c>
    </row>
    <row r="774" spans="1:9" x14ac:dyDescent="0.3">
      <c r="A774" t="s">
        <v>2212</v>
      </c>
      <c r="C774" t="s">
        <v>13</v>
      </c>
      <c r="D774" t="s">
        <v>259</v>
      </c>
      <c r="E774" t="s">
        <v>778</v>
      </c>
      <c r="F774" t="s">
        <v>2306</v>
      </c>
      <c r="H774" t="s">
        <v>17</v>
      </c>
      <c r="I774" t="s">
        <v>2293</v>
      </c>
    </row>
    <row r="775" spans="1:9" x14ac:dyDescent="0.3">
      <c r="A775" t="s">
        <v>2212</v>
      </c>
      <c r="C775" t="s">
        <v>13</v>
      </c>
      <c r="D775" t="s">
        <v>262</v>
      </c>
      <c r="E775" t="s">
        <v>783</v>
      </c>
      <c r="F775" t="s">
        <v>2307</v>
      </c>
      <c r="H775" t="s">
        <v>17</v>
      </c>
      <c r="I775" t="s">
        <v>2293</v>
      </c>
    </row>
    <row r="776" spans="1:9" x14ac:dyDescent="0.3">
      <c r="A776" t="s">
        <v>2212</v>
      </c>
      <c r="C776" t="s">
        <v>13</v>
      </c>
      <c r="D776" t="s">
        <v>1176</v>
      </c>
      <c r="E776" t="s">
        <v>788</v>
      </c>
      <c r="F776" t="s">
        <v>2308</v>
      </c>
      <c r="H776" t="s">
        <v>17</v>
      </c>
      <c r="I776" t="s">
        <v>548</v>
      </c>
    </row>
    <row r="777" spans="1:9" x14ac:dyDescent="0.3">
      <c r="A777" t="s">
        <v>2212</v>
      </c>
      <c r="C777" t="s">
        <v>13</v>
      </c>
      <c r="D777" t="s">
        <v>1179</v>
      </c>
      <c r="E777" t="s">
        <v>2309</v>
      </c>
      <c r="F777" t="s">
        <v>2310</v>
      </c>
      <c r="H777" t="s">
        <v>17</v>
      </c>
      <c r="I777" t="s">
        <v>2311</v>
      </c>
    </row>
    <row r="778" spans="1:9" x14ac:dyDescent="0.3">
      <c r="A778" t="s">
        <v>2212</v>
      </c>
      <c r="C778" t="s">
        <v>13</v>
      </c>
      <c r="D778" t="s">
        <v>1184</v>
      </c>
      <c r="E778" t="s">
        <v>2312</v>
      </c>
      <c r="F778" t="s">
        <v>2313</v>
      </c>
      <c r="H778" t="s">
        <v>17</v>
      </c>
      <c r="I778" t="s">
        <v>2314</v>
      </c>
    </row>
    <row r="779" spans="1:9" x14ac:dyDescent="0.3">
      <c r="A779" t="s">
        <v>2212</v>
      </c>
      <c r="C779" t="s">
        <v>13</v>
      </c>
      <c r="D779" t="s">
        <v>1189</v>
      </c>
      <c r="E779" t="s">
        <v>792</v>
      </c>
      <c r="F779" t="s">
        <v>2315</v>
      </c>
      <c r="H779" t="s">
        <v>17</v>
      </c>
      <c r="I779" t="s">
        <v>2316</v>
      </c>
    </row>
    <row r="780" spans="1:9" x14ac:dyDescent="0.3">
      <c r="A780" t="s">
        <v>2212</v>
      </c>
      <c r="B780" t="s">
        <v>2317</v>
      </c>
      <c r="C780" t="s">
        <v>13</v>
      </c>
      <c r="D780" t="s">
        <v>1193</v>
      </c>
      <c r="E780" t="s">
        <v>2318</v>
      </c>
      <c r="F780" t="s">
        <v>2319</v>
      </c>
      <c r="H780" t="s">
        <v>17</v>
      </c>
      <c r="I780" t="s">
        <v>2320</v>
      </c>
    </row>
    <row r="781" spans="1:9" x14ac:dyDescent="0.3">
      <c r="A781" t="s">
        <v>2212</v>
      </c>
      <c r="B781" t="s">
        <v>2317</v>
      </c>
      <c r="C781" t="s">
        <v>13</v>
      </c>
      <c r="D781" t="s">
        <v>1197</v>
      </c>
      <c r="E781" t="s">
        <v>2321</v>
      </c>
      <c r="F781" t="s">
        <v>2322</v>
      </c>
      <c r="H781" t="s">
        <v>17</v>
      </c>
      <c r="I781" t="s">
        <v>2320</v>
      </c>
    </row>
    <row r="782" spans="1:9" x14ac:dyDescent="0.3">
      <c r="A782" t="s">
        <v>2212</v>
      </c>
      <c r="B782" t="s">
        <v>2317</v>
      </c>
      <c r="C782" t="s">
        <v>13</v>
      </c>
      <c r="D782" t="s">
        <v>1201</v>
      </c>
      <c r="E782" t="s">
        <v>796</v>
      </c>
      <c r="F782" t="s">
        <v>2323</v>
      </c>
      <c r="H782" t="s">
        <v>17</v>
      </c>
      <c r="I782" t="s">
        <v>2320</v>
      </c>
    </row>
    <row r="783" spans="1:9" x14ac:dyDescent="0.3">
      <c r="A783" t="s">
        <v>2212</v>
      </c>
      <c r="B783" t="s">
        <v>2317</v>
      </c>
      <c r="C783" t="s">
        <v>13</v>
      </c>
      <c r="D783" t="s">
        <v>1205</v>
      </c>
      <c r="E783" t="s">
        <v>2324</v>
      </c>
      <c r="F783" t="s">
        <v>2325</v>
      </c>
      <c r="H783" t="s">
        <v>17</v>
      </c>
      <c r="I783" t="s">
        <v>2320</v>
      </c>
    </row>
    <row r="784" spans="1:9" x14ac:dyDescent="0.3">
      <c r="A784" t="s">
        <v>2212</v>
      </c>
      <c r="B784" t="s">
        <v>2326</v>
      </c>
      <c r="C784" t="s">
        <v>13</v>
      </c>
      <c r="D784" t="s">
        <v>1213</v>
      </c>
      <c r="E784" t="s">
        <v>2327</v>
      </c>
      <c r="F784" t="s">
        <v>2328</v>
      </c>
      <c r="H784" t="s">
        <v>17</v>
      </c>
      <c r="I784" t="s">
        <v>2329</v>
      </c>
    </row>
    <row r="785" spans="1:9" x14ac:dyDescent="0.3">
      <c r="A785" t="s">
        <v>2212</v>
      </c>
      <c r="B785" t="s">
        <v>2326</v>
      </c>
      <c r="C785" t="s">
        <v>13</v>
      </c>
      <c r="D785" t="s">
        <v>1219</v>
      </c>
      <c r="E785" t="s">
        <v>2330</v>
      </c>
      <c r="F785" t="s">
        <v>2331</v>
      </c>
      <c r="H785" t="s">
        <v>17</v>
      </c>
      <c r="I785" t="s">
        <v>2329</v>
      </c>
    </row>
    <row r="786" spans="1:9" x14ac:dyDescent="0.3">
      <c r="A786" t="s">
        <v>2212</v>
      </c>
      <c r="B786" t="s">
        <v>2326</v>
      </c>
      <c r="C786" t="s">
        <v>13</v>
      </c>
      <c r="D786" t="s">
        <v>1224</v>
      </c>
      <c r="E786" t="s">
        <v>2332</v>
      </c>
      <c r="F786" t="s">
        <v>2333</v>
      </c>
      <c r="H786" t="s">
        <v>17</v>
      </c>
      <c r="I786" t="s">
        <v>2329</v>
      </c>
    </row>
    <row r="787" spans="1:9" x14ac:dyDescent="0.3">
      <c r="A787" t="s">
        <v>2212</v>
      </c>
      <c r="B787" t="s">
        <v>2326</v>
      </c>
      <c r="C787" t="s">
        <v>13</v>
      </c>
      <c r="D787" t="s">
        <v>1228</v>
      </c>
      <c r="E787" t="s">
        <v>2334</v>
      </c>
      <c r="F787" t="s">
        <v>2335</v>
      </c>
      <c r="H787" t="s">
        <v>17</v>
      </c>
      <c r="I787" t="s">
        <v>2329</v>
      </c>
    </row>
    <row r="788" spans="1:9" x14ac:dyDescent="0.3">
      <c r="A788" t="s">
        <v>2212</v>
      </c>
      <c r="B788" t="s">
        <v>2326</v>
      </c>
      <c r="C788" t="s">
        <v>13</v>
      </c>
      <c r="D788" t="s">
        <v>1232</v>
      </c>
      <c r="E788" t="s">
        <v>2336</v>
      </c>
      <c r="F788" t="s">
        <v>2337</v>
      </c>
      <c r="H788" t="s">
        <v>17</v>
      </c>
      <c r="I788" t="s">
        <v>2329</v>
      </c>
    </row>
    <row r="789" spans="1:9" x14ac:dyDescent="0.3">
      <c r="A789" t="s">
        <v>2212</v>
      </c>
      <c r="B789" t="s">
        <v>2326</v>
      </c>
      <c r="C789" t="s">
        <v>13</v>
      </c>
      <c r="D789" t="s">
        <v>1236</v>
      </c>
      <c r="E789" t="s">
        <v>2338</v>
      </c>
      <c r="F789" t="s">
        <v>2339</v>
      </c>
      <c r="H789" t="s">
        <v>17</v>
      </c>
      <c r="I789" t="s">
        <v>2329</v>
      </c>
    </row>
    <row r="790" spans="1:9" x14ac:dyDescent="0.3">
      <c r="A790" t="s">
        <v>2212</v>
      </c>
      <c r="B790" t="s">
        <v>2326</v>
      </c>
      <c r="C790" t="s">
        <v>13</v>
      </c>
      <c r="D790" t="s">
        <v>1240</v>
      </c>
      <c r="E790" t="s">
        <v>2340</v>
      </c>
      <c r="F790" t="s">
        <v>2341</v>
      </c>
      <c r="H790" t="s">
        <v>17</v>
      </c>
      <c r="I790" t="s">
        <v>2329</v>
      </c>
    </row>
    <row r="791" spans="1:9" x14ac:dyDescent="0.3">
      <c r="A791" t="s">
        <v>2212</v>
      </c>
      <c r="B791" t="s">
        <v>2342</v>
      </c>
      <c r="C791" t="s">
        <v>13</v>
      </c>
      <c r="D791" t="s">
        <v>1244</v>
      </c>
      <c r="E791" t="s">
        <v>2343</v>
      </c>
      <c r="F791" t="s">
        <v>2344</v>
      </c>
      <c r="H791" t="s">
        <v>17</v>
      </c>
      <c r="I791" t="s">
        <v>2329</v>
      </c>
    </row>
    <row r="792" spans="1:9" x14ac:dyDescent="0.3">
      <c r="A792" t="s">
        <v>2212</v>
      </c>
      <c r="B792" t="s">
        <v>2342</v>
      </c>
      <c r="C792" t="s">
        <v>13</v>
      </c>
      <c r="D792" t="s">
        <v>1248</v>
      </c>
      <c r="E792" t="s">
        <v>2345</v>
      </c>
      <c r="F792" t="s">
        <v>2346</v>
      </c>
      <c r="H792" t="s">
        <v>17</v>
      </c>
      <c r="I792" t="s">
        <v>2329</v>
      </c>
    </row>
    <row r="793" spans="1:9" x14ac:dyDescent="0.3">
      <c r="A793" t="s">
        <v>2212</v>
      </c>
      <c r="B793" t="s">
        <v>2342</v>
      </c>
      <c r="C793" t="s">
        <v>13</v>
      </c>
      <c r="D793" t="s">
        <v>1252</v>
      </c>
      <c r="E793" t="s">
        <v>2347</v>
      </c>
      <c r="F793" t="s">
        <v>2348</v>
      </c>
      <c r="H793" t="s">
        <v>17</v>
      </c>
      <c r="I793" t="s">
        <v>2329</v>
      </c>
    </row>
    <row r="794" spans="1:9" x14ac:dyDescent="0.3">
      <c r="A794" t="s">
        <v>2212</v>
      </c>
      <c r="B794" t="s">
        <v>2342</v>
      </c>
      <c r="C794" t="s">
        <v>13</v>
      </c>
      <c r="D794" t="s">
        <v>1256</v>
      </c>
      <c r="E794" t="s">
        <v>2349</v>
      </c>
      <c r="F794" t="s">
        <v>2350</v>
      </c>
      <c r="H794" t="s">
        <v>17</v>
      </c>
      <c r="I794" t="s">
        <v>2329</v>
      </c>
    </row>
    <row r="795" spans="1:9" x14ac:dyDescent="0.3">
      <c r="A795" t="s">
        <v>2212</v>
      </c>
      <c r="B795" t="s">
        <v>2342</v>
      </c>
      <c r="C795" t="s">
        <v>13</v>
      </c>
      <c r="D795" t="s">
        <v>1261</v>
      </c>
      <c r="E795" t="s">
        <v>2351</v>
      </c>
      <c r="F795" t="s">
        <v>2352</v>
      </c>
      <c r="H795" t="s">
        <v>17</v>
      </c>
      <c r="I795" t="s">
        <v>2329</v>
      </c>
    </row>
    <row r="796" spans="1:9" x14ac:dyDescent="0.3">
      <c r="A796" t="s">
        <v>2212</v>
      </c>
      <c r="B796" t="s">
        <v>2342</v>
      </c>
      <c r="C796" t="s">
        <v>13</v>
      </c>
      <c r="D796" t="s">
        <v>1270</v>
      </c>
      <c r="E796" t="s">
        <v>2353</v>
      </c>
      <c r="F796" t="s">
        <v>2354</v>
      </c>
      <c r="H796" t="s">
        <v>17</v>
      </c>
      <c r="I796" t="s">
        <v>2355</v>
      </c>
    </row>
    <row r="797" spans="1:9" x14ac:dyDescent="0.3">
      <c r="A797" t="s">
        <v>2212</v>
      </c>
      <c r="B797" t="s">
        <v>2356</v>
      </c>
      <c r="C797" t="s">
        <v>13</v>
      </c>
      <c r="D797" t="s">
        <v>1276</v>
      </c>
      <c r="E797" t="s">
        <v>2357</v>
      </c>
      <c r="F797" t="s">
        <v>2358</v>
      </c>
      <c r="H797" t="s">
        <v>17</v>
      </c>
      <c r="I797" t="s">
        <v>2355</v>
      </c>
    </row>
    <row r="798" spans="1:9" x14ac:dyDescent="0.3">
      <c r="A798" t="s">
        <v>2212</v>
      </c>
      <c r="B798" t="s">
        <v>2356</v>
      </c>
      <c r="C798" t="s">
        <v>13</v>
      </c>
      <c r="D798" t="s">
        <v>303</v>
      </c>
      <c r="E798" t="s">
        <v>2359</v>
      </c>
      <c r="F798" t="s">
        <v>2360</v>
      </c>
      <c r="H798" t="s">
        <v>17</v>
      </c>
      <c r="I798" t="s">
        <v>2355</v>
      </c>
    </row>
    <row r="799" spans="1:9" x14ac:dyDescent="0.3">
      <c r="A799" t="s">
        <v>2212</v>
      </c>
      <c r="B799" t="s">
        <v>2356</v>
      </c>
      <c r="C799" t="s">
        <v>13</v>
      </c>
      <c r="D799" t="s">
        <v>308</v>
      </c>
      <c r="E799" t="s">
        <v>2361</v>
      </c>
      <c r="F799" t="s">
        <v>2362</v>
      </c>
      <c r="H799" t="s">
        <v>17</v>
      </c>
      <c r="I799" t="s">
        <v>2355</v>
      </c>
    </row>
    <row r="800" spans="1:9" x14ac:dyDescent="0.3">
      <c r="A800" t="s">
        <v>2212</v>
      </c>
      <c r="B800" t="s">
        <v>2356</v>
      </c>
      <c r="C800" t="s">
        <v>13</v>
      </c>
      <c r="D800" t="s">
        <v>312</v>
      </c>
      <c r="E800" t="s">
        <v>2363</v>
      </c>
      <c r="F800" t="s">
        <v>2364</v>
      </c>
      <c r="H800" t="s">
        <v>17</v>
      </c>
      <c r="I800" t="s">
        <v>2365</v>
      </c>
    </row>
    <row r="801" spans="1:9" x14ac:dyDescent="0.3">
      <c r="A801" t="s">
        <v>2212</v>
      </c>
      <c r="B801" t="s">
        <v>2356</v>
      </c>
      <c r="C801" t="s">
        <v>13</v>
      </c>
      <c r="D801" t="s">
        <v>316</v>
      </c>
      <c r="E801" t="s">
        <v>2366</v>
      </c>
      <c r="F801" t="s">
        <v>2367</v>
      </c>
      <c r="H801" t="s">
        <v>17</v>
      </c>
      <c r="I801" t="s">
        <v>2365</v>
      </c>
    </row>
    <row r="802" spans="1:9" x14ac:dyDescent="0.3">
      <c r="A802" t="s">
        <v>2212</v>
      </c>
      <c r="B802" t="s">
        <v>2356</v>
      </c>
      <c r="C802" t="s">
        <v>13</v>
      </c>
      <c r="D802" t="s">
        <v>319</v>
      </c>
      <c r="E802" t="s">
        <v>2368</v>
      </c>
      <c r="F802" t="s">
        <v>2369</v>
      </c>
      <c r="H802" t="s">
        <v>17</v>
      </c>
      <c r="I802" t="s">
        <v>2370</v>
      </c>
    </row>
    <row r="803" spans="1:9" x14ac:dyDescent="0.3">
      <c r="A803" t="s">
        <v>2212</v>
      </c>
      <c r="B803" t="s">
        <v>2356</v>
      </c>
      <c r="C803" t="s">
        <v>13</v>
      </c>
      <c r="D803" t="s">
        <v>327</v>
      </c>
      <c r="E803" t="s">
        <v>2371</v>
      </c>
      <c r="F803" t="s">
        <v>2372</v>
      </c>
      <c r="H803" t="s">
        <v>17</v>
      </c>
      <c r="I803" t="s">
        <v>1217</v>
      </c>
    </row>
    <row r="804" spans="1:9" x14ac:dyDescent="0.3">
      <c r="A804" t="s">
        <v>2212</v>
      </c>
      <c r="B804" t="s">
        <v>2373</v>
      </c>
      <c r="C804" t="s">
        <v>13</v>
      </c>
      <c r="D804" t="s">
        <v>332</v>
      </c>
      <c r="E804" t="s">
        <v>2374</v>
      </c>
      <c r="F804" t="s">
        <v>2375</v>
      </c>
      <c r="H804" t="s">
        <v>17</v>
      </c>
      <c r="I804" t="s">
        <v>2376</v>
      </c>
    </row>
    <row r="805" spans="1:9" x14ac:dyDescent="0.3">
      <c r="A805" t="s">
        <v>2212</v>
      </c>
      <c r="B805" t="s">
        <v>2373</v>
      </c>
      <c r="C805" t="s">
        <v>13</v>
      </c>
      <c r="D805" t="s">
        <v>335</v>
      </c>
      <c r="E805" t="s">
        <v>2377</v>
      </c>
      <c r="F805" t="s">
        <v>2378</v>
      </c>
      <c r="H805" t="s">
        <v>17</v>
      </c>
      <c r="I805" t="s">
        <v>2376</v>
      </c>
    </row>
    <row r="806" spans="1:9" x14ac:dyDescent="0.3">
      <c r="A806" t="s">
        <v>2212</v>
      </c>
      <c r="B806" t="s">
        <v>2373</v>
      </c>
      <c r="C806" t="s">
        <v>13</v>
      </c>
      <c r="D806" t="s">
        <v>338</v>
      </c>
      <c r="E806" t="s">
        <v>2379</v>
      </c>
      <c r="F806" t="s">
        <v>2380</v>
      </c>
      <c r="H806" t="s">
        <v>17</v>
      </c>
      <c r="I806" t="s">
        <v>2376</v>
      </c>
    </row>
    <row r="807" spans="1:9" x14ac:dyDescent="0.3">
      <c r="A807" t="s">
        <v>2212</v>
      </c>
      <c r="B807" t="s">
        <v>2373</v>
      </c>
      <c r="C807" t="s">
        <v>13</v>
      </c>
      <c r="D807" t="s">
        <v>341</v>
      </c>
      <c r="E807" t="s">
        <v>2381</v>
      </c>
      <c r="F807" t="s">
        <v>2382</v>
      </c>
      <c r="H807" t="s">
        <v>17</v>
      </c>
      <c r="I807" t="s">
        <v>2376</v>
      </c>
    </row>
    <row r="808" spans="1:9" x14ac:dyDescent="0.3">
      <c r="A808" t="s">
        <v>2212</v>
      </c>
      <c r="B808" t="s">
        <v>2373</v>
      </c>
      <c r="C808" t="s">
        <v>13</v>
      </c>
      <c r="D808" t="s">
        <v>344</v>
      </c>
      <c r="E808" t="s">
        <v>2383</v>
      </c>
      <c r="F808" t="s">
        <v>2384</v>
      </c>
      <c r="H808" t="s">
        <v>17</v>
      </c>
      <c r="I808" t="s">
        <v>2376</v>
      </c>
    </row>
    <row r="809" spans="1:9" x14ac:dyDescent="0.3">
      <c r="A809" t="s">
        <v>2212</v>
      </c>
      <c r="B809" t="s">
        <v>2373</v>
      </c>
      <c r="C809" t="s">
        <v>13</v>
      </c>
      <c r="D809" t="s">
        <v>347</v>
      </c>
      <c r="E809" t="s">
        <v>2385</v>
      </c>
      <c r="F809" t="s">
        <v>2386</v>
      </c>
      <c r="H809" t="s">
        <v>17</v>
      </c>
      <c r="I809" t="s">
        <v>2376</v>
      </c>
    </row>
    <row r="810" spans="1:9" x14ac:dyDescent="0.3">
      <c r="A810" t="s">
        <v>2212</v>
      </c>
      <c r="B810" t="s">
        <v>2373</v>
      </c>
      <c r="C810" t="s">
        <v>13</v>
      </c>
      <c r="D810" t="s">
        <v>353</v>
      </c>
      <c r="E810" t="s">
        <v>2387</v>
      </c>
      <c r="F810" t="s">
        <v>2388</v>
      </c>
      <c r="H810" t="s">
        <v>17</v>
      </c>
      <c r="I810" t="s">
        <v>2376</v>
      </c>
    </row>
    <row r="811" spans="1:9" x14ac:dyDescent="0.3">
      <c r="A811" t="s">
        <v>2212</v>
      </c>
      <c r="B811" t="s">
        <v>2373</v>
      </c>
      <c r="C811" t="s">
        <v>13</v>
      </c>
      <c r="D811" t="s">
        <v>358</v>
      </c>
      <c r="E811" t="s">
        <v>2389</v>
      </c>
      <c r="F811" t="s">
        <v>2390</v>
      </c>
      <c r="H811" t="s">
        <v>17</v>
      </c>
      <c r="I811" t="s">
        <v>2376</v>
      </c>
    </row>
    <row r="812" spans="1:9" x14ac:dyDescent="0.3">
      <c r="A812" t="s">
        <v>2212</v>
      </c>
      <c r="B812" t="s">
        <v>2373</v>
      </c>
      <c r="C812" t="s">
        <v>13</v>
      </c>
      <c r="D812" t="s">
        <v>361</v>
      </c>
      <c r="E812" t="s">
        <v>2391</v>
      </c>
      <c r="F812" t="s">
        <v>2392</v>
      </c>
      <c r="H812" t="s">
        <v>17</v>
      </c>
      <c r="I812" t="s">
        <v>2376</v>
      </c>
    </row>
    <row r="813" spans="1:9" x14ac:dyDescent="0.3">
      <c r="A813" t="s">
        <v>2212</v>
      </c>
      <c r="B813" t="s">
        <v>2373</v>
      </c>
      <c r="C813" t="s">
        <v>13</v>
      </c>
      <c r="D813" t="s">
        <v>364</v>
      </c>
      <c r="E813" t="s">
        <v>2393</v>
      </c>
      <c r="F813" t="s">
        <v>2394</v>
      </c>
      <c r="H813" t="s">
        <v>17</v>
      </c>
      <c r="I813" t="s">
        <v>2376</v>
      </c>
    </row>
    <row r="814" spans="1:9" x14ac:dyDescent="0.3">
      <c r="A814" t="s">
        <v>2212</v>
      </c>
      <c r="B814" t="s">
        <v>2373</v>
      </c>
      <c r="C814" t="s">
        <v>13</v>
      </c>
      <c r="D814" t="s">
        <v>367</v>
      </c>
      <c r="E814" t="s">
        <v>2395</v>
      </c>
      <c r="F814" t="s">
        <v>2396</v>
      </c>
      <c r="H814" t="s">
        <v>17</v>
      </c>
      <c r="I814" t="s">
        <v>2376</v>
      </c>
    </row>
    <row r="815" spans="1:9" x14ac:dyDescent="0.3">
      <c r="A815" t="s">
        <v>2212</v>
      </c>
      <c r="B815" t="s">
        <v>2373</v>
      </c>
      <c r="C815" t="s">
        <v>13</v>
      </c>
      <c r="D815" t="s">
        <v>370</v>
      </c>
      <c r="E815" t="s">
        <v>2397</v>
      </c>
      <c r="F815" t="s">
        <v>2398</v>
      </c>
      <c r="H815" t="s">
        <v>17</v>
      </c>
      <c r="I815" t="s">
        <v>2399</v>
      </c>
    </row>
    <row r="816" spans="1:9" x14ac:dyDescent="0.3">
      <c r="A816" t="s">
        <v>2212</v>
      </c>
      <c r="B816" t="s">
        <v>2373</v>
      </c>
      <c r="C816" t="s">
        <v>13</v>
      </c>
      <c r="D816" t="s">
        <v>373</v>
      </c>
      <c r="E816" t="s">
        <v>2400</v>
      </c>
      <c r="F816" t="s">
        <v>2401</v>
      </c>
      <c r="H816" t="s">
        <v>17</v>
      </c>
      <c r="I816" t="s">
        <v>2402</v>
      </c>
    </row>
    <row r="817" spans="1:9" x14ac:dyDescent="0.3">
      <c r="A817" t="s">
        <v>2212</v>
      </c>
      <c r="B817" t="s">
        <v>2373</v>
      </c>
      <c r="C817" t="s">
        <v>13</v>
      </c>
      <c r="D817" t="s">
        <v>376</v>
      </c>
      <c r="E817" t="s">
        <v>2403</v>
      </c>
      <c r="F817" t="s">
        <v>2404</v>
      </c>
      <c r="H817" t="s">
        <v>17</v>
      </c>
      <c r="I817" t="s">
        <v>2402</v>
      </c>
    </row>
    <row r="818" spans="1:9" x14ac:dyDescent="0.3">
      <c r="A818" t="s">
        <v>2212</v>
      </c>
      <c r="B818" t="s">
        <v>2373</v>
      </c>
      <c r="C818" t="s">
        <v>13</v>
      </c>
      <c r="D818" t="s">
        <v>1681</v>
      </c>
      <c r="E818" t="s">
        <v>2405</v>
      </c>
      <c r="F818" t="s">
        <v>2406</v>
      </c>
      <c r="H818" t="s">
        <v>17</v>
      </c>
      <c r="I818" t="s">
        <v>2057</v>
      </c>
    </row>
    <row r="819" spans="1:9" x14ac:dyDescent="0.3">
      <c r="A819" t="s">
        <v>2212</v>
      </c>
      <c r="B819" t="s">
        <v>2373</v>
      </c>
      <c r="C819" t="s">
        <v>13</v>
      </c>
      <c r="D819" t="s">
        <v>1683</v>
      </c>
      <c r="E819" t="s">
        <v>2407</v>
      </c>
      <c r="F819" t="s">
        <v>2408</v>
      </c>
      <c r="H819" t="s">
        <v>17</v>
      </c>
      <c r="I819" t="s">
        <v>2409</v>
      </c>
    </row>
    <row r="820" spans="1:9" x14ac:dyDescent="0.3">
      <c r="A820" t="s">
        <v>2212</v>
      </c>
      <c r="B820" t="s">
        <v>2373</v>
      </c>
      <c r="C820" t="s">
        <v>13</v>
      </c>
      <c r="D820" t="s">
        <v>1685</v>
      </c>
      <c r="E820" t="s">
        <v>2410</v>
      </c>
      <c r="F820" t="s">
        <v>2411</v>
      </c>
      <c r="H820" t="s">
        <v>17</v>
      </c>
      <c r="I820" t="s">
        <v>2412</v>
      </c>
    </row>
    <row r="821" spans="1:9" x14ac:dyDescent="0.3">
      <c r="A821" t="s">
        <v>2212</v>
      </c>
      <c r="B821" t="s">
        <v>2373</v>
      </c>
      <c r="C821" t="s">
        <v>13</v>
      </c>
      <c r="D821" t="s">
        <v>2413</v>
      </c>
      <c r="E821" t="s">
        <v>2414</v>
      </c>
      <c r="F821" t="s">
        <v>2415</v>
      </c>
      <c r="H821" t="s">
        <v>17</v>
      </c>
      <c r="I821" t="s">
        <v>2416</v>
      </c>
    </row>
    <row r="822" spans="1:9" x14ac:dyDescent="0.3">
      <c r="A822" t="s">
        <v>2212</v>
      </c>
      <c r="B822" t="s">
        <v>2373</v>
      </c>
      <c r="C822" t="s">
        <v>13</v>
      </c>
      <c r="D822" t="s">
        <v>2417</v>
      </c>
      <c r="E822" t="s">
        <v>2418</v>
      </c>
      <c r="F822" t="s">
        <v>2419</v>
      </c>
      <c r="H822" t="s">
        <v>17</v>
      </c>
      <c r="I822" t="s">
        <v>2420</v>
      </c>
    </row>
    <row r="823" spans="1:9" x14ac:dyDescent="0.3">
      <c r="A823" t="s">
        <v>2212</v>
      </c>
      <c r="B823" t="s">
        <v>2373</v>
      </c>
      <c r="C823" t="s">
        <v>13</v>
      </c>
      <c r="D823" t="s">
        <v>2421</v>
      </c>
      <c r="E823" t="s">
        <v>2422</v>
      </c>
      <c r="F823" t="s">
        <v>2423</v>
      </c>
      <c r="H823" t="s">
        <v>17</v>
      </c>
      <c r="I823" t="s">
        <v>2424</v>
      </c>
    </row>
    <row r="824" spans="1:9" x14ac:dyDescent="0.3">
      <c r="A824" t="s">
        <v>2212</v>
      </c>
      <c r="B824" t="s">
        <v>2425</v>
      </c>
      <c r="C824" t="s">
        <v>13</v>
      </c>
      <c r="D824" t="s">
        <v>1690</v>
      </c>
      <c r="E824" t="s">
        <v>2426</v>
      </c>
      <c r="F824" t="s">
        <v>2427</v>
      </c>
      <c r="H824" t="s">
        <v>17</v>
      </c>
      <c r="I824" t="s">
        <v>2424</v>
      </c>
    </row>
    <row r="825" spans="1:9" x14ac:dyDescent="0.3">
      <c r="A825" t="s">
        <v>2212</v>
      </c>
      <c r="B825" t="s">
        <v>2425</v>
      </c>
      <c r="C825" t="s">
        <v>13</v>
      </c>
      <c r="D825" t="s">
        <v>2428</v>
      </c>
      <c r="E825" t="s">
        <v>2429</v>
      </c>
      <c r="F825" t="s">
        <v>2430</v>
      </c>
      <c r="H825" t="s">
        <v>17</v>
      </c>
      <c r="I825" t="s">
        <v>2424</v>
      </c>
    </row>
    <row r="826" spans="1:9" x14ac:dyDescent="0.3">
      <c r="A826" t="s">
        <v>2212</v>
      </c>
      <c r="B826" t="s">
        <v>2425</v>
      </c>
      <c r="C826" t="s">
        <v>13</v>
      </c>
      <c r="D826" t="s">
        <v>2431</v>
      </c>
      <c r="E826" t="s">
        <v>2432</v>
      </c>
      <c r="F826" t="s">
        <v>2433</v>
      </c>
      <c r="H826" t="s">
        <v>17</v>
      </c>
      <c r="I826" t="s">
        <v>2424</v>
      </c>
    </row>
    <row r="827" spans="1:9" x14ac:dyDescent="0.3">
      <c r="A827" t="s">
        <v>2212</v>
      </c>
      <c r="B827" t="s">
        <v>2425</v>
      </c>
      <c r="C827" t="s">
        <v>13</v>
      </c>
      <c r="D827" t="s">
        <v>1693</v>
      </c>
      <c r="E827" t="s">
        <v>2434</v>
      </c>
      <c r="F827" t="s">
        <v>2435</v>
      </c>
      <c r="H827" t="s">
        <v>17</v>
      </c>
      <c r="I827" t="s">
        <v>2424</v>
      </c>
    </row>
    <row r="828" spans="1:9" x14ac:dyDescent="0.3">
      <c r="A828" t="s">
        <v>2212</v>
      </c>
      <c r="B828" t="s">
        <v>2425</v>
      </c>
      <c r="C828" t="s">
        <v>13</v>
      </c>
      <c r="D828" t="s">
        <v>1694</v>
      </c>
      <c r="E828" t="s">
        <v>2436</v>
      </c>
      <c r="F828" t="s">
        <v>2437</v>
      </c>
      <c r="H828" t="s">
        <v>17</v>
      </c>
      <c r="I828" t="s">
        <v>2424</v>
      </c>
    </row>
    <row r="829" spans="1:9" x14ac:dyDescent="0.3">
      <c r="A829" t="s">
        <v>2212</v>
      </c>
      <c r="B829" t="s">
        <v>2425</v>
      </c>
      <c r="C829" t="s">
        <v>13</v>
      </c>
      <c r="D829" t="s">
        <v>2438</v>
      </c>
      <c r="E829" t="s">
        <v>2439</v>
      </c>
      <c r="F829" t="s">
        <v>2440</v>
      </c>
      <c r="H829" t="s">
        <v>17</v>
      </c>
      <c r="I829" t="s">
        <v>2424</v>
      </c>
    </row>
    <row r="830" spans="1:9" x14ac:dyDescent="0.3">
      <c r="A830" t="s">
        <v>2212</v>
      </c>
      <c r="B830" t="s">
        <v>2425</v>
      </c>
      <c r="C830" t="s">
        <v>13</v>
      </c>
      <c r="D830" t="s">
        <v>2441</v>
      </c>
      <c r="E830" t="s">
        <v>2442</v>
      </c>
      <c r="F830" t="s">
        <v>2443</v>
      </c>
      <c r="H830" t="s">
        <v>17</v>
      </c>
      <c r="I830" t="s">
        <v>2424</v>
      </c>
    </row>
    <row r="831" spans="1:9" x14ac:dyDescent="0.3">
      <c r="A831" t="s">
        <v>2212</v>
      </c>
      <c r="B831" t="s">
        <v>2425</v>
      </c>
      <c r="C831" t="s">
        <v>13</v>
      </c>
      <c r="D831" t="s">
        <v>410</v>
      </c>
      <c r="E831" t="s">
        <v>2444</v>
      </c>
      <c r="F831" t="s">
        <v>2445</v>
      </c>
      <c r="H831" t="s">
        <v>17</v>
      </c>
      <c r="I831" t="s">
        <v>2424</v>
      </c>
    </row>
    <row r="832" spans="1:9" x14ac:dyDescent="0.3">
      <c r="A832" t="s">
        <v>2212</v>
      </c>
      <c r="B832" t="s">
        <v>2425</v>
      </c>
      <c r="C832" t="s">
        <v>13</v>
      </c>
      <c r="D832" t="s">
        <v>415</v>
      </c>
      <c r="E832" t="s">
        <v>2446</v>
      </c>
      <c r="F832" t="s">
        <v>2447</v>
      </c>
      <c r="H832" t="s">
        <v>17</v>
      </c>
      <c r="I832" t="s">
        <v>2424</v>
      </c>
    </row>
    <row r="833" spans="1:9" x14ac:dyDescent="0.3">
      <c r="A833" t="s">
        <v>2212</v>
      </c>
      <c r="B833" t="s">
        <v>2425</v>
      </c>
      <c r="C833" t="s">
        <v>13</v>
      </c>
      <c r="D833" t="s">
        <v>420</v>
      </c>
      <c r="E833" t="s">
        <v>2448</v>
      </c>
      <c r="F833" t="s">
        <v>2449</v>
      </c>
      <c r="H833" t="s">
        <v>17</v>
      </c>
      <c r="I833" t="s">
        <v>2424</v>
      </c>
    </row>
    <row r="834" spans="1:9" x14ac:dyDescent="0.3">
      <c r="A834" t="s">
        <v>2212</v>
      </c>
      <c r="B834" t="s">
        <v>2425</v>
      </c>
      <c r="C834" t="s">
        <v>13</v>
      </c>
      <c r="D834" t="s">
        <v>423</v>
      </c>
      <c r="E834" t="s">
        <v>2450</v>
      </c>
      <c r="F834" t="s">
        <v>2451</v>
      </c>
      <c r="H834" t="s">
        <v>17</v>
      </c>
      <c r="I834" t="s">
        <v>232</v>
      </c>
    </row>
    <row r="835" spans="1:9" x14ac:dyDescent="0.3">
      <c r="A835" t="s">
        <v>2212</v>
      </c>
      <c r="B835" t="s">
        <v>2425</v>
      </c>
      <c r="C835" t="s">
        <v>13</v>
      </c>
      <c r="D835" t="s">
        <v>426</v>
      </c>
      <c r="E835" t="s">
        <v>2452</v>
      </c>
      <c r="F835" t="s">
        <v>2453</v>
      </c>
      <c r="H835" t="s">
        <v>17</v>
      </c>
      <c r="I835" t="s">
        <v>232</v>
      </c>
    </row>
    <row r="836" spans="1:9" x14ac:dyDescent="0.3">
      <c r="A836" t="s">
        <v>2212</v>
      </c>
      <c r="B836" t="s">
        <v>2425</v>
      </c>
      <c r="C836" t="s">
        <v>13</v>
      </c>
      <c r="D836" t="s">
        <v>429</v>
      </c>
      <c r="E836" t="s">
        <v>2454</v>
      </c>
      <c r="F836" t="s">
        <v>2455</v>
      </c>
      <c r="H836" t="s">
        <v>17</v>
      </c>
      <c r="I836" t="s">
        <v>232</v>
      </c>
    </row>
    <row r="837" spans="1:9" x14ac:dyDescent="0.3">
      <c r="A837" t="s">
        <v>2212</v>
      </c>
      <c r="B837" t="s">
        <v>2456</v>
      </c>
      <c r="C837" t="s">
        <v>13</v>
      </c>
      <c r="D837" t="s">
        <v>432</v>
      </c>
      <c r="E837" t="s">
        <v>2457</v>
      </c>
      <c r="F837" t="s">
        <v>2458</v>
      </c>
      <c r="H837" t="s">
        <v>17</v>
      </c>
      <c r="I837" t="s">
        <v>2459</v>
      </c>
    </row>
    <row r="838" spans="1:9" x14ac:dyDescent="0.3">
      <c r="A838" t="s">
        <v>2212</v>
      </c>
      <c r="B838" t="s">
        <v>2456</v>
      </c>
      <c r="C838" t="s">
        <v>13</v>
      </c>
      <c r="D838" t="s">
        <v>435</v>
      </c>
      <c r="E838" t="s">
        <v>2460</v>
      </c>
      <c r="F838" t="s">
        <v>2461</v>
      </c>
      <c r="H838" t="s">
        <v>17</v>
      </c>
      <c r="I838" t="s">
        <v>2459</v>
      </c>
    </row>
    <row r="839" spans="1:9" x14ac:dyDescent="0.3">
      <c r="A839" t="s">
        <v>2212</v>
      </c>
      <c r="B839" t="s">
        <v>2456</v>
      </c>
      <c r="C839" t="s">
        <v>13</v>
      </c>
      <c r="D839" t="s">
        <v>438</v>
      </c>
      <c r="E839" t="s">
        <v>2462</v>
      </c>
      <c r="F839" t="s">
        <v>2463</v>
      </c>
      <c r="H839" t="s">
        <v>17</v>
      </c>
      <c r="I839" t="s">
        <v>2459</v>
      </c>
    </row>
    <row r="840" spans="1:9" x14ac:dyDescent="0.3">
      <c r="A840" t="s">
        <v>2212</v>
      </c>
      <c r="B840" t="s">
        <v>2456</v>
      </c>
      <c r="C840" t="s">
        <v>13</v>
      </c>
      <c r="D840" t="s">
        <v>441</v>
      </c>
      <c r="E840" t="s">
        <v>2464</v>
      </c>
      <c r="F840" t="s">
        <v>2465</v>
      </c>
      <c r="H840" t="s">
        <v>17</v>
      </c>
      <c r="I840" t="s">
        <v>2459</v>
      </c>
    </row>
    <row r="841" spans="1:9" x14ac:dyDescent="0.3">
      <c r="A841" t="s">
        <v>2212</v>
      </c>
      <c r="B841" t="s">
        <v>2456</v>
      </c>
      <c r="C841" t="s">
        <v>13</v>
      </c>
      <c r="D841" t="s">
        <v>444</v>
      </c>
      <c r="E841" t="s">
        <v>2466</v>
      </c>
      <c r="F841" t="s">
        <v>2467</v>
      </c>
      <c r="H841" t="s">
        <v>17</v>
      </c>
      <c r="I841" t="s">
        <v>2459</v>
      </c>
    </row>
    <row r="842" spans="1:9" x14ac:dyDescent="0.3">
      <c r="A842" t="s">
        <v>2212</v>
      </c>
      <c r="B842" t="s">
        <v>2456</v>
      </c>
      <c r="C842" t="s">
        <v>13</v>
      </c>
      <c r="D842" t="s">
        <v>448</v>
      </c>
      <c r="E842" t="s">
        <v>2468</v>
      </c>
      <c r="F842" t="s">
        <v>2469</v>
      </c>
      <c r="H842" t="s">
        <v>17</v>
      </c>
      <c r="I842" t="s">
        <v>2459</v>
      </c>
    </row>
    <row r="843" spans="1:9" x14ac:dyDescent="0.3">
      <c r="A843" t="s">
        <v>2212</v>
      </c>
      <c r="B843" t="s">
        <v>2456</v>
      </c>
      <c r="C843" t="s">
        <v>13</v>
      </c>
      <c r="D843" t="s">
        <v>453</v>
      </c>
      <c r="E843" t="s">
        <v>2470</v>
      </c>
      <c r="F843" t="s">
        <v>2471</v>
      </c>
      <c r="H843" t="s">
        <v>17</v>
      </c>
      <c r="I843" t="s">
        <v>2459</v>
      </c>
    </row>
    <row r="844" spans="1:9" x14ac:dyDescent="0.3">
      <c r="A844" t="s">
        <v>2212</v>
      </c>
      <c r="B844" t="s">
        <v>2456</v>
      </c>
      <c r="C844" t="s">
        <v>13</v>
      </c>
      <c r="D844" t="s">
        <v>457</v>
      </c>
      <c r="E844" t="s">
        <v>2472</v>
      </c>
      <c r="F844" t="s">
        <v>2473</v>
      </c>
      <c r="H844" t="s">
        <v>17</v>
      </c>
      <c r="I844" t="s">
        <v>2459</v>
      </c>
    </row>
    <row r="845" spans="1:9" x14ac:dyDescent="0.3">
      <c r="A845" t="s">
        <v>2212</v>
      </c>
      <c r="B845" t="s">
        <v>2456</v>
      </c>
      <c r="C845" t="s">
        <v>13</v>
      </c>
      <c r="D845" t="s">
        <v>461</v>
      </c>
      <c r="E845" t="s">
        <v>2474</v>
      </c>
      <c r="F845" t="s">
        <v>2475</v>
      </c>
      <c r="H845" t="s">
        <v>17</v>
      </c>
      <c r="I845" t="s">
        <v>2459</v>
      </c>
    </row>
    <row r="846" spans="1:9" x14ac:dyDescent="0.3">
      <c r="A846" t="s">
        <v>2212</v>
      </c>
      <c r="B846" t="s">
        <v>2456</v>
      </c>
      <c r="C846" t="s">
        <v>13</v>
      </c>
      <c r="D846" t="s">
        <v>464</v>
      </c>
      <c r="E846" t="s">
        <v>2476</v>
      </c>
      <c r="F846" t="s">
        <v>2477</v>
      </c>
      <c r="H846" t="s">
        <v>17</v>
      </c>
      <c r="I846" t="s">
        <v>2478</v>
      </c>
    </row>
    <row r="847" spans="1:9" x14ac:dyDescent="0.3">
      <c r="A847" t="s">
        <v>2212</v>
      </c>
      <c r="B847" t="s">
        <v>2456</v>
      </c>
      <c r="C847" t="s">
        <v>13</v>
      </c>
      <c r="D847" t="s">
        <v>468</v>
      </c>
      <c r="E847" t="s">
        <v>2479</v>
      </c>
      <c r="F847" t="s">
        <v>2480</v>
      </c>
      <c r="H847" t="s">
        <v>17</v>
      </c>
      <c r="I847" t="s">
        <v>2481</v>
      </c>
    </row>
    <row r="848" spans="1:9" x14ac:dyDescent="0.3">
      <c r="A848" t="s">
        <v>2212</v>
      </c>
      <c r="B848" t="s">
        <v>2456</v>
      </c>
      <c r="C848" t="s">
        <v>13</v>
      </c>
      <c r="D848" t="s">
        <v>475</v>
      </c>
      <c r="E848" t="s">
        <v>2482</v>
      </c>
      <c r="F848" t="s">
        <v>2483</v>
      </c>
      <c r="H848" t="s">
        <v>17</v>
      </c>
      <c r="I848" t="s">
        <v>2484</v>
      </c>
    </row>
    <row r="849" spans="1:9" x14ac:dyDescent="0.3">
      <c r="A849" t="s">
        <v>2212</v>
      </c>
      <c r="B849" t="s">
        <v>2456</v>
      </c>
      <c r="C849" t="s">
        <v>13</v>
      </c>
      <c r="D849" t="s">
        <v>478</v>
      </c>
      <c r="E849" t="s">
        <v>2485</v>
      </c>
      <c r="F849" t="s">
        <v>2486</v>
      </c>
      <c r="H849" t="s">
        <v>17</v>
      </c>
      <c r="I849" t="s">
        <v>2143</v>
      </c>
    </row>
    <row r="850" spans="1:9" x14ac:dyDescent="0.3">
      <c r="A850" t="s">
        <v>2212</v>
      </c>
      <c r="B850" t="s">
        <v>2456</v>
      </c>
      <c r="C850" t="s">
        <v>13</v>
      </c>
      <c r="D850" t="s">
        <v>482</v>
      </c>
      <c r="E850" t="s">
        <v>2487</v>
      </c>
      <c r="F850" t="s">
        <v>2488</v>
      </c>
      <c r="H850" t="s">
        <v>17</v>
      </c>
      <c r="I850" t="s">
        <v>2143</v>
      </c>
    </row>
    <row r="851" spans="1:9" x14ac:dyDescent="0.3">
      <c r="A851" t="s">
        <v>2212</v>
      </c>
      <c r="B851" t="s">
        <v>2456</v>
      </c>
      <c r="C851" t="s">
        <v>13</v>
      </c>
      <c r="D851" t="s">
        <v>485</v>
      </c>
      <c r="E851" t="s">
        <v>2489</v>
      </c>
      <c r="F851" t="s">
        <v>2490</v>
      </c>
      <c r="H851" t="s">
        <v>17</v>
      </c>
      <c r="I851" t="s">
        <v>2491</v>
      </c>
    </row>
    <row r="852" spans="1:9" x14ac:dyDescent="0.3">
      <c r="A852" t="s">
        <v>2212</v>
      </c>
      <c r="B852" t="s">
        <v>2456</v>
      </c>
      <c r="C852" t="s">
        <v>13</v>
      </c>
      <c r="D852" t="s">
        <v>489</v>
      </c>
      <c r="E852" t="s">
        <v>2492</v>
      </c>
      <c r="F852" t="s">
        <v>2493</v>
      </c>
      <c r="H852" t="s">
        <v>17</v>
      </c>
      <c r="I852" t="s">
        <v>2494</v>
      </c>
    </row>
    <row r="853" spans="1:9" x14ac:dyDescent="0.3">
      <c r="A853" t="s">
        <v>2212</v>
      </c>
      <c r="B853" t="s">
        <v>2456</v>
      </c>
      <c r="C853" t="s">
        <v>13</v>
      </c>
      <c r="D853" t="s">
        <v>492</v>
      </c>
      <c r="E853" t="s">
        <v>2495</v>
      </c>
      <c r="F853" t="s">
        <v>2496</v>
      </c>
      <c r="H853" t="s">
        <v>17</v>
      </c>
      <c r="I853" t="s">
        <v>2497</v>
      </c>
    </row>
    <row r="854" spans="1:9" x14ac:dyDescent="0.3">
      <c r="A854" t="s">
        <v>2212</v>
      </c>
      <c r="B854" t="s">
        <v>2456</v>
      </c>
      <c r="C854" t="s">
        <v>13</v>
      </c>
      <c r="D854" t="s">
        <v>496</v>
      </c>
      <c r="E854" t="s">
        <v>2498</v>
      </c>
      <c r="F854" t="s">
        <v>2499</v>
      </c>
      <c r="H854" t="s">
        <v>17</v>
      </c>
      <c r="I854" t="s">
        <v>2500</v>
      </c>
    </row>
    <row r="855" spans="1:9" x14ac:dyDescent="0.3">
      <c r="A855" t="s">
        <v>2212</v>
      </c>
      <c r="B855" t="s">
        <v>2456</v>
      </c>
      <c r="C855" t="s">
        <v>13</v>
      </c>
      <c r="D855" t="s">
        <v>2501</v>
      </c>
      <c r="E855" t="s">
        <v>2502</v>
      </c>
      <c r="F855" t="s">
        <v>2503</v>
      </c>
      <c r="H855" t="s">
        <v>17</v>
      </c>
    </row>
    <row r="856" spans="1:9" x14ac:dyDescent="0.3">
      <c r="A856" t="s">
        <v>2212</v>
      </c>
      <c r="B856" t="s">
        <v>2456</v>
      </c>
      <c r="C856" t="s">
        <v>13</v>
      </c>
      <c r="D856" t="s">
        <v>507</v>
      </c>
      <c r="E856" t="s">
        <v>2504</v>
      </c>
      <c r="F856" t="s">
        <v>2505</v>
      </c>
      <c r="H856" t="s">
        <v>17</v>
      </c>
      <c r="I856" t="s">
        <v>2506</v>
      </c>
    </row>
    <row r="857" spans="1:9" x14ac:dyDescent="0.3">
      <c r="A857" t="s">
        <v>2212</v>
      </c>
      <c r="B857" t="s">
        <v>2456</v>
      </c>
      <c r="C857" t="s">
        <v>13</v>
      </c>
      <c r="D857" t="s">
        <v>511</v>
      </c>
      <c r="E857" t="s">
        <v>2507</v>
      </c>
      <c r="F857" t="s">
        <v>2508</v>
      </c>
      <c r="H857" t="s">
        <v>17</v>
      </c>
      <c r="I857" t="s">
        <v>2509</v>
      </c>
    </row>
    <row r="858" spans="1:9" x14ac:dyDescent="0.3">
      <c r="A858" t="s">
        <v>2212</v>
      </c>
      <c r="B858" t="s">
        <v>2456</v>
      </c>
      <c r="C858" t="s">
        <v>13</v>
      </c>
      <c r="D858" t="s">
        <v>514</v>
      </c>
      <c r="E858" t="s">
        <v>2510</v>
      </c>
      <c r="F858" t="s">
        <v>2511</v>
      </c>
      <c r="H858" t="s">
        <v>17</v>
      </c>
      <c r="I858" t="s">
        <v>2512</v>
      </c>
    </row>
    <row r="859" spans="1:9" x14ac:dyDescent="0.3">
      <c r="A859" t="s">
        <v>2212</v>
      </c>
      <c r="B859" t="s">
        <v>2456</v>
      </c>
      <c r="C859" t="s">
        <v>13</v>
      </c>
      <c r="D859" t="s">
        <v>518</v>
      </c>
      <c r="E859" t="s">
        <v>2513</v>
      </c>
      <c r="F859" t="s">
        <v>2514</v>
      </c>
      <c r="H859" t="s">
        <v>17</v>
      </c>
      <c r="I859" t="s">
        <v>2512</v>
      </c>
    </row>
    <row r="860" spans="1:9" x14ac:dyDescent="0.3">
      <c r="A860" t="s">
        <v>2212</v>
      </c>
      <c r="B860" t="s">
        <v>2456</v>
      </c>
      <c r="C860" t="s">
        <v>13</v>
      </c>
      <c r="D860" t="s">
        <v>525</v>
      </c>
      <c r="E860" t="s">
        <v>2515</v>
      </c>
      <c r="F860" t="s">
        <v>2516</v>
      </c>
      <c r="H860" t="s">
        <v>17</v>
      </c>
      <c r="I860" t="s">
        <v>2517</v>
      </c>
    </row>
    <row r="861" spans="1:9" x14ac:dyDescent="0.3">
      <c r="A861" t="s">
        <v>2212</v>
      </c>
      <c r="B861" t="s">
        <v>2456</v>
      </c>
      <c r="C861" t="s">
        <v>13</v>
      </c>
      <c r="D861" t="s">
        <v>528</v>
      </c>
      <c r="E861" t="s">
        <v>2518</v>
      </c>
      <c r="F861" t="s">
        <v>2519</v>
      </c>
      <c r="H861" t="s">
        <v>17</v>
      </c>
      <c r="I861" t="s">
        <v>2520</v>
      </c>
    </row>
    <row r="862" spans="1:9" x14ac:dyDescent="0.3">
      <c r="A862" t="s">
        <v>2212</v>
      </c>
      <c r="B862" t="s">
        <v>2456</v>
      </c>
      <c r="C862" t="s">
        <v>13</v>
      </c>
      <c r="D862" t="s">
        <v>532</v>
      </c>
      <c r="E862" t="s">
        <v>2521</v>
      </c>
      <c r="F862" t="s">
        <v>2522</v>
      </c>
      <c r="H862" t="s">
        <v>17</v>
      </c>
      <c r="I862" t="s">
        <v>2517</v>
      </c>
    </row>
    <row r="863" spans="1:9" x14ac:dyDescent="0.3">
      <c r="A863" t="s">
        <v>2212</v>
      </c>
      <c r="B863" t="s">
        <v>2456</v>
      </c>
      <c r="C863" t="s">
        <v>13</v>
      </c>
      <c r="D863" t="s">
        <v>535</v>
      </c>
      <c r="E863" t="s">
        <v>2523</v>
      </c>
      <c r="F863" t="s">
        <v>2524</v>
      </c>
      <c r="H863" t="s">
        <v>17</v>
      </c>
      <c r="I863" t="s">
        <v>2525</v>
      </c>
    </row>
    <row r="864" spans="1:9" x14ac:dyDescent="0.3">
      <c r="A864" t="s">
        <v>2212</v>
      </c>
      <c r="B864" t="s">
        <v>2456</v>
      </c>
      <c r="C864" t="s">
        <v>13</v>
      </c>
      <c r="D864" t="s">
        <v>1409</v>
      </c>
      <c r="E864" t="s">
        <v>2526</v>
      </c>
      <c r="F864" t="s">
        <v>2527</v>
      </c>
      <c r="H864" t="s">
        <v>17</v>
      </c>
      <c r="I864" t="s">
        <v>2528</v>
      </c>
    </row>
    <row r="865" spans="1:9" x14ac:dyDescent="0.3">
      <c r="A865" t="s">
        <v>2212</v>
      </c>
      <c r="B865" t="s">
        <v>2456</v>
      </c>
      <c r="C865" t="s">
        <v>13</v>
      </c>
      <c r="D865" t="s">
        <v>2529</v>
      </c>
      <c r="E865" t="s">
        <v>2530</v>
      </c>
      <c r="F865" t="s">
        <v>2531</v>
      </c>
      <c r="H865" t="s">
        <v>17</v>
      </c>
      <c r="I865" t="s">
        <v>2532</v>
      </c>
    </row>
    <row r="866" spans="1:9" x14ac:dyDescent="0.3">
      <c r="A866" t="s">
        <v>2212</v>
      </c>
      <c r="B866" t="s">
        <v>2456</v>
      </c>
      <c r="C866" t="s">
        <v>13</v>
      </c>
      <c r="D866" t="s">
        <v>559</v>
      </c>
      <c r="E866" t="s">
        <v>2533</v>
      </c>
      <c r="F866" t="s">
        <v>2534</v>
      </c>
      <c r="H866" t="s">
        <v>17</v>
      </c>
      <c r="I866" t="s">
        <v>2535</v>
      </c>
    </row>
    <row r="867" spans="1:9" x14ac:dyDescent="0.3">
      <c r="A867" t="s">
        <v>2212</v>
      </c>
      <c r="B867" t="s">
        <v>2456</v>
      </c>
      <c r="C867" t="s">
        <v>13</v>
      </c>
      <c r="D867" t="s">
        <v>1422</v>
      </c>
      <c r="E867" t="s">
        <v>2536</v>
      </c>
      <c r="F867" t="s">
        <v>2537</v>
      </c>
      <c r="H867" t="s">
        <v>17</v>
      </c>
      <c r="I867" t="s">
        <v>2538</v>
      </c>
    </row>
    <row r="868" spans="1:9" x14ac:dyDescent="0.3">
      <c r="A868" t="s">
        <v>2212</v>
      </c>
      <c r="B868" t="s">
        <v>2456</v>
      </c>
      <c r="C868" t="s">
        <v>13</v>
      </c>
      <c r="D868" t="s">
        <v>2539</v>
      </c>
      <c r="E868" t="s">
        <v>2540</v>
      </c>
      <c r="F868" t="s">
        <v>2537</v>
      </c>
      <c r="H868" t="s">
        <v>17</v>
      </c>
      <c r="I868" t="s">
        <v>2538</v>
      </c>
    </row>
    <row r="869" spans="1:9" x14ac:dyDescent="0.3">
      <c r="A869" t="s">
        <v>2212</v>
      </c>
      <c r="B869" t="s">
        <v>2456</v>
      </c>
      <c r="C869" t="s">
        <v>13</v>
      </c>
      <c r="D869" t="s">
        <v>569</v>
      </c>
      <c r="E869" t="s">
        <v>2541</v>
      </c>
      <c r="F869" t="s">
        <v>2537</v>
      </c>
      <c r="H869" t="s">
        <v>17</v>
      </c>
      <c r="I869" t="s">
        <v>2538</v>
      </c>
    </row>
    <row r="870" spans="1:9" x14ac:dyDescent="0.3">
      <c r="A870" t="s">
        <v>2212</v>
      </c>
      <c r="B870" t="s">
        <v>2456</v>
      </c>
      <c r="C870" t="s">
        <v>13</v>
      </c>
      <c r="D870" t="s">
        <v>574</v>
      </c>
      <c r="E870" t="s">
        <v>2542</v>
      </c>
      <c r="F870" t="s">
        <v>2537</v>
      </c>
      <c r="H870" t="s">
        <v>17</v>
      </c>
      <c r="I870" t="s">
        <v>2538</v>
      </c>
    </row>
    <row r="871" spans="1:9" x14ac:dyDescent="0.3">
      <c r="A871" t="s">
        <v>2212</v>
      </c>
      <c r="B871" t="s">
        <v>2456</v>
      </c>
      <c r="C871" t="s">
        <v>13</v>
      </c>
      <c r="D871" t="s">
        <v>2543</v>
      </c>
      <c r="E871" t="s">
        <v>2544</v>
      </c>
      <c r="F871" t="s">
        <v>2545</v>
      </c>
      <c r="H871" t="s">
        <v>17</v>
      </c>
      <c r="I871" t="s">
        <v>2546</v>
      </c>
    </row>
    <row r="872" spans="1:9" x14ac:dyDescent="0.3">
      <c r="A872" t="s">
        <v>2212</v>
      </c>
      <c r="B872" t="s">
        <v>2456</v>
      </c>
      <c r="C872" t="s">
        <v>13</v>
      </c>
      <c r="D872" t="s">
        <v>2547</v>
      </c>
      <c r="E872" t="s">
        <v>2548</v>
      </c>
      <c r="F872" t="s">
        <v>2549</v>
      </c>
      <c r="H872" t="s">
        <v>17</v>
      </c>
      <c r="I872" t="s">
        <v>2550</v>
      </c>
    </row>
    <row r="873" spans="1:9" x14ac:dyDescent="0.3">
      <c r="A873" t="s">
        <v>2212</v>
      </c>
      <c r="B873" t="s">
        <v>2456</v>
      </c>
      <c r="C873" t="s">
        <v>13</v>
      </c>
      <c r="D873" t="s">
        <v>1443</v>
      </c>
      <c r="E873" t="s">
        <v>2551</v>
      </c>
      <c r="F873" t="s">
        <v>2552</v>
      </c>
      <c r="H873" t="s">
        <v>17</v>
      </c>
      <c r="I873" t="s">
        <v>2553</v>
      </c>
    </row>
    <row r="874" spans="1:9" x14ac:dyDescent="0.3">
      <c r="A874" t="s">
        <v>2212</v>
      </c>
      <c r="B874" t="s">
        <v>2456</v>
      </c>
      <c r="C874" t="s">
        <v>13</v>
      </c>
      <c r="D874" t="s">
        <v>1447</v>
      </c>
      <c r="E874" t="s">
        <v>2554</v>
      </c>
      <c r="F874" t="s">
        <v>2555</v>
      </c>
      <c r="H874" t="s">
        <v>17</v>
      </c>
      <c r="I874" t="s">
        <v>2556</v>
      </c>
    </row>
    <row r="875" spans="1:9" x14ac:dyDescent="0.3">
      <c r="A875" t="s">
        <v>2212</v>
      </c>
      <c r="B875" t="s">
        <v>2456</v>
      </c>
      <c r="C875" t="s">
        <v>13</v>
      </c>
      <c r="D875" t="s">
        <v>1452</v>
      </c>
      <c r="E875" t="s">
        <v>2557</v>
      </c>
      <c r="F875" t="s">
        <v>2558</v>
      </c>
      <c r="H875" t="s">
        <v>17</v>
      </c>
      <c r="I875" t="s">
        <v>2559</v>
      </c>
    </row>
    <row r="876" spans="1:9" x14ac:dyDescent="0.3">
      <c r="A876" t="s">
        <v>2212</v>
      </c>
      <c r="B876" t="s">
        <v>2456</v>
      </c>
      <c r="C876" t="s">
        <v>13</v>
      </c>
      <c r="D876" t="s">
        <v>1455</v>
      </c>
      <c r="E876" t="s">
        <v>2560</v>
      </c>
      <c r="F876" t="s">
        <v>2561</v>
      </c>
      <c r="H876" t="s">
        <v>17</v>
      </c>
      <c r="I876" t="s">
        <v>2562</v>
      </c>
    </row>
    <row r="877" spans="1:9" x14ac:dyDescent="0.3">
      <c r="A877" t="s">
        <v>2212</v>
      </c>
      <c r="B877" t="s">
        <v>2456</v>
      </c>
      <c r="C877" t="s">
        <v>13</v>
      </c>
      <c r="D877" t="s">
        <v>2563</v>
      </c>
      <c r="E877" t="s">
        <v>2564</v>
      </c>
      <c r="F877" t="s">
        <v>2565</v>
      </c>
      <c r="H877" t="s">
        <v>17</v>
      </c>
      <c r="I877" t="s">
        <v>2566</v>
      </c>
    </row>
    <row r="878" spans="1:9" x14ac:dyDescent="0.3">
      <c r="A878" t="s">
        <v>2212</v>
      </c>
      <c r="B878" t="s">
        <v>2456</v>
      </c>
      <c r="C878" t="s">
        <v>13</v>
      </c>
      <c r="D878" t="s">
        <v>1462</v>
      </c>
      <c r="E878" t="s">
        <v>2567</v>
      </c>
      <c r="F878" t="s">
        <v>2568</v>
      </c>
      <c r="H878" t="s">
        <v>17</v>
      </c>
      <c r="I878" t="s">
        <v>2569</v>
      </c>
    </row>
    <row r="879" spans="1:9" x14ac:dyDescent="0.3">
      <c r="A879" t="s">
        <v>2212</v>
      </c>
      <c r="B879" t="s">
        <v>2456</v>
      </c>
      <c r="C879" t="s">
        <v>13</v>
      </c>
      <c r="D879" t="s">
        <v>1465</v>
      </c>
      <c r="E879" t="s">
        <v>2570</v>
      </c>
      <c r="F879" t="s">
        <v>2571</v>
      </c>
      <c r="H879" t="s">
        <v>17</v>
      </c>
      <c r="I879" t="s">
        <v>2572</v>
      </c>
    </row>
    <row r="880" spans="1:9" x14ac:dyDescent="0.3">
      <c r="A880" t="s">
        <v>2212</v>
      </c>
      <c r="B880" t="s">
        <v>2456</v>
      </c>
      <c r="C880" t="s">
        <v>13</v>
      </c>
      <c r="D880" t="s">
        <v>1469</v>
      </c>
      <c r="E880" t="s">
        <v>2573</v>
      </c>
      <c r="F880" t="s">
        <v>2574</v>
      </c>
      <c r="H880" t="s">
        <v>17</v>
      </c>
      <c r="I880" t="s">
        <v>1438</v>
      </c>
    </row>
    <row r="881" spans="1:9" x14ac:dyDescent="0.3">
      <c r="A881" t="s">
        <v>2212</v>
      </c>
      <c r="B881" t="s">
        <v>2456</v>
      </c>
      <c r="C881" t="s">
        <v>13</v>
      </c>
      <c r="D881" t="s">
        <v>1472</v>
      </c>
      <c r="E881" t="s">
        <v>2575</v>
      </c>
      <c r="F881" t="s">
        <v>2576</v>
      </c>
      <c r="H881" t="s">
        <v>17</v>
      </c>
      <c r="I881" t="s">
        <v>2577</v>
      </c>
    </row>
    <row r="882" spans="1:9" x14ac:dyDescent="0.3">
      <c r="A882" t="s">
        <v>2212</v>
      </c>
      <c r="B882" t="s">
        <v>2456</v>
      </c>
      <c r="C882" t="s">
        <v>13</v>
      </c>
      <c r="D882" t="s">
        <v>1475</v>
      </c>
      <c r="E882" t="s">
        <v>2578</v>
      </c>
      <c r="F882" t="s">
        <v>2579</v>
      </c>
      <c r="H882" t="s">
        <v>17</v>
      </c>
      <c r="I882" t="s">
        <v>2580</v>
      </c>
    </row>
    <row r="883" spans="1:9" x14ac:dyDescent="0.3">
      <c r="A883" t="s">
        <v>2212</v>
      </c>
      <c r="B883" t="s">
        <v>2456</v>
      </c>
      <c r="C883" t="s">
        <v>13</v>
      </c>
      <c r="D883" t="s">
        <v>1478</v>
      </c>
      <c r="E883" t="s">
        <v>2581</v>
      </c>
      <c r="F883" t="s">
        <v>2582</v>
      </c>
      <c r="H883" t="s">
        <v>17</v>
      </c>
      <c r="I883" t="s">
        <v>2580</v>
      </c>
    </row>
    <row r="884" spans="1:9" x14ac:dyDescent="0.3">
      <c r="A884" t="s">
        <v>2212</v>
      </c>
      <c r="B884" t="s">
        <v>2456</v>
      </c>
      <c r="C884" t="s">
        <v>13</v>
      </c>
      <c r="D884" t="s">
        <v>1482</v>
      </c>
      <c r="E884" t="s">
        <v>2583</v>
      </c>
      <c r="F884" t="s">
        <v>2584</v>
      </c>
      <c r="H884" t="s">
        <v>17</v>
      </c>
      <c r="I884" t="s">
        <v>2580</v>
      </c>
    </row>
    <row r="885" spans="1:9" x14ac:dyDescent="0.3">
      <c r="A885" t="s">
        <v>2212</v>
      </c>
      <c r="B885" t="s">
        <v>2585</v>
      </c>
      <c r="C885" t="s">
        <v>13</v>
      </c>
      <c r="D885" t="s">
        <v>2586</v>
      </c>
      <c r="E885" t="s">
        <v>2587</v>
      </c>
      <c r="F885" t="s">
        <v>2588</v>
      </c>
      <c r="H885" t="s">
        <v>17</v>
      </c>
      <c r="I885" t="s">
        <v>2589</v>
      </c>
    </row>
    <row r="886" spans="1:9" x14ac:dyDescent="0.3">
      <c r="A886" t="s">
        <v>2212</v>
      </c>
      <c r="B886" t="s">
        <v>2585</v>
      </c>
      <c r="C886" t="s">
        <v>13</v>
      </c>
      <c r="D886" t="s">
        <v>2590</v>
      </c>
      <c r="E886" t="s">
        <v>2591</v>
      </c>
      <c r="F886" t="s">
        <v>843</v>
      </c>
      <c r="H886" t="s">
        <v>17</v>
      </c>
      <c r="I886" t="s">
        <v>845</v>
      </c>
    </row>
    <row r="887" spans="1:9" x14ac:dyDescent="0.3">
      <c r="A887" t="s">
        <v>2212</v>
      </c>
      <c r="B887" t="s">
        <v>2585</v>
      </c>
      <c r="C887" t="s">
        <v>13</v>
      </c>
      <c r="D887" t="s">
        <v>2592</v>
      </c>
      <c r="E887" t="s">
        <v>2593</v>
      </c>
      <c r="F887" t="s">
        <v>747</v>
      </c>
      <c r="H887" t="s">
        <v>17</v>
      </c>
    </row>
    <row r="888" spans="1:9" x14ac:dyDescent="0.3">
      <c r="A888" t="s">
        <v>2212</v>
      </c>
      <c r="B888" t="s">
        <v>2585</v>
      </c>
      <c r="C888" t="s">
        <v>13</v>
      </c>
      <c r="D888" t="s">
        <v>2594</v>
      </c>
      <c r="E888" t="s">
        <v>2595</v>
      </c>
      <c r="F888" t="s">
        <v>2596</v>
      </c>
      <c r="H888" t="s">
        <v>17</v>
      </c>
      <c r="I888" t="s">
        <v>2597</v>
      </c>
    </row>
    <row r="889" spans="1:9" x14ac:dyDescent="0.3">
      <c r="A889" t="s">
        <v>2212</v>
      </c>
      <c r="B889" t="s">
        <v>2585</v>
      </c>
      <c r="C889" t="s">
        <v>13</v>
      </c>
      <c r="D889" t="s">
        <v>2598</v>
      </c>
      <c r="E889" t="s">
        <v>2599</v>
      </c>
      <c r="F889" t="s">
        <v>760</v>
      </c>
      <c r="H889" t="s">
        <v>17</v>
      </c>
    </row>
    <row r="890" spans="1:9" x14ac:dyDescent="0.3">
      <c r="A890" t="s">
        <v>2212</v>
      </c>
      <c r="B890" t="s">
        <v>2585</v>
      </c>
      <c r="C890" t="s">
        <v>13</v>
      </c>
      <c r="D890" t="s">
        <v>2600</v>
      </c>
      <c r="E890" t="s">
        <v>2601</v>
      </c>
      <c r="F890" t="s">
        <v>1692</v>
      </c>
      <c r="H890" t="s">
        <v>17</v>
      </c>
    </row>
    <row r="891" spans="1:9" x14ac:dyDescent="0.3">
      <c r="A891" t="s">
        <v>2212</v>
      </c>
      <c r="B891" t="s">
        <v>2585</v>
      </c>
      <c r="C891" t="s">
        <v>13</v>
      </c>
      <c r="D891" t="s">
        <v>2602</v>
      </c>
      <c r="E891" t="s">
        <v>2603</v>
      </c>
      <c r="F891" t="s">
        <v>1697</v>
      </c>
      <c r="H891" t="s">
        <v>17</v>
      </c>
    </row>
    <row r="892" spans="1:9" x14ac:dyDescent="0.3">
      <c r="A892" t="s">
        <v>2212</v>
      </c>
      <c r="B892" t="s">
        <v>2585</v>
      </c>
      <c r="C892" t="s">
        <v>13</v>
      </c>
      <c r="D892" t="s">
        <v>2604</v>
      </c>
      <c r="E892" t="s">
        <v>2605</v>
      </c>
      <c r="F892" t="s">
        <v>824</v>
      </c>
      <c r="H892" t="s">
        <v>17</v>
      </c>
    </row>
    <row r="893" spans="1:9" x14ac:dyDescent="0.3">
      <c r="A893" t="s">
        <v>2212</v>
      </c>
      <c r="B893" t="s">
        <v>2585</v>
      </c>
      <c r="C893" t="s">
        <v>13</v>
      </c>
      <c r="D893" t="s">
        <v>2606</v>
      </c>
      <c r="E893" t="s">
        <v>2607</v>
      </c>
      <c r="F893" t="s">
        <v>2608</v>
      </c>
      <c r="H893" t="s">
        <v>17</v>
      </c>
      <c r="I893" t="s">
        <v>2609</v>
      </c>
    </row>
    <row r="894" spans="1:9" x14ac:dyDescent="0.3">
      <c r="A894" t="s">
        <v>2212</v>
      </c>
      <c r="B894" t="s">
        <v>2585</v>
      </c>
      <c r="C894" t="s">
        <v>13</v>
      </c>
      <c r="D894" t="s">
        <v>2610</v>
      </c>
      <c r="E894" t="s">
        <v>2611</v>
      </c>
      <c r="F894" t="s">
        <v>2612</v>
      </c>
      <c r="H894" t="s">
        <v>17</v>
      </c>
      <c r="I894" t="s">
        <v>2613</v>
      </c>
    </row>
    <row r="895" spans="1:9" x14ac:dyDescent="0.3">
      <c r="A895" t="s">
        <v>2212</v>
      </c>
      <c r="B895" t="s">
        <v>2585</v>
      </c>
      <c r="C895" t="s">
        <v>13</v>
      </c>
      <c r="D895" t="s">
        <v>2614</v>
      </c>
      <c r="E895" t="s">
        <v>2615</v>
      </c>
      <c r="F895" t="s">
        <v>2195</v>
      </c>
      <c r="H895" t="s">
        <v>17</v>
      </c>
      <c r="I895" t="s">
        <v>414</v>
      </c>
    </row>
    <row r="896" spans="1:9" x14ac:dyDescent="0.3">
      <c r="A896" t="s">
        <v>2212</v>
      </c>
      <c r="B896" t="s">
        <v>2585</v>
      </c>
      <c r="C896" t="s">
        <v>13</v>
      </c>
      <c r="D896" t="s">
        <v>2616</v>
      </c>
      <c r="E896" t="s">
        <v>2617</v>
      </c>
      <c r="F896" t="s">
        <v>2196</v>
      </c>
      <c r="H896" t="s">
        <v>17</v>
      </c>
      <c r="I896" t="s">
        <v>2618</v>
      </c>
    </row>
    <row r="897" spans="1:9" x14ac:dyDescent="0.3">
      <c r="A897" t="s">
        <v>2212</v>
      </c>
      <c r="B897" t="s">
        <v>2585</v>
      </c>
      <c r="C897" t="s">
        <v>13</v>
      </c>
      <c r="D897" t="s">
        <v>2619</v>
      </c>
      <c r="E897" t="s">
        <v>2620</v>
      </c>
      <c r="F897" t="s">
        <v>2621</v>
      </c>
      <c r="H897" t="s">
        <v>17</v>
      </c>
      <c r="I897" t="s">
        <v>2205</v>
      </c>
    </row>
    <row r="898" spans="1:9" x14ac:dyDescent="0.3">
      <c r="A898" t="s">
        <v>2212</v>
      </c>
      <c r="B898" t="s">
        <v>2585</v>
      </c>
      <c r="C898" t="s">
        <v>13</v>
      </c>
      <c r="D898" t="s">
        <v>2622</v>
      </c>
      <c r="E898" t="s">
        <v>2623</v>
      </c>
      <c r="F898" t="s">
        <v>2192</v>
      </c>
      <c r="H898" t="s">
        <v>17</v>
      </c>
      <c r="I898" t="s">
        <v>2194</v>
      </c>
    </row>
    <row r="899" spans="1:9" x14ac:dyDescent="0.3">
      <c r="A899" t="s">
        <v>2212</v>
      </c>
      <c r="B899" t="s">
        <v>2624</v>
      </c>
      <c r="C899" t="s">
        <v>13</v>
      </c>
      <c r="D899" t="s">
        <v>2625</v>
      </c>
      <c r="E899" t="s">
        <v>2626</v>
      </c>
      <c r="F899" t="s">
        <v>2627</v>
      </c>
      <c r="H899" t="s">
        <v>17</v>
      </c>
      <c r="I899" t="s">
        <v>2628</v>
      </c>
    </row>
    <row r="900" spans="1:9" x14ac:dyDescent="0.3">
      <c r="A900" t="s">
        <v>2212</v>
      </c>
      <c r="B900" t="s">
        <v>2624</v>
      </c>
      <c r="C900" t="s">
        <v>13</v>
      </c>
      <c r="D900" t="s">
        <v>2629</v>
      </c>
      <c r="E900" t="s">
        <v>2630</v>
      </c>
      <c r="F900" t="s">
        <v>2631</v>
      </c>
      <c r="H900" t="s">
        <v>17</v>
      </c>
      <c r="I900" t="s">
        <v>2628</v>
      </c>
    </row>
    <row r="901" spans="1:9" x14ac:dyDescent="0.3">
      <c r="A901" t="s">
        <v>2212</v>
      </c>
      <c r="B901" t="s">
        <v>2624</v>
      </c>
      <c r="C901" t="s">
        <v>13</v>
      </c>
      <c r="D901" t="s">
        <v>2632</v>
      </c>
      <c r="E901" t="s">
        <v>2633</v>
      </c>
      <c r="F901" t="s">
        <v>2634</v>
      </c>
      <c r="H901" t="s">
        <v>17</v>
      </c>
      <c r="I901" t="s">
        <v>2628</v>
      </c>
    </row>
    <row r="902" spans="1:9" x14ac:dyDescent="0.3">
      <c r="A902" t="s">
        <v>2212</v>
      </c>
      <c r="B902" t="s">
        <v>2624</v>
      </c>
      <c r="C902" t="s">
        <v>13</v>
      </c>
      <c r="D902" t="s">
        <v>650</v>
      </c>
      <c r="E902" t="s">
        <v>2635</v>
      </c>
      <c r="F902" t="s">
        <v>2636</v>
      </c>
      <c r="H902" t="s">
        <v>17</v>
      </c>
      <c r="I902" t="s">
        <v>2628</v>
      </c>
    </row>
    <row r="903" spans="1:9" x14ac:dyDescent="0.3">
      <c r="A903" t="s">
        <v>2212</v>
      </c>
      <c r="B903" t="s">
        <v>2624</v>
      </c>
      <c r="C903" t="s">
        <v>13</v>
      </c>
      <c r="D903" t="s">
        <v>655</v>
      </c>
      <c r="E903" t="s">
        <v>2637</v>
      </c>
      <c r="F903" t="s">
        <v>2638</v>
      </c>
      <c r="H903" t="s">
        <v>17</v>
      </c>
      <c r="I903" t="s">
        <v>2639</v>
      </c>
    </row>
    <row r="904" spans="1:9" x14ac:dyDescent="0.3">
      <c r="A904" t="s">
        <v>2212</v>
      </c>
      <c r="B904" t="s">
        <v>2624</v>
      </c>
      <c r="C904" t="s">
        <v>13</v>
      </c>
      <c r="D904" t="s">
        <v>2640</v>
      </c>
      <c r="E904" t="s">
        <v>2641</v>
      </c>
      <c r="F904" t="s">
        <v>2642</v>
      </c>
      <c r="H904" t="s">
        <v>17</v>
      </c>
      <c r="I904" t="s">
        <v>2639</v>
      </c>
    </row>
    <row r="905" spans="1:9" x14ac:dyDescent="0.3">
      <c r="A905" t="s">
        <v>2212</v>
      </c>
      <c r="B905" t="s">
        <v>2624</v>
      </c>
      <c r="C905" t="s">
        <v>13</v>
      </c>
      <c r="D905" t="s">
        <v>2643</v>
      </c>
      <c r="E905" t="s">
        <v>2644</v>
      </c>
      <c r="F905" t="s">
        <v>2645</v>
      </c>
      <c r="H905" t="s">
        <v>17</v>
      </c>
      <c r="I905" t="s">
        <v>2639</v>
      </c>
    </row>
    <row r="906" spans="1:9" x14ac:dyDescent="0.3">
      <c r="A906" t="s">
        <v>2212</v>
      </c>
      <c r="B906" t="s">
        <v>2624</v>
      </c>
      <c r="C906" t="s">
        <v>13</v>
      </c>
      <c r="D906" t="s">
        <v>2646</v>
      </c>
      <c r="E906" t="s">
        <v>2647</v>
      </c>
      <c r="F906" t="s">
        <v>2648</v>
      </c>
      <c r="H906" t="s">
        <v>17</v>
      </c>
      <c r="I906" t="s">
        <v>2639</v>
      </c>
    </row>
    <row r="907" spans="1:9" x14ac:dyDescent="0.3">
      <c r="A907" t="s">
        <v>2212</v>
      </c>
      <c r="B907" t="s">
        <v>2624</v>
      </c>
      <c r="C907" t="s">
        <v>13</v>
      </c>
      <c r="D907" t="s">
        <v>2649</v>
      </c>
      <c r="E907" t="s">
        <v>2650</v>
      </c>
      <c r="F907" t="s">
        <v>2651</v>
      </c>
      <c r="H907" t="s">
        <v>17</v>
      </c>
      <c r="I907" t="s">
        <v>2639</v>
      </c>
    </row>
    <row r="908" spans="1:9" x14ac:dyDescent="0.3">
      <c r="A908" t="s">
        <v>2212</v>
      </c>
      <c r="B908" t="s">
        <v>2624</v>
      </c>
      <c r="C908" t="s">
        <v>13</v>
      </c>
      <c r="D908" t="s">
        <v>2652</v>
      </c>
      <c r="E908" t="s">
        <v>2653</v>
      </c>
      <c r="F908" t="s">
        <v>2654</v>
      </c>
      <c r="H908" t="s">
        <v>17</v>
      </c>
      <c r="I908" t="s">
        <v>2639</v>
      </c>
    </row>
    <row r="909" spans="1:9" x14ac:dyDescent="0.3">
      <c r="A909" t="s">
        <v>2212</v>
      </c>
      <c r="B909" t="s">
        <v>2624</v>
      </c>
      <c r="C909" t="s">
        <v>13</v>
      </c>
      <c r="D909" t="s">
        <v>2655</v>
      </c>
      <c r="E909" t="s">
        <v>2656</v>
      </c>
      <c r="F909" t="s">
        <v>1706</v>
      </c>
      <c r="H909" t="s">
        <v>17</v>
      </c>
    </row>
    <row r="910" spans="1:9" x14ac:dyDescent="0.3">
      <c r="A910" t="s">
        <v>2212</v>
      </c>
      <c r="B910" t="s">
        <v>2624</v>
      </c>
      <c r="C910" t="s">
        <v>13</v>
      </c>
      <c r="D910" t="s">
        <v>2657</v>
      </c>
      <c r="E910" t="s">
        <v>2658</v>
      </c>
      <c r="F910" t="s">
        <v>1703</v>
      </c>
      <c r="H910" t="s">
        <v>17</v>
      </c>
      <c r="I910" t="s">
        <v>2659</v>
      </c>
    </row>
    <row r="911" spans="1:9" x14ac:dyDescent="0.3">
      <c r="A911" t="s">
        <v>2212</v>
      </c>
      <c r="B911" t="s">
        <v>2624</v>
      </c>
      <c r="C911" t="s">
        <v>13</v>
      </c>
      <c r="D911" t="s">
        <v>2660</v>
      </c>
      <c r="E911" t="s">
        <v>2661</v>
      </c>
      <c r="F911" t="s">
        <v>2662</v>
      </c>
      <c r="H911" t="s">
        <v>17</v>
      </c>
      <c r="I911" t="s">
        <v>2663</v>
      </c>
    </row>
    <row r="912" spans="1:9" x14ac:dyDescent="0.3">
      <c r="A912" t="s">
        <v>2212</v>
      </c>
      <c r="B912" t="s">
        <v>2624</v>
      </c>
      <c r="C912" t="s">
        <v>13</v>
      </c>
      <c r="D912" t="s">
        <v>2664</v>
      </c>
      <c r="E912" t="s">
        <v>2665</v>
      </c>
      <c r="F912" t="s">
        <v>2666</v>
      </c>
      <c r="H912" t="s">
        <v>17</v>
      </c>
      <c r="I912" t="s">
        <v>2667</v>
      </c>
    </row>
    <row r="913" spans="1:9" x14ac:dyDescent="0.3">
      <c r="A913" t="s">
        <v>2668</v>
      </c>
      <c r="E913" t="s">
        <v>10</v>
      </c>
      <c r="F913" t="s">
        <v>2669</v>
      </c>
    </row>
    <row r="914" spans="1:9" x14ac:dyDescent="0.3">
      <c r="A914" t="s">
        <v>2668</v>
      </c>
      <c r="C914" t="s">
        <v>13</v>
      </c>
      <c r="D914" t="s">
        <v>1517</v>
      </c>
      <c r="E914" t="s">
        <v>1518</v>
      </c>
      <c r="F914" t="s">
        <v>2670</v>
      </c>
      <c r="H914" t="s">
        <v>17</v>
      </c>
    </row>
    <row r="915" spans="1:9" x14ac:dyDescent="0.3">
      <c r="A915" t="s">
        <v>2668</v>
      </c>
      <c r="C915" t="s">
        <v>13</v>
      </c>
      <c r="D915" t="s">
        <v>996</v>
      </c>
      <c r="E915" t="s">
        <v>2671</v>
      </c>
      <c r="F915" t="s">
        <v>2672</v>
      </c>
      <c r="H915" t="s">
        <v>17</v>
      </c>
      <c r="I915" t="s">
        <v>2673</v>
      </c>
    </row>
    <row r="916" spans="1:9" x14ac:dyDescent="0.3">
      <c r="A916" t="s">
        <v>2668</v>
      </c>
      <c r="C916" t="s">
        <v>13</v>
      </c>
      <c r="D916" t="s">
        <v>1001</v>
      </c>
      <c r="E916" t="s">
        <v>2674</v>
      </c>
      <c r="F916" t="s">
        <v>2675</v>
      </c>
      <c r="H916" t="s">
        <v>17</v>
      </c>
      <c r="I916" t="s">
        <v>2673</v>
      </c>
    </row>
    <row r="917" spans="1:9" x14ac:dyDescent="0.3">
      <c r="A917" t="s">
        <v>2668</v>
      </c>
      <c r="C917" t="s">
        <v>13</v>
      </c>
      <c r="D917" t="s">
        <v>1942</v>
      </c>
      <c r="E917" t="s">
        <v>2676</v>
      </c>
      <c r="F917" t="s">
        <v>2677</v>
      </c>
      <c r="H917" t="s">
        <v>17</v>
      </c>
      <c r="I917" t="s">
        <v>2678</v>
      </c>
    </row>
    <row r="918" spans="1:9" x14ac:dyDescent="0.3">
      <c r="A918" t="s">
        <v>2668</v>
      </c>
      <c r="C918" t="s">
        <v>13</v>
      </c>
      <c r="D918" t="s">
        <v>22</v>
      </c>
      <c r="E918" t="s">
        <v>2679</v>
      </c>
      <c r="F918" t="s">
        <v>2680</v>
      </c>
      <c r="H918" t="s">
        <v>17</v>
      </c>
      <c r="I918" t="s">
        <v>2678</v>
      </c>
    </row>
    <row r="919" spans="1:9" x14ac:dyDescent="0.3">
      <c r="A919" t="s">
        <v>2668</v>
      </c>
      <c r="C919" t="s">
        <v>13</v>
      </c>
      <c r="D919" t="s">
        <v>27</v>
      </c>
      <c r="E919" t="s">
        <v>23</v>
      </c>
      <c r="F919" t="s">
        <v>2681</v>
      </c>
      <c r="H919" t="s">
        <v>17</v>
      </c>
      <c r="I919" t="s">
        <v>2678</v>
      </c>
    </row>
    <row r="920" spans="1:9" x14ac:dyDescent="0.3">
      <c r="A920" t="s">
        <v>2668</v>
      </c>
      <c r="C920" t="s">
        <v>13</v>
      </c>
      <c r="D920" t="s">
        <v>32</v>
      </c>
      <c r="E920" t="s">
        <v>28</v>
      </c>
      <c r="F920" t="s">
        <v>2682</v>
      </c>
      <c r="H920" t="s">
        <v>17</v>
      </c>
      <c r="I920" t="s">
        <v>2683</v>
      </c>
    </row>
    <row r="921" spans="1:9" x14ac:dyDescent="0.3">
      <c r="A921" t="s">
        <v>2668</v>
      </c>
      <c r="C921" t="s">
        <v>13</v>
      </c>
      <c r="D921" t="s">
        <v>2684</v>
      </c>
      <c r="E921" t="s">
        <v>33</v>
      </c>
      <c r="F921" t="s">
        <v>2685</v>
      </c>
      <c r="H921" t="s">
        <v>17</v>
      </c>
      <c r="I921" t="s">
        <v>2686</v>
      </c>
    </row>
    <row r="922" spans="1:9" x14ac:dyDescent="0.3">
      <c r="A922" t="s">
        <v>2668</v>
      </c>
      <c r="C922" t="s">
        <v>13</v>
      </c>
      <c r="D922" t="s">
        <v>45</v>
      </c>
      <c r="E922" t="s">
        <v>2687</v>
      </c>
      <c r="F922" t="s">
        <v>2688</v>
      </c>
      <c r="H922" t="s">
        <v>17</v>
      </c>
      <c r="I922" t="s">
        <v>2689</v>
      </c>
    </row>
    <row r="923" spans="1:9" x14ac:dyDescent="0.3">
      <c r="A923" t="s">
        <v>2668</v>
      </c>
      <c r="C923" t="s">
        <v>13</v>
      </c>
      <c r="D923" t="s">
        <v>50</v>
      </c>
      <c r="E923" t="s">
        <v>37</v>
      </c>
      <c r="F923" t="s">
        <v>2690</v>
      </c>
      <c r="H923" t="s">
        <v>17</v>
      </c>
      <c r="I923" t="s">
        <v>2691</v>
      </c>
    </row>
    <row r="924" spans="1:9" x14ac:dyDescent="0.3">
      <c r="A924" t="s">
        <v>2668</v>
      </c>
      <c r="C924" t="s">
        <v>13</v>
      </c>
      <c r="D924" t="s">
        <v>53</v>
      </c>
      <c r="E924" t="s">
        <v>42</v>
      </c>
      <c r="F924" t="s">
        <v>2692</v>
      </c>
      <c r="H924" t="s">
        <v>17</v>
      </c>
      <c r="I924" t="s">
        <v>2693</v>
      </c>
    </row>
    <row r="925" spans="1:9" x14ac:dyDescent="0.3">
      <c r="A925" t="s">
        <v>2668</v>
      </c>
      <c r="C925" t="s">
        <v>13</v>
      </c>
      <c r="D925" t="s">
        <v>56</v>
      </c>
      <c r="E925" t="s">
        <v>46</v>
      </c>
      <c r="F925" t="s">
        <v>2694</v>
      </c>
      <c r="H925" t="s">
        <v>17</v>
      </c>
      <c r="I925" t="s">
        <v>2695</v>
      </c>
    </row>
    <row r="926" spans="1:9" x14ac:dyDescent="0.3">
      <c r="A926" t="s">
        <v>2668</v>
      </c>
      <c r="C926" t="s">
        <v>13</v>
      </c>
      <c r="D926" t="s">
        <v>61</v>
      </c>
      <c r="E926" t="s">
        <v>51</v>
      </c>
      <c r="F926" t="s">
        <v>2696</v>
      </c>
      <c r="H926" t="s">
        <v>17</v>
      </c>
      <c r="I926" t="s">
        <v>414</v>
      </c>
    </row>
    <row r="927" spans="1:9" x14ac:dyDescent="0.3">
      <c r="A927" t="s">
        <v>2668</v>
      </c>
      <c r="C927" t="s">
        <v>13</v>
      </c>
      <c r="D927" t="s">
        <v>1039</v>
      </c>
      <c r="E927" t="s">
        <v>54</v>
      </c>
      <c r="F927" t="s">
        <v>2697</v>
      </c>
      <c r="H927" t="s">
        <v>17</v>
      </c>
      <c r="I927" t="s">
        <v>414</v>
      </c>
    </row>
    <row r="928" spans="1:9" x14ac:dyDescent="0.3">
      <c r="A928" t="s">
        <v>2668</v>
      </c>
      <c r="C928" t="s">
        <v>13</v>
      </c>
      <c r="D928" t="s">
        <v>1043</v>
      </c>
      <c r="E928" t="s">
        <v>57</v>
      </c>
      <c r="F928" t="s">
        <v>2698</v>
      </c>
      <c r="H928" t="s">
        <v>17</v>
      </c>
      <c r="I928" t="s">
        <v>2695</v>
      </c>
    </row>
    <row r="929" spans="1:9" x14ac:dyDescent="0.3">
      <c r="A929" t="s">
        <v>2668</v>
      </c>
      <c r="C929" t="s">
        <v>13</v>
      </c>
      <c r="D929" t="s">
        <v>71</v>
      </c>
      <c r="E929" t="s">
        <v>62</v>
      </c>
      <c r="F929" t="s">
        <v>2699</v>
      </c>
      <c r="H929" t="s">
        <v>17</v>
      </c>
      <c r="I929" t="s">
        <v>2700</v>
      </c>
    </row>
    <row r="930" spans="1:9" x14ac:dyDescent="0.3">
      <c r="A930" t="s">
        <v>2668</v>
      </c>
      <c r="C930" t="s">
        <v>13</v>
      </c>
      <c r="D930" t="s">
        <v>1050</v>
      </c>
      <c r="E930" t="s">
        <v>67</v>
      </c>
      <c r="F930" t="s">
        <v>2701</v>
      </c>
      <c r="H930" t="s">
        <v>17</v>
      </c>
      <c r="I930" t="s">
        <v>2702</v>
      </c>
    </row>
    <row r="931" spans="1:9" x14ac:dyDescent="0.3">
      <c r="A931" t="s">
        <v>2668</v>
      </c>
      <c r="C931" t="s">
        <v>13</v>
      </c>
      <c r="D931" t="s">
        <v>1055</v>
      </c>
      <c r="E931" t="s">
        <v>72</v>
      </c>
      <c r="F931" t="s">
        <v>2703</v>
      </c>
      <c r="H931" t="s">
        <v>17</v>
      </c>
      <c r="I931" t="s">
        <v>2704</v>
      </c>
    </row>
    <row r="932" spans="1:9" x14ac:dyDescent="0.3">
      <c r="A932" t="s">
        <v>2668</v>
      </c>
      <c r="C932" t="s">
        <v>13</v>
      </c>
      <c r="D932" t="s">
        <v>80</v>
      </c>
      <c r="E932" t="s">
        <v>77</v>
      </c>
      <c r="F932" t="s">
        <v>2705</v>
      </c>
      <c r="H932" t="s">
        <v>17</v>
      </c>
      <c r="I932" t="s">
        <v>2706</v>
      </c>
    </row>
    <row r="933" spans="1:9" x14ac:dyDescent="0.3">
      <c r="A933" t="s">
        <v>2668</v>
      </c>
      <c r="C933" t="s">
        <v>13</v>
      </c>
      <c r="D933" t="s">
        <v>85</v>
      </c>
      <c r="E933" t="s">
        <v>81</v>
      </c>
      <c r="F933" t="s">
        <v>2707</v>
      </c>
      <c r="H933" t="s">
        <v>17</v>
      </c>
      <c r="I933" t="s">
        <v>2708</v>
      </c>
    </row>
    <row r="934" spans="1:9" x14ac:dyDescent="0.3">
      <c r="A934" t="s">
        <v>2668</v>
      </c>
      <c r="C934" t="s">
        <v>13</v>
      </c>
      <c r="D934" t="s">
        <v>90</v>
      </c>
      <c r="E934" t="s">
        <v>86</v>
      </c>
      <c r="F934" t="s">
        <v>2709</v>
      </c>
      <c r="H934" t="s">
        <v>17</v>
      </c>
      <c r="I934" t="s">
        <v>2710</v>
      </c>
    </row>
    <row r="935" spans="1:9" x14ac:dyDescent="0.3">
      <c r="A935" t="s">
        <v>2668</v>
      </c>
      <c r="C935" t="s">
        <v>13</v>
      </c>
      <c r="D935" t="s">
        <v>95</v>
      </c>
      <c r="E935" t="s">
        <v>91</v>
      </c>
      <c r="F935" t="s">
        <v>2711</v>
      </c>
      <c r="H935" t="s">
        <v>17</v>
      </c>
      <c r="I935" t="s">
        <v>2712</v>
      </c>
    </row>
    <row r="936" spans="1:9" x14ac:dyDescent="0.3">
      <c r="A936" t="s">
        <v>2668</v>
      </c>
      <c r="C936" t="s">
        <v>13</v>
      </c>
      <c r="D936" t="s">
        <v>100</v>
      </c>
      <c r="E936" t="s">
        <v>96</v>
      </c>
      <c r="F936" t="s">
        <v>2713</v>
      </c>
      <c r="H936" t="s">
        <v>17</v>
      </c>
      <c r="I936" t="s">
        <v>2712</v>
      </c>
    </row>
    <row r="937" spans="1:9" x14ac:dyDescent="0.3">
      <c r="A937" t="s">
        <v>2668</v>
      </c>
      <c r="C937" t="s">
        <v>13</v>
      </c>
      <c r="D937" t="s">
        <v>106</v>
      </c>
      <c r="E937" t="s">
        <v>101</v>
      </c>
      <c r="F937" t="s">
        <v>2714</v>
      </c>
      <c r="H937" t="s">
        <v>17</v>
      </c>
      <c r="I937" t="s">
        <v>2712</v>
      </c>
    </row>
    <row r="938" spans="1:9" x14ac:dyDescent="0.3">
      <c r="A938" t="s">
        <v>2668</v>
      </c>
      <c r="C938" t="s">
        <v>13</v>
      </c>
      <c r="D938" t="s">
        <v>111</v>
      </c>
      <c r="E938" t="s">
        <v>112</v>
      </c>
      <c r="F938" t="s">
        <v>2715</v>
      </c>
      <c r="H938" t="s">
        <v>17</v>
      </c>
      <c r="I938" t="s">
        <v>2716</v>
      </c>
    </row>
    <row r="939" spans="1:9" x14ac:dyDescent="0.3">
      <c r="A939" t="s">
        <v>2668</v>
      </c>
      <c r="C939" t="s">
        <v>13</v>
      </c>
      <c r="D939" t="s">
        <v>114</v>
      </c>
      <c r="E939" t="s">
        <v>115</v>
      </c>
      <c r="F939" t="s">
        <v>2717</v>
      </c>
      <c r="H939" t="s">
        <v>17</v>
      </c>
      <c r="I939" t="s">
        <v>2716</v>
      </c>
    </row>
    <row r="940" spans="1:9" x14ac:dyDescent="0.3">
      <c r="A940" t="s">
        <v>2668</v>
      </c>
      <c r="C940" t="s">
        <v>13</v>
      </c>
      <c r="D940" t="s">
        <v>117</v>
      </c>
      <c r="E940" t="s">
        <v>118</v>
      </c>
      <c r="F940" t="s">
        <v>2718</v>
      </c>
      <c r="H940" t="s">
        <v>17</v>
      </c>
      <c r="I940" t="s">
        <v>2716</v>
      </c>
    </row>
    <row r="941" spans="1:9" x14ac:dyDescent="0.3">
      <c r="A941" t="s">
        <v>2668</v>
      </c>
      <c r="C941" t="s">
        <v>13</v>
      </c>
      <c r="D941" t="s">
        <v>121</v>
      </c>
      <c r="E941" t="s">
        <v>122</v>
      </c>
      <c r="F941" t="s">
        <v>2719</v>
      </c>
      <c r="H941" t="s">
        <v>17</v>
      </c>
      <c r="I941" t="s">
        <v>2716</v>
      </c>
    </row>
    <row r="942" spans="1:9" x14ac:dyDescent="0.3">
      <c r="A942" t="s">
        <v>2668</v>
      </c>
      <c r="C942" t="s">
        <v>13</v>
      </c>
      <c r="D942" t="s">
        <v>126</v>
      </c>
      <c r="E942" t="s">
        <v>127</v>
      </c>
      <c r="F942" t="s">
        <v>2720</v>
      </c>
      <c r="H942" t="s">
        <v>17</v>
      </c>
      <c r="I942" t="s">
        <v>2716</v>
      </c>
    </row>
    <row r="943" spans="1:9" x14ac:dyDescent="0.3">
      <c r="A943" t="s">
        <v>2668</v>
      </c>
      <c r="C943" t="s">
        <v>13</v>
      </c>
      <c r="D943" t="s">
        <v>129</v>
      </c>
      <c r="E943" t="s">
        <v>130</v>
      </c>
      <c r="F943" t="s">
        <v>2721</v>
      </c>
      <c r="H943" t="s">
        <v>17</v>
      </c>
      <c r="I943" t="s">
        <v>2722</v>
      </c>
    </row>
    <row r="944" spans="1:9" x14ac:dyDescent="0.3">
      <c r="A944" t="s">
        <v>2668</v>
      </c>
      <c r="C944" t="s">
        <v>13</v>
      </c>
      <c r="D944" t="s">
        <v>132</v>
      </c>
      <c r="E944" t="s">
        <v>136</v>
      </c>
      <c r="F944" t="s">
        <v>2723</v>
      </c>
      <c r="H944" t="s">
        <v>17</v>
      </c>
      <c r="I944" t="s">
        <v>2724</v>
      </c>
    </row>
    <row r="945" spans="1:9" x14ac:dyDescent="0.3">
      <c r="A945" t="s">
        <v>2668</v>
      </c>
      <c r="C945" t="s">
        <v>13</v>
      </c>
      <c r="D945" t="s">
        <v>135</v>
      </c>
      <c r="E945" t="s">
        <v>139</v>
      </c>
      <c r="F945" t="s">
        <v>2725</v>
      </c>
      <c r="H945" t="s">
        <v>17</v>
      </c>
      <c r="I945" t="s">
        <v>2724</v>
      </c>
    </row>
    <row r="946" spans="1:9" x14ac:dyDescent="0.3">
      <c r="A946" t="s">
        <v>2668</v>
      </c>
      <c r="C946" t="s">
        <v>13</v>
      </c>
      <c r="D946" t="s">
        <v>138</v>
      </c>
      <c r="E946" t="s">
        <v>142</v>
      </c>
      <c r="F946" t="s">
        <v>2726</v>
      </c>
      <c r="H946" t="s">
        <v>17</v>
      </c>
      <c r="I946" t="s">
        <v>2724</v>
      </c>
    </row>
    <row r="947" spans="1:9" x14ac:dyDescent="0.3">
      <c r="A947" t="s">
        <v>2668</v>
      </c>
      <c r="C947" t="s">
        <v>13</v>
      </c>
      <c r="D947" t="s">
        <v>141</v>
      </c>
      <c r="E947" t="s">
        <v>145</v>
      </c>
      <c r="F947" t="s">
        <v>2727</v>
      </c>
      <c r="H947" t="s">
        <v>17</v>
      </c>
      <c r="I947" t="s">
        <v>2724</v>
      </c>
    </row>
    <row r="948" spans="1:9" x14ac:dyDescent="0.3">
      <c r="A948" t="s">
        <v>2668</v>
      </c>
      <c r="C948" t="s">
        <v>13</v>
      </c>
      <c r="D948" t="s">
        <v>144</v>
      </c>
      <c r="E948" t="s">
        <v>148</v>
      </c>
      <c r="F948" t="s">
        <v>2728</v>
      </c>
      <c r="H948" t="s">
        <v>17</v>
      </c>
      <c r="I948" t="s">
        <v>2724</v>
      </c>
    </row>
    <row r="949" spans="1:9" x14ac:dyDescent="0.3">
      <c r="A949" t="s">
        <v>2668</v>
      </c>
      <c r="C949" t="s">
        <v>13</v>
      </c>
      <c r="D949" t="s">
        <v>147</v>
      </c>
      <c r="E949" t="s">
        <v>153</v>
      </c>
      <c r="F949" t="s">
        <v>2729</v>
      </c>
      <c r="H949" t="s">
        <v>17</v>
      </c>
      <c r="I949" t="s">
        <v>2724</v>
      </c>
    </row>
    <row r="950" spans="1:9" x14ac:dyDescent="0.3">
      <c r="A950" t="s">
        <v>2668</v>
      </c>
      <c r="C950" t="s">
        <v>13</v>
      </c>
      <c r="D950" t="s">
        <v>152</v>
      </c>
      <c r="E950" t="s">
        <v>158</v>
      </c>
      <c r="F950" t="s">
        <v>2730</v>
      </c>
      <c r="H950" t="s">
        <v>17</v>
      </c>
      <c r="I950" t="s">
        <v>2724</v>
      </c>
    </row>
    <row r="951" spans="1:9" x14ac:dyDescent="0.3">
      <c r="A951" t="s">
        <v>2668</v>
      </c>
      <c r="C951" t="s">
        <v>13</v>
      </c>
      <c r="D951" t="s">
        <v>157</v>
      </c>
      <c r="E951" t="s">
        <v>163</v>
      </c>
      <c r="F951" t="s">
        <v>2731</v>
      </c>
      <c r="H951" t="s">
        <v>17</v>
      </c>
      <c r="I951" t="s">
        <v>2724</v>
      </c>
    </row>
    <row r="952" spans="1:9" x14ac:dyDescent="0.3">
      <c r="A952" t="s">
        <v>2668</v>
      </c>
      <c r="C952" t="s">
        <v>13</v>
      </c>
      <c r="D952" t="s">
        <v>162</v>
      </c>
      <c r="E952" t="s">
        <v>168</v>
      </c>
      <c r="F952" t="s">
        <v>2732</v>
      </c>
      <c r="H952" t="s">
        <v>17</v>
      </c>
      <c r="I952" t="s">
        <v>2733</v>
      </c>
    </row>
    <row r="953" spans="1:9" x14ac:dyDescent="0.3">
      <c r="A953" t="s">
        <v>2668</v>
      </c>
      <c r="C953" t="s">
        <v>13</v>
      </c>
      <c r="D953" t="s">
        <v>167</v>
      </c>
      <c r="E953" t="s">
        <v>173</v>
      </c>
      <c r="F953" t="s">
        <v>2734</v>
      </c>
      <c r="H953" t="s">
        <v>17</v>
      </c>
      <c r="I953" t="s">
        <v>2735</v>
      </c>
    </row>
    <row r="954" spans="1:9" x14ac:dyDescent="0.3">
      <c r="A954" t="s">
        <v>2668</v>
      </c>
      <c r="C954" t="s">
        <v>13</v>
      </c>
      <c r="D954" t="s">
        <v>172</v>
      </c>
      <c r="E954" t="s">
        <v>178</v>
      </c>
      <c r="F954" t="s">
        <v>2736</v>
      </c>
      <c r="H954" t="s">
        <v>17</v>
      </c>
      <c r="I954" t="s">
        <v>2737</v>
      </c>
    </row>
    <row r="955" spans="1:9" x14ac:dyDescent="0.3">
      <c r="A955" t="s">
        <v>2668</v>
      </c>
      <c r="C955" t="s">
        <v>13</v>
      </c>
      <c r="D955" t="s">
        <v>177</v>
      </c>
      <c r="E955" t="s">
        <v>183</v>
      </c>
      <c r="F955" t="s">
        <v>2738</v>
      </c>
      <c r="H955" t="s">
        <v>17</v>
      </c>
      <c r="I955" t="s">
        <v>2739</v>
      </c>
    </row>
    <row r="956" spans="1:9" x14ac:dyDescent="0.3">
      <c r="A956" t="s">
        <v>2668</v>
      </c>
      <c r="C956" t="s">
        <v>13</v>
      </c>
      <c r="D956" t="s">
        <v>182</v>
      </c>
      <c r="E956" t="s">
        <v>188</v>
      </c>
      <c r="F956" t="s">
        <v>2740</v>
      </c>
      <c r="H956" t="s">
        <v>17</v>
      </c>
      <c r="I956" t="s">
        <v>2741</v>
      </c>
    </row>
    <row r="957" spans="1:9" x14ac:dyDescent="0.3">
      <c r="A957" t="s">
        <v>2668</v>
      </c>
      <c r="C957" t="s">
        <v>13</v>
      </c>
      <c r="D957" t="s">
        <v>187</v>
      </c>
      <c r="E957" t="s">
        <v>194</v>
      </c>
      <c r="F957" t="s">
        <v>2742</v>
      </c>
      <c r="H957" t="s">
        <v>17</v>
      </c>
      <c r="I957" t="s">
        <v>2743</v>
      </c>
    </row>
    <row r="958" spans="1:9" x14ac:dyDescent="0.3">
      <c r="A958" t="s">
        <v>2668</v>
      </c>
      <c r="C958" t="s">
        <v>13</v>
      </c>
      <c r="D958" t="s">
        <v>193</v>
      </c>
      <c r="E958" t="s">
        <v>2744</v>
      </c>
      <c r="F958" t="s">
        <v>2745</v>
      </c>
      <c r="H958" t="s">
        <v>17</v>
      </c>
      <c r="I958" t="s">
        <v>2743</v>
      </c>
    </row>
    <row r="959" spans="1:9" x14ac:dyDescent="0.3">
      <c r="A959" t="s">
        <v>2668</v>
      </c>
      <c r="C959" t="s">
        <v>13</v>
      </c>
      <c r="D959" t="s">
        <v>198</v>
      </c>
      <c r="E959" t="s">
        <v>2746</v>
      </c>
      <c r="F959" t="s">
        <v>2745</v>
      </c>
      <c r="H959" t="s">
        <v>17</v>
      </c>
      <c r="I959" t="s">
        <v>2743</v>
      </c>
    </row>
    <row r="960" spans="1:9" x14ac:dyDescent="0.3">
      <c r="A960" t="s">
        <v>2668</v>
      </c>
      <c r="C960" t="s">
        <v>13</v>
      </c>
      <c r="D960" t="s">
        <v>202</v>
      </c>
      <c r="E960" t="s">
        <v>203</v>
      </c>
      <c r="F960" t="s">
        <v>2747</v>
      </c>
      <c r="H960" t="s">
        <v>17</v>
      </c>
      <c r="I960" t="s">
        <v>2748</v>
      </c>
    </row>
    <row r="961" spans="1:9" x14ac:dyDescent="0.3">
      <c r="A961" t="s">
        <v>2668</v>
      </c>
      <c r="C961" t="s">
        <v>13</v>
      </c>
      <c r="D961" t="s">
        <v>206</v>
      </c>
      <c r="E961" t="s">
        <v>207</v>
      </c>
      <c r="F961" t="s">
        <v>2749</v>
      </c>
      <c r="H961" t="s">
        <v>17</v>
      </c>
      <c r="I961" t="s">
        <v>2750</v>
      </c>
    </row>
    <row r="962" spans="1:9" x14ac:dyDescent="0.3">
      <c r="A962" t="s">
        <v>2668</v>
      </c>
      <c r="C962" t="s">
        <v>13</v>
      </c>
      <c r="D962" t="s">
        <v>1123</v>
      </c>
      <c r="E962" t="s">
        <v>211</v>
      </c>
      <c r="F962" t="s">
        <v>2751</v>
      </c>
      <c r="H962" t="s">
        <v>17</v>
      </c>
      <c r="I962" t="s">
        <v>2752</v>
      </c>
    </row>
    <row r="963" spans="1:9" x14ac:dyDescent="0.3">
      <c r="A963" t="s">
        <v>2668</v>
      </c>
      <c r="C963" t="s">
        <v>13</v>
      </c>
      <c r="D963" t="s">
        <v>218</v>
      </c>
      <c r="E963" t="s">
        <v>215</v>
      </c>
      <c r="F963" t="s">
        <v>2753</v>
      </c>
      <c r="H963" t="s">
        <v>17</v>
      </c>
      <c r="I963" t="s">
        <v>2754</v>
      </c>
    </row>
    <row r="964" spans="1:9" x14ac:dyDescent="0.3">
      <c r="A964" t="s">
        <v>2668</v>
      </c>
      <c r="C964" t="s">
        <v>13</v>
      </c>
      <c r="D964" t="s">
        <v>223</v>
      </c>
      <c r="E964" t="s">
        <v>1584</v>
      </c>
      <c r="F964" t="s">
        <v>2755</v>
      </c>
      <c r="H964" t="s">
        <v>17</v>
      </c>
      <c r="I964" t="s">
        <v>2756</v>
      </c>
    </row>
    <row r="965" spans="1:9" x14ac:dyDescent="0.3">
      <c r="A965" t="s">
        <v>2668</v>
      </c>
      <c r="C965" t="s">
        <v>13</v>
      </c>
      <c r="D965" t="s">
        <v>228</v>
      </c>
      <c r="E965" t="s">
        <v>219</v>
      </c>
      <c r="F965" t="s">
        <v>2757</v>
      </c>
      <c r="H965" t="s">
        <v>17</v>
      </c>
      <c r="I965" t="s">
        <v>2754</v>
      </c>
    </row>
    <row r="966" spans="1:9" x14ac:dyDescent="0.3">
      <c r="A966" t="s">
        <v>2668</v>
      </c>
      <c r="C966" t="s">
        <v>13</v>
      </c>
      <c r="D966" t="s">
        <v>233</v>
      </c>
      <c r="E966" t="s">
        <v>224</v>
      </c>
      <c r="F966" t="s">
        <v>2758</v>
      </c>
      <c r="H966" t="s">
        <v>17</v>
      </c>
      <c r="I966" t="s">
        <v>2750</v>
      </c>
    </row>
    <row r="967" spans="1:9" x14ac:dyDescent="0.3">
      <c r="A967" t="s">
        <v>2668</v>
      </c>
      <c r="C967" t="s">
        <v>13</v>
      </c>
      <c r="D967" t="s">
        <v>236</v>
      </c>
      <c r="E967" t="s">
        <v>229</v>
      </c>
      <c r="F967" t="s">
        <v>2759</v>
      </c>
      <c r="H967" t="s">
        <v>17</v>
      </c>
      <c r="I967" t="s">
        <v>2760</v>
      </c>
    </row>
    <row r="968" spans="1:9" x14ac:dyDescent="0.3">
      <c r="A968" t="s">
        <v>2668</v>
      </c>
      <c r="C968" t="s">
        <v>13</v>
      </c>
      <c r="D968" t="s">
        <v>239</v>
      </c>
      <c r="E968" t="s">
        <v>234</v>
      </c>
      <c r="F968" t="s">
        <v>2761</v>
      </c>
      <c r="H968" t="s">
        <v>17</v>
      </c>
      <c r="I968" t="s">
        <v>2760</v>
      </c>
    </row>
    <row r="969" spans="1:9" x14ac:dyDescent="0.3">
      <c r="A969" t="s">
        <v>2668</v>
      </c>
      <c r="C969" t="s">
        <v>13</v>
      </c>
      <c r="D969" t="s">
        <v>1881</v>
      </c>
      <c r="E969" t="s">
        <v>237</v>
      </c>
      <c r="F969" t="s">
        <v>2762</v>
      </c>
      <c r="H969" t="s">
        <v>17</v>
      </c>
      <c r="I969" t="s">
        <v>2763</v>
      </c>
    </row>
    <row r="970" spans="1:9" x14ac:dyDescent="0.3">
      <c r="A970" t="s">
        <v>2668</v>
      </c>
      <c r="C970" t="s">
        <v>13</v>
      </c>
      <c r="D970" t="s">
        <v>1885</v>
      </c>
      <c r="E970" t="s">
        <v>240</v>
      </c>
      <c r="F970" t="s">
        <v>2764</v>
      </c>
      <c r="H970" t="s">
        <v>17</v>
      </c>
      <c r="I970" t="s">
        <v>2763</v>
      </c>
    </row>
    <row r="971" spans="1:9" x14ac:dyDescent="0.3">
      <c r="A971" t="s">
        <v>2668</v>
      </c>
      <c r="C971" t="s">
        <v>13</v>
      </c>
      <c r="D971" t="s">
        <v>1588</v>
      </c>
      <c r="E971" t="s">
        <v>246</v>
      </c>
      <c r="F971" t="s">
        <v>2765</v>
      </c>
      <c r="H971" t="s">
        <v>17</v>
      </c>
      <c r="I971" t="s">
        <v>2766</v>
      </c>
    </row>
    <row r="972" spans="1:9" x14ac:dyDescent="0.3">
      <c r="A972" t="s">
        <v>2668</v>
      </c>
      <c r="C972" t="s">
        <v>13</v>
      </c>
      <c r="D972" t="s">
        <v>1892</v>
      </c>
      <c r="E972" t="s">
        <v>251</v>
      </c>
      <c r="F972" t="s">
        <v>2767</v>
      </c>
      <c r="H972" t="s">
        <v>17</v>
      </c>
      <c r="I972" t="s">
        <v>2768</v>
      </c>
    </row>
    <row r="973" spans="1:9" x14ac:dyDescent="0.3">
      <c r="A973" t="s">
        <v>2668</v>
      </c>
      <c r="C973" t="s">
        <v>13</v>
      </c>
      <c r="D973" t="s">
        <v>1146</v>
      </c>
      <c r="E973" t="s">
        <v>254</v>
      </c>
      <c r="F973" t="s">
        <v>2769</v>
      </c>
      <c r="H973" t="s">
        <v>17</v>
      </c>
      <c r="I973" t="s">
        <v>2770</v>
      </c>
    </row>
    <row r="974" spans="1:9" x14ac:dyDescent="0.3">
      <c r="A974" t="s">
        <v>2668</v>
      </c>
      <c r="C974" t="s">
        <v>13</v>
      </c>
      <c r="D974" t="s">
        <v>1150</v>
      </c>
      <c r="E974" t="s">
        <v>257</v>
      </c>
      <c r="F974" t="s">
        <v>2771</v>
      </c>
      <c r="H974" t="s">
        <v>17</v>
      </c>
      <c r="I974" t="s">
        <v>2772</v>
      </c>
    </row>
    <row r="975" spans="1:9" x14ac:dyDescent="0.3">
      <c r="A975" t="s">
        <v>2668</v>
      </c>
      <c r="C975" t="s">
        <v>13</v>
      </c>
      <c r="D975" t="s">
        <v>1154</v>
      </c>
      <c r="E975" t="s">
        <v>260</v>
      </c>
      <c r="F975" t="s">
        <v>2773</v>
      </c>
      <c r="H975" t="s">
        <v>17</v>
      </c>
      <c r="I975" t="s">
        <v>2774</v>
      </c>
    </row>
    <row r="976" spans="1:9" x14ac:dyDescent="0.3">
      <c r="A976" t="s">
        <v>2668</v>
      </c>
      <c r="C976" t="s">
        <v>13</v>
      </c>
      <c r="D976" t="s">
        <v>1158</v>
      </c>
      <c r="E976" t="s">
        <v>266</v>
      </c>
      <c r="F976" t="s">
        <v>2775</v>
      </c>
      <c r="H976" t="s">
        <v>17</v>
      </c>
      <c r="I976" t="s">
        <v>2776</v>
      </c>
    </row>
    <row r="977" spans="1:9" x14ac:dyDescent="0.3">
      <c r="A977" t="s">
        <v>2668</v>
      </c>
      <c r="C977" t="s">
        <v>13</v>
      </c>
      <c r="D977" t="s">
        <v>1162</v>
      </c>
      <c r="E977" t="s">
        <v>269</v>
      </c>
      <c r="F977" t="s">
        <v>2777</v>
      </c>
      <c r="H977" t="s">
        <v>17</v>
      </c>
      <c r="I977" t="s">
        <v>2776</v>
      </c>
    </row>
    <row r="978" spans="1:9" x14ac:dyDescent="0.3">
      <c r="A978" t="s">
        <v>2668</v>
      </c>
      <c r="C978" t="s">
        <v>13</v>
      </c>
      <c r="D978" t="s">
        <v>1165</v>
      </c>
      <c r="E978" t="s">
        <v>1610</v>
      </c>
      <c r="F978" t="s">
        <v>2778</v>
      </c>
      <c r="H978" t="s">
        <v>17</v>
      </c>
      <c r="I978" t="s">
        <v>2776</v>
      </c>
    </row>
    <row r="979" spans="1:9" x14ac:dyDescent="0.3">
      <c r="A979" t="s">
        <v>2668</v>
      </c>
      <c r="C979" t="s">
        <v>13</v>
      </c>
      <c r="D979" t="s">
        <v>1168</v>
      </c>
      <c r="E979" t="s">
        <v>274</v>
      </c>
      <c r="F979" t="s">
        <v>2779</v>
      </c>
      <c r="H979" t="s">
        <v>17</v>
      </c>
      <c r="I979" t="s">
        <v>2776</v>
      </c>
    </row>
    <row r="980" spans="1:9" x14ac:dyDescent="0.3">
      <c r="A980" t="s">
        <v>2668</v>
      </c>
      <c r="C980" t="s">
        <v>13</v>
      </c>
      <c r="D980" t="s">
        <v>1172</v>
      </c>
      <c r="E980" t="s">
        <v>277</v>
      </c>
      <c r="F980" t="s">
        <v>2780</v>
      </c>
      <c r="H980" t="s">
        <v>17</v>
      </c>
      <c r="I980" t="s">
        <v>2776</v>
      </c>
    </row>
    <row r="981" spans="1:9" x14ac:dyDescent="0.3">
      <c r="A981" t="s">
        <v>2668</v>
      </c>
      <c r="C981" t="s">
        <v>13</v>
      </c>
      <c r="D981" t="s">
        <v>1176</v>
      </c>
      <c r="E981" t="s">
        <v>280</v>
      </c>
      <c r="F981" t="s">
        <v>2781</v>
      </c>
      <c r="H981" t="s">
        <v>17</v>
      </c>
      <c r="I981" t="s">
        <v>2776</v>
      </c>
    </row>
    <row r="982" spans="1:9" x14ac:dyDescent="0.3">
      <c r="A982" t="s">
        <v>2668</v>
      </c>
      <c r="C982" t="s">
        <v>13</v>
      </c>
      <c r="D982" t="s">
        <v>1179</v>
      </c>
      <c r="E982" t="s">
        <v>283</v>
      </c>
      <c r="F982" t="s">
        <v>2782</v>
      </c>
      <c r="H982" t="s">
        <v>17</v>
      </c>
      <c r="I982" t="s">
        <v>2776</v>
      </c>
    </row>
    <row r="983" spans="1:9" x14ac:dyDescent="0.3">
      <c r="A983" t="s">
        <v>2668</v>
      </c>
      <c r="C983" t="s">
        <v>13</v>
      </c>
      <c r="D983" t="s">
        <v>1184</v>
      </c>
      <c r="E983" t="s">
        <v>286</v>
      </c>
      <c r="F983" t="s">
        <v>2783</v>
      </c>
      <c r="H983" t="s">
        <v>17</v>
      </c>
      <c r="I983" t="s">
        <v>2776</v>
      </c>
    </row>
    <row r="984" spans="1:9" x14ac:dyDescent="0.3">
      <c r="A984" t="s">
        <v>2668</v>
      </c>
      <c r="C984" t="s">
        <v>13</v>
      </c>
      <c r="D984" t="s">
        <v>1189</v>
      </c>
      <c r="E984" t="s">
        <v>289</v>
      </c>
      <c r="F984" t="s">
        <v>2784</v>
      </c>
      <c r="H984" t="s">
        <v>17</v>
      </c>
      <c r="I984" t="s">
        <v>2776</v>
      </c>
    </row>
    <row r="985" spans="1:9" x14ac:dyDescent="0.3">
      <c r="A985" t="s">
        <v>2668</v>
      </c>
      <c r="C985" t="s">
        <v>13</v>
      </c>
      <c r="D985" t="s">
        <v>1193</v>
      </c>
      <c r="E985" t="s">
        <v>292</v>
      </c>
      <c r="F985" t="s">
        <v>2785</v>
      </c>
      <c r="H985" t="s">
        <v>17</v>
      </c>
      <c r="I985" t="s">
        <v>2706</v>
      </c>
    </row>
    <row r="986" spans="1:9" x14ac:dyDescent="0.3">
      <c r="A986" t="s">
        <v>2668</v>
      </c>
      <c r="C986" t="s">
        <v>13</v>
      </c>
      <c r="D986" t="s">
        <v>1197</v>
      </c>
      <c r="E986" t="s">
        <v>295</v>
      </c>
      <c r="F986" t="s">
        <v>2786</v>
      </c>
      <c r="H986" t="s">
        <v>17</v>
      </c>
      <c r="I986" t="s">
        <v>2787</v>
      </c>
    </row>
    <row r="987" spans="1:9" x14ac:dyDescent="0.3">
      <c r="A987" t="s">
        <v>2668</v>
      </c>
      <c r="C987" t="s">
        <v>13</v>
      </c>
      <c r="D987" t="s">
        <v>1201</v>
      </c>
      <c r="E987" t="s">
        <v>298</v>
      </c>
      <c r="F987" t="s">
        <v>2788</v>
      </c>
      <c r="H987" t="s">
        <v>17</v>
      </c>
      <c r="I987" t="s">
        <v>2789</v>
      </c>
    </row>
    <row r="988" spans="1:9" x14ac:dyDescent="0.3">
      <c r="A988" t="s">
        <v>2668</v>
      </c>
      <c r="C988" t="s">
        <v>13</v>
      </c>
      <c r="D988" t="s">
        <v>1205</v>
      </c>
      <c r="E988" t="s">
        <v>301</v>
      </c>
      <c r="F988" t="s">
        <v>2790</v>
      </c>
      <c r="H988" t="s">
        <v>17</v>
      </c>
      <c r="I988" t="s">
        <v>2789</v>
      </c>
    </row>
    <row r="989" spans="1:9" x14ac:dyDescent="0.3">
      <c r="A989" t="s">
        <v>2668</v>
      </c>
      <c r="C989" t="s">
        <v>13</v>
      </c>
      <c r="D989" t="s">
        <v>1209</v>
      </c>
      <c r="E989" t="s">
        <v>304</v>
      </c>
      <c r="F989" t="s">
        <v>2791</v>
      </c>
      <c r="H989" t="s">
        <v>17</v>
      </c>
      <c r="I989" t="s">
        <v>2789</v>
      </c>
    </row>
    <row r="990" spans="1:9" x14ac:dyDescent="0.3">
      <c r="A990" t="s">
        <v>2668</v>
      </c>
      <c r="C990" t="s">
        <v>13</v>
      </c>
      <c r="D990" t="s">
        <v>1213</v>
      </c>
      <c r="E990" t="s">
        <v>309</v>
      </c>
      <c r="F990" t="s">
        <v>2792</v>
      </c>
      <c r="H990" t="s">
        <v>17</v>
      </c>
      <c r="I990" t="s">
        <v>2789</v>
      </c>
    </row>
    <row r="991" spans="1:9" x14ac:dyDescent="0.3">
      <c r="A991" t="s">
        <v>2668</v>
      </c>
      <c r="C991" t="s">
        <v>13</v>
      </c>
      <c r="D991" t="s">
        <v>1219</v>
      </c>
      <c r="E991" t="s">
        <v>313</v>
      </c>
      <c r="F991" t="s">
        <v>2793</v>
      </c>
      <c r="H991" t="s">
        <v>17</v>
      </c>
      <c r="I991" t="s">
        <v>2794</v>
      </c>
    </row>
    <row r="992" spans="1:9" x14ac:dyDescent="0.3">
      <c r="A992" t="s">
        <v>2668</v>
      </c>
      <c r="C992" t="s">
        <v>13</v>
      </c>
      <c r="D992" t="s">
        <v>1224</v>
      </c>
      <c r="E992" t="s">
        <v>317</v>
      </c>
      <c r="F992" t="s">
        <v>2795</v>
      </c>
      <c r="H992" t="s">
        <v>17</v>
      </c>
      <c r="I992" t="s">
        <v>2796</v>
      </c>
    </row>
    <row r="993" spans="1:9" x14ac:dyDescent="0.3">
      <c r="A993" t="s">
        <v>2668</v>
      </c>
      <c r="C993" t="s">
        <v>13</v>
      </c>
      <c r="D993" t="s">
        <v>1228</v>
      </c>
      <c r="E993" t="s">
        <v>320</v>
      </c>
      <c r="F993" t="s">
        <v>2797</v>
      </c>
      <c r="H993" t="s">
        <v>17</v>
      </c>
      <c r="I993" t="s">
        <v>2706</v>
      </c>
    </row>
    <row r="994" spans="1:9" x14ac:dyDescent="0.3">
      <c r="A994" t="s">
        <v>2668</v>
      </c>
      <c r="C994" t="s">
        <v>13</v>
      </c>
      <c r="D994" t="s">
        <v>1232</v>
      </c>
      <c r="E994" t="s">
        <v>324</v>
      </c>
      <c r="F994" t="s">
        <v>2798</v>
      </c>
      <c r="H994" t="s">
        <v>17</v>
      </c>
      <c r="I994" t="s">
        <v>2706</v>
      </c>
    </row>
    <row r="995" spans="1:9" x14ac:dyDescent="0.3">
      <c r="A995" t="s">
        <v>2668</v>
      </c>
      <c r="C995" t="s">
        <v>13</v>
      </c>
      <c r="D995" t="s">
        <v>1236</v>
      </c>
      <c r="E995" t="s">
        <v>328</v>
      </c>
      <c r="F995" t="s">
        <v>2799</v>
      </c>
      <c r="H995" t="s">
        <v>17</v>
      </c>
      <c r="I995" t="s">
        <v>2706</v>
      </c>
    </row>
    <row r="996" spans="1:9" x14ac:dyDescent="0.3">
      <c r="A996" t="s">
        <v>2668</v>
      </c>
      <c r="C996" t="s">
        <v>13</v>
      </c>
      <c r="D996" t="s">
        <v>1240</v>
      </c>
      <c r="E996" t="s">
        <v>336</v>
      </c>
      <c r="F996" t="s">
        <v>2445</v>
      </c>
      <c r="H996" t="s">
        <v>17</v>
      </c>
      <c r="I996" t="s">
        <v>2800</v>
      </c>
    </row>
    <row r="997" spans="1:9" x14ac:dyDescent="0.3">
      <c r="A997" t="s">
        <v>2668</v>
      </c>
      <c r="C997" t="s">
        <v>13</v>
      </c>
      <c r="D997" t="s">
        <v>1244</v>
      </c>
      <c r="E997" t="s">
        <v>339</v>
      </c>
      <c r="F997" t="s">
        <v>2801</v>
      </c>
      <c r="H997" t="s">
        <v>17</v>
      </c>
      <c r="I997" t="s">
        <v>2800</v>
      </c>
    </row>
    <row r="998" spans="1:9" x14ac:dyDescent="0.3">
      <c r="A998" t="s">
        <v>2668</v>
      </c>
      <c r="C998" t="s">
        <v>13</v>
      </c>
      <c r="D998" t="s">
        <v>1248</v>
      </c>
      <c r="E998" t="s">
        <v>342</v>
      </c>
      <c r="F998" t="s">
        <v>2802</v>
      </c>
      <c r="H998" t="s">
        <v>17</v>
      </c>
      <c r="I998" t="s">
        <v>2800</v>
      </c>
    </row>
    <row r="999" spans="1:9" x14ac:dyDescent="0.3">
      <c r="A999" t="s">
        <v>2668</v>
      </c>
      <c r="C999" t="s">
        <v>13</v>
      </c>
      <c r="D999" t="s">
        <v>1252</v>
      </c>
      <c r="E999" t="s">
        <v>345</v>
      </c>
      <c r="F999" t="s">
        <v>2803</v>
      </c>
      <c r="H999" t="s">
        <v>17</v>
      </c>
      <c r="I999" t="s">
        <v>2800</v>
      </c>
    </row>
    <row r="1000" spans="1:9" x14ac:dyDescent="0.3">
      <c r="A1000" t="s">
        <v>2668</v>
      </c>
      <c r="C1000" t="s">
        <v>13</v>
      </c>
      <c r="D1000" t="s">
        <v>1256</v>
      </c>
      <c r="E1000" t="s">
        <v>348</v>
      </c>
      <c r="F1000" t="s">
        <v>2804</v>
      </c>
      <c r="H1000" t="s">
        <v>17</v>
      </c>
      <c r="I1000" t="s">
        <v>2800</v>
      </c>
    </row>
    <row r="1001" spans="1:9" x14ac:dyDescent="0.3">
      <c r="A1001" t="s">
        <v>2668</v>
      </c>
      <c r="C1001" t="s">
        <v>13</v>
      </c>
      <c r="D1001" t="s">
        <v>1261</v>
      </c>
      <c r="E1001" t="s">
        <v>354</v>
      </c>
      <c r="F1001" t="s">
        <v>2805</v>
      </c>
      <c r="H1001" t="s">
        <v>17</v>
      </c>
      <c r="I1001" t="s">
        <v>2800</v>
      </c>
    </row>
    <row r="1002" spans="1:9" x14ac:dyDescent="0.3">
      <c r="A1002" t="s">
        <v>2668</v>
      </c>
      <c r="C1002" t="s">
        <v>13</v>
      </c>
      <c r="D1002" t="s">
        <v>1265</v>
      </c>
      <c r="E1002" t="s">
        <v>359</v>
      </c>
      <c r="F1002" t="s">
        <v>2806</v>
      </c>
      <c r="H1002" t="s">
        <v>17</v>
      </c>
      <c r="I1002" t="s">
        <v>2800</v>
      </c>
    </row>
    <row r="1003" spans="1:9" x14ac:dyDescent="0.3">
      <c r="A1003" t="s">
        <v>2668</v>
      </c>
      <c r="C1003" t="s">
        <v>13</v>
      </c>
      <c r="D1003" t="s">
        <v>1270</v>
      </c>
      <c r="E1003" t="s">
        <v>362</v>
      </c>
      <c r="F1003" t="s">
        <v>2807</v>
      </c>
      <c r="H1003" t="s">
        <v>17</v>
      </c>
      <c r="I1003" t="s">
        <v>2800</v>
      </c>
    </row>
    <row r="1004" spans="1:9" x14ac:dyDescent="0.3">
      <c r="A1004" t="s">
        <v>2668</v>
      </c>
      <c r="C1004" t="s">
        <v>13</v>
      </c>
      <c r="D1004" t="s">
        <v>1276</v>
      </c>
      <c r="E1004" t="s">
        <v>365</v>
      </c>
      <c r="F1004" t="s">
        <v>2808</v>
      </c>
      <c r="H1004" t="s">
        <v>17</v>
      </c>
      <c r="I1004" t="s">
        <v>2800</v>
      </c>
    </row>
    <row r="1005" spans="1:9" x14ac:dyDescent="0.3">
      <c r="A1005" t="s">
        <v>2668</v>
      </c>
      <c r="C1005" t="s">
        <v>13</v>
      </c>
      <c r="D1005" t="s">
        <v>303</v>
      </c>
      <c r="E1005" t="s">
        <v>368</v>
      </c>
      <c r="F1005" t="s">
        <v>2809</v>
      </c>
      <c r="H1005" t="s">
        <v>17</v>
      </c>
      <c r="I1005" t="s">
        <v>2800</v>
      </c>
    </row>
    <row r="1006" spans="1:9" x14ac:dyDescent="0.3">
      <c r="A1006" t="s">
        <v>2668</v>
      </c>
      <c r="C1006" t="s">
        <v>13</v>
      </c>
      <c r="D1006" t="s">
        <v>308</v>
      </c>
      <c r="E1006" t="s">
        <v>371</v>
      </c>
      <c r="F1006" t="s">
        <v>2810</v>
      </c>
      <c r="H1006" t="s">
        <v>17</v>
      </c>
      <c r="I1006" t="s">
        <v>2800</v>
      </c>
    </row>
    <row r="1007" spans="1:9" x14ac:dyDescent="0.3">
      <c r="A1007" t="s">
        <v>2668</v>
      </c>
      <c r="C1007" t="s">
        <v>13</v>
      </c>
      <c r="D1007" t="s">
        <v>312</v>
      </c>
      <c r="E1007" t="s">
        <v>374</v>
      </c>
      <c r="F1007" t="s">
        <v>2811</v>
      </c>
      <c r="H1007" t="s">
        <v>17</v>
      </c>
      <c r="I1007" t="s">
        <v>2800</v>
      </c>
    </row>
    <row r="1008" spans="1:9" x14ac:dyDescent="0.3">
      <c r="A1008" t="s">
        <v>2668</v>
      </c>
      <c r="C1008" t="s">
        <v>13</v>
      </c>
      <c r="D1008" t="s">
        <v>316</v>
      </c>
      <c r="E1008" t="s">
        <v>2812</v>
      </c>
      <c r="F1008" t="s">
        <v>1294</v>
      </c>
      <c r="H1008" t="s">
        <v>17</v>
      </c>
      <c r="I1008" t="s">
        <v>2800</v>
      </c>
    </row>
    <row r="1009" spans="1:9" x14ac:dyDescent="0.3">
      <c r="A1009" t="s">
        <v>2668</v>
      </c>
      <c r="C1009" t="s">
        <v>13</v>
      </c>
      <c r="D1009" t="s">
        <v>319</v>
      </c>
      <c r="E1009" t="s">
        <v>2813</v>
      </c>
      <c r="F1009" t="s">
        <v>2814</v>
      </c>
      <c r="H1009" t="s">
        <v>17</v>
      </c>
      <c r="I1009" t="s">
        <v>2800</v>
      </c>
    </row>
    <row r="1010" spans="1:9" x14ac:dyDescent="0.3">
      <c r="A1010" t="s">
        <v>2668</v>
      </c>
      <c r="C1010" t="s">
        <v>13</v>
      </c>
      <c r="D1010" t="s">
        <v>323</v>
      </c>
      <c r="E1010" t="s">
        <v>2815</v>
      </c>
      <c r="F1010" t="s">
        <v>2816</v>
      </c>
      <c r="H1010" t="s">
        <v>17</v>
      </c>
      <c r="I1010" t="s">
        <v>2817</v>
      </c>
    </row>
    <row r="1011" spans="1:9" x14ac:dyDescent="0.3">
      <c r="A1011" t="s">
        <v>2668</v>
      </c>
      <c r="C1011" t="s">
        <v>13</v>
      </c>
      <c r="D1011" t="s">
        <v>327</v>
      </c>
      <c r="E1011" t="s">
        <v>2818</v>
      </c>
      <c r="F1011" t="s">
        <v>2819</v>
      </c>
      <c r="H1011" t="s">
        <v>17</v>
      </c>
      <c r="I1011" t="s">
        <v>2817</v>
      </c>
    </row>
    <row r="1012" spans="1:9" x14ac:dyDescent="0.3">
      <c r="A1012" t="s">
        <v>2668</v>
      </c>
      <c r="C1012" t="s">
        <v>13</v>
      </c>
      <c r="D1012" t="s">
        <v>332</v>
      </c>
      <c r="E1012" t="s">
        <v>2820</v>
      </c>
      <c r="F1012" t="s">
        <v>2821</v>
      </c>
      <c r="H1012" t="s">
        <v>17</v>
      </c>
      <c r="I1012" t="s">
        <v>2817</v>
      </c>
    </row>
    <row r="1013" spans="1:9" x14ac:dyDescent="0.3">
      <c r="A1013" t="s">
        <v>2668</v>
      </c>
      <c r="C1013" t="s">
        <v>13</v>
      </c>
      <c r="D1013" t="s">
        <v>335</v>
      </c>
      <c r="E1013" t="s">
        <v>2822</v>
      </c>
      <c r="F1013" t="s">
        <v>2823</v>
      </c>
      <c r="H1013" t="s">
        <v>17</v>
      </c>
      <c r="I1013" t="s">
        <v>2817</v>
      </c>
    </row>
    <row r="1014" spans="1:9" x14ac:dyDescent="0.3">
      <c r="A1014" t="s">
        <v>2668</v>
      </c>
      <c r="C1014" t="s">
        <v>13</v>
      </c>
      <c r="D1014" t="s">
        <v>338</v>
      </c>
      <c r="E1014" t="s">
        <v>2824</v>
      </c>
      <c r="F1014" t="s">
        <v>2825</v>
      </c>
      <c r="H1014" t="s">
        <v>17</v>
      </c>
      <c r="I1014" t="s">
        <v>2817</v>
      </c>
    </row>
    <row r="1015" spans="1:9" x14ac:dyDescent="0.3">
      <c r="A1015" t="s">
        <v>2668</v>
      </c>
      <c r="C1015" t="s">
        <v>13</v>
      </c>
      <c r="D1015" t="s">
        <v>341</v>
      </c>
      <c r="E1015" t="s">
        <v>2826</v>
      </c>
      <c r="F1015" t="s">
        <v>2827</v>
      </c>
      <c r="H1015" t="s">
        <v>17</v>
      </c>
      <c r="I1015" t="s">
        <v>2817</v>
      </c>
    </row>
    <row r="1016" spans="1:9" x14ac:dyDescent="0.3">
      <c r="A1016" t="s">
        <v>2668</v>
      </c>
      <c r="C1016" t="s">
        <v>13</v>
      </c>
      <c r="D1016" t="s">
        <v>344</v>
      </c>
      <c r="E1016" t="s">
        <v>2828</v>
      </c>
      <c r="F1016" t="s">
        <v>2829</v>
      </c>
      <c r="H1016" t="s">
        <v>17</v>
      </c>
      <c r="I1016" t="s">
        <v>2817</v>
      </c>
    </row>
    <row r="1017" spans="1:9" x14ac:dyDescent="0.3">
      <c r="A1017" t="s">
        <v>2668</v>
      </c>
      <c r="C1017" t="s">
        <v>13</v>
      </c>
      <c r="D1017" t="s">
        <v>347</v>
      </c>
      <c r="E1017" t="s">
        <v>2830</v>
      </c>
      <c r="F1017" t="s">
        <v>2831</v>
      </c>
      <c r="H1017" t="s">
        <v>17</v>
      </c>
      <c r="I1017" t="s">
        <v>2817</v>
      </c>
    </row>
    <row r="1018" spans="1:9" x14ac:dyDescent="0.3">
      <c r="A1018" t="s">
        <v>2668</v>
      </c>
      <c r="C1018" t="s">
        <v>13</v>
      </c>
      <c r="D1018" t="s">
        <v>353</v>
      </c>
      <c r="E1018" t="s">
        <v>2832</v>
      </c>
      <c r="F1018" t="s">
        <v>2833</v>
      </c>
      <c r="H1018" t="s">
        <v>17</v>
      </c>
      <c r="I1018" t="s">
        <v>2817</v>
      </c>
    </row>
    <row r="1019" spans="1:9" x14ac:dyDescent="0.3">
      <c r="A1019" t="s">
        <v>2668</v>
      </c>
      <c r="C1019" t="s">
        <v>13</v>
      </c>
      <c r="D1019" t="s">
        <v>358</v>
      </c>
      <c r="E1019" t="s">
        <v>2834</v>
      </c>
      <c r="F1019" t="s">
        <v>2835</v>
      </c>
      <c r="H1019" t="s">
        <v>17</v>
      </c>
      <c r="I1019" t="s">
        <v>2836</v>
      </c>
    </row>
    <row r="1020" spans="1:9" x14ac:dyDescent="0.3">
      <c r="A1020" t="s">
        <v>2668</v>
      </c>
      <c r="C1020" t="s">
        <v>13</v>
      </c>
      <c r="D1020" t="s">
        <v>361</v>
      </c>
      <c r="E1020" t="s">
        <v>2837</v>
      </c>
      <c r="F1020" t="s">
        <v>2838</v>
      </c>
      <c r="H1020" t="s">
        <v>17</v>
      </c>
      <c r="I1020" t="s">
        <v>2839</v>
      </c>
    </row>
    <row r="1021" spans="1:9" x14ac:dyDescent="0.3">
      <c r="A1021" t="s">
        <v>2668</v>
      </c>
      <c r="C1021" t="s">
        <v>13</v>
      </c>
      <c r="D1021" t="s">
        <v>364</v>
      </c>
      <c r="E1021" t="s">
        <v>2840</v>
      </c>
      <c r="F1021" t="s">
        <v>2841</v>
      </c>
      <c r="H1021" t="s">
        <v>17</v>
      </c>
      <c r="I1021" t="s">
        <v>2839</v>
      </c>
    </row>
    <row r="1022" spans="1:9" x14ac:dyDescent="0.3">
      <c r="A1022" t="s">
        <v>2668</v>
      </c>
      <c r="C1022" t="s">
        <v>13</v>
      </c>
      <c r="D1022" t="s">
        <v>367</v>
      </c>
      <c r="E1022" t="s">
        <v>2842</v>
      </c>
      <c r="F1022" t="s">
        <v>2463</v>
      </c>
      <c r="H1022" t="s">
        <v>17</v>
      </c>
      <c r="I1022" t="s">
        <v>2839</v>
      </c>
    </row>
    <row r="1023" spans="1:9" x14ac:dyDescent="0.3">
      <c r="A1023" t="s">
        <v>2668</v>
      </c>
      <c r="C1023" t="s">
        <v>13</v>
      </c>
      <c r="D1023" t="s">
        <v>370</v>
      </c>
      <c r="E1023" t="s">
        <v>2843</v>
      </c>
      <c r="F1023" t="s">
        <v>2465</v>
      </c>
      <c r="H1023" t="s">
        <v>17</v>
      </c>
      <c r="I1023" t="s">
        <v>2839</v>
      </c>
    </row>
    <row r="1024" spans="1:9" x14ac:dyDescent="0.3">
      <c r="A1024" t="s">
        <v>2668</v>
      </c>
      <c r="C1024" t="s">
        <v>13</v>
      </c>
      <c r="D1024" t="s">
        <v>373</v>
      </c>
      <c r="E1024" t="s">
        <v>2844</v>
      </c>
      <c r="F1024" t="s">
        <v>2845</v>
      </c>
      <c r="H1024" t="s">
        <v>17</v>
      </c>
      <c r="I1024" t="s">
        <v>2839</v>
      </c>
    </row>
    <row r="1025" spans="1:9" x14ac:dyDescent="0.3">
      <c r="A1025" t="s">
        <v>2668</v>
      </c>
      <c r="C1025" t="s">
        <v>13</v>
      </c>
      <c r="D1025" t="s">
        <v>376</v>
      </c>
      <c r="E1025" t="s">
        <v>2846</v>
      </c>
      <c r="F1025" t="s">
        <v>2847</v>
      </c>
      <c r="H1025" t="s">
        <v>17</v>
      </c>
      <c r="I1025" t="s">
        <v>2839</v>
      </c>
    </row>
    <row r="1026" spans="1:9" x14ac:dyDescent="0.3">
      <c r="A1026" t="s">
        <v>2668</v>
      </c>
      <c r="C1026" t="s">
        <v>13</v>
      </c>
      <c r="D1026" t="s">
        <v>1675</v>
      </c>
      <c r="E1026" t="s">
        <v>2848</v>
      </c>
      <c r="F1026" t="s">
        <v>2473</v>
      </c>
      <c r="H1026" t="s">
        <v>17</v>
      </c>
      <c r="I1026" t="s">
        <v>2839</v>
      </c>
    </row>
    <row r="1027" spans="1:9" x14ac:dyDescent="0.3">
      <c r="A1027" t="s">
        <v>2668</v>
      </c>
      <c r="C1027" t="s">
        <v>13</v>
      </c>
      <c r="D1027" t="s">
        <v>1678</v>
      </c>
      <c r="E1027" t="s">
        <v>2849</v>
      </c>
      <c r="F1027" t="s">
        <v>2850</v>
      </c>
      <c r="H1027" t="s">
        <v>17</v>
      </c>
      <c r="I1027" t="s">
        <v>2839</v>
      </c>
    </row>
    <row r="1028" spans="1:9" x14ac:dyDescent="0.3">
      <c r="A1028" t="s">
        <v>2668</v>
      </c>
      <c r="C1028" t="s">
        <v>13</v>
      </c>
      <c r="D1028" t="s">
        <v>1681</v>
      </c>
      <c r="E1028" t="s">
        <v>2851</v>
      </c>
      <c r="F1028" t="s">
        <v>2852</v>
      </c>
      <c r="H1028" t="s">
        <v>17</v>
      </c>
      <c r="I1028" t="s">
        <v>2853</v>
      </c>
    </row>
    <row r="1029" spans="1:9" x14ac:dyDescent="0.3">
      <c r="A1029" t="s">
        <v>2668</v>
      </c>
      <c r="C1029" t="s">
        <v>13</v>
      </c>
      <c r="D1029" t="s">
        <v>1683</v>
      </c>
      <c r="E1029" t="s">
        <v>2854</v>
      </c>
      <c r="F1029" t="s">
        <v>2855</v>
      </c>
      <c r="H1029" t="s">
        <v>17</v>
      </c>
      <c r="I1029" t="s">
        <v>2856</v>
      </c>
    </row>
    <row r="1030" spans="1:9" x14ac:dyDescent="0.3">
      <c r="A1030" t="s">
        <v>2668</v>
      </c>
      <c r="C1030" t="s">
        <v>13</v>
      </c>
      <c r="D1030" t="s">
        <v>1685</v>
      </c>
      <c r="E1030" t="s">
        <v>2857</v>
      </c>
      <c r="F1030" t="s">
        <v>2858</v>
      </c>
      <c r="H1030" t="s">
        <v>17</v>
      </c>
      <c r="I1030" t="s">
        <v>2856</v>
      </c>
    </row>
    <row r="1031" spans="1:9" x14ac:dyDescent="0.3">
      <c r="A1031" t="s">
        <v>2668</v>
      </c>
      <c r="C1031" t="s">
        <v>13</v>
      </c>
      <c r="D1031" t="s">
        <v>2859</v>
      </c>
      <c r="E1031" t="s">
        <v>2860</v>
      </c>
      <c r="F1031" t="s">
        <v>2861</v>
      </c>
      <c r="H1031" t="s">
        <v>17</v>
      </c>
      <c r="I1031" t="s">
        <v>2856</v>
      </c>
    </row>
    <row r="1032" spans="1:9" x14ac:dyDescent="0.3">
      <c r="A1032" t="s">
        <v>2668</v>
      </c>
      <c r="C1032" t="s">
        <v>13</v>
      </c>
      <c r="D1032" t="s">
        <v>2413</v>
      </c>
      <c r="E1032" t="s">
        <v>2862</v>
      </c>
      <c r="F1032" t="s">
        <v>2863</v>
      </c>
      <c r="H1032" t="s">
        <v>17</v>
      </c>
      <c r="I1032" t="s">
        <v>2856</v>
      </c>
    </row>
    <row r="1033" spans="1:9" x14ac:dyDescent="0.3">
      <c r="A1033" t="s">
        <v>2668</v>
      </c>
      <c r="C1033" t="s">
        <v>13</v>
      </c>
      <c r="D1033" t="s">
        <v>2417</v>
      </c>
      <c r="E1033" t="s">
        <v>2864</v>
      </c>
      <c r="F1033" t="s">
        <v>2865</v>
      </c>
      <c r="H1033" t="s">
        <v>17</v>
      </c>
      <c r="I1033" t="s">
        <v>2856</v>
      </c>
    </row>
    <row r="1034" spans="1:9" x14ac:dyDescent="0.3">
      <c r="A1034" t="s">
        <v>2668</v>
      </c>
      <c r="C1034" t="s">
        <v>13</v>
      </c>
      <c r="D1034" t="s">
        <v>2421</v>
      </c>
      <c r="E1034" t="s">
        <v>2866</v>
      </c>
      <c r="F1034" t="s">
        <v>2867</v>
      </c>
      <c r="H1034" t="s">
        <v>17</v>
      </c>
      <c r="I1034" t="s">
        <v>2856</v>
      </c>
    </row>
    <row r="1035" spans="1:9" x14ac:dyDescent="0.3">
      <c r="A1035" t="s">
        <v>2668</v>
      </c>
      <c r="C1035" t="s">
        <v>1936</v>
      </c>
      <c r="D1035" t="s">
        <v>996</v>
      </c>
      <c r="E1035" t="s">
        <v>2868</v>
      </c>
      <c r="F1035" t="s">
        <v>2869</v>
      </c>
      <c r="H1035" t="s">
        <v>17</v>
      </c>
      <c r="I1035" t="s">
        <v>2856</v>
      </c>
    </row>
    <row r="1036" spans="1:9" x14ac:dyDescent="0.3">
      <c r="A1036" t="s">
        <v>2668</v>
      </c>
      <c r="C1036" t="s">
        <v>1936</v>
      </c>
      <c r="D1036" t="s">
        <v>1001</v>
      </c>
      <c r="E1036" t="s">
        <v>1937</v>
      </c>
      <c r="F1036" t="s">
        <v>2870</v>
      </c>
      <c r="H1036" t="s">
        <v>17</v>
      </c>
      <c r="I1036" t="s">
        <v>2856</v>
      </c>
    </row>
    <row r="1037" spans="1:9" x14ac:dyDescent="0.3">
      <c r="A1037" t="s">
        <v>2668</v>
      </c>
      <c r="C1037" t="s">
        <v>1936</v>
      </c>
      <c r="D1037" t="s">
        <v>1942</v>
      </c>
      <c r="E1037" t="s">
        <v>1940</v>
      </c>
      <c r="F1037" t="s">
        <v>2871</v>
      </c>
      <c r="H1037" t="s">
        <v>17</v>
      </c>
      <c r="I1037" t="s">
        <v>2856</v>
      </c>
    </row>
    <row r="1038" spans="1:9" x14ac:dyDescent="0.3">
      <c r="A1038" t="s">
        <v>2668</v>
      </c>
      <c r="C1038" t="s">
        <v>1936</v>
      </c>
      <c r="D1038" t="s">
        <v>22</v>
      </c>
      <c r="E1038" t="s">
        <v>1943</v>
      </c>
      <c r="F1038" t="s">
        <v>2872</v>
      </c>
      <c r="H1038" t="s">
        <v>17</v>
      </c>
      <c r="I1038" t="s">
        <v>2856</v>
      </c>
    </row>
    <row r="1039" spans="1:9" x14ac:dyDescent="0.3">
      <c r="A1039" t="s">
        <v>2668</v>
      </c>
      <c r="C1039" t="s">
        <v>1936</v>
      </c>
      <c r="D1039" t="s">
        <v>27</v>
      </c>
      <c r="E1039" t="s">
        <v>1944</v>
      </c>
      <c r="F1039" t="s">
        <v>2873</v>
      </c>
      <c r="H1039" t="s">
        <v>17</v>
      </c>
      <c r="I1039" t="s">
        <v>2856</v>
      </c>
    </row>
    <row r="1040" spans="1:9" x14ac:dyDescent="0.3">
      <c r="A1040" t="s">
        <v>2668</v>
      </c>
      <c r="C1040" t="s">
        <v>1936</v>
      </c>
      <c r="D1040" t="s">
        <v>1014</v>
      </c>
      <c r="E1040" t="s">
        <v>1946</v>
      </c>
      <c r="F1040" t="s">
        <v>2874</v>
      </c>
      <c r="H1040" t="s">
        <v>17</v>
      </c>
      <c r="I1040" t="s">
        <v>2856</v>
      </c>
    </row>
    <row r="1041" spans="1:9" x14ac:dyDescent="0.3">
      <c r="A1041" t="s">
        <v>2668</v>
      </c>
      <c r="C1041" t="s">
        <v>1936</v>
      </c>
      <c r="D1041" t="s">
        <v>1017</v>
      </c>
      <c r="E1041" t="s">
        <v>1948</v>
      </c>
      <c r="F1041" t="s">
        <v>2875</v>
      </c>
      <c r="H1041" t="s">
        <v>17</v>
      </c>
      <c r="I1041" t="s">
        <v>2856</v>
      </c>
    </row>
    <row r="1042" spans="1:9" x14ac:dyDescent="0.3">
      <c r="A1042" t="s">
        <v>2668</v>
      </c>
      <c r="C1042" t="s">
        <v>1936</v>
      </c>
      <c r="D1042" t="s">
        <v>36</v>
      </c>
      <c r="E1042" t="s">
        <v>1950</v>
      </c>
      <c r="F1042" t="s">
        <v>2876</v>
      </c>
      <c r="H1042" t="s">
        <v>17</v>
      </c>
      <c r="I1042" t="s">
        <v>2856</v>
      </c>
    </row>
    <row r="1043" spans="1:9" x14ac:dyDescent="0.3">
      <c r="A1043" t="s">
        <v>2668</v>
      </c>
      <c r="C1043" t="s">
        <v>1936</v>
      </c>
      <c r="D1043" t="s">
        <v>41</v>
      </c>
      <c r="E1043" t="s">
        <v>1952</v>
      </c>
      <c r="F1043" t="s">
        <v>2877</v>
      </c>
      <c r="H1043" t="s">
        <v>17</v>
      </c>
      <c r="I1043" t="s">
        <v>2856</v>
      </c>
    </row>
    <row r="1044" spans="1:9" x14ac:dyDescent="0.3">
      <c r="A1044" t="s">
        <v>2668</v>
      </c>
      <c r="C1044" t="s">
        <v>1936</v>
      </c>
      <c r="D1044" t="s">
        <v>45</v>
      </c>
      <c r="E1044" t="s">
        <v>1954</v>
      </c>
      <c r="F1044" t="s">
        <v>2878</v>
      </c>
      <c r="H1044" t="s">
        <v>17</v>
      </c>
      <c r="I1044" t="s">
        <v>2856</v>
      </c>
    </row>
    <row r="1045" spans="1:9" x14ac:dyDescent="0.3">
      <c r="A1045" t="s">
        <v>2668</v>
      </c>
      <c r="C1045" t="s">
        <v>1936</v>
      </c>
      <c r="D1045" t="s">
        <v>50</v>
      </c>
      <c r="E1045" t="s">
        <v>1956</v>
      </c>
      <c r="F1045" t="s">
        <v>2451</v>
      </c>
      <c r="H1045" t="s">
        <v>17</v>
      </c>
      <c r="I1045" t="s">
        <v>2856</v>
      </c>
    </row>
    <row r="1046" spans="1:9" x14ac:dyDescent="0.3">
      <c r="A1046" t="s">
        <v>2668</v>
      </c>
      <c r="C1046" t="s">
        <v>1936</v>
      </c>
      <c r="D1046" t="s">
        <v>53</v>
      </c>
      <c r="E1046" t="s">
        <v>1960</v>
      </c>
      <c r="F1046" t="s">
        <v>2879</v>
      </c>
      <c r="H1046" t="s">
        <v>17</v>
      </c>
      <c r="I1046" t="s">
        <v>2880</v>
      </c>
    </row>
    <row r="1047" spans="1:9" x14ac:dyDescent="0.3">
      <c r="A1047" t="s">
        <v>2668</v>
      </c>
      <c r="C1047" t="s">
        <v>1936</v>
      </c>
      <c r="D1047" t="s">
        <v>56</v>
      </c>
      <c r="E1047" t="s">
        <v>1962</v>
      </c>
      <c r="F1047" t="s">
        <v>2881</v>
      </c>
      <c r="H1047" t="s">
        <v>17</v>
      </c>
      <c r="I1047" t="s">
        <v>2880</v>
      </c>
    </row>
    <row r="1048" spans="1:9" x14ac:dyDescent="0.3">
      <c r="A1048" t="s">
        <v>2668</v>
      </c>
      <c r="C1048" t="s">
        <v>1936</v>
      </c>
      <c r="D1048" t="s">
        <v>61</v>
      </c>
      <c r="E1048" t="s">
        <v>1964</v>
      </c>
      <c r="F1048" t="s">
        <v>2717</v>
      </c>
      <c r="H1048" t="s">
        <v>17</v>
      </c>
      <c r="I1048" t="s">
        <v>2880</v>
      </c>
    </row>
    <row r="1049" spans="1:9" x14ac:dyDescent="0.3">
      <c r="A1049" t="s">
        <v>2668</v>
      </c>
      <c r="C1049" t="s">
        <v>1936</v>
      </c>
      <c r="D1049" t="s">
        <v>1039</v>
      </c>
      <c r="E1049" t="s">
        <v>1966</v>
      </c>
      <c r="F1049" t="s">
        <v>2882</v>
      </c>
      <c r="H1049" t="s">
        <v>17</v>
      </c>
      <c r="I1049" t="s">
        <v>2880</v>
      </c>
    </row>
    <row r="1050" spans="1:9" x14ac:dyDescent="0.3">
      <c r="A1050" t="s">
        <v>2668</v>
      </c>
      <c r="C1050" t="s">
        <v>1936</v>
      </c>
      <c r="D1050" t="s">
        <v>1043</v>
      </c>
      <c r="E1050" t="s">
        <v>1968</v>
      </c>
      <c r="F1050" t="s">
        <v>2883</v>
      </c>
      <c r="H1050" t="s">
        <v>17</v>
      </c>
      <c r="I1050" t="s">
        <v>2880</v>
      </c>
    </row>
    <row r="1051" spans="1:9" x14ac:dyDescent="0.3">
      <c r="A1051" t="s">
        <v>2668</v>
      </c>
      <c r="C1051" t="s">
        <v>1936</v>
      </c>
      <c r="D1051" t="s">
        <v>71</v>
      </c>
      <c r="E1051" t="s">
        <v>1971</v>
      </c>
      <c r="F1051" t="s">
        <v>2884</v>
      </c>
      <c r="H1051" t="s">
        <v>17</v>
      </c>
      <c r="I1051" t="s">
        <v>2880</v>
      </c>
    </row>
    <row r="1052" spans="1:9" x14ac:dyDescent="0.3">
      <c r="A1052" t="s">
        <v>2668</v>
      </c>
      <c r="C1052" t="s">
        <v>1936</v>
      </c>
      <c r="D1052" t="s">
        <v>1050</v>
      </c>
      <c r="E1052" t="s">
        <v>1975</v>
      </c>
      <c r="F1052" t="s">
        <v>2731</v>
      </c>
      <c r="H1052" t="s">
        <v>17</v>
      </c>
      <c r="I1052" t="s">
        <v>2880</v>
      </c>
    </row>
    <row r="1053" spans="1:9" x14ac:dyDescent="0.3">
      <c r="A1053" t="s">
        <v>2668</v>
      </c>
      <c r="C1053" t="s">
        <v>1936</v>
      </c>
      <c r="D1053" t="s">
        <v>1055</v>
      </c>
      <c r="E1053" t="s">
        <v>1979</v>
      </c>
      <c r="F1053" t="s">
        <v>2885</v>
      </c>
      <c r="H1053" t="s">
        <v>17</v>
      </c>
      <c r="I1053" t="s">
        <v>2880</v>
      </c>
    </row>
    <row r="1054" spans="1:9" x14ac:dyDescent="0.3">
      <c r="A1054" t="s">
        <v>2668</v>
      </c>
      <c r="C1054" t="s">
        <v>1936</v>
      </c>
      <c r="D1054" t="s">
        <v>80</v>
      </c>
      <c r="E1054" t="s">
        <v>1982</v>
      </c>
      <c r="F1054" t="s">
        <v>2886</v>
      </c>
      <c r="H1054" t="s">
        <v>17</v>
      </c>
      <c r="I1054" t="s">
        <v>2880</v>
      </c>
    </row>
    <row r="1055" spans="1:9" x14ac:dyDescent="0.3">
      <c r="A1055" t="s">
        <v>2668</v>
      </c>
      <c r="C1055" t="s">
        <v>1936</v>
      </c>
      <c r="D1055" t="s">
        <v>85</v>
      </c>
      <c r="E1055" t="s">
        <v>1987</v>
      </c>
      <c r="F1055" t="s">
        <v>2887</v>
      </c>
      <c r="H1055" t="s">
        <v>17</v>
      </c>
      <c r="I1055" t="s">
        <v>2888</v>
      </c>
    </row>
    <row r="1056" spans="1:9" x14ac:dyDescent="0.3">
      <c r="A1056" t="s">
        <v>2668</v>
      </c>
      <c r="C1056" t="s">
        <v>1936</v>
      </c>
      <c r="D1056" t="s">
        <v>90</v>
      </c>
      <c r="E1056" t="s">
        <v>1989</v>
      </c>
      <c r="F1056" t="s">
        <v>2717</v>
      </c>
      <c r="H1056" t="s">
        <v>17</v>
      </c>
      <c r="I1056" t="s">
        <v>2888</v>
      </c>
    </row>
    <row r="1057" spans="1:9" x14ac:dyDescent="0.3">
      <c r="A1057" t="s">
        <v>2668</v>
      </c>
      <c r="C1057" t="s">
        <v>1936</v>
      </c>
      <c r="D1057" t="s">
        <v>95</v>
      </c>
      <c r="E1057" t="s">
        <v>1991</v>
      </c>
      <c r="F1057" t="s">
        <v>2882</v>
      </c>
      <c r="H1057" t="s">
        <v>17</v>
      </c>
      <c r="I1057" t="s">
        <v>2888</v>
      </c>
    </row>
    <row r="1058" spans="1:9" x14ac:dyDescent="0.3">
      <c r="A1058" t="s">
        <v>2668</v>
      </c>
      <c r="C1058" t="s">
        <v>1936</v>
      </c>
      <c r="D1058" t="s">
        <v>100</v>
      </c>
      <c r="E1058" t="s">
        <v>1993</v>
      </c>
      <c r="F1058" t="s">
        <v>2883</v>
      </c>
      <c r="H1058" t="s">
        <v>17</v>
      </c>
      <c r="I1058" t="s">
        <v>2888</v>
      </c>
    </row>
    <row r="1059" spans="1:9" x14ac:dyDescent="0.3">
      <c r="A1059" t="s">
        <v>2668</v>
      </c>
      <c r="C1059" t="s">
        <v>1936</v>
      </c>
      <c r="D1059" t="s">
        <v>106</v>
      </c>
      <c r="E1059" t="s">
        <v>1995</v>
      </c>
      <c r="F1059" t="s">
        <v>2884</v>
      </c>
      <c r="H1059" t="s">
        <v>17</v>
      </c>
      <c r="I1059" t="s">
        <v>2888</v>
      </c>
    </row>
    <row r="1060" spans="1:9" x14ac:dyDescent="0.3">
      <c r="A1060" t="s">
        <v>2668</v>
      </c>
      <c r="C1060" t="s">
        <v>1936</v>
      </c>
      <c r="D1060" t="s">
        <v>111</v>
      </c>
      <c r="E1060" t="s">
        <v>1997</v>
      </c>
      <c r="F1060" t="s">
        <v>2731</v>
      </c>
      <c r="H1060" t="s">
        <v>17</v>
      </c>
      <c r="I1060" t="s">
        <v>2888</v>
      </c>
    </row>
    <row r="1061" spans="1:9" x14ac:dyDescent="0.3">
      <c r="A1061" t="s">
        <v>2668</v>
      </c>
      <c r="C1061" t="s">
        <v>1936</v>
      </c>
      <c r="D1061" t="s">
        <v>114</v>
      </c>
      <c r="E1061" t="s">
        <v>1999</v>
      </c>
      <c r="F1061" t="s">
        <v>2885</v>
      </c>
      <c r="H1061" t="s">
        <v>17</v>
      </c>
      <c r="I1061" t="s">
        <v>2888</v>
      </c>
    </row>
    <row r="1062" spans="1:9" x14ac:dyDescent="0.3">
      <c r="A1062" t="s">
        <v>2668</v>
      </c>
      <c r="C1062" t="s">
        <v>1936</v>
      </c>
      <c r="D1062" t="s">
        <v>117</v>
      </c>
      <c r="E1062" t="s">
        <v>2001</v>
      </c>
      <c r="F1062" t="s">
        <v>2889</v>
      </c>
      <c r="H1062" t="s">
        <v>17</v>
      </c>
      <c r="I1062" t="s">
        <v>1217</v>
      </c>
    </row>
    <row r="1063" spans="1:9" x14ac:dyDescent="0.3">
      <c r="A1063" t="s">
        <v>2668</v>
      </c>
      <c r="C1063" t="s">
        <v>1936</v>
      </c>
      <c r="D1063" t="s">
        <v>121</v>
      </c>
      <c r="E1063" t="s">
        <v>2007</v>
      </c>
      <c r="F1063" t="s">
        <v>2890</v>
      </c>
      <c r="H1063" t="s">
        <v>17</v>
      </c>
      <c r="I1063" t="s">
        <v>2678</v>
      </c>
    </row>
    <row r="1064" spans="1:9" x14ac:dyDescent="0.3">
      <c r="A1064" t="s">
        <v>2668</v>
      </c>
      <c r="C1064" t="s">
        <v>1936</v>
      </c>
      <c r="D1064" t="s">
        <v>126</v>
      </c>
      <c r="E1064" t="s">
        <v>2009</v>
      </c>
      <c r="F1064" t="s">
        <v>2891</v>
      </c>
      <c r="H1064" t="s">
        <v>17</v>
      </c>
      <c r="I1064" t="s">
        <v>2678</v>
      </c>
    </row>
    <row r="1065" spans="1:9" x14ac:dyDescent="0.3">
      <c r="A1065" t="s">
        <v>2668</v>
      </c>
      <c r="C1065" t="s">
        <v>1936</v>
      </c>
      <c r="D1065" t="s">
        <v>129</v>
      </c>
      <c r="E1065" t="s">
        <v>2011</v>
      </c>
      <c r="F1065" t="s">
        <v>2892</v>
      </c>
      <c r="H1065" t="s">
        <v>17</v>
      </c>
      <c r="I1065" t="s">
        <v>2678</v>
      </c>
    </row>
    <row r="1066" spans="1:9" x14ac:dyDescent="0.3">
      <c r="A1066" t="s">
        <v>2668</v>
      </c>
      <c r="C1066" t="s">
        <v>1936</v>
      </c>
      <c r="D1066" t="s">
        <v>132</v>
      </c>
      <c r="E1066" t="s">
        <v>2013</v>
      </c>
      <c r="F1066" t="s">
        <v>2893</v>
      </c>
      <c r="H1066" t="s">
        <v>17</v>
      </c>
      <c r="I1066" t="s">
        <v>2894</v>
      </c>
    </row>
    <row r="1067" spans="1:9" x14ac:dyDescent="0.3">
      <c r="A1067" t="s">
        <v>2668</v>
      </c>
      <c r="C1067" t="s">
        <v>1936</v>
      </c>
      <c r="D1067" t="s">
        <v>135</v>
      </c>
      <c r="E1067" t="s">
        <v>2015</v>
      </c>
      <c r="F1067" t="s">
        <v>2895</v>
      </c>
      <c r="H1067" t="s">
        <v>17</v>
      </c>
      <c r="I1067" t="s">
        <v>2896</v>
      </c>
    </row>
    <row r="1068" spans="1:9" x14ac:dyDescent="0.3">
      <c r="A1068" t="s">
        <v>2668</v>
      </c>
      <c r="C1068" t="s">
        <v>1936</v>
      </c>
      <c r="D1068" t="s">
        <v>138</v>
      </c>
      <c r="E1068" t="s">
        <v>2017</v>
      </c>
      <c r="F1068" t="s">
        <v>2897</v>
      </c>
      <c r="H1068" t="s">
        <v>17</v>
      </c>
      <c r="I1068" t="s">
        <v>2898</v>
      </c>
    </row>
    <row r="1069" spans="1:9" x14ac:dyDescent="0.3">
      <c r="A1069" t="s">
        <v>2668</v>
      </c>
      <c r="C1069" t="s">
        <v>1936</v>
      </c>
      <c r="D1069" t="s">
        <v>141</v>
      </c>
      <c r="E1069" t="s">
        <v>2019</v>
      </c>
      <c r="F1069" t="s">
        <v>2899</v>
      </c>
      <c r="H1069" t="s">
        <v>17</v>
      </c>
      <c r="I1069" t="s">
        <v>2900</v>
      </c>
    </row>
    <row r="1070" spans="1:9" x14ac:dyDescent="0.3">
      <c r="A1070" t="s">
        <v>2668</v>
      </c>
      <c r="C1070" t="s">
        <v>1936</v>
      </c>
      <c r="D1070" t="s">
        <v>144</v>
      </c>
      <c r="E1070" t="s">
        <v>2023</v>
      </c>
      <c r="F1070" t="s">
        <v>2901</v>
      </c>
      <c r="H1070" t="s">
        <v>17</v>
      </c>
      <c r="I1070" t="s">
        <v>2900</v>
      </c>
    </row>
    <row r="1071" spans="1:9" x14ac:dyDescent="0.3">
      <c r="A1071" t="s">
        <v>2668</v>
      </c>
      <c r="C1071" t="s">
        <v>1936</v>
      </c>
      <c r="D1071" t="s">
        <v>2902</v>
      </c>
      <c r="E1071" t="s">
        <v>2024</v>
      </c>
      <c r="F1071" t="s">
        <v>2903</v>
      </c>
      <c r="H1071" t="s">
        <v>17</v>
      </c>
      <c r="I1071" t="s">
        <v>2904</v>
      </c>
    </row>
    <row r="1072" spans="1:9" x14ac:dyDescent="0.3">
      <c r="A1072" t="s">
        <v>2668</v>
      </c>
      <c r="C1072" t="s">
        <v>1936</v>
      </c>
      <c r="D1072" t="s">
        <v>2200</v>
      </c>
      <c r="E1072" t="s">
        <v>2027</v>
      </c>
      <c r="F1072" t="s">
        <v>2905</v>
      </c>
      <c r="H1072" t="s">
        <v>17</v>
      </c>
      <c r="I1072" t="s">
        <v>2906</v>
      </c>
    </row>
    <row r="1073" spans="1:9" x14ac:dyDescent="0.3">
      <c r="A1073" t="s">
        <v>2668</v>
      </c>
      <c r="C1073" t="s">
        <v>1936</v>
      </c>
      <c r="D1073" t="s">
        <v>167</v>
      </c>
      <c r="E1073" t="s">
        <v>2029</v>
      </c>
      <c r="F1073" t="s">
        <v>2907</v>
      </c>
      <c r="H1073" t="s">
        <v>17</v>
      </c>
      <c r="I1073" t="s">
        <v>2853</v>
      </c>
    </row>
    <row r="1074" spans="1:9" x14ac:dyDescent="0.3">
      <c r="A1074" t="s">
        <v>2668</v>
      </c>
      <c r="C1074" t="s">
        <v>1936</v>
      </c>
      <c r="D1074" t="s">
        <v>1104</v>
      </c>
      <c r="E1074" t="s">
        <v>2031</v>
      </c>
      <c r="F1074" t="s">
        <v>2908</v>
      </c>
      <c r="H1074" t="s">
        <v>17</v>
      </c>
      <c r="I1074" t="s">
        <v>2909</v>
      </c>
    </row>
    <row r="1075" spans="1:9" x14ac:dyDescent="0.3">
      <c r="A1075" t="s">
        <v>2668</v>
      </c>
      <c r="C1075" t="s">
        <v>1936</v>
      </c>
      <c r="D1075" t="s">
        <v>182</v>
      </c>
      <c r="E1075" t="s">
        <v>2033</v>
      </c>
      <c r="F1075" t="s">
        <v>2910</v>
      </c>
      <c r="H1075" t="s">
        <v>17</v>
      </c>
      <c r="I1075" t="s">
        <v>2911</v>
      </c>
    </row>
    <row r="1076" spans="1:9" x14ac:dyDescent="0.3">
      <c r="A1076" t="s">
        <v>2668</v>
      </c>
      <c r="C1076" t="s">
        <v>1936</v>
      </c>
      <c r="D1076" t="s">
        <v>187</v>
      </c>
      <c r="E1076" t="s">
        <v>2035</v>
      </c>
      <c r="F1076" t="s">
        <v>2912</v>
      </c>
      <c r="H1076" t="s">
        <v>17</v>
      </c>
      <c r="I1076" t="s">
        <v>2911</v>
      </c>
    </row>
    <row r="1077" spans="1:9" x14ac:dyDescent="0.3">
      <c r="A1077" t="s">
        <v>2668</v>
      </c>
      <c r="C1077" t="s">
        <v>1936</v>
      </c>
      <c r="D1077" t="s">
        <v>193</v>
      </c>
      <c r="E1077" t="s">
        <v>2037</v>
      </c>
      <c r="F1077" t="s">
        <v>2913</v>
      </c>
      <c r="H1077" t="s">
        <v>17</v>
      </c>
      <c r="I1077" t="s">
        <v>2911</v>
      </c>
    </row>
    <row r="1078" spans="1:9" x14ac:dyDescent="0.3">
      <c r="A1078" t="s">
        <v>2668</v>
      </c>
      <c r="C1078" t="s">
        <v>1936</v>
      </c>
      <c r="D1078" t="s">
        <v>198</v>
      </c>
      <c r="E1078" t="s">
        <v>2039</v>
      </c>
      <c r="F1078" t="s">
        <v>2914</v>
      </c>
      <c r="H1078" t="s">
        <v>17</v>
      </c>
      <c r="I1078" t="s">
        <v>2915</v>
      </c>
    </row>
    <row r="1079" spans="1:9" x14ac:dyDescent="0.3">
      <c r="A1079" t="s">
        <v>2668</v>
      </c>
      <c r="C1079" t="s">
        <v>1936</v>
      </c>
      <c r="D1079" t="s">
        <v>202</v>
      </c>
      <c r="E1079" t="s">
        <v>2041</v>
      </c>
      <c r="F1079" t="s">
        <v>2916</v>
      </c>
      <c r="H1079" t="s">
        <v>17</v>
      </c>
      <c r="I1079" t="s">
        <v>2917</v>
      </c>
    </row>
    <row r="1080" spans="1:9" x14ac:dyDescent="0.3">
      <c r="A1080" t="s">
        <v>2668</v>
      </c>
      <c r="C1080" t="s">
        <v>1936</v>
      </c>
      <c r="D1080" t="s">
        <v>206</v>
      </c>
      <c r="E1080" t="s">
        <v>2043</v>
      </c>
      <c r="F1080" t="s">
        <v>2918</v>
      </c>
      <c r="H1080" t="s">
        <v>17</v>
      </c>
      <c r="I1080" t="s">
        <v>2919</v>
      </c>
    </row>
    <row r="1081" spans="1:9" x14ac:dyDescent="0.3">
      <c r="A1081" t="s">
        <v>2668</v>
      </c>
      <c r="C1081" t="s">
        <v>1936</v>
      </c>
      <c r="D1081" t="s">
        <v>210</v>
      </c>
      <c r="E1081" t="s">
        <v>2045</v>
      </c>
      <c r="F1081" t="s">
        <v>2920</v>
      </c>
      <c r="H1081" t="s">
        <v>17</v>
      </c>
      <c r="I1081" t="s">
        <v>2921</v>
      </c>
    </row>
    <row r="1082" spans="1:9" x14ac:dyDescent="0.3">
      <c r="A1082" t="s">
        <v>2668</v>
      </c>
      <c r="C1082" t="s">
        <v>1936</v>
      </c>
      <c r="D1082" t="s">
        <v>2922</v>
      </c>
      <c r="E1082" t="s">
        <v>2047</v>
      </c>
      <c r="F1082" t="s">
        <v>1449</v>
      </c>
      <c r="H1082" t="s">
        <v>17</v>
      </c>
      <c r="I1082" t="s">
        <v>2923</v>
      </c>
    </row>
    <row r="1083" spans="1:9" x14ac:dyDescent="0.3">
      <c r="A1083" t="s">
        <v>2668</v>
      </c>
      <c r="C1083" t="s">
        <v>1936</v>
      </c>
      <c r="D1083" t="s">
        <v>2924</v>
      </c>
      <c r="E1083" t="s">
        <v>2050</v>
      </c>
      <c r="F1083" t="s">
        <v>760</v>
      </c>
      <c r="H1083" t="s">
        <v>17</v>
      </c>
    </row>
    <row r="1084" spans="1:9" x14ac:dyDescent="0.3">
      <c r="A1084" t="s">
        <v>2668</v>
      </c>
      <c r="C1084" t="s">
        <v>1936</v>
      </c>
      <c r="D1084" t="s">
        <v>2925</v>
      </c>
      <c r="E1084" t="s">
        <v>2053</v>
      </c>
      <c r="F1084" t="s">
        <v>2926</v>
      </c>
      <c r="H1084" t="s">
        <v>17</v>
      </c>
      <c r="I1084" t="s">
        <v>2927</v>
      </c>
    </row>
    <row r="1085" spans="1:9" x14ac:dyDescent="0.3">
      <c r="A1085" t="s">
        <v>2668</v>
      </c>
      <c r="C1085" t="s">
        <v>1936</v>
      </c>
      <c r="D1085" t="s">
        <v>239</v>
      </c>
      <c r="E1085" t="s">
        <v>2055</v>
      </c>
      <c r="F1085" t="s">
        <v>2928</v>
      </c>
      <c r="H1085" t="s">
        <v>17</v>
      </c>
      <c r="I1085" t="s">
        <v>2929</v>
      </c>
    </row>
    <row r="1086" spans="1:9" x14ac:dyDescent="0.3">
      <c r="A1086" t="s">
        <v>2668</v>
      </c>
      <c r="C1086" t="s">
        <v>1936</v>
      </c>
      <c r="D1086" t="s">
        <v>1881</v>
      </c>
      <c r="E1086" t="s">
        <v>2058</v>
      </c>
      <c r="F1086" t="s">
        <v>2574</v>
      </c>
      <c r="H1086" t="s">
        <v>17</v>
      </c>
      <c r="I1086" t="s">
        <v>2930</v>
      </c>
    </row>
    <row r="1087" spans="1:9" x14ac:dyDescent="0.3">
      <c r="A1087" t="s">
        <v>2668</v>
      </c>
      <c r="C1087" t="s">
        <v>1936</v>
      </c>
      <c r="D1087" t="s">
        <v>1885</v>
      </c>
      <c r="E1087" t="s">
        <v>2061</v>
      </c>
      <c r="F1087" t="s">
        <v>2931</v>
      </c>
      <c r="H1087" t="s">
        <v>17</v>
      </c>
      <c r="I1087" t="s">
        <v>414</v>
      </c>
    </row>
    <row r="1088" spans="1:9" x14ac:dyDescent="0.3">
      <c r="A1088" t="s">
        <v>2668</v>
      </c>
      <c r="C1088" t="s">
        <v>1936</v>
      </c>
      <c r="D1088" t="s">
        <v>1588</v>
      </c>
      <c r="E1088" t="s">
        <v>2064</v>
      </c>
      <c r="F1088" t="s">
        <v>2932</v>
      </c>
      <c r="H1088" t="s">
        <v>17</v>
      </c>
      <c r="I1088" t="s">
        <v>2933</v>
      </c>
    </row>
    <row r="1089" spans="1:9" x14ac:dyDescent="0.3">
      <c r="A1089" t="s">
        <v>2668</v>
      </c>
      <c r="C1089" t="s">
        <v>1936</v>
      </c>
      <c r="D1089" t="s">
        <v>1892</v>
      </c>
      <c r="E1089" t="s">
        <v>2068</v>
      </c>
      <c r="F1089" t="s">
        <v>2934</v>
      </c>
      <c r="H1089" t="s">
        <v>17</v>
      </c>
      <c r="I1089" t="s">
        <v>2935</v>
      </c>
    </row>
    <row r="1090" spans="1:9" x14ac:dyDescent="0.3">
      <c r="A1090" t="s">
        <v>2668</v>
      </c>
      <c r="C1090" t="s">
        <v>1936</v>
      </c>
      <c r="D1090" t="s">
        <v>1146</v>
      </c>
      <c r="E1090" t="s">
        <v>2071</v>
      </c>
      <c r="F1090" t="s">
        <v>2936</v>
      </c>
      <c r="H1090" t="s">
        <v>17</v>
      </c>
      <c r="I1090" t="s">
        <v>414</v>
      </c>
    </row>
    <row r="1091" spans="1:9" x14ac:dyDescent="0.3">
      <c r="A1091" t="s">
        <v>2668</v>
      </c>
      <c r="C1091" t="s">
        <v>1936</v>
      </c>
      <c r="D1091" t="s">
        <v>1593</v>
      </c>
      <c r="E1091" t="s">
        <v>2073</v>
      </c>
      <c r="F1091" t="s">
        <v>747</v>
      </c>
      <c r="H1091" t="s">
        <v>17</v>
      </c>
    </row>
    <row r="1092" spans="1:9" x14ac:dyDescent="0.3">
      <c r="A1092" t="s">
        <v>2668</v>
      </c>
      <c r="C1092" t="s">
        <v>1936</v>
      </c>
      <c r="D1092" t="s">
        <v>1597</v>
      </c>
      <c r="E1092" t="s">
        <v>2075</v>
      </c>
      <c r="F1092" t="s">
        <v>797</v>
      </c>
      <c r="H1092" t="s">
        <v>17</v>
      </c>
    </row>
    <row r="1093" spans="1:9" x14ac:dyDescent="0.3">
      <c r="A1093" t="s">
        <v>2668</v>
      </c>
      <c r="C1093" t="s">
        <v>1936</v>
      </c>
      <c r="D1093" t="s">
        <v>2937</v>
      </c>
      <c r="E1093" t="s">
        <v>2077</v>
      </c>
      <c r="F1093" t="s">
        <v>2938</v>
      </c>
      <c r="H1093" t="s">
        <v>17</v>
      </c>
    </row>
    <row r="1094" spans="1:9" x14ac:dyDescent="0.3">
      <c r="A1094" t="s">
        <v>2668</v>
      </c>
      <c r="C1094" t="s">
        <v>1936</v>
      </c>
      <c r="D1094" t="s">
        <v>2939</v>
      </c>
      <c r="E1094" t="s">
        <v>2079</v>
      </c>
      <c r="F1094" t="s">
        <v>2940</v>
      </c>
      <c r="H1094" t="s">
        <v>17</v>
      </c>
    </row>
    <row r="1095" spans="1:9" x14ac:dyDescent="0.3">
      <c r="A1095" t="s">
        <v>2668</v>
      </c>
      <c r="C1095" t="s">
        <v>1936</v>
      </c>
      <c r="D1095" t="s">
        <v>1179</v>
      </c>
      <c r="E1095" t="s">
        <v>2081</v>
      </c>
      <c r="F1095" t="s">
        <v>2941</v>
      </c>
      <c r="H1095" t="s">
        <v>17</v>
      </c>
      <c r="I1095" t="s">
        <v>2942</v>
      </c>
    </row>
    <row r="1096" spans="1:9" x14ac:dyDescent="0.3">
      <c r="A1096" t="s">
        <v>2668</v>
      </c>
      <c r="C1096" t="s">
        <v>1936</v>
      </c>
      <c r="D1096" t="s">
        <v>1184</v>
      </c>
      <c r="E1096" t="s">
        <v>2083</v>
      </c>
      <c r="F1096" t="s">
        <v>2196</v>
      </c>
      <c r="H1096" t="s">
        <v>17</v>
      </c>
      <c r="I1096" t="s">
        <v>2943</v>
      </c>
    </row>
    <row r="1097" spans="1:9" x14ac:dyDescent="0.3">
      <c r="A1097" t="s">
        <v>2668</v>
      </c>
      <c r="C1097" t="s">
        <v>1936</v>
      </c>
      <c r="D1097" t="s">
        <v>1189</v>
      </c>
      <c r="E1097" t="s">
        <v>2084</v>
      </c>
      <c r="F1097" t="s">
        <v>843</v>
      </c>
      <c r="H1097" t="s">
        <v>17</v>
      </c>
      <c r="I1097" t="s">
        <v>2209</v>
      </c>
    </row>
    <row r="1098" spans="1:9" x14ac:dyDescent="0.3">
      <c r="A1098" t="s">
        <v>2668</v>
      </c>
      <c r="C1098" t="s">
        <v>1936</v>
      </c>
      <c r="D1098" t="s">
        <v>273</v>
      </c>
      <c r="E1098" t="s">
        <v>2086</v>
      </c>
      <c r="F1098" t="s">
        <v>2944</v>
      </c>
      <c r="H1098" t="s">
        <v>17</v>
      </c>
    </row>
    <row r="1099" spans="1:9" x14ac:dyDescent="0.3">
      <c r="A1099" t="s">
        <v>2668</v>
      </c>
      <c r="C1099" t="s">
        <v>1936</v>
      </c>
      <c r="D1099" t="s">
        <v>276</v>
      </c>
      <c r="E1099" t="s">
        <v>2088</v>
      </c>
      <c r="F1099" t="s">
        <v>2945</v>
      </c>
      <c r="H1099" t="s">
        <v>17</v>
      </c>
    </row>
    <row r="1100" spans="1:9" x14ac:dyDescent="0.3">
      <c r="A1100" t="s">
        <v>2668</v>
      </c>
      <c r="C1100" t="s">
        <v>1936</v>
      </c>
      <c r="D1100" t="s">
        <v>279</v>
      </c>
      <c r="E1100" t="s">
        <v>2090</v>
      </c>
      <c r="F1100" t="s">
        <v>1706</v>
      </c>
      <c r="H1100" t="s">
        <v>17</v>
      </c>
    </row>
    <row r="1101" spans="1:9" x14ac:dyDescent="0.3">
      <c r="A1101" t="s">
        <v>2946</v>
      </c>
      <c r="E1101" t="s">
        <v>10</v>
      </c>
      <c r="F1101" t="s">
        <v>2947</v>
      </c>
    </row>
    <row r="1102" spans="1:9" x14ac:dyDescent="0.3">
      <c r="A1102" t="s">
        <v>2946</v>
      </c>
      <c r="C1102" t="s">
        <v>13</v>
      </c>
      <c r="D1102" t="s">
        <v>2948</v>
      </c>
      <c r="E1102" t="s">
        <v>1742</v>
      </c>
      <c r="F1102" t="s">
        <v>2670</v>
      </c>
      <c r="H1102" t="s">
        <v>17</v>
      </c>
    </row>
    <row r="1103" spans="1:9" x14ac:dyDescent="0.3">
      <c r="A1103" t="s">
        <v>2946</v>
      </c>
      <c r="C1103" t="s">
        <v>13</v>
      </c>
      <c r="D1103" t="s">
        <v>996</v>
      </c>
      <c r="E1103" t="s">
        <v>1744</v>
      </c>
      <c r="F1103" t="s">
        <v>2677</v>
      </c>
      <c r="H1103" t="s">
        <v>17</v>
      </c>
      <c r="I1103" t="s">
        <v>2678</v>
      </c>
    </row>
    <row r="1104" spans="1:9" x14ac:dyDescent="0.3">
      <c r="A1104" t="s">
        <v>2946</v>
      </c>
      <c r="C1104" t="s">
        <v>13</v>
      </c>
      <c r="D1104" t="s">
        <v>1001</v>
      </c>
      <c r="E1104" t="s">
        <v>1747</v>
      </c>
      <c r="F1104" t="s">
        <v>2680</v>
      </c>
      <c r="H1104" t="s">
        <v>17</v>
      </c>
      <c r="I1104" t="s">
        <v>2678</v>
      </c>
    </row>
    <row r="1105" spans="1:9" x14ac:dyDescent="0.3">
      <c r="A1105" t="s">
        <v>2946</v>
      </c>
      <c r="C1105" t="s">
        <v>13</v>
      </c>
      <c r="D1105" t="s">
        <v>1942</v>
      </c>
      <c r="E1105" t="s">
        <v>1750</v>
      </c>
      <c r="F1105" t="s">
        <v>2681</v>
      </c>
      <c r="H1105" t="s">
        <v>17</v>
      </c>
      <c r="I1105" t="s">
        <v>2678</v>
      </c>
    </row>
    <row r="1106" spans="1:9" x14ac:dyDescent="0.3">
      <c r="A1106" t="s">
        <v>2946</v>
      </c>
      <c r="C1106" t="s">
        <v>13</v>
      </c>
      <c r="D1106" t="s">
        <v>22</v>
      </c>
      <c r="E1106" t="s">
        <v>1752</v>
      </c>
      <c r="F1106" t="s">
        <v>2949</v>
      </c>
      <c r="H1106" t="s">
        <v>17</v>
      </c>
      <c r="I1106" t="s">
        <v>2950</v>
      </c>
    </row>
    <row r="1107" spans="1:9" x14ac:dyDescent="0.3">
      <c r="A1107" t="s">
        <v>2946</v>
      </c>
      <c r="C1107" t="s">
        <v>13</v>
      </c>
      <c r="D1107" t="s">
        <v>27</v>
      </c>
      <c r="E1107" t="s">
        <v>1754</v>
      </c>
      <c r="F1107" t="s">
        <v>2951</v>
      </c>
      <c r="H1107" t="s">
        <v>17</v>
      </c>
      <c r="I1107" t="s">
        <v>2691</v>
      </c>
    </row>
    <row r="1108" spans="1:9" x14ac:dyDescent="0.3">
      <c r="A1108" t="s">
        <v>2946</v>
      </c>
      <c r="B1108" t="s">
        <v>2952</v>
      </c>
      <c r="C1108" t="s">
        <v>13</v>
      </c>
      <c r="D1108" t="s">
        <v>1014</v>
      </c>
      <c r="E1108" t="s">
        <v>1760</v>
      </c>
      <c r="F1108" t="s">
        <v>2953</v>
      </c>
      <c r="H1108" t="s">
        <v>17</v>
      </c>
      <c r="I1108" t="s">
        <v>2954</v>
      </c>
    </row>
    <row r="1109" spans="1:9" x14ac:dyDescent="0.3">
      <c r="A1109" t="s">
        <v>2946</v>
      </c>
      <c r="B1109" t="s">
        <v>2952</v>
      </c>
      <c r="C1109" t="s">
        <v>13</v>
      </c>
      <c r="D1109" t="s">
        <v>1017</v>
      </c>
      <c r="E1109" t="s">
        <v>1763</v>
      </c>
      <c r="F1109" t="s">
        <v>2955</v>
      </c>
      <c r="H1109" t="s">
        <v>17</v>
      </c>
      <c r="I1109" t="s">
        <v>2954</v>
      </c>
    </row>
    <row r="1110" spans="1:9" x14ac:dyDescent="0.3">
      <c r="A1110" t="s">
        <v>2946</v>
      </c>
      <c r="B1110" t="s">
        <v>2952</v>
      </c>
      <c r="C1110" t="s">
        <v>13</v>
      </c>
      <c r="D1110" t="s">
        <v>36</v>
      </c>
      <c r="E1110" t="s">
        <v>1765</v>
      </c>
      <c r="F1110" t="s">
        <v>2956</v>
      </c>
      <c r="H1110" t="s">
        <v>17</v>
      </c>
      <c r="I1110" t="s">
        <v>2954</v>
      </c>
    </row>
    <row r="1111" spans="1:9" x14ac:dyDescent="0.3">
      <c r="A1111" t="s">
        <v>2946</v>
      </c>
      <c r="B1111" t="s">
        <v>2952</v>
      </c>
      <c r="C1111" t="s">
        <v>13</v>
      </c>
      <c r="D1111" t="s">
        <v>41</v>
      </c>
      <c r="E1111" t="s">
        <v>1768</v>
      </c>
      <c r="F1111" t="s">
        <v>2957</v>
      </c>
      <c r="H1111" t="s">
        <v>17</v>
      </c>
      <c r="I1111" t="s">
        <v>2954</v>
      </c>
    </row>
    <row r="1112" spans="1:9" x14ac:dyDescent="0.3">
      <c r="A1112" t="s">
        <v>2946</v>
      </c>
      <c r="B1112" t="s">
        <v>2952</v>
      </c>
      <c r="C1112" t="s">
        <v>13</v>
      </c>
      <c r="D1112" t="s">
        <v>45</v>
      </c>
      <c r="E1112" t="s">
        <v>1771</v>
      </c>
      <c r="F1112" t="s">
        <v>2701</v>
      </c>
      <c r="H1112" t="s">
        <v>17</v>
      </c>
      <c r="I1112" t="s">
        <v>2702</v>
      </c>
    </row>
    <row r="1113" spans="1:9" x14ac:dyDescent="0.3">
      <c r="A1113" t="s">
        <v>2946</v>
      </c>
      <c r="B1113" t="s">
        <v>2952</v>
      </c>
      <c r="C1113" t="s">
        <v>13</v>
      </c>
      <c r="D1113" t="s">
        <v>50</v>
      </c>
      <c r="E1113" t="s">
        <v>1775</v>
      </c>
      <c r="F1113" t="s">
        <v>2958</v>
      </c>
      <c r="H1113" t="s">
        <v>17</v>
      </c>
      <c r="I1113" t="s">
        <v>2959</v>
      </c>
    </row>
    <row r="1114" spans="1:9" x14ac:dyDescent="0.3">
      <c r="A1114" t="s">
        <v>2946</v>
      </c>
      <c r="B1114" t="s">
        <v>2952</v>
      </c>
      <c r="C1114" t="s">
        <v>13</v>
      </c>
      <c r="D1114" t="s">
        <v>53</v>
      </c>
      <c r="E1114" t="s">
        <v>1777</v>
      </c>
      <c r="F1114" t="s">
        <v>2960</v>
      </c>
      <c r="H1114" t="s">
        <v>17</v>
      </c>
      <c r="I1114" t="s">
        <v>2961</v>
      </c>
    </row>
    <row r="1115" spans="1:9" x14ac:dyDescent="0.3">
      <c r="A1115" t="s">
        <v>2946</v>
      </c>
      <c r="B1115" t="s">
        <v>2952</v>
      </c>
      <c r="C1115" t="s">
        <v>13</v>
      </c>
      <c r="D1115" t="s">
        <v>56</v>
      </c>
      <c r="E1115" t="s">
        <v>1779</v>
      </c>
      <c r="F1115" t="s">
        <v>2962</v>
      </c>
      <c r="H1115" t="s">
        <v>17</v>
      </c>
      <c r="I1115" t="s">
        <v>2963</v>
      </c>
    </row>
    <row r="1116" spans="1:9" x14ac:dyDescent="0.3">
      <c r="A1116" t="s">
        <v>2946</v>
      </c>
      <c r="B1116" t="s">
        <v>2952</v>
      </c>
      <c r="C1116" t="s">
        <v>13</v>
      </c>
      <c r="D1116" t="s">
        <v>61</v>
      </c>
      <c r="E1116" t="s">
        <v>1781</v>
      </c>
      <c r="F1116" t="s">
        <v>2964</v>
      </c>
      <c r="H1116" t="s">
        <v>17</v>
      </c>
      <c r="I1116" t="s">
        <v>2965</v>
      </c>
    </row>
    <row r="1117" spans="1:9" x14ac:dyDescent="0.3">
      <c r="A1117" t="s">
        <v>2946</v>
      </c>
      <c r="B1117" t="s">
        <v>2952</v>
      </c>
      <c r="C1117" t="s">
        <v>13</v>
      </c>
      <c r="D1117" t="s">
        <v>1039</v>
      </c>
      <c r="E1117" t="s">
        <v>1784</v>
      </c>
      <c r="F1117" t="s">
        <v>2966</v>
      </c>
      <c r="H1117" t="s">
        <v>17</v>
      </c>
      <c r="I1117" t="s">
        <v>2967</v>
      </c>
    </row>
    <row r="1118" spans="1:9" x14ac:dyDescent="0.3">
      <c r="A1118" t="s">
        <v>2946</v>
      </c>
      <c r="B1118" t="s">
        <v>2952</v>
      </c>
      <c r="C1118" t="s">
        <v>13</v>
      </c>
      <c r="D1118" t="s">
        <v>1043</v>
      </c>
      <c r="E1118" t="s">
        <v>1787</v>
      </c>
      <c r="F1118" t="s">
        <v>2968</v>
      </c>
      <c r="H1118" t="s">
        <v>17</v>
      </c>
      <c r="I1118" t="s">
        <v>2695</v>
      </c>
    </row>
    <row r="1119" spans="1:9" x14ac:dyDescent="0.3">
      <c r="A1119" t="s">
        <v>2946</v>
      </c>
      <c r="B1119" t="s">
        <v>2952</v>
      </c>
      <c r="C1119" t="s">
        <v>13</v>
      </c>
      <c r="D1119" t="s">
        <v>71</v>
      </c>
      <c r="E1119" t="s">
        <v>1789</v>
      </c>
      <c r="F1119" t="s">
        <v>2969</v>
      </c>
      <c r="H1119" t="s">
        <v>17</v>
      </c>
      <c r="I1119" t="s">
        <v>2695</v>
      </c>
    </row>
    <row r="1120" spans="1:9" x14ac:dyDescent="0.3">
      <c r="A1120" t="s">
        <v>2946</v>
      </c>
      <c r="B1120" t="s">
        <v>2952</v>
      </c>
      <c r="C1120" t="s">
        <v>13</v>
      </c>
      <c r="D1120" t="s">
        <v>1050</v>
      </c>
      <c r="E1120" t="s">
        <v>1793</v>
      </c>
      <c r="F1120" t="s">
        <v>2970</v>
      </c>
      <c r="H1120" t="s">
        <v>17</v>
      </c>
      <c r="I1120" t="s">
        <v>2693</v>
      </c>
    </row>
    <row r="1121" spans="1:9" x14ac:dyDescent="0.3">
      <c r="A1121" t="s">
        <v>2946</v>
      </c>
      <c r="B1121" t="s">
        <v>2952</v>
      </c>
      <c r="C1121" t="s">
        <v>13</v>
      </c>
      <c r="D1121" t="s">
        <v>1055</v>
      </c>
      <c r="E1121" t="s">
        <v>1795</v>
      </c>
      <c r="F1121" t="s">
        <v>2971</v>
      </c>
      <c r="H1121" t="s">
        <v>17</v>
      </c>
      <c r="I1121" t="s">
        <v>2972</v>
      </c>
    </row>
    <row r="1122" spans="1:9" x14ac:dyDescent="0.3">
      <c r="A1122" t="s">
        <v>2946</v>
      </c>
      <c r="B1122" t="s">
        <v>2952</v>
      </c>
      <c r="C1122" t="s">
        <v>13</v>
      </c>
      <c r="D1122" t="s">
        <v>80</v>
      </c>
      <c r="E1122" t="s">
        <v>1798</v>
      </c>
      <c r="F1122" t="s">
        <v>2973</v>
      </c>
      <c r="H1122" t="s">
        <v>17</v>
      </c>
      <c r="I1122" t="s">
        <v>2974</v>
      </c>
    </row>
    <row r="1123" spans="1:9" x14ac:dyDescent="0.3">
      <c r="A1123" t="s">
        <v>2946</v>
      </c>
      <c r="B1123" t="s">
        <v>2952</v>
      </c>
      <c r="C1123" t="s">
        <v>13</v>
      </c>
      <c r="D1123" t="s">
        <v>85</v>
      </c>
      <c r="E1123" t="s">
        <v>1801</v>
      </c>
      <c r="F1123" t="s">
        <v>2975</v>
      </c>
      <c r="H1123" t="s">
        <v>17</v>
      </c>
      <c r="I1123" t="s">
        <v>2976</v>
      </c>
    </row>
    <row r="1124" spans="1:9" x14ac:dyDescent="0.3">
      <c r="A1124" t="s">
        <v>2946</v>
      </c>
      <c r="B1124" t="s">
        <v>2952</v>
      </c>
      <c r="C1124" t="s">
        <v>13</v>
      </c>
      <c r="D1124" t="s">
        <v>90</v>
      </c>
      <c r="E1124" t="s">
        <v>1803</v>
      </c>
      <c r="F1124" t="s">
        <v>2977</v>
      </c>
      <c r="H1124" t="s">
        <v>17</v>
      </c>
      <c r="I1124" t="s">
        <v>2978</v>
      </c>
    </row>
    <row r="1125" spans="1:9" x14ac:dyDescent="0.3">
      <c r="A1125" t="s">
        <v>2946</v>
      </c>
      <c r="B1125" t="s">
        <v>2952</v>
      </c>
      <c r="C1125" t="s">
        <v>13</v>
      </c>
      <c r="D1125" t="s">
        <v>95</v>
      </c>
      <c r="E1125" t="s">
        <v>1806</v>
      </c>
      <c r="F1125" t="s">
        <v>2979</v>
      </c>
      <c r="H1125" t="s">
        <v>17</v>
      </c>
      <c r="I1125" t="s">
        <v>414</v>
      </c>
    </row>
    <row r="1126" spans="1:9" x14ac:dyDescent="0.3">
      <c r="A1126" t="s">
        <v>2946</v>
      </c>
      <c r="B1126" t="s">
        <v>2952</v>
      </c>
      <c r="C1126" t="s">
        <v>13</v>
      </c>
      <c r="D1126" t="s">
        <v>100</v>
      </c>
      <c r="E1126" t="s">
        <v>1808</v>
      </c>
      <c r="F1126" t="s">
        <v>2697</v>
      </c>
      <c r="H1126" t="s">
        <v>17</v>
      </c>
      <c r="I1126" t="s">
        <v>414</v>
      </c>
    </row>
    <row r="1127" spans="1:9" x14ac:dyDescent="0.3">
      <c r="A1127" t="s">
        <v>2946</v>
      </c>
      <c r="B1127" t="s">
        <v>2952</v>
      </c>
      <c r="C1127" t="s">
        <v>13</v>
      </c>
      <c r="D1127" t="s">
        <v>106</v>
      </c>
      <c r="E1127" t="s">
        <v>1811</v>
      </c>
      <c r="F1127" t="s">
        <v>2980</v>
      </c>
      <c r="H1127" t="s">
        <v>17</v>
      </c>
      <c r="I1127" t="s">
        <v>2981</v>
      </c>
    </row>
    <row r="1128" spans="1:9" x14ac:dyDescent="0.3">
      <c r="A1128" t="s">
        <v>2946</v>
      </c>
      <c r="B1128" t="s">
        <v>2982</v>
      </c>
      <c r="C1128" t="s">
        <v>13</v>
      </c>
      <c r="D1128" t="s">
        <v>111</v>
      </c>
      <c r="E1128" t="s">
        <v>1818</v>
      </c>
      <c r="F1128" t="s">
        <v>2983</v>
      </c>
      <c r="H1128" t="s">
        <v>17</v>
      </c>
      <c r="I1128" t="s">
        <v>2984</v>
      </c>
    </row>
    <row r="1129" spans="1:9" x14ac:dyDescent="0.3">
      <c r="A1129" t="s">
        <v>2946</v>
      </c>
      <c r="B1129" t="s">
        <v>2982</v>
      </c>
      <c r="C1129" t="s">
        <v>13</v>
      </c>
      <c r="D1129" t="s">
        <v>114</v>
      </c>
      <c r="E1129" t="s">
        <v>1820</v>
      </c>
      <c r="F1129" t="s">
        <v>2985</v>
      </c>
      <c r="H1129" t="s">
        <v>17</v>
      </c>
      <c r="I1129" t="s">
        <v>2984</v>
      </c>
    </row>
    <row r="1130" spans="1:9" x14ac:dyDescent="0.3">
      <c r="A1130" t="s">
        <v>2946</v>
      </c>
      <c r="B1130" t="s">
        <v>2982</v>
      </c>
      <c r="C1130" t="s">
        <v>13</v>
      </c>
      <c r="D1130" t="s">
        <v>117</v>
      </c>
      <c r="E1130" t="s">
        <v>1822</v>
      </c>
      <c r="F1130" t="s">
        <v>2986</v>
      </c>
      <c r="H1130" t="s">
        <v>17</v>
      </c>
      <c r="I1130" t="s">
        <v>2984</v>
      </c>
    </row>
    <row r="1131" spans="1:9" x14ac:dyDescent="0.3">
      <c r="A1131" t="s">
        <v>2946</v>
      </c>
      <c r="B1131" t="s">
        <v>2982</v>
      </c>
      <c r="C1131" t="s">
        <v>13</v>
      </c>
      <c r="D1131" t="s">
        <v>121</v>
      </c>
      <c r="E1131" t="s">
        <v>1824</v>
      </c>
      <c r="F1131" t="s">
        <v>2987</v>
      </c>
      <c r="H1131" t="s">
        <v>17</v>
      </c>
      <c r="I1131" t="s">
        <v>2984</v>
      </c>
    </row>
    <row r="1132" spans="1:9" x14ac:dyDescent="0.3">
      <c r="A1132" t="s">
        <v>2946</v>
      </c>
      <c r="B1132" t="s">
        <v>2982</v>
      </c>
      <c r="C1132" t="s">
        <v>13</v>
      </c>
      <c r="D1132" t="s">
        <v>126</v>
      </c>
      <c r="E1132" t="s">
        <v>1826</v>
      </c>
      <c r="F1132" t="s">
        <v>2988</v>
      </c>
      <c r="H1132" t="s">
        <v>17</v>
      </c>
      <c r="I1132" t="s">
        <v>2984</v>
      </c>
    </row>
    <row r="1133" spans="1:9" x14ac:dyDescent="0.3">
      <c r="A1133" t="s">
        <v>2946</v>
      </c>
      <c r="B1133" t="s">
        <v>2982</v>
      </c>
      <c r="C1133" t="s">
        <v>13</v>
      </c>
      <c r="D1133" t="s">
        <v>129</v>
      </c>
      <c r="E1133" t="s">
        <v>1828</v>
      </c>
      <c r="F1133" t="s">
        <v>2989</v>
      </c>
      <c r="H1133" t="s">
        <v>17</v>
      </c>
      <c r="I1133" t="s">
        <v>2984</v>
      </c>
    </row>
    <row r="1134" spans="1:9" x14ac:dyDescent="0.3">
      <c r="A1134" t="s">
        <v>2946</v>
      </c>
      <c r="B1134" t="s">
        <v>2982</v>
      </c>
      <c r="C1134" t="s">
        <v>13</v>
      </c>
      <c r="D1134" t="s">
        <v>132</v>
      </c>
      <c r="E1134" t="s">
        <v>1831</v>
      </c>
      <c r="F1134" t="s">
        <v>2990</v>
      </c>
      <c r="H1134" t="s">
        <v>17</v>
      </c>
      <c r="I1134" t="s">
        <v>2991</v>
      </c>
    </row>
    <row r="1135" spans="1:9" x14ac:dyDescent="0.3">
      <c r="A1135" t="s">
        <v>2946</v>
      </c>
      <c r="B1135" t="s">
        <v>2982</v>
      </c>
      <c r="C1135" t="s">
        <v>13</v>
      </c>
      <c r="D1135" t="s">
        <v>135</v>
      </c>
      <c r="E1135" t="s">
        <v>1833</v>
      </c>
      <c r="F1135" t="s">
        <v>2992</v>
      </c>
      <c r="H1135" t="s">
        <v>17</v>
      </c>
      <c r="I1135" t="s">
        <v>2991</v>
      </c>
    </row>
    <row r="1136" spans="1:9" x14ac:dyDescent="0.3">
      <c r="A1136" t="s">
        <v>2946</v>
      </c>
      <c r="B1136" t="s">
        <v>2993</v>
      </c>
      <c r="C1136" t="s">
        <v>13</v>
      </c>
      <c r="D1136" t="s">
        <v>138</v>
      </c>
      <c r="E1136" t="s">
        <v>1838</v>
      </c>
      <c r="F1136" t="s">
        <v>2994</v>
      </c>
      <c r="H1136" t="s">
        <v>17</v>
      </c>
      <c r="I1136" t="s">
        <v>2995</v>
      </c>
    </row>
    <row r="1137" spans="1:9" x14ac:dyDescent="0.3">
      <c r="A1137" t="s">
        <v>2946</v>
      </c>
      <c r="B1137" t="s">
        <v>2993</v>
      </c>
      <c r="C1137" t="s">
        <v>13</v>
      </c>
      <c r="D1137" t="s">
        <v>141</v>
      </c>
      <c r="E1137" t="s">
        <v>1840</v>
      </c>
      <c r="F1137" t="s">
        <v>2996</v>
      </c>
      <c r="H1137" t="s">
        <v>17</v>
      </c>
      <c r="I1137" t="s">
        <v>2995</v>
      </c>
    </row>
    <row r="1138" spans="1:9" x14ac:dyDescent="0.3">
      <c r="A1138" t="s">
        <v>2946</v>
      </c>
      <c r="B1138" t="s">
        <v>2993</v>
      </c>
      <c r="C1138" t="s">
        <v>13</v>
      </c>
      <c r="D1138" t="s">
        <v>144</v>
      </c>
      <c r="E1138" t="s">
        <v>1843</v>
      </c>
      <c r="F1138" t="s">
        <v>2997</v>
      </c>
      <c r="H1138" t="s">
        <v>17</v>
      </c>
      <c r="I1138" t="s">
        <v>2995</v>
      </c>
    </row>
    <row r="1139" spans="1:9" x14ac:dyDescent="0.3">
      <c r="A1139" t="s">
        <v>2946</v>
      </c>
      <c r="B1139" t="s">
        <v>2993</v>
      </c>
      <c r="C1139" t="s">
        <v>13</v>
      </c>
      <c r="D1139" t="s">
        <v>147</v>
      </c>
      <c r="E1139" t="s">
        <v>1847</v>
      </c>
      <c r="F1139" t="s">
        <v>2998</v>
      </c>
      <c r="H1139" t="s">
        <v>17</v>
      </c>
      <c r="I1139" t="s">
        <v>2995</v>
      </c>
    </row>
    <row r="1140" spans="1:9" x14ac:dyDescent="0.3">
      <c r="A1140" t="s">
        <v>2946</v>
      </c>
      <c r="B1140" t="s">
        <v>2993</v>
      </c>
      <c r="C1140" t="s">
        <v>13</v>
      </c>
      <c r="D1140" t="s">
        <v>152</v>
      </c>
      <c r="E1140" t="s">
        <v>1849</v>
      </c>
      <c r="F1140" t="s">
        <v>2999</v>
      </c>
      <c r="H1140" t="s">
        <v>17</v>
      </c>
      <c r="I1140" t="s">
        <v>2995</v>
      </c>
    </row>
    <row r="1141" spans="1:9" x14ac:dyDescent="0.3">
      <c r="A1141" t="s">
        <v>2946</v>
      </c>
      <c r="B1141" t="s">
        <v>2993</v>
      </c>
      <c r="C1141" t="s">
        <v>13</v>
      </c>
      <c r="D1141" t="s">
        <v>157</v>
      </c>
      <c r="E1141" t="s">
        <v>1851</v>
      </c>
      <c r="F1141" t="s">
        <v>3000</v>
      </c>
      <c r="H1141" t="s">
        <v>17</v>
      </c>
      <c r="I1141" t="s">
        <v>2995</v>
      </c>
    </row>
    <row r="1142" spans="1:9" x14ac:dyDescent="0.3">
      <c r="A1142" t="s">
        <v>2946</v>
      </c>
      <c r="B1142" t="s">
        <v>2993</v>
      </c>
      <c r="C1142" t="s">
        <v>13</v>
      </c>
      <c r="D1142" t="s">
        <v>162</v>
      </c>
      <c r="E1142" t="s">
        <v>1853</v>
      </c>
      <c r="F1142" t="s">
        <v>3001</v>
      </c>
      <c r="H1142" t="s">
        <v>17</v>
      </c>
      <c r="I1142" t="s">
        <v>2995</v>
      </c>
    </row>
    <row r="1143" spans="1:9" x14ac:dyDescent="0.3">
      <c r="A1143" t="s">
        <v>2946</v>
      </c>
      <c r="B1143" t="s">
        <v>2993</v>
      </c>
      <c r="C1143" t="s">
        <v>13</v>
      </c>
      <c r="D1143" t="s">
        <v>167</v>
      </c>
      <c r="E1143" t="s">
        <v>1855</v>
      </c>
      <c r="F1143" t="s">
        <v>3002</v>
      </c>
      <c r="H1143" t="s">
        <v>17</v>
      </c>
      <c r="I1143" t="s">
        <v>2995</v>
      </c>
    </row>
    <row r="1144" spans="1:9" x14ac:dyDescent="0.3">
      <c r="A1144" t="s">
        <v>2946</v>
      </c>
      <c r="B1144" t="s">
        <v>2993</v>
      </c>
      <c r="C1144" t="s">
        <v>13</v>
      </c>
      <c r="D1144" t="s">
        <v>172</v>
      </c>
      <c r="E1144" t="s">
        <v>1857</v>
      </c>
      <c r="F1144" t="s">
        <v>3003</v>
      </c>
      <c r="H1144" t="s">
        <v>17</v>
      </c>
      <c r="I1144" t="s">
        <v>2995</v>
      </c>
    </row>
    <row r="1145" spans="1:9" x14ac:dyDescent="0.3">
      <c r="A1145" t="s">
        <v>2946</v>
      </c>
      <c r="B1145" t="s">
        <v>2993</v>
      </c>
      <c r="C1145" t="s">
        <v>13</v>
      </c>
      <c r="D1145" t="s">
        <v>177</v>
      </c>
      <c r="E1145" t="s">
        <v>1859</v>
      </c>
      <c r="F1145" t="s">
        <v>3004</v>
      </c>
      <c r="H1145" t="s">
        <v>17</v>
      </c>
      <c r="I1145" t="s">
        <v>2995</v>
      </c>
    </row>
    <row r="1146" spans="1:9" x14ac:dyDescent="0.3">
      <c r="A1146" t="s">
        <v>2946</v>
      </c>
      <c r="B1146" t="s">
        <v>2993</v>
      </c>
      <c r="C1146" t="s">
        <v>13</v>
      </c>
      <c r="D1146" t="s">
        <v>182</v>
      </c>
      <c r="E1146" t="s">
        <v>1861</v>
      </c>
      <c r="F1146" t="s">
        <v>3005</v>
      </c>
      <c r="H1146" t="s">
        <v>17</v>
      </c>
      <c r="I1146" t="s">
        <v>414</v>
      </c>
    </row>
    <row r="1147" spans="1:9" x14ac:dyDescent="0.3">
      <c r="A1147" t="s">
        <v>2946</v>
      </c>
      <c r="B1147" t="s">
        <v>2993</v>
      </c>
      <c r="C1147" t="s">
        <v>13</v>
      </c>
      <c r="D1147" t="s">
        <v>187</v>
      </c>
      <c r="E1147" t="s">
        <v>1863</v>
      </c>
      <c r="F1147" t="s">
        <v>3006</v>
      </c>
      <c r="H1147" t="s">
        <v>17</v>
      </c>
      <c r="I1147" t="s">
        <v>3007</v>
      </c>
    </row>
    <row r="1148" spans="1:9" x14ac:dyDescent="0.3">
      <c r="A1148" t="s">
        <v>2946</v>
      </c>
      <c r="B1148" t="s">
        <v>3008</v>
      </c>
      <c r="C1148" t="s">
        <v>13</v>
      </c>
      <c r="D1148" t="s">
        <v>193</v>
      </c>
      <c r="E1148" t="s">
        <v>1867</v>
      </c>
      <c r="F1148" t="s">
        <v>3009</v>
      </c>
      <c r="H1148" t="s">
        <v>17</v>
      </c>
      <c r="I1148" t="s">
        <v>2995</v>
      </c>
    </row>
    <row r="1149" spans="1:9" x14ac:dyDescent="0.3">
      <c r="A1149" t="s">
        <v>2946</v>
      </c>
      <c r="B1149" t="s">
        <v>3008</v>
      </c>
      <c r="C1149" t="s">
        <v>13</v>
      </c>
      <c r="D1149" t="s">
        <v>198</v>
      </c>
      <c r="E1149" t="s">
        <v>1869</v>
      </c>
      <c r="F1149" t="s">
        <v>3010</v>
      </c>
      <c r="H1149" t="s">
        <v>17</v>
      </c>
      <c r="I1149" t="s">
        <v>2995</v>
      </c>
    </row>
    <row r="1150" spans="1:9" x14ac:dyDescent="0.3">
      <c r="A1150" t="s">
        <v>2946</v>
      </c>
      <c r="B1150" t="s">
        <v>3008</v>
      </c>
      <c r="C1150" t="s">
        <v>13</v>
      </c>
      <c r="D1150" t="s">
        <v>202</v>
      </c>
      <c r="E1150" t="s">
        <v>1871</v>
      </c>
      <c r="F1150" t="s">
        <v>3011</v>
      </c>
      <c r="H1150" t="s">
        <v>17</v>
      </c>
      <c r="I1150" t="s">
        <v>2995</v>
      </c>
    </row>
    <row r="1151" spans="1:9" x14ac:dyDescent="0.3">
      <c r="A1151" t="s">
        <v>2946</v>
      </c>
      <c r="B1151" t="s">
        <v>3008</v>
      </c>
      <c r="C1151" t="s">
        <v>13</v>
      </c>
      <c r="D1151" t="s">
        <v>206</v>
      </c>
      <c r="E1151" t="s">
        <v>1873</v>
      </c>
      <c r="F1151" t="s">
        <v>3012</v>
      </c>
      <c r="H1151" t="s">
        <v>17</v>
      </c>
      <c r="I1151" t="s">
        <v>2995</v>
      </c>
    </row>
    <row r="1152" spans="1:9" x14ac:dyDescent="0.3">
      <c r="A1152" t="s">
        <v>2946</v>
      </c>
      <c r="B1152" t="s">
        <v>3008</v>
      </c>
      <c r="C1152" t="s">
        <v>13</v>
      </c>
      <c r="D1152" t="s">
        <v>210</v>
      </c>
      <c r="E1152" t="s">
        <v>1875</v>
      </c>
      <c r="F1152" t="s">
        <v>3013</v>
      </c>
      <c r="H1152" t="s">
        <v>17</v>
      </c>
      <c r="I1152" t="s">
        <v>2995</v>
      </c>
    </row>
    <row r="1153" spans="1:9" x14ac:dyDescent="0.3">
      <c r="A1153" t="s">
        <v>2946</v>
      </c>
      <c r="B1153" t="s">
        <v>3008</v>
      </c>
      <c r="C1153" t="s">
        <v>13</v>
      </c>
      <c r="D1153" t="s">
        <v>214</v>
      </c>
      <c r="E1153" t="s">
        <v>1878</v>
      </c>
      <c r="F1153" t="s">
        <v>3014</v>
      </c>
      <c r="H1153" t="s">
        <v>17</v>
      </c>
      <c r="I1153" t="s">
        <v>3015</v>
      </c>
    </row>
    <row r="1154" spans="1:9" x14ac:dyDescent="0.3">
      <c r="A1154" t="s">
        <v>2946</v>
      </c>
      <c r="B1154" t="s">
        <v>3008</v>
      </c>
      <c r="C1154" t="s">
        <v>13</v>
      </c>
      <c r="D1154" t="s">
        <v>218</v>
      </c>
      <c r="E1154" t="s">
        <v>1882</v>
      </c>
      <c r="F1154" t="s">
        <v>3016</v>
      </c>
      <c r="H1154" t="s">
        <v>17</v>
      </c>
      <c r="I1154" t="s">
        <v>3017</v>
      </c>
    </row>
    <row r="1155" spans="1:9" x14ac:dyDescent="0.3">
      <c r="A1155" t="s">
        <v>2946</v>
      </c>
      <c r="B1155" t="s">
        <v>3008</v>
      </c>
      <c r="C1155" t="s">
        <v>13</v>
      </c>
      <c r="D1155" t="s">
        <v>223</v>
      </c>
      <c r="E1155" t="s">
        <v>1886</v>
      </c>
      <c r="F1155" t="s">
        <v>3018</v>
      </c>
      <c r="H1155" t="s">
        <v>17</v>
      </c>
      <c r="I1155" t="s">
        <v>3019</v>
      </c>
    </row>
    <row r="1156" spans="1:9" x14ac:dyDescent="0.3">
      <c r="A1156" t="s">
        <v>2946</v>
      </c>
      <c r="B1156" t="s">
        <v>3008</v>
      </c>
      <c r="C1156" t="s">
        <v>13</v>
      </c>
      <c r="D1156" t="s">
        <v>228</v>
      </c>
      <c r="E1156" t="s">
        <v>1889</v>
      </c>
      <c r="F1156" t="s">
        <v>3020</v>
      </c>
      <c r="H1156" t="s">
        <v>17</v>
      </c>
      <c r="I1156" t="s">
        <v>3021</v>
      </c>
    </row>
    <row r="1157" spans="1:9" x14ac:dyDescent="0.3">
      <c r="A1157" t="s">
        <v>2946</v>
      </c>
      <c r="B1157" t="s">
        <v>3008</v>
      </c>
      <c r="C1157" t="s">
        <v>13</v>
      </c>
      <c r="D1157" t="s">
        <v>233</v>
      </c>
      <c r="E1157" t="s">
        <v>1896</v>
      </c>
      <c r="F1157" t="s">
        <v>3022</v>
      </c>
      <c r="H1157" t="s">
        <v>17</v>
      </c>
      <c r="I1157" t="s">
        <v>2991</v>
      </c>
    </row>
    <row r="1158" spans="1:9" x14ac:dyDescent="0.3">
      <c r="A1158" t="s">
        <v>2946</v>
      </c>
      <c r="B1158" t="s">
        <v>3008</v>
      </c>
      <c r="C1158" t="s">
        <v>13</v>
      </c>
      <c r="D1158" t="s">
        <v>236</v>
      </c>
      <c r="E1158" t="s">
        <v>1898</v>
      </c>
      <c r="F1158" t="s">
        <v>3023</v>
      </c>
      <c r="H1158" t="s">
        <v>17</v>
      </c>
      <c r="I1158" t="s">
        <v>2991</v>
      </c>
    </row>
    <row r="1159" spans="1:9" x14ac:dyDescent="0.3">
      <c r="A1159" t="s">
        <v>2946</v>
      </c>
      <c r="B1159" t="s">
        <v>3008</v>
      </c>
      <c r="C1159" t="s">
        <v>13</v>
      </c>
      <c r="D1159" t="s">
        <v>239</v>
      </c>
      <c r="E1159" t="s">
        <v>1901</v>
      </c>
      <c r="F1159" t="s">
        <v>3024</v>
      </c>
      <c r="H1159" t="s">
        <v>17</v>
      </c>
      <c r="I1159" t="s">
        <v>2991</v>
      </c>
    </row>
    <row r="1160" spans="1:9" x14ac:dyDescent="0.3">
      <c r="A1160" t="s">
        <v>2946</v>
      </c>
      <c r="B1160" t="s">
        <v>3008</v>
      </c>
      <c r="C1160" t="s">
        <v>13</v>
      </c>
      <c r="D1160" t="s">
        <v>1881</v>
      </c>
      <c r="E1160" t="s">
        <v>1903</v>
      </c>
      <c r="F1160" t="s">
        <v>3025</v>
      </c>
      <c r="H1160" t="s">
        <v>17</v>
      </c>
      <c r="I1160" t="s">
        <v>2991</v>
      </c>
    </row>
    <row r="1161" spans="1:9" x14ac:dyDescent="0.3">
      <c r="A1161" t="s">
        <v>2946</v>
      </c>
      <c r="B1161" t="s">
        <v>3008</v>
      </c>
      <c r="C1161" t="s">
        <v>13</v>
      </c>
      <c r="D1161" t="s">
        <v>1885</v>
      </c>
      <c r="E1161" t="s">
        <v>1905</v>
      </c>
      <c r="F1161" t="s">
        <v>3026</v>
      </c>
      <c r="H1161" t="s">
        <v>17</v>
      </c>
      <c r="I1161" t="s">
        <v>2991</v>
      </c>
    </row>
    <row r="1162" spans="1:9" x14ac:dyDescent="0.3">
      <c r="A1162" t="s">
        <v>2946</v>
      </c>
      <c r="B1162" t="s">
        <v>3008</v>
      </c>
      <c r="C1162" t="s">
        <v>13</v>
      </c>
      <c r="D1162" t="s">
        <v>1588</v>
      </c>
      <c r="E1162" t="s">
        <v>1907</v>
      </c>
      <c r="F1162" t="s">
        <v>2707</v>
      </c>
      <c r="H1162" t="s">
        <v>17</v>
      </c>
      <c r="I1162" t="s">
        <v>2708</v>
      </c>
    </row>
    <row r="1163" spans="1:9" x14ac:dyDescent="0.3">
      <c r="A1163" t="s">
        <v>2946</v>
      </c>
      <c r="B1163" t="s">
        <v>3008</v>
      </c>
      <c r="C1163" t="s">
        <v>13</v>
      </c>
      <c r="D1163" t="s">
        <v>1892</v>
      </c>
      <c r="E1163" t="s">
        <v>1909</v>
      </c>
      <c r="F1163" t="s">
        <v>2709</v>
      </c>
      <c r="H1163" t="s">
        <v>17</v>
      </c>
      <c r="I1163" t="s">
        <v>3027</v>
      </c>
    </row>
    <row r="1164" spans="1:9" x14ac:dyDescent="0.3">
      <c r="A1164" t="s">
        <v>2946</v>
      </c>
      <c r="B1164" t="s">
        <v>3008</v>
      </c>
      <c r="C1164" t="s">
        <v>13</v>
      </c>
      <c r="D1164" t="s">
        <v>1146</v>
      </c>
      <c r="E1164" t="s">
        <v>1911</v>
      </c>
      <c r="F1164" t="s">
        <v>3028</v>
      </c>
      <c r="H1164" t="s">
        <v>17</v>
      </c>
      <c r="I1164" t="s">
        <v>3029</v>
      </c>
    </row>
    <row r="1165" spans="1:9" x14ac:dyDescent="0.3">
      <c r="A1165" t="s">
        <v>2946</v>
      </c>
      <c r="B1165" t="s">
        <v>3008</v>
      </c>
      <c r="C1165" t="s">
        <v>13</v>
      </c>
      <c r="D1165" t="s">
        <v>1150</v>
      </c>
      <c r="E1165" t="s">
        <v>1914</v>
      </c>
      <c r="F1165" t="s">
        <v>2714</v>
      </c>
      <c r="H1165" t="s">
        <v>17</v>
      </c>
      <c r="I1165" t="s">
        <v>3029</v>
      </c>
    </row>
    <row r="1166" spans="1:9" x14ac:dyDescent="0.3">
      <c r="A1166" t="s">
        <v>2946</v>
      </c>
      <c r="B1166" t="s">
        <v>3008</v>
      </c>
      <c r="C1166" t="s">
        <v>13</v>
      </c>
      <c r="D1166" t="s">
        <v>1154</v>
      </c>
      <c r="E1166" t="s">
        <v>1917</v>
      </c>
      <c r="F1166" t="s">
        <v>3030</v>
      </c>
      <c r="H1166" t="s">
        <v>17</v>
      </c>
      <c r="I1166" t="s">
        <v>3031</v>
      </c>
    </row>
    <row r="1167" spans="1:9" x14ac:dyDescent="0.3">
      <c r="A1167" t="s">
        <v>2946</v>
      </c>
      <c r="B1167" t="s">
        <v>3008</v>
      </c>
      <c r="C1167" t="s">
        <v>13</v>
      </c>
      <c r="D1167" t="s">
        <v>1158</v>
      </c>
      <c r="E1167" t="s">
        <v>3032</v>
      </c>
      <c r="F1167" t="s">
        <v>3033</v>
      </c>
      <c r="H1167" t="s">
        <v>17</v>
      </c>
      <c r="I1167" t="s">
        <v>3031</v>
      </c>
    </row>
    <row r="1168" spans="1:9" x14ac:dyDescent="0.3">
      <c r="A1168" t="s">
        <v>2946</v>
      </c>
      <c r="B1168" t="s">
        <v>3008</v>
      </c>
      <c r="C1168" t="s">
        <v>13</v>
      </c>
      <c r="D1168" t="s">
        <v>1162</v>
      </c>
      <c r="E1168" t="s">
        <v>1919</v>
      </c>
      <c r="F1168" t="s">
        <v>3034</v>
      </c>
      <c r="H1168" t="s">
        <v>17</v>
      </c>
      <c r="I1168" t="s">
        <v>3035</v>
      </c>
    </row>
    <row r="1169" spans="1:9" x14ac:dyDescent="0.3">
      <c r="A1169" t="s">
        <v>2946</v>
      </c>
      <c r="B1169" t="s">
        <v>3008</v>
      </c>
      <c r="C1169" t="s">
        <v>13</v>
      </c>
      <c r="D1169" t="s">
        <v>1165</v>
      </c>
      <c r="E1169" t="s">
        <v>1921</v>
      </c>
      <c r="F1169" t="s">
        <v>3036</v>
      </c>
      <c r="H1169" t="s">
        <v>17</v>
      </c>
      <c r="I1169" t="s">
        <v>3035</v>
      </c>
    </row>
    <row r="1170" spans="1:9" x14ac:dyDescent="0.3">
      <c r="A1170" t="s">
        <v>2946</v>
      </c>
      <c r="B1170" t="s">
        <v>3037</v>
      </c>
      <c r="C1170" t="s">
        <v>13</v>
      </c>
      <c r="D1170" t="s">
        <v>1168</v>
      </c>
      <c r="E1170" t="s">
        <v>1925</v>
      </c>
      <c r="F1170" t="s">
        <v>3038</v>
      </c>
      <c r="H1170" t="s">
        <v>17</v>
      </c>
      <c r="I1170" t="s">
        <v>3039</v>
      </c>
    </row>
    <row r="1171" spans="1:9" x14ac:dyDescent="0.3">
      <c r="A1171" t="s">
        <v>2946</v>
      </c>
      <c r="B1171" t="s">
        <v>3037</v>
      </c>
      <c r="C1171" t="s">
        <v>13</v>
      </c>
      <c r="D1171" t="s">
        <v>1172</v>
      </c>
      <c r="E1171" t="s">
        <v>1927</v>
      </c>
      <c r="F1171" t="s">
        <v>3040</v>
      </c>
      <c r="H1171" t="s">
        <v>17</v>
      </c>
      <c r="I1171" t="s">
        <v>3039</v>
      </c>
    </row>
    <row r="1172" spans="1:9" x14ac:dyDescent="0.3">
      <c r="A1172" t="s">
        <v>2946</v>
      </c>
      <c r="B1172" t="s">
        <v>3037</v>
      </c>
      <c r="C1172" t="s">
        <v>13</v>
      </c>
      <c r="D1172" t="s">
        <v>1176</v>
      </c>
      <c r="E1172" t="s">
        <v>1929</v>
      </c>
      <c r="F1172" t="s">
        <v>3041</v>
      </c>
      <c r="H1172" t="s">
        <v>17</v>
      </c>
      <c r="I1172" t="s">
        <v>3039</v>
      </c>
    </row>
    <row r="1173" spans="1:9" x14ac:dyDescent="0.3">
      <c r="A1173" t="s">
        <v>2946</v>
      </c>
      <c r="B1173" t="s">
        <v>3037</v>
      </c>
      <c r="C1173" t="s">
        <v>13</v>
      </c>
      <c r="D1173" t="s">
        <v>1179</v>
      </c>
      <c r="E1173" t="s">
        <v>1931</v>
      </c>
      <c r="F1173" t="s">
        <v>3042</v>
      </c>
      <c r="H1173" t="s">
        <v>17</v>
      </c>
      <c r="I1173" t="s">
        <v>3039</v>
      </c>
    </row>
    <row r="1174" spans="1:9" x14ac:dyDescent="0.3">
      <c r="A1174" t="s">
        <v>2946</v>
      </c>
      <c r="B1174" t="s">
        <v>3037</v>
      </c>
      <c r="C1174" t="s">
        <v>13</v>
      </c>
      <c r="D1174" t="s">
        <v>1184</v>
      </c>
      <c r="E1174" t="s">
        <v>1933</v>
      </c>
      <c r="F1174" t="s">
        <v>3043</v>
      </c>
      <c r="H1174" t="s">
        <v>17</v>
      </c>
      <c r="I1174" t="s">
        <v>3039</v>
      </c>
    </row>
    <row r="1175" spans="1:9" x14ac:dyDescent="0.3">
      <c r="A1175" t="s">
        <v>2946</v>
      </c>
      <c r="B1175" t="s">
        <v>3037</v>
      </c>
      <c r="C1175" t="s">
        <v>13</v>
      </c>
      <c r="D1175" t="s">
        <v>1189</v>
      </c>
      <c r="E1175" t="s">
        <v>3044</v>
      </c>
      <c r="F1175" t="s">
        <v>3045</v>
      </c>
      <c r="H1175" t="s">
        <v>17</v>
      </c>
      <c r="I1175" t="s">
        <v>3039</v>
      </c>
    </row>
    <row r="1176" spans="1:9" x14ac:dyDescent="0.3">
      <c r="A1176" t="s">
        <v>2946</v>
      </c>
      <c r="B1176" t="s">
        <v>3046</v>
      </c>
      <c r="C1176" t="s">
        <v>13</v>
      </c>
      <c r="D1176" t="s">
        <v>1193</v>
      </c>
      <c r="E1176" t="s">
        <v>3047</v>
      </c>
      <c r="F1176" t="s">
        <v>3048</v>
      </c>
      <c r="H1176" t="s">
        <v>17</v>
      </c>
      <c r="I1176" t="s">
        <v>2724</v>
      </c>
    </row>
    <row r="1177" spans="1:9" x14ac:dyDescent="0.3">
      <c r="A1177" t="s">
        <v>2946</v>
      </c>
      <c r="B1177" t="s">
        <v>3046</v>
      </c>
      <c r="C1177" t="s">
        <v>13</v>
      </c>
      <c r="D1177" t="s">
        <v>1197</v>
      </c>
      <c r="E1177" t="s">
        <v>3049</v>
      </c>
      <c r="F1177" t="s">
        <v>3050</v>
      </c>
      <c r="H1177" t="s">
        <v>17</v>
      </c>
      <c r="I1177" t="s">
        <v>2724</v>
      </c>
    </row>
    <row r="1178" spans="1:9" x14ac:dyDescent="0.3">
      <c r="A1178" t="s">
        <v>2946</v>
      </c>
      <c r="B1178" t="s">
        <v>3046</v>
      </c>
      <c r="C1178" t="s">
        <v>13</v>
      </c>
      <c r="D1178" t="s">
        <v>1201</v>
      </c>
      <c r="E1178" t="s">
        <v>3051</v>
      </c>
      <c r="F1178" t="s">
        <v>3052</v>
      </c>
      <c r="H1178" t="s">
        <v>17</v>
      </c>
      <c r="I1178" t="s">
        <v>2724</v>
      </c>
    </row>
    <row r="1179" spans="1:9" x14ac:dyDescent="0.3">
      <c r="A1179" t="s">
        <v>2946</v>
      </c>
      <c r="B1179" t="s">
        <v>3046</v>
      </c>
      <c r="C1179" t="s">
        <v>13</v>
      </c>
      <c r="D1179" t="s">
        <v>1213</v>
      </c>
      <c r="E1179" t="s">
        <v>3053</v>
      </c>
      <c r="F1179" t="s">
        <v>3054</v>
      </c>
      <c r="H1179" t="s">
        <v>17</v>
      </c>
      <c r="I1179" t="s">
        <v>2724</v>
      </c>
    </row>
    <row r="1180" spans="1:9" x14ac:dyDescent="0.3">
      <c r="A1180" t="s">
        <v>2946</v>
      </c>
      <c r="B1180" t="s">
        <v>3046</v>
      </c>
      <c r="C1180" t="s">
        <v>13</v>
      </c>
      <c r="D1180" t="s">
        <v>1209</v>
      </c>
      <c r="E1180" t="s">
        <v>3055</v>
      </c>
      <c r="F1180" t="s">
        <v>3056</v>
      </c>
      <c r="H1180" t="s">
        <v>17</v>
      </c>
      <c r="I1180" t="s">
        <v>2724</v>
      </c>
    </row>
    <row r="1181" spans="1:9" x14ac:dyDescent="0.3">
      <c r="A1181" t="s">
        <v>2946</v>
      </c>
      <c r="B1181" t="s">
        <v>3046</v>
      </c>
      <c r="C1181" t="s">
        <v>13</v>
      </c>
      <c r="D1181" t="s">
        <v>1213</v>
      </c>
      <c r="E1181" t="s">
        <v>3057</v>
      </c>
      <c r="F1181" t="s">
        <v>3058</v>
      </c>
      <c r="H1181" t="s">
        <v>17</v>
      </c>
      <c r="I1181" t="s">
        <v>2724</v>
      </c>
    </row>
    <row r="1182" spans="1:9" x14ac:dyDescent="0.3">
      <c r="A1182" t="s">
        <v>2946</v>
      </c>
      <c r="B1182" t="s">
        <v>3046</v>
      </c>
      <c r="C1182" t="s">
        <v>13</v>
      </c>
      <c r="D1182" t="s">
        <v>1219</v>
      </c>
      <c r="E1182" t="s">
        <v>3059</v>
      </c>
      <c r="F1182" t="s">
        <v>3060</v>
      </c>
      <c r="H1182" t="s">
        <v>17</v>
      </c>
      <c r="I1182" t="s">
        <v>2724</v>
      </c>
    </row>
    <row r="1183" spans="1:9" x14ac:dyDescent="0.3">
      <c r="A1183" t="s">
        <v>2946</v>
      </c>
      <c r="B1183" t="s">
        <v>3046</v>
      </c>
      <c r="C1183" t="s">
        <v>13</v>
      </c>
      <c r="D1183" t="s">
        <v>1224</v>
      </c>
      <c r="E1183" t="s">
        <v>3061</v>
      </c>
      <c r="F1183" t="s">
        <v>3062</v>
      </c>
      <c r="H1183" t="s">
        <v>17</v>
      </c>
      <c r="I1183" t="s">
        <v>3063</v>
      </c>
    </row>
    <row r="1184" spans="1:9" x14ac:dyDescent="0.3">
      <c r="A1184" t="s">
        <v>2946</v>
      </c>
      <c r="B1184" t="s">
        <v>3046</v>
      </c>
      <c r="C1184" t="s">
        <v>13</v>
      </c>
      <c r="D1184" t="s">
        <v>1228</v>
      </c>
      <c r="E1184" t="s">
        <v>3064</v>
      </c>
      <c r="F1184" t="s">
        <v>3065</v>
      </c>
      <c r="H1184" t="s">
        <v>17</v>
      </c>
      <c r="I1184" t="s">
        <v>3066</v>
      </c>
    </row>
    <row r="1185" spans="1:9" x14ac:dyDescent="0.3">
      <c r="A1185" t="s">
        <v>2946</v>
      </c>
      <c r="B1185" t="s">
        <v>3046</v>
      </c>
      <c r="C1185" t="s">
        <v>13</v>
      </c>
      <c r="D1185" t="s">
        <v>1232</v>
      </c>
      <c r="E1185" t="s">
        <v>3067</v>
      </c>
      <c r="F1185" t="s">
        <v>3068</v>
      </c>
      <c r="H1185" t="s">
        <v>17</v>
      </c>
      <c r="I1185" t="s">
        <v>3066</v>
      </c>
    </row>
    <row r="1186" spans="1:9" x14ac:dyDescent="0.3">
      <c r="A1186" t="s">
        <v>2946</v>
      </c>
      <c r="B1186" t="s">
        <v>3046</v>
      </c>
      <c r="C1186" t="s">
        <v>13</v>
      </c>
      <c r="D1186" t="s">
        <v>1236</v>
      </c>
      <c r="E1186" t="s">
        <v>3069</v>
      </c>
      <c r="F1186" t="s">
        <v>3070</v>
      </c>
      <c r="H1186" t="s">
        <v>17</v>
      </c>
      <c r="I1186" t="s">
        <v>3071</v>
      </c>
    </row>
    <row r="1187" spans="1:9" x14ac:dyDescent="0.3">
      <c r="A1187" t="s">
        <v>2946</v>
      </c>
      <c r="B1187" t="s">
        <v>3072</v>
      </c>
      <c r="C1187" t="s">
        <v>13</v>
      </c>
      <c r="D1187" t="s">
        <v>1240</v>
      </c>
      <c r="E1187" t="s">
        <v>3073</v>
      </c>
      <c r="F1187" t="s">
        <v>3074</v>
      </c>
      <c r="H1187" t="s">
        <v>17</v>
      </c>
      <c r="I1187" t="s">
        <v>3075</v>
      </c>
    </row>
    <row r="1188" spans="1:9" x14ac:dyDescent="0.3">
      <c r="A1188" t="s">
        <v>2946</v>
      </c>
      <c r="B1188" t="s">
        <v>3072</v>
      </c>
      <c r="C1188" t="s">
        <v>13</v>
      </c>
      <c r="D1188" t="s">
        <v>1244</v>
      </c>
      <c r="E1188" t="s">
        <v>3076</v>
      </c>
      <c r="F1188" t="s">
        <v>3077</v>
      </c>
      <c r="H1188" t="s">
        <v>17</v>
      </c>
      <c r="I1188" t="s">
        <v>3075</v>
      </c>
    </row>
    <row r="1189" spans="1:9" x14ac:dyDescent="0.3">
      <c r="A1189" t="s">
        <v>2946</v>
      </c>
      <c r="B1189" t="s">
        <v>3072</v>
      </c>
      <c r="C1189" t="s">
        <v>13</v>
      </c>
      <c r="D1189" t="s">
        <v>1248</v>
      </c>
      <c r="E1189" t="s">
        <v>3078</v>
      </c>
      <c r="F1189" t="s">
        <v>3079</v>
      </c>
      <c r="H1189" t="s">
        <v>17</v>
      </c>
      <c r="I1189" t="s">
        <v>3075</v>
      </c>
    </row>
    <row r="1190" spans="1:9" x14ac:dyDescent="0.3">
      <c r="A1190" t="s">
        <v>2946</v>
      </c>
      <c r="B1190" t="s">
        <v>3072</v>
      </c>
      <c r="C1190" t="s">
        <v>13</v>
      </c>
      <c r="D1190" t="s">
        <v>1252</v>
      </c>
      <c r="E1190" t="s">
        <v>3080</v>
      </c>
      <c r="F1190" t="s">
        <v>3081</v>
      </c>
      <c r="H1190" t="s">
        <v>17</v>
      </c>
      <c r="I1190" t="s">
        <v>3075</v>
      </c>
    </row>
    <row r="1191" spans="1:9" x14ac:dyDescent="0.3">
      <c r="A1191" t="s">
        <v>2946</v>
      </c>
      <c r="B1191" t="s">
        <v>3072</v>
      </c>
      <c r="C1191" t="s">
        <v>13</v>
      </c>
      <c r="D1191" t="s">
        <v>1256</v>
      </c>
      <c r="E1191" t="s">
        <v>3082</v>
      </c>
      <c r="F1191" t="s">
        <v>3083</v>
      </c>
      <c r="H1191" t="s">
        <v>17</v>
      </c>
      <c r="I1191" t="s">
        <v>3075</v>
      </c>
    </row>
    <row r="1192" spans="1:9" x14ac:dyDescent="0.3">
      <c r="A1192" t="s">
        <v>2946</v>
      </c>
      <c r="B1192" t="s">
        <v>3072</v>
      </c>
      <c r="C1192" t="s">
        <v>13</v>
      </c>
      <c r="D1192" t="s">
        <v>1261</v>
      </c>
      <c r="E1192" t="s">
        <v>3084</v>
      </c>
      <c r="F1192" t="s">
        <v>3085</v>
      </c>
      <c r="H1192" t="s">
        <v>17</v>
      </c>
      <c r="I1192" t="s">
        <v>3075</v>
      </c>
    </row>
    <row r="1193" spans="1:9" x14ac:dyDescent="0.3">
      <c r="A1193" t="s">
        <v>2946</v>
      </c>
      <c r="B1193" t="s">
        <v>3072</v>
      </c>
      <c r="C1193" t="s">
        <v>13</v>
      </c>
      <c r="D1193" t="s">
        <v>1265</v>
      </c>
      <c r="E1193" t="s">
        <v>3086</v>
      </c>
      <c r="F1193" t="s">
        <v>3087</v>
      </c>
      <c r="H1193" t="s">
        <v>17</v>
      </c>
      <c r="I1193" t="s">
        <v>3088</v>
      </c>
    </row>
    <row r="1194" spans="1:9" x14ac:dyDescent="0.3">
      <c r="A1194" t="s">
        <v>2946</v>
      </c>
      <c r="B1194" t="s">
        <v>3072</v>
      </c>
      <c r="C1194" t="s">
        <v>13</v>
      </c>
      <c r="D1194" t="s">
        <v>1270</v>
      </c>
      <c r="E1194" t="s">
        <v>3089</v>
      </c>
      <c r="F1194" t="s">
        <v>3090</v>
      </c>
      <c r="H1194" t="s">
        <v>17</v>
      </c>
      <c r="I1194" t="s">
        <v>3088</v>
      </c>
    </row>
    <row r="1195" spans="1:9" x14ac:dyDescent="0.3">
      <c r="A1195" t="s">
        <v>2946</v>
      </c>
      <c r="B1195" t="s">
        <v>3091</v>
      </c>
      <c r="C1195" t="s">
        <v>13</v>
      </c>
      <c r="D1195" t="s">
        <v>1276</v>
      </c>
      <c r="E1195" t="s">
        <v>3092</v>
      </c>
      <c r="F1195" t="s">
        <v>3093</v>
      </c>
      <c r="H1195" t="s">
        <v>17</v>
      </c>
      <c r="I1195" t="s">
        <v>3094</v>
      </c>
    </row>
    <row r="1196" spans="1:9" x14ac:dyDescent="0.3">
      <c r="A1196" t="s">
        <v>2946</v>
      </c>
      <c r="B1196" t="s">
        <v>3091</v>
      </c>
      <c r="C1196" t="s">
        <v>13</v>
      </c>
      <c r="D1196" t="s">
        <v>303</v>
      </c>
      <c r="E1196" t="s">
        <v>3095</v>
      </c>
      <c r="F1196" t="s">
        <v>3096</v>
      </c>
      <c r="H1196" t="s">
        <v>17</v>
      </c>
      <c r="I1196" t="s">
        <v>3094</v>
      </c>
    </row>
    <row r="1197" spans="1:9" x14ac:dyDescent="0.3">
      <c r="A1197" t="s">
        <v>2946</v>
      </c>
      <c r="B1197" t="s">
        <v>3091</v>
      </c>
      <c r="C1197" t="s">
        <v>13</v>
      </c>
      <c r="D1197" t="s">
        <v>308</v>
      </c>
      <c r="E1197" t="s">
        <v>3097</v>
      </c>
      <c r="F1197" t="s">
        <v>3098</v>
      </c>
      <c r="H1197" t="s">
        <v>17</v>
      </c>
      <c r="I1197" t="s">
        <v>3094</v>
      </c>
    </row>
    <row r="1198" spans="1:9" x14ac:dyDescent="0.3">
      <c r="A1198" t="s">
        <v>2946</v>
      </c>
      <c r="B1198" t="s">
        <v>3091</v>
      </c>
      <c r="C1198" t="s">
        <v>13</v>
      </c>
      <c r="D1198" t="s">
        <v>312</v>
      </c>
      <c r="E1198" t="s">
        <v>3099</v>
      </c>
      <c r="F1198" t="s">
        <v>3100</v>
      </c>
      <c r="H1198" t="s">
        <v>17</v>
      </c>
      <c r="I1198" t="s">
        <v>3101</v>
      </c>
    </row>
    <row r="1199" spans="1:9" x14ac:dyDescent="0.3">
      <c r="A1199" t="s">
        <v>2946</v>
      </c>
      <c r="B1199" t="s">
        <v>3091</v>
      </c>
      <c r="C1199" t="s">
        <v>13</v>
      </c>
      <c r="D1199" t="s">
        <v>316</v>
      </c>
      <c r="E1199" t="s">
        <v>3102</v>
      </c>
      <c r="F1199" t="s">
        <v>3103</v>
      </c>
      <c r="H1199" t="s">
        <v>17</v>
      </c>
      <c r="I1199" t="s">
        <v>3104</v>
      </c>
    </row>
    <row r="1200" spans="1:9" x14ac:dyDescent="0.3">
      <c r="A1200" t="s">
        <v>2946</v>
      </c>
      <c r="B1200" t="s">
        <v>3091</v>
      </c>
      <c r="C1200" t="s">
        <v>13</v>
      </c>
      <c r="D1200" t="s">
        <v>319</v>
      </c>
      <c r="E1200" t="s">
        <v>3105</v>
      </c>
      <c r="F1200" t="s">
        <v>3106</v>
      </c>
      <c r="H1200" t="s">
        <v>17</v>
      </c>
      <c r="I1200" t="s">
        <v>3107</v>
      </c>
    </row>
    <row r="1201" spans="1:9" x14ac:dyDescent="0.3">
      <c r="A1201" t="s">
        <v>2946</v>
      </c>
      <c r="B1201" t="s">
        <v>3091</v>
      </c>
      <c r="C1201" t="s">
        <v>13</v>
      </c>
      <c r="D1201" t="s">
        <v>323</v>
      </c>
      <c r="E1201" t="s">
        <v>3108</v>
      </c>
      <c r="F1201" t="s">
        <v>3109</v>
      </c>
      <c r="H1201" t="s">
        <v>17</v>
      </c>
      <c r="I1201" t="s">
        <v>3110</v>
      </c>
    </row>
    <row r="1202" spans="1:9" x14ac:dyDescent="0.3">
      <c r="A1202" t="s">
        <v>2946</v>
      </c>
      <c r="B1202" t="s">
        <v>3091</v>
      </c>
      <c r="C1202" t="s">
        <v>13</v>
      </c>
      <c r="D1202" t="s">
        <v>327</v>
      </c>
      <c r="E1202" t="s">
        <v>3111</v>
      </c>
      <c r="F1202" t="s">
        <v>3112</v>
      </c>
      <c r="H1202" t="s">
        <v>17</v>
      </c>
      <c r="I1202" t="s">
        <v>3110</v>
      </c>
    </row>
    <row r="1203" spans="1:9" x14ac:dyDescent="0.3">
      <c r="A1203" t="s">
        <v>2946</v>
      </c>
      <c r="B1203" t="s">
        <v>3091</v>
      </c>
      <c r="C1203" t="s">
        <v>13</v>
      </c>
      <c r="D1203" t="s">
        <v>332</v>
      </c>
      <c r="E1203" t="s">
        <v>3113</v>
      </c>
      <c r="F1203" t="s">
        <v>3114</v>
      </c>
      <c r="H1203" t="s">
        <v>17</v>
      </c>
      <c r="I1203" t="s">
        <v>3115</v>
      </c>
    </row>
    <row r="1204" spans="1:9" x14ac:dyDescent="0.3">
      <c r="A1204" t="s">
        <v>2946</v>
      </c>
      <c r="B1204" t="s">
        <v>3091</v>
      </c>
      <c r="C1204" t="s">
        <v>13</v>
      </c>
      <c r="D1204" t="s">
        <v>335</v>
      </c>
      <c r="E1204" t="s">
        <v>3116</v>
      </c>
      <c r="F1204" t="s">
        <v>3117</v>
      </c>
      <c r="H1204" t="s">
        <v>17</v>
      </c>
      <c r="I1204" t="s">
        <v>3118</v>
      </c>
    </row>
    <row r="1205" spans="1:9" x14ac:dyDescent="0.3">
      <c r="A1205" t="s">
        <v>2946</v>
      </c>
      <c r="B1205" t="s">
        <v>3091</v>
      </c>
      <c r="C1205" t="s">
        <v>13</v>
      </c>
      <c r="D1205" t="s">
        <v>338</v>
      </c>
      <c r="E1205" t="s">
        <v>3119</v>
      </c>
      <c r="F1205" t="s">
        <v>3120</v>
      </c>
      <c r="H1205" t="s">
        <v>17</v>
      </c>
      <c r="I1205" t="s">
        <v>3121</v>
      </c>
    </row>
    <row r="1206" spans="1:9" x14ac:dyDescent="0.3">
      <c r="A1206" t="s">
        <v>2946</v>
      </c>
      <c r="B1206" t="s">
        <v>3091</v>
      </c>
      <c r="C1206" t="s">
        <v>13</v>
      </c>
      <c r="D1206" t="s">
        <v>341</v>
      </c>
      <c r="E1206" t="s">
        <v>3122</v>
      </c>
      <c r="F1206" t="s">
        <v>3123</v>
      </c>
      <c r="H1206" t="s">
        <v>17</v>
      </c>
      <c r="I1206" t="s">
        <v>3124</v>
      </c>
    </row>
    <row r="1207" spans="1:9" x14ac:dyDescent="0.3">
      <c r="A1207" t="s">
        <v>2946</v>
      </c>
      <c r="B1207" t="s">
        <v>3091</v>
      </c>
      <c r="C1207" t="s">
        <v>13</v>
      </c>
      <c r="D1207" t="s">
        <v>344</v>
      </c>
      <c r="E1207" t="s">
        <v>3125</v>
      </c>
      <c r="F1207" t="s">
        <v>3126</v>
      </c>
      <c r="H1207" t="s">
        <v>17</v>
      </c>
      <c r="I1207" t="s">
        <v>3127</v>
      </c>
    </row>
    <row r="1208" spans="1:9" x14ac:dyDescent="0.3">
      <c r="A1208" t="s">
        <v>2946</v>
      </c>
      <c r="B1208" t="s">
        <v>3091</v>
      </c>
      <c r="C1208" t="s">
        <v>13</v>
      </c>
      <c r="D1208" t="s">
        <v>347</v>
      </c>
      <c r="E1208" t="s">
        <v>3128</v>
      </c>
      <c r="F1208" t="s">
        <v>3129</v>
      </c>
      <c r="H1208" t="s">
        <v>17</v>
      </c>
      <c r="I1208" t="s">
        <v>3130</v>
      </c>
    </row>
    <row r="1209" spans="1:9" x14ac:dyDescent="0.3">
      <c r="A1209" t="s">
        <v>2946</v>
      </c>
      <c r="B1209" t="s">
        <v>3091</v>
      </c>
      <c r="C1209" t="s">
        <v>13</v>
      </c>
      <c r="D1209" t="s">
        <v>353</v>
      </c>
      <c r="E1209" t="s">
        <v>3131</v>
      </c>
      <c r="F1209" t="s">
        <v>3132</v>
      </c>
      <c r="H1209" t="s">
        <v>17</v>
      </c>
      <c r="I1209" t="s">
        <v>3133</v>
      </c>
    </row>
    <row r="1210" spans="1:9" x14ac:dyDescent="0.3">
      <c r="A1210" t="s">
        <v>2946</v>
      </c>
      <c r="B1210" t="s">
        <v>3091</v>
      </c>
      <c r="C1210" t="s">
        <v>13</v>
      </c>
      <c r="D1210" t="s">
        <v>358</v>
      </c>
      <c r="E1210" t="s">
        <v>3134</v>
      </c>
      <c r="F1210" t="s">
        <v>3135</v>
      </c>
      <c r="H1210" t="s">
        <v>17</v>
      </c>
      <c r="I1210" t="s">
        <v>3133</v>
      </c>
    </row>
    <row r="1211" spans="1:9" x14ac:dyDescent="0.3">
      <c r="A1211" t="s">
        <v>2946</v>
      </c>
      <c r="B1211" t="s">
        <v>3091</v>
      </c>
      <c r="C1211" t="s">
        <v>13</v>
      </c>
      <c r="D1211" t="s">
        <v>361</v>
      </c>
      <c r="E1211" t="s">
        <v>3136</v>
      </c>
      <c r="F1211" t="s">
        <v>3137</v>
      </c>
      <c r="H1211" t="s">
        <v>17</v>
      </c>
      <c r="I1211" t="s">
        <v>3138</v>
      </c>
    </row>
    <row r="1212" spans="1:9" x14ac:dyDescent="0.3">
      <c r="A1212" t="s">
        <v>2946</v>
      </c>
      <c r="B1212" t="s">
        <v>3091</v>
      </c>
      <c r="C1212" t="s">
        <v>13</v>
      </c>
      <c r="D1212" t="s">
        <v>364</v>
      </c>
      <c r="E1212" t="s">
        <v>3139</v>
      </c>
      <c r="F1212" t="s">
        <v>3140</v>
      </c>
      <c r="H1212" t="s">
        <v>17</v>
      </c>
      <c r="I1212" t="s">
        <v>3138</v>
      </c>
    </row>
    <row r="1213" spans="1:9" x14ac:dyDescent="0.3">
      <c r="A1213" t="s">
        <v>2946</v>
      </c>
      <c r="B1213" t="s">
        <v>3091</v>
      </c>
      <c r="C1213" t="s">
        <v>13</v>
      </c>
      <c r="D1213" t="s">
        <v>367</v>
      </c>
      <c r="E1213" t="s">
        <v>3141</v>
      </c>
      <c r="F1213" t="s">
        <v>3142</v>
      </c>
      <c r="H1213" t="s">
        <v>17</v>
      </c>
      <c r="I1213" t="s">
        <v>3143</v>
      </c>
    </row>
    <row r="1214" spans="1:9" x14ac:dyDescent="0.3">
      <c r="A1214" t="s">
        <v>2946</v>
      </c>
      <c r="B1214" t="s">
        <v>3144</v>
      </c>
      <c r="C1214" t="s">
        <v>13</v>
      </c>
      <c r="D1214" t="s">
        <v>370</v>
      </c>
      <c r="E1214" t="s">
        <v>3145</v>
      </c>
      <c r="F1214" t="s">
        <v>3146</v>
      </c>
      <c r="H1214" t="s">
        <v>17</v>
      </c>
      <c r="I1214" t="s">
        <v>3147</v>
      </c>
    </row>
    <row r="1215" spans="1:9" x14ac:dyDescent="0.3">
      <c r="A1215" t="s">
        <v>2946</v>
      </c>
      <c r="B1215" t="s">
        <v>3144</v>
      </c>
      <c r="C1215" t="s">
        <v>13</v>
      </c>
      <c r="D1215" t="s">
        <v>373</v>
      </c>
      <c r="E1215" t="s">
        <v>3148</v>
      </c>
      <c r="F1215" t="s">
        <v>3149</v>
      </c>
      <c r="H1215" t="s">
        <v>17</v>
      </c>
      <c r="I1215" t="s">
        <v>3147</v>
      </c>
    </row>
    <row r="1216" spans="1:9" x14ac:dyDescent="0.3">
      <c r="A1216" t="s">
        <v>2946</v>
      </c>
      <c r="B1216" t="s">
        <v>3144</v>
      </c>
      <c r="C1216" t="s">
        <v>13</v>
      </c>
      <c r="D1216" t="s">
        <v>376</v>
      </c>
      <c r="E1216" t="s">
        <v>3150</v>
      </c>
      <c r="F1216" t="s">
        <v>3151</v>
      </c>
      <c r="H1216" t="s">
        <v>17</v>
      </c>
      <c r="I1216" t="s">
        <v>3147</v>
      </c>
    </row>
    <row r="1217" spans="1:9" x14ac:dyDescent="0.3">
      <c r="A1217" t="s">
        <v>2946</v>
      </c>
      <c r="B1217" t="s">
        <v>3144</v>
      </c>
      <c r="C1217" t="s">
        <v>13</v>
      </c>
      <c r="D1217" t="s">
        <v>1675</v>
      </c>
      <c r="E1217" t="s">
        <v>3152</v>
      </c>
      <c r="F1217" t="s">
        <v>3153</v>
      </c>
      <c r="H1217" t="s">
        <v>17</v>
      </c>
      <c r="I1217" t="s">
        <v>3147</v>
      </c>
    </row>
    <row r="1218" spans="1:9" x14ac:dyDescent="0.3">
      <c r="A1218" t="s">
        <v>2946</v>
      </c>
      <c r="B1218" t="s">
        <v>3144</v>
      </c>
      <c r="C1218" t="s">
        <v>13</v>
      </c>
      <c r="D1218" t="s">
        <v>1678</v>
      </c>
      <c r="E1218" t="s">
        <v>3154</v>
      </c>
      <c r="F1218" t="s">
        <v>3155</v>
      </c>
      <c r="H1218" t="s">
        <v>17</v>
      </c>
      <c r="I1218" t="s">
        <v>3147</v>
      </c>
    </row>
    <row r="1219" spans="1:9" x14ac:dyDescent="0.3">
      <c r="A1219" t="s">
        <v>2946</v>
      </c>
      <c r="B1219" t="s">
        <v>3144</v>
      </c>
      <c r="C1219" t="s">
        <v>13</v>
      </c>
      <c r="D1219" t="s">
        <v>1681</v>
      </c>
      <c r="E1219" t="s">
        <v>3156</v>
      </c>
      <c r="F1219" t="s">
        <v>3157</v>
      </c>
      <c r="H1219" t="s">
        <v>17</v>
      </c>
      <c r="I1219" t="s">
        <v>3147</v>
      </c>
    </row>
    <row r="1220" spans="1:9" x14ac:dyDescent="0.3">
      <c r="A1220" t="s">
        <v>2946</v>
      </c>
      <c r="B1220" t="s">
        <v>3144</v>
      </c>
      <c r="C1220" t="s">
        <v>13</v>
      </c>
      <c r="D1220" t="s">
        <v>1683</v>
      </c>
      <c r="E1220" t="s">
        <v>3158</v>
      </c>
      <c r="F1220" t="s">
        <v>3159</v>
      </c>
      <c r="H1220" t="s">
        <v>17</v>
      </c>
      <c r="I1220" t="s">
        <v>3147</v>
      </c>
    </row>
    <row r="1221" spans="1:9" x14ac:dyDescent="0.3">
      <c r="A1221" t="s">
        <v>2946</v>
      </c>
      <c r="B1221" t="s">
        <v>3144</v>
      </c>
      <c r="C1221" t="s">
        <v>13</v>
      </c>
      <c r="D1221" t="s">
        <v>1685</v>
      </c>
      <c r="E1221" t="s">
        <v>3160</v>
      </c>
      <c r="F1221" t="s">
        <v>3161</v>
      </c>
      <c r="H1221" t="s">
        <v>17</v>
      </c>
      <c r="I1221" t="s">
        <v>3147</v>
      </c>
    </row>
    <row r="1222" spans="1:9" x14ac:dyDescent="0.3">
      <c r="A1222" t="s">
        <v>2946</v>
      </c>
      <c r="B1222" t="s">
        <v>3144</v>
      </c>
      <c r="C1222" t="s">
        <v>13</v>
      </c>
      <c r="D1222" t="s">
        <v>2859</v>
      </c>
      <c r="E1222" t="s">
        <v>3162</v>
      </c>
      <c r="F1222" t="s">
        <v>3163</v>
      </c>
      <c r="H1222" t="s">
        <v>17</v>
      </c>
      <c r="I1222" t="s">
        <v>3147</v>
      </c>
    </row>
    <row r="1223" spans="1:9" x14ac:dyDescent="0.3">
      <c r="A1223" t="s">
        <v>2946</v>
      </c>
      <c r="B1223" t="s">
        <v>3144</v>
      </c>
      <c r="C1223" t="s">
        <v>13</v>
      </c>
      <c r="D1223" t="s">
        <v>2413</v>
      </c>
      <c r="E1223" t="s">
        <v>3164</v>
      </c>
      <c r="F1223" t="s">
        <v>3165</v>
      </c>
      <c r="H1223" t="s">
        <v>17</v>
      </c>
      <c r="I1223" t="s">
        <v>3166</v>
      </c>
    </row>
    <row r="1224" spans="1:9" x14ac:dyDescent="0.3">
      <c r="A1224" t="s">
        <v>2946</v>
      </c>
      <c r="B1224" t="s">
        <v>3144</v>
      </c>
      <c r="C1224" t="s">
        <v>13</v>
      </c>
      <c r="D1224" t="s">
        <v>2417</v>
      </c>
      <c r="E1224" t="s">
        <v>3167</v>
      </c>
      <c r="F1224" t="s">
        <v>3168</v>
      </c>
      <c r="H1224" t="s">
        <v>17</v>
      </c>
      <c r="I1224" t="s">
        <v>3169</v>
      </c>
    </row>
    <row r="1225" spans="1:9" x14ac:dyDescent="0.3">
      <c r="A1225" t="s">
        <v>2946</v>
      </c>
      <c r="B1225" t="s">
        <v>3144</v>
      </c>
      <c r="C1225" t="s">
        <v>13</v>
      </c>
      <c r="D1225" t="s">
        <v>2421</v>
      </c>
      <c r="E1225" t="s">
        <v>3170</v>
      </c>
      <c r="F1225" t="s">
        <v>3171</v>
      </c>
      <c r="H1225" t="s">
        <v>17</v>
      </c>
      <c r="I1225" t="s">
        <v>2984</v>
      </c>
    </row>
    <row r="1226" spans="1:9" x14ac:dyDescent="0.3">
      <c r="A1226" t="s">
        <v>2946</v>
      </c>
      <c r="B1226" t="s">
        <v>3144</v>
      </c>
      <c r="C1226" t="s">
        <v>1936</v>
      </c>
      <c r="D1226" t="s">
        <v>996</v>
      </c>
      <c r="E1226" t="s">
        <v>2671</v>
      </c>
      <c r="F1226" t="s">
        <v>3172</v>
      </c>
      <c r="H1226" t="s">
        <v>17</v>
      </c>
      <c r="I1226" t="s">
        <v>3173</v>
      </c>
    </row>
    <row r="1227" spans="1:9" x14ac:dyDescent="0.3">
      <c r="A1227" t="s">
        <v>2946</v>
      </c>
      <c r="B1227" t="s">
        <v>3144</v>
      </c>
      <c r="C1227" t="s">
        <v>1936</v>
      </c>
      <c r="D1227" t="s">
        <v>1001</v>
      </c>
      <c r="E1227" t="s">
        <v>2674</v>
      </c>
      <c r="F1227" t="s">
        <v>3174</v>
      </c>
      <c r="H1227" t="s">
        <v>17</v>
      </c>
      <c r="I1227" t="s">
        <v>3175</v>
      </c>
    </row>
    <row r="1228" spans="1:9" x14ac:dyDescent="0.3">
      <c r="A1228" t="s">
        <v>2946</v>
      </c>
      <c r="B1228" t="s">
        <v>3176</v>
      </c>
      <c r="C1228" t="s">
        <v>1936</v>
      </c>
      <c r="D1228" t="s">
        <v>1942</v>
      </c>
      <c r="E1228" t="s">
        <v>2679</v>
      </c>
      <c r="F1228" t="s">
        <v>3177</v>
      </c>
      <c r="H1228" t="s">
        <v>17</v>
      </c>
      <c r="I1228" t="s">
        <v>3178</v>
      </c>
    </row>
    <row r="1229" spans="1:9" x14ac:dyDescent="0.3">
      <c r="A1229" t="s">
        <v>2946</v>
      </c>
      <c r="B1229" t="s">
        <v>3176</v>
      </c>
      <c r="C1229" t="s">
        <v>1936</v>
      </c>
      <c r="D1229" t="s">
        <v>22</v>
      </c>
      <c r="E1229" t="s">
        <v>23</v>
      </c>
      <c r="F1229" t="s">
        <v>3179</v>
      </c>
      <c r="H1229" t="s">
        <v>17</v>
      </c>
      <c r="I1229" t="s">
        <v>3178</v>
      </c>
    </row>
    <row r="1230" spans="1:9" x14ac:dyDescent="0.3">
      <c r="A1230" t="s">
        <v>2946</v>
      </c>
      <c r="B1230" t="s">
        <v>3176</v>
      </c>
      <c r="C1230" t="s">
        <v>1936</v>
      </c>
      <c r="D1230" t="s">
        <v>27</v>
      </c>
      <c r="E1230" t="s">
        <v>28</v>
      </c>
      <c r="F1230" t="s">
        <v>3180</v>
      </c>
      <c r="H1230" t="s">
        <v>17</v>
      </c>
      <c r="I1230" t="s">
        <v>3178</v>
      </c>
    </row>
    <row r="1231" spans="1:9" x14ac:dyDescent="0.3">
      <c r="A1231" t="s">
        <v>2946</v>
      </c>
      <c r="B1231" t="s">
        <v>3176</v>
      </c>
      <c r="C1231" t="s">
        <v>1936</v>
      </c>
      <c r="D1231" t="s">
        <v>1014</v>
      </c>
      <c r="E1231" t="s">
        <v>33</v>
      </c>
      <c r="F1231" t="s">
        <v>3181</v>
      </c>
      <c r="H1231" t="s">
        <v>17</v>
      </c>
      <c r="I1231" t="s">
        <v>3178</v>
      </c>
    </row>
    <row r="1232" spans="1:9" x14ac:dyDescent="0.3">
      <c r="A1232" t="s">
        <v>2946</v>
      </c>
      <c r="B1232" t="s">
        <v>3176</v>
      </c>
      <c r="C1232" t="s">
        <v>1936</v>
      </c>
      <c r="D1232" t="s">
        <v>1017</v>
      </c>
      <c r="E1232" t="s">
        <v>2687</v>
      </c>
      <c r="F1232" t="s">
        <v>3182</v>
      </c>
      <c r="H1232" t="s">
        <v>17</v>
      </c>
      <c r="I1232" t="s">
        <v>3178</v>
      </c>
    </row>
    <row r="1233" spans="1:9" x14ac:dyDescent="0.3">
      <c r="A1233" t="s">
        <v>2946</v>
      </c>
      <c r="B1233" t="s">
        <v>3176</v>
      </c>
      <c r="C1233" t="s">
        <v>1936</v>
      </c>
      <c r="D1233" t="s">
        <v>36</v>
      </c>
      <c r="E1233" t="s">
        <v>37</v>
      </c>
      <c r="F1233" t="s">
        <v>3183</v>
      </c>
      <c r="H1233" t="s">
        <v>17</v>
      </c>
      <c r="I1233" t="s">
        <v>3184</v>
      </c>
    </row>
    <row r="1234" spans="1:9" x14ac:dyDescent="0.3">
      <c r="A1234" t="s">
        <v>2946</v>
      </c>
      <c r="B1234" t="s">
        <v>3176</v>
      </c>
      <c r="C1234" t="s">
        <v>1936</v>
      </c>
      <c r="D1234" t="s">
        <v>41</v>
      </c>
      <c r="E1234" t="s">
        <v>42</v>
      </c>
      <c r="F1234" t="s">
        <v>3185</v>
      </c>
      <c r="H1234" t="s">
        <v>17</v>
      </c>
      <c r="I1234" t="s">
        <v>3186</v>
      </c>
    </row>
    <row r="1235" spans="1:9" x14ac:dyDescent="0.3">
      <c r="A1235" t="s">
        <v>2946</v>
      </c>
      <c r="B1235" t="s">
        <v>3176</v>
      </c>
      <c r="C1235" t="s">
        <v>1936</v>
      </c>
      <c r="D1235" t="s">
        <v>45</v>
      </c>
      <c r="E1235" t="s">
        <v>46</v>
      </c>
      <c r="F1235" t="s">
        <v>3187</v>
      </c>
      <c r="H1235" t="s">
        <v>17</v>
      </c>
      <c r="I1235" t="s">
        <v>3188</v>
      </c>
    </row>
    <row r="1236" spans="1:9" x14ac:dyDescent="0.3">
      <c r="A1236" t="s">
        <v>2946</v>
      </c>
      <c r="B1236" t="s">
        <v>3176</v>
      </c>
      <c r="C1236" t="s">
        <v>1936</v>
      </c>
      <c r="D1236" t="s">
        <v>50</v>
      </c>
      <c r="E1236" t="s">
        <v>51</v>
      </c>
      <c r="F1236" t="s">
        <v>3189</v>
      </c>
      <c r="H1236" t="s">
        <v>17</v>
      </c>
      <c r="I1236" t="s">
        <v>3190</v>
      </c>
    </row>
    <row r="1237" spans="1:9" x14ac:dyDescent="0.3">
      <c r="A1237" t="s">
        <v>2946</v>
      </c>
      <c r="B1237" t="s">
        <v>3176</v>
      </c>
      <c r="C1237" t="s">
        <v>1936</v>
      </c>
      <c r="D1237" t="s">
        <v>53</v>
      </c>
      <c r="E1237" t="s">
        <v>54</v>
      </c>
      <c r="F1237" t="s">
        <v>3191</v>
      </c>
      <c r="H1237" t="s">
        <v>17</v>
      </c>
      <c r="I1237" t="s">
        <v>3192</v>
      </c>
    </row>
    <row r="1238" spans="1:9" x14ac:dyDescent="0.3">
      <c r="A1238" t="s">
        <v>2946</v>
      </c>
      <c r="B1238" t="s">
        <v>3176</v>
      </c>
      <c r="C1238" t="s">
        <v>1936</v>
      </c>
      <c r="D1238" t="s">
        <v>56</v>
      </c>
      <c r="E1238" t="s">
        <v>57</v>
      </c>
      <c r="F1238" t="s">
        <v>3193</v>
      </c>
      <c r="H1238" t="s">
        <v>17</v>
      </c>
      <c r="I1238" t="s">
        <v>3194</v>
      </c>
    </row>
    <row r="1239" spans="1:9" x14ac:dyDescent="0.3">
      <c r="A1239" t="s">
        <v>2946</v>
      </c>
      <c r="B1239" t="s">
        <v>3176</v>
      </c>
      <c r="C1239" t="s">
        <v>1936</v>
      </c>
      <c r="D1239" t="s">
        <v>61</v>
      </c>
      <c r="E1239" t="s">
        <v>62</v>
      </c>
      <c r="F1239" t="s">
        <v>3195</v>
      </c>
      <c r="H1239" t="s">
        <v>17</v>
      </c>
      <c r="I1239" t="s">
        <v>3196</v>
      </c>
    </row>
    <row r="1240" spans="1:9" x14ac:dyDescent="0.3">
      <c r="A1240" t="s">
        <v>2946</v>
      </c>
      <c r="B1240" t="s">
        <v>3176</v>
      </c>
      <c r="C1240" t="s">
        <v>1936</v>
      </c>
      <c r="D1240" t="s">
        <v>1039</v>
      </c>
      <c r="E1240" t="s">
        <v>67</v>
      </c>
      <c r="F1240" t="s">
        <v>3197</v>
      </c>
      <c r="H1240" t="s">
        <v>17</v>
      </c>
      <c r="I1240" t="s">
        <v>3198</v>
      </c>
    </row>
    <row r="1241" spans="1:9" x14ac:dyDescent="0.3">
      <c r="A1241" t="s">
        <v>2946</v>
      </c>
      <c r="B1241" t="s">
        <v>3199</v>
      </c>
      <c r="C1241" t="s">
        <v>1936</v>
      </c>
      <c r="D1241" t="s">
        <v>1043</v>
      </c>
      <c r="E1241" t="s">
        <v>77</v>
      </c>
      <c r="F1241" t="s">
        <v>3200</v>
      </c>
      <c r="H1241" t="s">
        <v>17</v>
      </c>
      <c r="I1241" t="s">
        <v>3147</v>
      </c>
    </row>
    <row r="1242" spans="1:9" x14ac:dyDescent="0.3">
      <c r="A1242" t="s">
        <v>2946</v>
      </c>
      <c r="B1242" t="s">
        <v>3199</v>
      </c>
      <c r="C1242" t="s">
        <v>1936</v>
      </c>
      <c r="D1242" t="s">
        <v>71</v>
      </c>
      <c r="E1242" t="s">
        <v>81</v>
      </c>
      <c r="F1242" t="s">
        <v>3201</v>
      </c>
      <c r="H1242" t="s">
        <v>17</v>
      </c>
      <c r="I1242" t="s">
        <v>3147</v>
      </c>
    </row>
    <row r="1243" spans="1:9" x14ac:dyDescent="0.3">
      <c r="A1243" t="s">
        <v>2946</v>
      </c>
      <c r="B1243" t="s">
        <v>3199</v>
      </c>
      <c r="C1243" t="s">
        <v>1936</v>
      </c>
      <c r="D1243" t="s">
        <v>1050</v>
      </c>
      <c r="E1243" t="s">
        <v>86</v>
      </c>
      <c r="F1243" t="s">
        <v>3202</v>
      </c>
      <c r="H1243" t="s">
        <v>17</v>
      </c>
      <c r="I1243" t="s">
        <v>3147</v>
      </c>
    </row>
    <row r="1244" spans="1:9" x14ac:dyDescent="0.3">
      <c r="A1244" t="s">
        <v>2946</v>
      </c>
      <c r="B1244" t="s">
        <v>3199</v>
      </c>
      <c r="C1244" t="s">
        <v>1936</v>
      </c>
      <c r="D1244" t="s">
        <v>1055</v>
      </c>
      <c r="E1244" t="s">
        <v>91</v>
      </c>
      <c r="F1244" t="s">
        <v>3203</v>
      </c>
      <c r="H1244" t="s">
        <v>17</v>
      </c>
      <c r="I1244" t="s">
        <v>3147</v>
      </c>
    </row>
    <row r="1245" spans="1:9" x14ac:dyDescent="0.3">
      <c r="A1245" t="s">
        <v>2946</v>
      </c>
      <c r="B1245" t="s">
        <v>3204</v>
      </c>
      <c r="C1245" t="s">
        <v>1936</v>
      </c>
      <c r="D1245" t="s">
        <v>80</v>
      </c>
      <c r="E1245" t="s">
        <v>101</v>
      </c>
      <c r="F1245" t="s">
        <v>3205</v>
      </c>
      <c r="H1245" t="s">
        <v>17</v>
      </c>
      <c r="I1245" t="s">
        <v>3206</v>
      </c>
    </row>
    <row r="1246" spans="1:9" x14ac:dyDescent="0.3">
      <c r="A1246" t="s">
        <v>2946</v>
      </c>
      <c r="B1246" t="s">
        <v>3204</v>
      </c>
      <c r="C1246" t="s">
        <v>1936</v>
      </c>
      <c r="D1246" t="s">
        <v>85</v>
      </c>
      <c r="E1246" t="s">
        <v>107</v>
      </c>
      <c r="F1246" t="s">
        <v>3207</v>
      </c>
      <c r="H1246" t="s">
        <v>17</v>
      </c>
      <c r="I1246" t="s">
        <v>3208</v>
      </c>
    </row>
    <row r="1247" spans="1:9" x14ac:dyDescent="0.3">
      <c r="A1247" t="s">
        <v>2946</v>
      </c>
      <c r="B1247" t="s">
        <v>3204</v>
      </c>
      <c r="C1247" t="s">
        <v>1936</v>
      </c>
      <c r="D1247" t="s">
        <v>90</v>
      </c>
      <c r="E1247" t="s">
        <v>112</v>
      </c>
      <c r="F1247" t="s">
        <v>3209</v>
      </c>
      <c r="H1247" t="s">
        <v>17</v>
      </c>
      <c r="I1247" t="s">
        <v>3210</v>
      </c>
    </row>
    <row r="1248" spans="1:9" x14ac:dyDescent="0.3">
      <c r="A1248" t="s">
        <v>2946</v>
      </c>
      <c r="B1248" t="s">
        <v>3204</v>
      </c>
      <c r="C1248" t="s">
        <v>1936</v>
      </c>
      <c r="D1248" t="s">
        <v>95</v>
      </c>
      <c r="E1248" t="s">
        <v>115</v>
      </c>
      <c r="F1248" t="s">
        <v>3211</v>
      </c>
      <c r="H1248" t="s">
        <v>17</v>
      </c>
      <c r="I1248" t="s">
        <v>3212</v>
      </c>
    </row>
    <row r="1249" spans="1:9" x14ac:dyDescent="0.3">
      <c r="A1249" t="s">
        <v>2946</v>
      </c>
      <c r="B1249" t="s">
        <v>3204</v>
      </c>
      <c r="C1249" t="s">
        <v>1936</v>
      </c>
      <c r="D1249" t="s">
        <v>100</v>
      </c>
      <c r="E1249" t="s">
        <v>118</v>
      </c>
      <c r="F1249" t="s">
        <v>3213</v>
      </c>
      <c r="H1249" t="s">
        <v>17</v>
      </c>
      <c r="I1249" t="s">
        <v>3214</v>
      </c>
    </row>
    <row r="1250" spans="1:9" x14ac:dyDescent="0.3">
      <c r="A1250" t="s">
        <v>2946</v>
      </c>
      <c r="B1250" t="s">
        <v>3204</v>
      </c>
      <c r="C1250" t="s">
        <v>1936</v>
      </c>
      <c r="D1250" t="s">
        <v>106</v>
      </c>
      <c r="E1250" t="s">
        <v>122</v>
      </c>
      <c r="F1250" t="s">
        <v>3215</v>
      </c>
      <c r="H1250" t="s">
        <v>17</v>
      </c>
      <c r="I1250" t="s">
        <v>3216</v>
      </c>
    </row>
    <row r="1251" spans="1:9" x14ac:dyDescent="0.3">
      <c r="A1251" t="s">
        <v>2946</v>
      </c>
      <c r="B1251" t="s">
        <v>3204</v>
      </c>
      <c r="C1251" t="s">
        <v>1936</v>
      </c>
      <c r="D1251" t="s">
        <v>111</v>
      </c>
      <c r="E1251" t="s">
        <v>127</v>
      </c>
      <c r="F1251" t="s">
        <v>3217</v>
      </c>
      <c r="H1251" t="s">
        <v>17</v>
      </c>
      <c r="I1251" t="s">
        <v>3216</v>
      </c>
    </row>
    <row r="1252" spans="1:9" x14ac:dyDescent="0.3">
      <c r="A1252" t="s">
        <v>2946</v>
      </c>
      <c r="B1252" t="s">
        <v>3204</v>
      </c>
      <c r="C1252" t="s">
        <v>1936</v>
      </c>
      <c r="D1252" t="s">
        <v>114</v>
      </c>
      <c r="E1252" t="s">
        <v>130</v>
      </c>
      <c r="F1252" t="s">
        <v>3218</v>
      </c>
      <c r="H1252" t="s">
        <v>17</v>
      </c>
      <c r="I1252" t="s">
        <v>3219</v>
      </c>
    </row>
    <row r="1253" spans="1:9" x14ac:dyDescent="0.3">
      <c r="A1253" t="s">
        <v>2946</v>
      </c>
      <c r="B1253" t="s">
        <v>3204</v>
      </c>
      <c r="C1253" t="s">
        <v>1936</v>
      </c>
      <c r="D1253" t="s">
        <v>117</v>
      </c>
      <c r="E1253" t="s">
        <v>133</v>
      </c>
      <c r="F1253" t="s">
        <v>3220</v>
      </c>
      <c r="H1253" t="s">
        <v>17</v>
      </c>
      <c r="I1253" t="s">
        <v>3221</v>
      </c>
    </row>
    <row r="1254" spans="1:9" x14ac:dyDescent="0.3">
      <c r="A1254" t="s">
        <v>2946</v>
      </c>
      <c r="B1254" t="s">
        <v>3204</v>
      </c>
      <c r="C1254" t="s">
        <v>1936</v>
      </c>
      <c r="D1254" t="s">
        <v>121</v>
      </c>
      <c r="E1254" t="s">
        <v>136</v>
      </c>
      <c r="F1254" t="s">
        <v>3222</v>
      </c>
      <c r="H1254" t="s">
        <v>17</v>
      </c>
      <c r="I1254" t="s">
        <v>3223</v>
      </c>
    </row>
    <row r="1255" spans="1:9" x14ac:dyDescent="0.3">
      <c r="A1255" t="s">
        <v>2946</v>
      </c>
      <c r="B1255" t="s">
        <v>3204</v>
      </c>
      <c r="C1255" t="s">
        <v>1936</v>
      </c>
      <c r="D1255" t="s">
        <v>126</v>
      </c>
      <c r="E1255" t="s">
        <v>139</v>
      </c>
      <c r="F1255" t="s">
        <v>3224</v>
      </c>
      <c r="H1255" t="s">
        <v>17</v>
      </c>
      <c r="I1255" t="s">
        <v>3225</v>
      </c>
    </row>
    <row r="1256" spans="1:9" x14ac:dyDescent="0.3">
      <c r="A1256" t="s">
        <v>2946</v>
      </c>
      <c r="B1256" t="s">
        <v>3226</v>
      </c>
      <c r="C1256" t="s">
        <v>1936</v>
      </c>
      <c r="D1256" t="s">
        <v>129</v>
      </c>
      <c r="E1256" t="s">
        <v>145</v>
      </c>
      <c r="F1256" t="s">
        <v>3227</v>
      </c>
      <c r="H1256" t="s">
        <v>17</v>
      </c>
      <c r="I1256" t="s">
        <v>3228</v>
      </c>
    </row>
    <row r="1257" spans="1:9" x14ac:dyDescent="0.3">
      <c r="A1257" t="s">
        <v>2946</v>
      </c>
      <c r="B1257" t="s">
        <v>3226</v>
      </c>
      <c r="C1257" t="s">
        <v>1936</v>
      </c>
      <c r="D1257" t="s">
        <v>132</v>
      </c>
      <c r="E1257" t="s">
        <v>148</v>
      </c>
      <c r="F1257" t="s">
        <v>3229</v>
      </c>
      <c r="H1257" t="s">
        <v>17</v>
      </c>
      <c r="I1257" t="s">
        <v>3228</v>
      </c>
    </row>
    <row r="1258" spans="1:9" x14ac:dyDescent="0.3">
      <c r="A1258" t="s">
        <v>2946</v>
      </c>
      <c r="B1258" t="s">
        <v>3226</v>
      </c>
      <c r="C1258" t="s">
        <v>1936</v>
      </c>
      <c r="D1258" t="s">
        <v>135</v>
      </c>
      <c r="E1258" t="s">
        <v>153</v>
      </c>
      <c r="F1258" t="s">
        <v>3230</v>
      </c>
      <c r="H1258" t="s">
        <v>17</v>
      </c>
      <c r="I1258" t="s">
        <v>3228</v>
      </c>
    </row>
    <row r="1259" spans="1:9" x14ac:dyDescent="0.3">
      <c r="A1259" t="s">
        <v>2946</v>
      </c>
      <c r="B1259" t="s">
        <v>3226</v>
      </c>
      <c r="C1259" t="s">
        <v>1936</v>
      </c>
      <c r="D1259" t="s">
        <v>138</v>
      </c>
      <c r="E1259" t="s">
        <v>158</v>
      </c>
      <c r="F1259" t="s">
        <v>3231</v>
      </c>
      <c r="H1259" t="s">
        <v>17</v>
      </c>
      <c r="I1259" t="s">
        <v>3228</v>
      </c>
    </row>
    <row r="1260" spans="1:9" x14ac:dyDescent="0.3">
      <c r="A1260" t="s">
        <v>2946</v>
      </c>
      <c r="B1260" t="s">
        <v>3226</v>
      </c>
      <c r="C1260" t="s">
        <v>1936</v>
      </c>
      <c r="D1260" t="s">
        <v>141</v>
      </c>
      <c r="E1260" t="s">
        <v>163</v>
      </c>
      <c r="F1260" t="s">
        <v>3232</v>
      </c>
      <c r="H1260" t="s">
        <v>17</v>
      </c>
      <c r="I1260" t="s">
        <v>3228</v>
      </c>
    </row>
    <row r="1261" spans="1:9" x14ac:dyDescent="0.3">
      <c r="A1261" t="s">
        <v>2946</v>
      </c>
      <c r="B1261" t="s">
        <v>3226</v>
      </c>
      <c r="C1261" t="s">
        <v>1936</v>
      </c>
      <c r="D1261" t="s">
        <v>144</v>
      </c>
      <c r="E1261" t="s">
        <v>168</v>
      </c>
      <c r="F1261" t="s">
        <v>3233</v>
      </c>
      <c r="H1261" t="s">
        <v>17</v>
      </c>
      <c r="I1261" t="s">
        <v>3228</v>
      </c>
    </row>
    <row r="1262" spans="1:9" x14ac:dyDescent="0.3">
      <c r="A1262" t="s">
        <v>2946</v>
      </c>
      <c r="B1262" t="s">
        <v>3226</v>
      </c>
      <c r="C1262" t="s">
        <v>1936</v>
      </c>
      <c r="D1262" t="s">
        <v>147</v>
      </c>
      <c r="E1262" t="s">
        <v>173</v>
      </c>
      <c r="F1262" t="s">
        <v>3234</v>
      </c>
      <c r="H1262" t="s">
        <v>17</v>
      </c>
      <c r="I1262" t="s">
        <v>3228</v>
      </c>
    </row>
    <row r="1263" spans="1:9" x14ac:dyDescent="0.3">
      <c r="A1263" t="s">
        <v>2946</v>
      </c>
      <c r="B1263" t="s">
        <v>3226</v>
      </c>
      <c r="C1263" t="s">
        <v>1936</v>
      </c>
      <c r="D1263" t="s">
        <v>152</v>
      </c>
      <c r="E1263" t="s">
        <v>178</v>
      </c>
      <c r="F1263" t="s">
        <v>3235</v>
      </c>
      <c r="H1263" t="s">
        <v>17</v>
      </c>
      <c r="I1263" t="s">
        <v>3228</v>
      </c>
    </row>
    <row r="1264" spans="1:9" x14ac:dyDescent="0.3">
      <c r="A1264" t="s">
        <v>2946</v>
      </c>
      <c r="B1264" t="s">
        <v>3236</v>
      </c>
      <c r="C1264" t="s">
        <v>1936</v>
      </c>
      <c r="D1264" t="s">
        <v>157</v>
      </c>
      <c r="E1264" t="s">
        <v>188</v>
      </c>
      <c r="F1264" t="s">
        <v>3237</v>
      </c>
      <c r="H1264" t="s">
        <v>17</v>
      </c>
      <c r="I1264" t="s">
        <v>3238</v>
      </c>
    </row>
    <row r="1265" spans="1:9" x14ac:dyDescent="0.3">
      <c r="A1265" t="s">
        <v>2946</v>
      </c>
      <c r="B1265" t="s">
        <v>3236</v>
      </c>
      <c r="C1265" t="s">
        <v>1936</v>
      </c>
      <c r="D1265" t="s">
        <v>162</v>
      </c>
      <c r="E1265" t="s">
        <v>194</v>
      </c>
      <c r="F1265" t="s">
        <v>3239</v>
      </c>
      <c r="H1265" t="s">
        <v>17</v>
      </c>
      <c r="I1265" t="s">
        <v>3240</v>
      </c>
    </row>
    <row r="1266" spans="1:9" x14ac:dyDescent="0.3">
      <c r="A1266" t="s">
        <v>2946</v>
      </c>
      <c r="B1266" t="s">
        <v>3236</v>
      </c>
      <c r="C1266" t="s">
        <v>1936</v>
      </c>
      <c r="D1266" t="s">
        <v>167</v>
      </c>
      <c r="E1266" t="s">
        <v>199</v>
      </c>
      <c r="F1266" t="s">
        <v>3241</v>
      </c>
      <c r="H1266" t="s">
        <v>17</v>
      </c>
      <c r="I1266" t="s">
        <v>3242</v>
      </c>
    </row>
    <row r="1267" spans="1:9" x14ac:dyDescent="0.3">
      <c r="A1267" t="s">
        <v>2946</v>
      </c>
      <c r="B1267" t="s">
        <v>3236</v>
      </c>
      <c r="C1267" t="s">
        <v>1936</v>
      </c>
      <c r="D1267" t="s">
        <v>172</v>
      </c>
      <c r="E1267" t="s">
        <v>203</v>
      </c>
      <c r="F1267" t="s">
        <v>3243</v>
      </c>
      <c r="H1267" t="s">
        <v>17</v>
      </c>
      <c r="I1267" t="s">
        <v>3244</v>
      </c>
    </row>
    <row r="1268" spans="1:9" x14ac:dyDescent="0.3">
      <c r="A1268" t="s">
        <v>2946</v>
      </c>
      <c r="B1268" t="s">
        <v>3236</v>
      </c>
      <c r="C1268" t="s">
        <v>1936</v>
      </c>
      <c r="D1268" t="s">
        <v>177</v>
      </c>
      <c r="E1268" t="s">
        <v>207</v>
      </c>
      <c r="F1268" t="s">
        <v>3245</v>
      </c>
      <c r="H1268" t="s">
        <v>17</v>
      </c>
      <c r="I1268" t="s">
        <v>3246</v>
      </c>
    </row>
    <row r="1269" spans="1:9" x14ac:dyDescent="0.3">
      <c r="A1269" t="s">
        <v>2946</v>
      </c>
      <c r="B1269" t="s">
        <v>3236</v>
      </c>
      <c r="C1269" t="s">
        <v>1936</v>
      </c>
      <c r="D1269" t="s">
        <v>182</v>
      </c>
      <c r="E1269" t="s">
        <v>211</v>
      </c>
      <c r="F1269" t="s">
        <v>3247</v>
      </c>
      <c r="H1269" t="s">
        <v>17</v>
      </c>
      <c r="I1269" t="s">
        <v>3246</v>
      </c>
    </row>
    <row r="1270" spans="1:9" x14ac:dyDescent="0.3">
      <c r="A1270" t="s">
        <v>2946</v>
      </c>
      <c r="B1270" t="s">
        <v>3236</v>
      </c>
      <c r="C1270" t="s">
        <v>1936</v>
      </c>
      <c r="D1270" t="s">
        <v>187</v>
      </c>
      <c r="E1270" t="s">
        <v>215</v>
      </c>
      <c r="F1270" t="s">
        <v>3248</v>
      </c>
      <c r="H1270" t="s">
        <v>17</v>
      </c>
      <c r="I1270" t="s">
        <v>3249</v>
      </c>
    </row>
    <row r="1271" spans="1:9" x14ac:dyDescent="0.3">
      <c r="A1271" t="s">
        <v>2946</v>
      </c>
      <c r="B1271" t="s">
        <v>3236</v>
      </c>
      <c r="C1271" t="s">
        <v>1936</v>
      </c>
      <c r="D1271" t="s">
        <v>1114</v>
      </c>
      <c r="E1271" t="s">
        <v>1584</v>
      </c>
      <c r="F1271" t="s">
        <v>3250</v>
      </c>
      <c r="H1271" t="s">
        <v>17</v>
      </c>
      <c r="I1271" t="s">
        <v>3251</v>
      </c>
    </row>
    <row r="1272" spans="1:9" x14ac:dyDescent="0.3">
      <c r="A1272" t="s">
        <v>2946</v>
      </c>
      <c r="B1272" t="s">
        <v>3236</v>
      </c>
      <c r="C1272" t="s">
        <v>1936</v>
      </c>
      <c r="D1272" t="s">
        <v>202</v>
      </c>
      <c r="E1272" t="s">
        <v>224</v>
      </c>
      <c r="F1272" t="s">
        <v>3252</v>
      </c>
      <c r="H1272" t="s">
        <v>17</v>
      </c>
      <c r="I1272" t="s">
        <v>3253</v>
      </c>
    </row>
    <row r="1273" spans="1:9" x14ac:dyDescent="0.3">
      <c r="A1273" t="s">
        <v>2946</v>
      </c>
      <c r="B1273" t="s">
        <v>3254</v>
      </c>
      <c r="C1273" t="s">
        <v>1936</v>
      </c>
      <c r="D1273" t="s">
        <v>206</v>
      </c>
      <c r="E1273" t="s">
        <v>234</v>
      </c>
      <c r="F1273" t="s">
        <v>3255</v>
      </c>
      <c r="H1273" t="s">
        <v>17</v>
      </c>
      <c r="I1273" t="s">
        <v>3256</v>
      </c>
    </row>
    <row r="1274" spans="1:9" x14ac:dyDescent="0.3">
      <c r="A1274" t="s">
        <v>2946</v>
      </c>
      <c r="B1274" t="s">
        <v>3254</v>
      </c>
      <c r="C1274" t="s">
        <v>1936</v>
      </c>
      <c r="D1274" t="s">
        <v>210</v>
      </c>
      <c r="E1274" t="s">
        <v>237</v>
      </c>
      <c r="F1274" t="s">
        <v>3257</v>
      </c>
      <c r="H1274" t="s">
        <v>17</v>
      </c>
      <c r="I1274" t="s">
        <v>3256</v>
      </c>
    </row>
    <row r="1275" spans="1:9" x14ac:dyDescent="0.3">
      <c r="A1275" t="s">
        <v>2946</v>
      </c>
      <c r="B1275" t="s">
        <v>3254</v>
      </c>
      <c r="C1275" t="s">
        <v>1936</v>
      </c>
      <c r="D1275" t="s">
        <v>214</v>
      </c>
      <c r="E1275" t="s">
        <v>240</v>
      </c>
      <c r="F1275" t="s">
        <v>3258</v>
      </c>
      <c r="H1275" t="s">
        <v>17</v>
      </c>
      <c r="I1275" t="s">
        <v>3256</v>
      </c>
    </row>
    <row r="1276" spans="1:9" x14ac:dyDescent="0.3">
      <c r="A1276" t="s">
        <v>2946</v>
      </c>
      <c r="B1276" t="s">
        <v>3254</v>
      </c>
      <c r="C1276" t="s">
        <v>1936</v>
      </c>
      <c r="D1276" t="s">
        <v>218</v>
      </c>
      <c r="E1276" t="s">
        <v>246</v>
      </c>
      <c r="F1276" t="s">
        <v>3259</v>
      </c>
      <c r="H1276" t="s">
        <v>17</v>
      </c>
      <c r="I1276" t="s">
        <v>3260</v>
      </c>
    </row>
    <row r="1277" spans="1:9" x14ac:dyDescent="0.3">
      <c r="A1277" t="s">
        <v>2946</v>
      </c>
      <c r="B1277" t="s">
        <v>3254</v>
      </c>
      <c r="C1277" t="s">
        <v>1936</v>
      </c>
      <c r="D1277" t="s">
        <v>223</v>
      </c>
      <c r="E1277" t="s">
        <v>251</v>
      </c>
      <c r="F1277" t="s">
        <v>3261</v>
      </c>
      <c r="H1277" t="s">
        <v>17</v>
      </c>
      <c r="I1277" t="s">
        <v>3262</v>
      </c>
    </row>
    <row r="1278" spans="1:9" x14ac:dyDescent="0.3">
      <c r="A1278" t="s">
        <v>2946</v>
      </c>
      <c r="B1278" t="s">
        <v>3254</v>
      </c>
      <c r="C1278" t="s">
        <v>1936</v>
      </c>
      <c r="D1278" t="s">
        <v>228</v>
      </c>
      <c r="E1278" t="s">
        <v>254</v>
      </c>
      <c r="F1278" t="s">
        <v>3263</v>
      </c>
      <c r="H1278" t="s">
        <v>17</v>
      </c>
      <c r="I1278" t="s">
        <v>3264</v>
      </c>
    </row>
    <row r="1279" spans="1:9" x14ac:dyDescent="0.3">
      <c r="A1279" t="s">
        <v>2946</v>
      </c>
      <c r="B1279" t="s">
        <v>3254</v>
      </c>
      <c r="C1279" t="s">
        <v>1936</v>
      </c>
      <c r="D1279" t="s">
        <v>2925</v>
      </c>
      <c r="E1279" t="s">
        <v>257</v>
      </c>
      <c r="F1279" t="s">
        <v>3265</v>
      </c>
      <c r="H1279" t="s">
        <v>17</v>
      </c>
      <c r="I1279" t="s">
        <v>3266</v>
      </c>
    </row>
    <row r="1280" spans="1:9" x14ac:dyDescent="0.3">
      <c r="A1280" t="s">
        <v>2946</v>
      </c>
      <c r="B1280" t="s">
        <v>3254</v>
      </c>
      <c r="C1280" t="s">
        <v>1936</v>
      </c>
      <c r="D1280" t="s">
        <v>3267</v>
      </c>
      <c r="E1280" t="s">
        <v>260</v>
      </c>
      <c r="F1280" t="s">
        <v>3268</v>
      </c>
      <c r="H1280" t="s">
        <v>17</v>
      </c>
      <c r="I1280" t="s">
        <v>3269</v>
      </c>
    </row>
    <row r="1281" spans="1:9" x14ac:dyDescent="0.3">
      <c r="A1281" t="s">
        <v>2946</v>
      </c>
      <c r="B1281" t="s">
        <v>3254</v>
      </c>
      <c r="C1281" t="s">
        <v>1936</v>
      </c>
      <c r="D1281" t="s">
        <v>3270</v>
      </c>
      <c r="E1281" t="s">
        <v>263</v>
      </c>
      <c r="F1281" t="s">
        <v>3271</v>
      </c>
      <c r="H1281" t="s">
        <v>17</v>
      </c>
      <c r="I1281" t="s">
        <v>3272</v>
      </c>
    </row>
    <row r="1282" spans="1:9" x14ac:dyDescent="0.3">
      <c r="A1282" t="s">
        <v>2946</v>
      </c>
      <c r="B1282" t="s">
        <v>3254</v>
      </c>
      <c r="C1282" t="s">
        <v>1936</v>
      </c>
      <c r="D1282" t="s">
        <v>1590</v>
      </c>
      <c r="E1282" t="s">
        <v>266</v>
      </c>
      <c r="F1282" t="s">
        <v>3273</v>
      </c>
      <c r="H1282" t="s">
        <v>17</v>
      </c>
      <c r="I1282" t="s">
        <v>3274</v>
      </c>
    </row>
    <row r="1283" spans="1:9" x14ac:dyDescent="0.3">
      <c r="A1283" t="s">
        <v>2946</v>
      </c>
      <c r="B1283" t="s">
        <v>3254</v>
      </c>
      <c r="C1283" t="s">
        <v>1936</v>
      </c>
      <c r="D1283" t="s">
        <v>1593</v>
      </c>
      <c r="E1283" t="s">
        <v>269</v>
      </c>
      <c r="F1283" t="s">
        <v>3275</v>
      </c>
      <c r="H1283" t="s">
        <v>17</v>
      </c>
    </row>
    <row r="1284" spans="1:9" x14ac:dyDescent="0.3">
      <c r="A1284" t="s">
        <v>2946</v>
      </c>
      <c r="B1284" t="s">
        <v>3254</v>
      </c>
      <c r="C1284" t="s">
        <v>1936</v>
      </c>
      <c r="D1284" t="s">
        <v>1597</v>
      </c>
      <c r="E1284" t="s">
        <v>1610</v>
      </c>
      <c r="F1284" t="s">
        <v>3276</v>
      </c>
      <c r="H1284" t="s">
        <v>17</v>
      </c>
    </row>
    <row r="1285" spans="1:9" x14ac:dyDescent="0.3">
      <c r="A1285" t="s">
        <v>2946</v>
      </c>
      <c r="B1285" t="s">
        <v>3254</v>
      </c>
      <c r="C1285" t="s">
        <v>1936</v>
      </c>
      <c r="D1285" t="s">
        <v>2937</v>
      </c>
      <c r="E1285" t="s">
        <v>274</v>
      </c>
      <c r="F1285" t="s">
        <v>3277</v>
      </c>
      <c r="H1285" t="s">
        <v>17</v>
      </c>
    </row>
    <row r="1286" spans="1:9" x14ac:dyDescent="0.3">
      <c r="A1286" t="s">
        <v>2946</v>
      </c>
      <c r="B1286" t="s">
        <v>3254</v>
      </c>
      <c r="C1286" t="s">
        <v>1936</v>
      </c>
      <c r="D1286" t="s">
        <v>1172</v>
      </c>
      <c r="E1286" t="s">
        <v>277</v>
      </c>
      <c r="F1286" t="s">
        <v>2926</v>
      </c>
      <c r="H1286" t="s">
        <v>17</v>
      </c>
      <c r="I1286" t="s">
        <v>3278</v>
      </c>
    </row>
    <row r="1287" spans="1:9" x14ac:dyDescent="0.3">
      <c r="A1287" t="s">
        <v>2946</v>
      </c>
      <c r="B1287" t="s">
        <v>3254</v>
      </c>
      <c r="C1287" t="s">
        <v>1936</v>
      </c>
      <c r="D1287" t="s">
        <v>1176</v>
      </c>
      <c r="E1287" t="s">
        <v>280</v>
      </c>
      <c r="F1287" t="s">
        <v>3279</v>
      </c>
      <c r="H1287" t="s">
        <v>17</v>
      </c>
    </row>
    <row r="1288" spans="1:9" x14ac:dyDescent="0.3">
      <c r="A1288" t="s">
        <v>2946</v>
      </c>
      <c r="B1288" t="s">
        <v>3254</v>
      </c>
      <c r="C1288" t="s">
        <v>1936</v>
      </c>
      <c r="D1288" t="s">
        <v>1179</v>
      </c>
      <c r="E1288" t="s">
        <v>283</v>
      </c>
      <c r="F1288" t="s">
        <v>3280</v>
      </c>
      <c r="H1288" t="s">
        <v>17</v>
      </c>
      <c r="I1288" t="s">
        <v>3281</v>
      </c>
    </row>
    <row r="1289" spans="1:9" x14ac:dyDescent="0.3">
      <c r="A1289" t="s">
        <v>2946</v>
      </c>
      <c r="B1289" t="s">
        <v>3254</v>
      </c>
      <c r="C1289" t="s">
        <v>1936</v>
      </c>
      <c r="D1289" t="s">
        <v>1184</v>
      </c>
      <c r="E1289" t="s">
        <v>286</v>
      </c>
      <c r="F1289" t="s">
        <v>3282</v>
      </c>
      <c r="H1289" t="s">
        <v>17</v>
      </c>
      <c r="I1289" t="s">
        <v>3283</v>
      </c>
    </row>
    <row r="1290" spans="1:9" x14ac:dyDescent="0.3">
      <c r="A1290" t="s">
        <v>2946</v>
      </c>
      <c r="B1290" t="s">
        <v>3254</v>
      </c>
      <c r="C1290" t="s">
        <v>1936</v>
      </c>
      <c r="D1290" t="s">
        <v>1189</v>
      </c>
      <c r="E1290" t="s">
        <v>289</v>
      </c>
      <c r="F1290" t="s">
        <v>3284</v>
      </c>
      <c r="H1290" t="s">
        <v>17</v>
      </c>
      <c r="I1290" t="s">
        <v>3285</v>
      </c>
    </row>
    <row r="1291" spans="1:9" x14ac:dyDescent="0.3">
      <c r="A1291" t="s">
        <v>2946</v>
      </c>
      <c r="B1291" t="s">
        <v>3254</v>
      </c>
      <c r="C1291" t="s">
        <v>1936</v>
      </c>
      <c r="D1291" t="s">
        <v>1193</v>
      </c>
      <c r="E1291" t="s">
        <v>292</v>
      </c>
      <c r="F1291" t="s">
        <v>3286</v>
      </c>
      <c r="H1291" t="s">
        <v>17</v>
      </c>
      <c r="I1291" t="s">
        <v>3287</v>
      </c>
    </row>
    <row r="1292" spans="1:9" x14ac:dyDescent="0.3">
      <c r="A1292" t="s">
        <v>2946</v>
      </c>
      <c r="B1292" t="s">
        <v>3254</v>
      </c>
      <c r="C1292" t="s">
        <v>1936</v>
      </c>
      <c r="D1292" t="s">
        <v>1197</v>
      </c>
      <c r="E1292" t="s">
        <v>295</v>
      </c>
      <c r="F1292" t="s">
        <v>3288</v>
      </c>
      <c r="H1292" t="s">
        <v>17</v>
      </c>
      <c r="I1292" t="s">
        <v>3289</v>
      </c>
    </row>
    <row r="1293" spans="1:9" x14ac:dyDescent="0.3">
      <c r="A1293" t="s">
        <v>2946</v>
      </c>
      <c r="B1293" t="s">
        <v>3254</v>
      </c>
      <c r="C1293" t="s">
        <v>1936</v>
      </c>
      <c r="D1293" t="s">
        <v>1201</v>
      </c>
      <c r="E1293" t="s">
        <v>298</v>
      </c>
      <c r="F1293" t="s">
        <v>3290</v>
      </c>
      <c r="H1293" t="s">
        <v>17</v>
      </c>
      <c r="I1293" t="s">
        <v>3291</v>
      </c>
    </row>
    <row r="1294" spans="1:9" x14ac:dyDescent="0.3">
      <c r="A1294" t="s">
        <v>2946</v>
      </c>
      <c r="B1294" t="s">
        <v>3254</v>
      </c>
      <c r="C1294" t="s">
        <v>1936</v>
      </c>
      <c r="D1294" t="s">
        <v>1205</v>
      </c>
      <c r="E1294" t="s">
        <v>301</v>
      </c>
      <c r="F1294" t="s">
        <v>3292</v>
      </c>
      <c r="H1294" t="s">
        <v>17</v>
      </c>
      <c r="I1294" t="s">
        <v>3293</v>
      </c>
    </row>
    <row r="1295" spans="1:9" x14ac:dyDescent="0.3">
      <c r="A1295" t="s">
        <v>2946</v>
      </c>
      <c r="B1295" t="s">
        <v>3254</v>
      </c>
      <c r="C1295" t="s">
        <v>1936</v>
      </c>
      <c r="D1295" t="s">
        <v>1209</v>
      </c>
      <c r="E1295" t="s">
        <v>304</v>
      </c>
      <c r="F1295" t="s">
        <v>3294</v>
      </c>
      <c r="H1295" t="s">
        <v>17</v>
      </c>
      <c r="I1295" t="s">
        <v>3295</v>
      </c>
    </row>
    <row r="1296" spans="1:9" x14ac:dyDescent="0.3">
      <c r="A1296" t="s">
        <v>2946</v>
      </c>
      <c r="B1296" t="s">
        <v>3254</v>
      </c>
      <c r="C1296" t="s">
        <v>1936</v>
      </c>
      <c r="D1296" t="s">
        <v>1213</v>
      </c>
      <c r="E1296" t="s">
        <v>309</v>
      </c>
      <c r="F1296" t="s">
        <v>3296</v>
      </c>
      <c r="H1296" t="s">
        <v>17</v>
      </c>
      <c r="I1296" t="s">
        <v>3297</v>
      </c>
    </row>
    <row r="1297" spans="1:9" x14ac:dyDescent="0.3">
      <c r="A1297" t="s">
        <v>2946</v>
      </c>
      <c r="B1297" t="s">
        <v>3254</v>
      </c>
      <c r="C1297" t="s">
        <v>1936</v>
      </c>
      <c r="D1297" t="s">
        <v>1219</v>
      </c>
      <c r="E1297" t="s">
        <v>313</v>
      </c>
      <c r="F1297" t="s">
        <v>3298</v>
      </c>
      <c r="H1297" t="s">
        <v>17</v>
      </c>
      <c r="I1297" t="s">
        <v>3299</v>
      </c>
    </row>
    <row r="1298" spans="1:9" x14ac:dyDescent="0.3">
      <c r="A1298" t="s">
        <v>2946</v>
      </c>
      <c r="B1298" t="s">
        <v>3254</v>
      </c>
      <c r="C1298" t="s">
        <v>1936</v>
      </c>
      <c r="D1298" t="s">
        <v>1224</v>
      </c>
      <c r="E1298" t="s">
        <v>317</v>
      </c>
      <c r="F1298" t="s">
        <v>3300</v>
      </c>
      <c r="H1298" t="s">
        <v>17</v>
      </c>
      <c r="I1298" t="s">
        <v>3301</v>
      </c>
    </row>
    <row r="1299" spans="1:9" x14ac:dyDescent="0.3">
      <c r="A1299" t="s">
        <v>2946</v>
      </c>
      <c r="B1299" t="s">
        <v>3254</v>
      </c>
      <c r="C1299" t="s">
        <v>1936</v>
      </c>
      <c r="D1299" t="s">
        <v>1228</v>
      </c>
      <c r="E1299" t="s">
        <v>320</v>
      </c>
      <c r="F1299" t="s">
        <v>3302</v>
      </c>
      <c r="H1299" t="s">
        <v>17</v>
      </c>
      <c r="I1299" t="s">
        <v>3303</v>
      </c>
    </row>
    <row r="1300" spans="1:9" x14ac:dyDescent="0.3">
      <c r="A1300" t="s">
        <v>2946</v>
      </c>
      <c r="B1300" t="s">
        <v>3254</v>
      </c>
      <c r="C1300" t="s">
        <v>1936</v>
      </c>
      <c r="D1300" t="s">
        <v>1232</v>
      </c>
      <c r="E1300" t="s">
        <v>324</v>
      </c>
      <c r="F1300" t="s">
        <v>3304</v>
      </c>
      <c r="H1300" t="s">
        <v>17</v>
      </c>
      <c r="I1300" t="s">
        <v>3305</v>
      </c>
    </row>
    <row r="1301" spans="1:9" x14ac:dyDescent="0.3">
      <c r="A1301" t="s">
        <v>2946</v>
      </c>
      <c r="B1301" t="s">
        <v>3254</v>
      </c>
      <c r="C1301" t="s">
        <v>1936</v>
      </c>
      <c r="D1301" t="s">
        <v>1236</v>
      </c>
      <c r="E1301" t="s">
        <v>328</v>
      </c>
      <c r="F1301" t="s">
        <v>3306</v>
      </c>
      <c r="H1301" t="s">
        <v>17</v>
      </c>
      <c r="I1301" t="s">
        <v>414</v>
      </c>
    </row>
    <row r="1302" spans="1:9" x14ac:dyDescent="0.3">
      <c r="A1302" t="s">
        <v>2946</v>
      </c>
      <c r="B1302" t="s">
        <v>3254</v>
      </c>
      <c r="C1302" t="s">
        <v>1936</v>
      </c>
      <c r="D1302" t="s">
        <v>3307</v>
      </c>
      <c r="E1302" t="s">
        <v>333</v>
      </c>
      <c r="F1302" t="s">
        <v>3308</v>
      </c>
      <c r="H1302" t="s">
        <v>17</v>
      </c>
    </row>
    <row r="1303" spans="1:9" x14ac:dyDescent="0.3">
      <c r="A1303" t="s">
        <v>2946</v>
      </c>
      <c r="B1303" t="s">
        <v>3254</v>
      </c>
      <c r="C1303" t="s">
        <v>1936</v>
      </c>
      <c r="D1303" t="s">
        <v>1248</v>
      </c>
      <c r="E1303" t="s">
        <v>336</v>
      </c>
      <c r="F1303" t="s">
        <v>3309</v>
      </c>
      <c r="H1303" t="s">
        <v>17</v>
      </c>
      <c r="I1303" t="s">
        <v>3310</v>
      </c>
    </row>
    <row r="1304" spans="1:9" x14ac:dyDescent="0.3">
      <c r="A1304" t="s">
        <v>2946</v>
      </c>
      <c r="B1304" t="s">
        <v>3254</v>
      </c>
      <c r="C1304" t="s">
        <v>1936</v>
      </c>
      <c r="D1304" t="s">
        <v>1252</v>
      </c>
      <c r="E1304" t="s">
        <v>339</v>
      </c>
      <c r="F1304" t="s">
        <v>3311</v>
      </c>
      <c r="H1304" t="s">
        <v>17</v>
      </c>
      <c r="I1304" t="s">
        <v>3312</v>
      </c>
    </row>
    <row r="1305" spans="1:9" x14ac:dyDescent="0.3">
      <c r="A1305" t="s">
        <v>2946</v>
      </c>
      <c r="B1305" t="s">
        <v>3254</v>
      </c>
      <c r="C1305" t="s">
        <v>1936</v>
      </c>
      <c r="D1305" t="s">
        <v>1256</v>
      </c>
      <c r="E1305" t="s">
        <v>342</v>
      </c>
      <c r="F1305" t="s">
        <v>3313</v>
      </c>
      <c r="H1305" t="s">
        <v>17</v>
      </c>
      <c r="I1305" t="s">
        <v>3314</v>
      </c>
    </row>
    <row r="1306" spans="1:9" x14ac:dyDescent="0.3">
      <c r="A1306" t="s">
        <v>2946</v>
      </c>
      <c r="B1306" t="s">
        <v>3254</v>
      </c>
      <c r="C1306" t="s">
        <v>1936</v>
      </c>
      <c r="D1306" t="s">
        <v>1261</v>
      </c>
      <c r="E1306" t="s">
        <v>345</v>
      </c>
      <c r="F1306" t="s">
        <v>3315</v>
      </c>
      <c r="H1306" t="s">
        <v>17</v>
      </c>
      <c r="I1306" t="s">
        <v>3316</v>
      </c>
    </row>
    <row r="1307" spans="1:9" x14ac:dyDescent="0.3">
      <c r="A1307" t="s">
        <v>2946</v>
      </c>
      <c r="B1307" t="s">
        <v>3254</v>
      </c>
      <c r="C1307" t="s">
        <v>1936</v>
      </c>
      <c r="D1307" t="s">
        <v>1265</v>
      </c>
      <c r="E1307" t="s">
        <v>348</v>
      </c>
      <c r="F1307" t="s">
        <v>3317</v>
      </c>
      <c r="H1307" t="s">
        <v>17</v>
      </c>
    </row>
    <row r="1308" spans="1:9" x14ac:dyDescent="0.3">
      <c r="A1308" t="s">
        <v>2946</v>
      </c>
      <c r="B1308" t="s">
        <v>3254</v>
      </c>
      <c r="C1308" t="s">
        <v>1936</v>
      </c>
      <c r="D1308" t="s">
        <v>1270</v>
      </c>
      <c r="E1308" t="s">
        <v>354</v>
      </c>
      <c r="F1308" t="s">
        <v>3318</v>
      </c>
      <c r="H1308" t="s">
        <v>17</v>
      </c>
      <c r="I1308" t="s">
        <v>3319</v>
      </c>
    </row>
    <row r="1309" spans="1:9" x14ac:dyDescent="0.3">
      <c r="A1309" t="s">
        <v>2946</v>
      </c>
      <c r="B1309" t="s">
        <v>3254</v>
      </c>
      <c r="C1309" t="s">
        <v>1936</v>
      </c>
      <c r="D1309" t="s">
        <v>1276</v>
      </c>
      <c r="E1309" t="s">
        <v>359</v>
      </c>
      <c r="F1309" t="s">
        <v>3320</v>
      </c>
      <c r="H1309" t="s">
        <v>17</v>
      </c>
      <c r="I1309" t="s">
        <v>3321</v>
      </c>
    </row>
    <row r="1310" spans="1:9" x14ac:dyDescent="0.3">
      <c r="A1310" t="s">
        <v>2946</v>
      </c>
      <c r="B1310" t="s">
        <v>3254</v>
      </c>
      <c r="C1310" t="s">
        <v>1936</v>
      </c>
      <c r="D1310" t="s">
        <v>303</v>
      </c>
      <c r="E1310" t="s">
        <v>362</v>
      </c>
      <c r="F1310" t="s">
        <v>3322</v>
      </c>
      <c r="H1310" t="s">
        <v>17</v>
      </c>
      <c r="I1310" t="s">
        <v>3323</v>
      </c>
    </row>
    <row r="1311" spans="1:9" x14ac:dyDescent="0.3">
      <c r="A1311" t="s">
        <v>2946</v>
      </c>
      <c r="B1311" t="s">
        <v>3254</v>
      </c>
      <c r="C1311" t="s">
        <v>1936</v>
      </c>
      <c r="D1311" t="s">
        <v>308</v>
      </c>
      <c r="E1311" t="s">
        <v>365</v>
      </c>
      <c r="F1311" t="s">
        <v>3324</v>
      </c>
      <c r="H1311" t="s">
        <v>17</v>
      </c>
      <c r="I1311" t="s">
        <v>414</v>
      </c>
    </row>
    <row r="1312" spans="1:9" x14ac:dyDescent="0.3">
      <c r="A1312" t="s">
        <v>2946</v>
      </c>
      <c r="B1312" t="s">
        <v>3254</v>
      </c>
      <c r="C1312" t="s">
        <v>1936</v>
      </c>
      <c r="D1312" t="s">
        <v>3325</v>
      </c>
      <c r="E1312" t="s">
        <v>368</v>
      </c>
      <c r="F1312" t="s">
        <v>747</v>
      </c>
      <c r="H1312" t="s">
        <v>17</v>
      </c>
    </row>
    <row r="1313" spans="1:9" x14ac:dyDescent="0.3">
      <c r="A1313" t="s">
        <v>2946</v>
      </c>
      <c r="B1313" t="s">
        <v>3254</v>
      </c>
      <c r="C1313" t="s">
        <v>1936</v>
      </c>
      <c r="D1313" t="s">
        <v>319</v>
      </c>
      <c r="E1313" t="s">
        <v>371</v>
      </c>
      <c r="F1313" t="s">
        <v>3326</v>
      </c>
      <c r="H1313" t="s">
        <v>17</v>
      </c>
      <c r="I1313" t="s">
        <v>3327</v>
      </c>
    </row>
    <row r="1314" spans="1:9" x14ac:dyDescent="0.3">
      <c r="A1314" t="s">
        <v>2946</v>
      </c>
      <c r="B1314" t="s">
        <v>3254</v>
      </c>
      <c r="C1314" t="s">
        <v>1936</v>
      </c>
      <c r="D1314" t="s">
        <v>3328</v>
      </c>
      <c r="E1314" t="s">
        <v>374</v>
      </c>
      <c r="F1314" t="s">
        <v>3329</v>
      </c>
      <c r="H1314" t="s">
        <v>17</v>
      </c>
      <c r="I1314" t="s">
        <v>3330</v>
      </c>
    </row>
    <row r="1315" spans="1:9" x14ac:dyDescent="0.3">
      <c r="A1315" t="s">
        <v>2946</v>
      </c>
      <c r="B1315" t="s">
        <v>3254</v>
      </c>
      <c r="C1315" t="s">
        <v>1936</v>
      </c>
      <c r="D1315" t="s">
        <v>1652</v>
      </c>
      <c r="E1315" t="s">
        <v>2812</v>
      </c>
      <c r="F1315" t="s">
        <v>3331</v>
      </c>
      <c r="H1315" t="s">
        <v>17</v>
      </c>
    </row>
    <row r="1316" spans="1:9" x14ac:dyDescent="0.3">
      <c r="A1316" t="s">
        <v>2946</v>
      </c>
      <c r="B1316" t="s">
        <v>3254</v>
      </c>
      <c r="C1316" t="s">
        <v>1936</v>
      </c>
      <c r="D1316" t="s">
        <v>3332</v>
      </c>
      <c r="E1316" t="s">
        <v>2813</v>
      </c>
      <c r="F1316" t="s">
        <v>797</v>
      </c>
      <c r="H1316" t="s">
        <v>17</v>
      </c>
    </row>
    <row r="1317" spans="1:9" x14ac:dyDescent="0.3">
      <c r="A1317" t="s">
        <v>2946</v>
      </c>
      <c r="B1317" t="s">
        <v>3254</v>
      </c>
      <c r="C1317" t="s">
        <v>1936</v>
      </c>
      <c r="D1317" t="s">
        <v>344</v>
      </c>
      <c r="E1317" t="s">
        <v>3333</v>
      </c>
      <c r="F1317" t="s">
        <v>3334</v>
      </c>
      <c r="H1317" t="s">
        <v>17</v>
      </c>
      <c r="I1317" t="s">
        <v>3335</v>
      </c>
    </row>
    <row r="1318" spans="1:9" x14ac:dyDescent="0.3">
      <c r="A1318" t="s">
        <v>2946</v>
      </c>
      <c r="B1318" t="s">
        <v>3336</v>
      </c>
      <c r="C1318" t="s">
        <v>1936</v>
      </c>
      <c r="D1318" t="s">
        <v>347</v>
      </c>
      <c r="E1318" t="s">
        <v>2818</v>
      </c>
      <c r="F1318" t="s">
        <v>3337</v>
      </c>
      <c r="H1318" t="s">
        <v>17</v>
      </c>
      <c r="I1318" t="s">
        <v>3338</v>
      </c>
    </row>
    <row r="1319" spans="1:9" x14ac:dyDescent="0.3">
      <c r="A1319" t="s">
        <v>2946</v>
      </c>
      <c r="B1319" t="s">
        <v>3336</v>
      </c>
      <c r="C1319" t="s">
        <v>1936</v>
      </c>
      <c r="D1319" t="s">
        <v>353</v>
      </c>
      <c r="E1319" t="s">
        <v>2820</v>
      </c>
      <c r="F1319" t="s">
        <v>3339</v>
      </c>
      <c r="H1319" t="s">
        <v>17</v>
      </c>
      <c r="I1319" t="s">
        <v>3338</v>
      </c>
    </row>
    <row r="1320" spans="1:9" x14ac:dyDescent="0.3">
      <c r="A1320" t="s">
        <v>2946</v>
      </c>
      <c r="B1320" t="s">
        <v>3336</v>
      </c>
      <c r="C1320" t="s">
        <v>1936</v>
      </c>
      <c r="D1320" t="s">
        <v>358</v>
      </c>
      <c r="E1320" t="s">
        <v>2822</v>
      </c>
      <c r="F1320" t="s">
        <v>3340</v>
      </c>
      <c r="H1320" t="s">
        <v>17</v>
      </c>
      <c r="I1320" t="s">
        <v>3338</v>
      </c>
    </row>
    <row r="1321" spans="1:9" x14ac:dyDescent="0.3">
      <c r="A1321" t="s">
        <v>2946</v>
      </c>
      <c r="B1321" t="s">
        <v>3336</v>
      </c>
      <c r="C1321" t="s">
        <v>1936</v>
      </c>
      <c r="D1321" t="s">
        <v>361</v>
      </c>
      <c r="E1321" t="s">
        <v>2824</v>
      </c>
      <c r="F1321" t="s">
        <v>3341</v>
      </c>
      <c r="H1321" t="s">
        <v>17</v>
      </c>
      <c r="I1321" t="s">
        <v>3342</v>
      </c>
    </row>
    <row r="1322" spans="1:9" x14ac:dyDescent="0.3">
      <c r="A1322" t="s">
        <v>2946</v>
      </c>
      <c r="B1322" t="s">
        <v>3336</v>
      </c>
      <c r="C1322" t="s">
        <v>1936</v>
      </c>
      <c r="D1322" t="s">
        <v>364</v>
      </c>
      <c r="E1322" t="s">
        <v>2826</v>
      </c>
      <c r="F1322" t="s">
        <v>3343</v>
      </c>
      <c r="H1322" t="s">
        <v>17</v>
      </c>
    </row>
    <row r="1323" spans="1:9" x14ac:dyDescent="0.3">
      <c r="A1323" t="s">
        <v>2946</v>
      </c>
      <c r="B1323" t="s">
        <v>3336</v>
      </c>
      <c r="C1323" t="s">
        <v>1936</v>
      </c>
      <c r="D1323" t="s">
        <v>1669</v>
      </c>
      <c r="E1323" t="s">
        <v>2828</v>
      </c>
      <c r="F1323" t="s">
        <v>3344</v>
      </c>
      <c r="H1323" t="s">
        <v>17</v>
      </c>
    </row>
    <row r="1324" spans="1:9" x14ac:dyDescent="0.3">
      <c r="A1324" t="s">
        <v>2946</v>
      </c>
      <c r="B1324" t="s">
        <v>3336</v>
      </c>
      <c r="C1324" t="s">
        <v>1936</v>
      </c>
      <c r="D1324" t="s">
        <v>373</v>
      </c>
      <c r="E1324" t="s">
        <v>2830</v>
      </c>
      <c r="F1324" t="s">
        <v>3345</v>
      </c>
      <c r="H1324" t="s">
        <v>17</v>
      </c>
      <c r="I1324" t="s">
        <v>3346</v>
      </c>
    </row>
    <row r="1325" spans="1:9" x14ac:dyDescent="0.3">
      <c r="A1325" t="s">
        <v>2946</v>
      </c>
      <c r="B1325" t="s">
        <v>3336</v>
      </c>
      <c r="C1325" t="s">
        <v>1936</v>
      </c>
      <c r="D1325" t="s">
        <v>376</v>
      </c>
      <c r="E1325" t="s">
        <v>2832</v>
      </c>
      <c r="F1325" t="s">
        <v>3347</v>
      </c>
      <c r="H1325" t="s">
        <v>17</v>
      </c>
      <c r="I1325" t="s">
        <v>414</v>
      </c>
    </row>
    <row r="1326" spans="1:9" x14ac:dyDescent="0.3">
      <c r="A1326" t="s">
        <v>2946</v>
      </c>
      <c r="B1326" t="s">
        <v>3336</v>
      </c>
      <c r="C1326" t="s">
        <v>1936</v>
      </c>
      <c r="D1326" t="s">
        <v>1675</v>
      </c>
      <c r="E1326" t="s">
        <v>2834</v>
      </c>
      <c r="F1326" t="s">
        <v>2196</v>
      </c>
      <c r="H1326" t="s">
        <v>17</v>
      </c>
      <c r="I1326" t="s">
        <v>3348</v>
      </c>
    </row>
    <row r="1327" spans="1:9" x14ac:dyDescent="0.3">
      <c r="A1327" t="s">
        <v>2946</v>
      </c>
      <c r="B1327" t="s">
        <v>3336</v>
      </c>
      <c r="C1327" t="s">
        <v>1936</v>
      </c>
      <c r="D1327" t="s">
        <v>1678</v>
      </c>
      <c r="E1327" t="s">
        <v>3349</v>
      </c>
      <c r="F1327" t="s">
        <v>3350</v>
      </c>
      <c r="H1327" t="s">
        <v>17</v>
      </c>
      <c r="I1327" t="s">
        <v>3351</v>
      </c>
    </row>
    <row r="1328" spans="1:9" x14ac:dyDescent="0.3">
      <c r="A1328" t="s">
        <v>2946</v>
      </c>
      <c r="B1328" t="s">
        <v>3336</v>
      </c>
      <c r="C1328" t="s">
        <v>1936</v>
      </c>
      <c r="D1328" t="s">
        <v>1681</v>
      </c>
      <c r="E1328" t="s">
        <v>2837</v>
      </c>
      <c r="F1328" t="s">
        <v>3352</v>
      </c>
      <c r="H1328" t="s">
        <v>17</v>
      </c>
      <c r="I1328" t="s">
        <v>2768</v>
      </c>
    </row>
    <row r="1329" spans="1:9" x14ac:dyDescent="0.3">
      <c r="A1329" t="s">
        <v>2946</v>
      </c>
      <c r="B1329" t="s">
        <v>3336</v>
      </c>
      <c r="C1329" t="s">
        <v>1936</v>
      </c>
      <c r="D1329" t="s">
        <v>1683</v>
      </c>
      <c r="E1329" t="s">
        <v>2840</v>
      </c>
      <c r="F1329" t="s">
        <v>3353</v>
      </c>
      <c r="H1329" t="s">
        <v>17</v>
      </c>
      <c r="I1329" t="s">
        <v>2768</v>
      </c>
    </row>
    <row r="1330" spans="1:9" x14ac:dyDescent="0.3">
      <c r="A1330" t="s">
        <v>2946</v>
      </c>
      <c r="B1330" t="s">
        <v>3336</v>
      </c>
      <c r="C1330" t="s">
        <v>1936</v>
      </c>
      <c r="D1330" t="s">
        <v>1685</v>
      </c>
      <c r="E1330" t="s">
        <v>2842</v>
      </c>
      <c r="F1330" t="s">
        <v>3354</v>
      </c>
      <c r="H1330" t="s">
        <v>17</v>
      </c>
      <c r="I1330" t="s">
        <v>414</v>
      </c>
    </row>
    <row r="1331" spans="1:9" x14ac:dyDescent="0.3">
      <c r="A1331" t="s">
        <v>2946</v>
      </c>
      <c r="B1331" t="s">
        <v>3336</v>
      </c>
      <c r="C1331" t="s">
        <v>1936</v>
      </c>
      <c r="D1331" t="s">
        <v>2859</v>
      </c>
      <c r="E1331" t="s">
        <v>2843</v>
      </c>
      <c r="F1331" t="s">
        <v>3355</v>
      </c>
      <c r="H1331" t="s">
        <v>17</v>
      </c>
      <c r="I1331" t="s">
        <v>414</v>
      </c>
    </row>
    <row r="1332" spans="1:9" x14ac:dyDescent="0.3">
      <c r="A1332" t="s">
        <v>2946</v>
      </c>
      <c r="B1332" t="s">
        <v>3336</v>
      </c>
      <c r="C1332" t="s">
        <v>1936</v>
      </c>
      <c r="D1332" t="s">
        <v>2413</v>
      </c>
      <c r="E1332" t="s">
        <v>2844</v>
      </c>
      <c r="F1332" t="s">
        <v>3356</v>
      </c>
      <c r="H1332" t="s">
        <v>17</v>
      </c>
      <c r="I1332" t="s">
        <v>414</v>
      </c>
    </row>
    <row r="1333" spans="1:9" x14ac:dyDescent="0.3">
      <c r="A1333" t="s">
        <v>2946</v>
      </c>
      <c r="B1333" t="s">
        <v>3336</v>
      </c>
      <c r="C1333" t="s">
        <v>1936</v>
      </c>
      <c r="D1333" t="s">
        <v>2417</v>
      </c>
      <c r="E1333" t="s">
        <v>2846</v>
      </c>
      <c r="F1333" t="s">
        <v>3357</v>
      </c>
      <c r="H1333" t="s">
        <v>17</v>
      </c>
      <c r="I1333" t="s">
        <v>3358</v>
      </c>
    </row>
    <row r="1334" spans="1:9" x14ac:dyDescent="0.3">
      <c r="A1334" t="s">
        <v>2946</v>
      </c>
      <c r="B1334" t="s">
        <v>3336</v>
      </c>
      <c r="C1334" t="s">
        <v>1936</v>
      </c>
      <c r="D1334" t="s">
        <v>2421</v>
      </c>
      <c r="E1334" t="s">
        <v>2848</v>
      </c>
      <c r="F1334" t="s">
        <v>3359</v>
      </c>
      <c r="H1334" t="s">
        <v>17</v>
      </c>
      <c r="I1334" t="s">
        <v>414</v>
      </c>
    </row>
    <row r="1335" spans="1:9" x14ac:dyDescent="0.3">
      <c r="A1335" t="s">
        <v>2946</v>
      </c>
      <c r="B1335" t="s">
        <v>3336</v>
      </c>
      <c r="C1335" t="s">
        <v>1936</v>
      </c>
      <c r="D1335" t="s">
        <v>1690</v>
      </c>
      <c r="E1335" t="s">
        <v>2849</v>
      </c>
      <c r="F1335" t="s">
        <v>843</v>
      </c>
      <c r="H1335" t="s">
        <v>17</v>
      </c>
      <c r="I1335" t="s">
        <v>2209</v>
      </c>
    </row>
    <row r="1336" spans="1:9" x14ac:dyDescent="0.3">
      <c r="A1336" t="s">
        <v>2946</v>
      </c>
      <c r="B1336" t="s">
        <v>3336</v>
      </c>
      <c r="C1336" t="s">
        <v>2135</v>
      </c>
      <c r="D1336" t="s">
        <v>996</v>
      </c>
      <c r="E1336" t="s">
        <v>3360</v>
      </c>
      <c r="F1336" t="s">
        <v>2672</v>
      </c>
      <c r="H1336" t="s">
        <v>17</v>
      </c>
      <c r="I1336" t="s">
        <v>2673</v>
      </c>
    </row>
    <row r="1337" spans="1:9" x14ac:dyDescent="0.3">
      <c r="A1337" t="s">
        <v>2946</v>
      </c>
      <c r="B1337" t="s">
        <v>3336</v>
      </c>
      <c r="C1337" t="s">
        <v>2135</v>
      </c>
      <c r="D1337" t="s">
        <v>1001</v>
      </c>
      <c r="E1337" t="s">
        <v>3361</v>
      </c>
      <c r="F1337" t="s">
        <v>3362</v>
      </c>
      <c r="H1337" t="s">
        <v>17</v>
      </c>
      <c r="I1337" t="s">
        <v>3363</v>
      </c>
    </row>
    <row r="1338" spans="1:9" x14ac:dyDescent="0.3">
      <c r="A1338" t="s">
        <v>2946</v>
      </c>
      <c r="B1338" t="s">
        <v>3364</v>
      </c>
      <c r="C1338" t="s">
        <v>2135</v>
      </c>
      <c r="D1338" t="s">
        <v>1942</v>
      </c>
      <c r="E1338" t="s">
        <v>3365</v>
      </c>
      <c r="F1338" t="s">
        <v>2677</v>
      </c>
      <c r="H1338" t="s">
        <v>17</v>
      </c>
      <c r="I1338" t="s">
        <v>2678</v>
      </c>
    </row>
    <row r="1339" spans="1:9" x14ac:dyDescent="0.3">
      <c r="A1339" t="s">
        <v>2946</v>
      </c>
      <c r="B1339" t="s">
        <v>3364</v>
      </c>
      <c r="C1339" t="s">
        <v>2135</v>
      </c>
      <c r="D1339" t="s">
        <v>22</v>
      </c>
      <c r="E1339" t="s">
        <v>377</v>
      </c>
      <c r="F1339" t="s">
        <v>2680</v>
      </c>
      <c r="H1339" t="s">
        <v>17</v>
      </c>
      <c r="I1339" t="s">
        <v>2678</v>
      </c>
    </row>
    <row r="1340" spans="1:9" x14ac:dyDescent="0.3">
      <c r="A1340" t="s">
        <v>2946</v>
      </c>
      <c r="B1340" t="s">
        <v>3364</v>
      </c>
      <c r="C1340" t="s">
        <v>2135</v>
      </c>
      <c r="D1340" t="s">
        <v>27</v>
      </c>
      <c r="E1340" t="s">
        <v>383</v>
      </c>
      <c r="F1340" t="s">
        <v>2681</v>
      </c>
      <c r="H1340" t="s">
        <v>17</v>
      </c>
      <c r="I1340" t="s">
        <v>2678</v>
      </c>
    </row>
    <row r="1341" spans="1:9" x14ac:dyDescent="0.3">
      <c r="A1341" t="s">
        <v>2946</v>
      </c>
      <c r="B1341" t="s">
        <v>3364</v>
      </c>
      <c r="C1341" t="s">
        <v>2135</v>
      </c>
      <c r="D1341" t="s">
        <v>32</v>
      </c>
      <c r="E1341" t="s">
        <v>1638</v>
      </c>
      <c r="F1341" t="s">
        <v>3366</v>
      </c>
      <c r="H1341" t="s">
        <v>17</v>
      </c>
      <c r="I1341" t="s">
        <v>3251</v>
      </c>
    </row>
    <row r="1342" spans="1:9" x14ac:dyDescent="0.3">
      <c r="A1342" t="s">
        <v>2946</v>
      </c>
      <c r="B1342" t="s">
        <v>3364</v>
      </c>
      <c r="C1342" t="s">
        <v>2135</v>
      </c>
      <c r="D1342" t="s">
        <v>2684</v>
      </c>
      <c r="E1342" t="s">
        <v>1640</v>
      </c>
      <c r="F1342" t="s">
        <v>2685</v>
      </c>
      <c r="H1342" t="s">
        <v>17</v>
      </c>
      <c r="I1342" t="s">
        <v>3367</v>
      </c>
    </row>
    <row r="1343" spans="1:9" x14ac:dyDescent="0.3">
      <c r="A1343" t="s">
        <v>2946</v>
      </c>
      <c r="B1343" t="s">
        <v>3364</v>
      </c>
      <c r="C1343" t="s">
        <v>2135</v>
      </c>
      <c r="D1343" t="s">
        <v>45</v>
      </c>
      <c r="E1343" t="s">
        <v>1643</v>
      </c>
      <c r="F1343" t="s">
        <v>2688</v>
      </c>
      <c r="H1343" t="s">
        <v>17</v>
      </c>
      <c r="I1343" t="s">
        <v>3368</v>
      </c>
    </row>
    <row r="1344" spans="1:9" x14ac:dyDescent="0.3">
      <c r="A1344" t="s">
        <v>2946</v>
      </c>
      <c r="B1344" t="s">
        <v>3364</v>
      </c>
      <c r="C1344" t="s">
        <v>2135</v>
      </c>
      <c r="D1344" t="s">
        <v>50</v>
      </c>
      <c r="E1344" t="s">
        <v>388</v>
      </c>
      <c r="F1344" t="s">
        <v>3369</v>
      </c>
      <c r="H1344" t="s">
        <v>17</v>
      </c>
      <c r="I1344" t="s">
        <v>3370</v>
      </c>
    </row>
    <row r="1345" spans="1:9" x14ac:dyDescent="0.3">
      <c r="A1345" t="s">
        <v>2946</v>
      </c>
      <c r="B1345" t="s">
        <v>3364</v>
      </c>
      <c r="C1345" t="s">
        <v>2135</v>
      </c>
      <c r="D1345" t="s">
        <v>53</v>
      </c>
      <c r="E1345" t="s">
        <v>1647</v>
      </c>
      <c r="F1345" t="s">
        <v>3371</v>
      </c>
      <c r="H1345" t="s">
        <v>17</v>
      </c>
      <c r="I1345" t="s">
        <v>3372</v>
      </c>
    </row>
    <row r="1346" spans="1:9" x14ac:dyDescent="0.3">
      <c r="A1346" t="s">
        <v>2946</v>
      </c>
      <c r="B1346" t="s">
        <v>3364</v>
      </c>
      <c r="C1346" t="s">
        <v>2135</v>
      </c>
      <c r="D1346" t="s">
        <v>56</v>
      </c>
      <c r="E1346" t="s">
        <v>392</v>
      </c>
      <c r="F1346" t="s">
        <v>3373</v>
      </c>
      <c r="H1346" t="s">
        <v>17</v>
      </c>
      <c r="I1346" t="s">
        <v>414</v>
      </c>
    </row>
    <row r="1347" spans="1:9" x14ac:dyDescent="0.3">
      <c r="A1347" t="s">
        <v>2946</v>
      </c>
      <c r="B1347" t="s">
        <v>3364</v>
      </c>
      <c r="C1347" t="s">
        <v>2135</v>
      </c>
      <c r="D1347" t="s">
        <v>61</v>
      </c>
      <c r="E1347" t="s">
        <v>1653</v>
      </c>
      <c r="F1347" t="s">
        <v>3374</v>
      </c>
      <c r="H1347" t="s">
        <v>17</v>
      </c>
      <c r="I1347" t="s">
        <v>414</v>
      </c>
    </row>
    <row r="1348" spans="1:9" x14ac:dyDescent="0.3">
      <c r="A1348" t="s">
        <v>2946</v>
      </c>
      <c r="B1348" t="s">
        <v>3364</v>
      </c>
      <c r="C1348" t="s">
        <v>2135</v>
      </c>
      <c r="D1348" t="s">
        <v>1039</v>
      </c>
      <c r="E1348" t="s">
        <v>395</v>
      </c>
      <c r="F1348" t="s">
        <v>3375</v>
      </c>
      <c r="H1348" t="s">
        <v>17</v>
      </c>
      <c r="I1348" t="s">
        <v>2695</v>
      </c>
    </row>
    <row r="1349" spans="1:9" x14ac:dyDescent="0.3">
      <c r="A1349" t="s">
        <v>2946</v>
      </c>
      <c r="B1349" t="s">
        <v>3364</v>
      </c>
      <c r="C1349" t="s">
        <v>2135</v>
      </c>
      <c r="D1349" t="s">
        <v>1043</v>
      </c>
      <c r="E1349" t="s">
        <v>1656</v>
      </c>
      <c r="F1349" t="s">
        <v>2966</v>
      </c>
      <c r="H1349" t="s">
        <v>17</v>
      </c>
      <c r="I1349" t="s">
        <v>3376</v>
      </c>
    </row>
    <row r="1350" spans="1:9" x14ac:dyDescent="0.3">
      <c r="A1350" t="s">
        <v>2946</v>
      </c>
      <c r="B1350" t="s">
        <v>3364</v>
      </c>
      <c r="C1350" t="s">
        <v>2135</v>
      </c>
      <c r="D1350" t="s">
        <v>71</v>
      </c>
      <c r="E1350" t="s">
        <v>398</v>
      </c>
      <c r="F1350" t="s">
        <v>3377</v>
      </c>
      <c r="H1350" t="s">
        <v>17</v>
      </c>
      <c r="I1350" t="s">
        <v>2702</v>
      </c>
    </row>
    <row r="1351" spans="1:9" x14ac:dyDescent="0.3">
      <c r="A1351" t="s">
        <v>2946</v>
      </c>
      <c r="B1351" t="s">
        <v>3364</v>
      </c>
      <c r="C1351" t="s">
        <v>2135</v>
      </c>
      <c r="D1351" t="s">
        <v>1050</v>
      </c>
      <c r="E1351" t="s">
        <v>3378</v>
      </c>
      <c r="F1351" t="s">
        <v>3379</v>
      </c>
      <c r="H1351" t="s">
        <v>17</v>
      </c>
      <c r="I1351" t="s">
        <v>2704</v>
      </c>
    </row>
    <row r="1352" spans="1:9" x14ac:dyDescent="0.3">
      <c r="A1352" t="s">
        <v>2946</v>
      </c>
      <c r="B1352" t="s">
        <v>3364</v>
      </c>
      <c r="C1352" t="s">
        <v>2135</v>
      </c>
      <c r="D1352" t="s">
        <v>1055</v>
      </c>
      <c r="E1352" t="s">
        <v>401</v>
      </c>
      <c r="F1352" t="s">
        <v>3380</v>
      </c>
      <c r="H1352" t="s">
        <v>17</v>
      </c>
      <c r="I1352" t="s">
        <v>2706</v>
      </c>
    </row>
    <row r="1353" spans="1:9" x14ac:dyDescent="0.3">
      <c r="A1353" t="s">
        <v>2946</v>
      </c>
      <c r="B1353" t="s">
        <v>3364</v>
      </c>
      <c r="C1353" t="s">
        <v>2135</v>
      </c>
      <c r="D1353" t="s">
        <v>80</v>
      </c>
      <c r="E1353" t="s">
        <v>1663</v>
      </c>
      <c r="F1353" t="s">
        <v>3381</v>
      </c>
      <c r="H1353" t="s">
        <v>17</v>
      </c>
      <c r="I1353" t="s">
        <v>2708</v>
      </c>
    </row>
    <row r="1354" spans="1:9" x14ac:dyDescent="0.3">
      <c r="A1354" t="s">
        <v>2946</v>
      </c>
      <c r="B1354" t="s">
        <v>3364</v>
      </c>
      <c r="C1354" t="s">
        <v>2135</v>
      </c>
      <c r="D1354" t="s">
        <v>85</v>
      </c>
      <c r="E1354" t="s">
        <v>404</v>
      </c>
      <c r="F1354" t="s">
        <v>2709</v>
      </c>
      <c r="H1354" t="s">
        <v>17</v>
      </c>
      <c r="I1354" t="s">
        <v>3027</v>
      </c>
    </row>
    <row r="1355" spans="1:9" x14ac:dyDescent="0.3">
      <c r="A1355" t="s">
        <v>2946</v>
      </c>
      <c r="B1355" t="s">
        <v>3364</v>
      </c>
      <c r="C1355" t="s">
        <v>2135</v>
      </c>
      <c r="D1355" t="s">
        <v>90</v>
      </c>
      <c r="E1355" t="s">
        <v>3382</v>
      </c>
      <c r="F1355" t="s">
        <v>3383</v>
      </c>
      <c r="H1355" t="s">
        <v>17</v>
      </c>
      <c r="I1355" t="s">
        <v>3029</v>
      </c>
    </row>
    <row r="1356" spans="1:9" x14ac:dyDescent="0.3">
      <c r="A1356" t="s">
        <v>2946</v>
      </c>
      <c r="B1356" t="s">
        <v>3364</v>
      </c>
      <c r="C1356" t="s">
        <v>2135</v>
      </c>
      <c r="D1356" t="s">
        <v>95</v>
      </c>
      <c r="E1356" t="s">
        <v>407</v>
      </c>
      <c r="F1356" t="s">
        <v>2714</v>
      </c>
      <c r="H1356" t="s">
        <v>17</v>
      </c>
      <c r="I1356" t="s">
        <v>3029</v>
      </c>
    </row>
    <row r="1357" spans="1:9" x14ac:dyDescent="0.3">
      <c r="A1357" t="s">
        <v>2946</v>
      </c>
      <c r="B1357" t="s">
        <v>3384</v>
      </c>
      <c r="C1357" t="s">
        <v>2135</v>
      </c>
      <c r="D1357" t="s">
        <v>100</v>
      </c>
      <c r="E1357" t="s">
        <v>411</v>
      </c>
      <c r="F1357" t="s">
        <v>3385</v>
      </c>
      <c r="H1357" t="s">
        <v>17</v>
      </c>
      <c r="I1357" t="s">
        <v>3386</v>
      </c>
    </row>
    <row r="1358" spans="1:9" x14ac:dyDescent="0.3">
      <c r="A1358" t="s">
        <v>2946</v>
      </c>
      <c r="B1358" t="s">
        <v>3384</v>
      </c>
      <c r="C1358" t="s">
        <v>2135</v>
      </c>
      <c r="D1358" t="s">
        <v>106</v>
      </c>
      <c r="E1358" t="s">
        <v>416</v>
      </c>
      <c r="F1358" t="s">
        <v>3387</v>
      </c>
      <c r="H1358" t="s">
        <v>17</v>
      </c>
      <c r="I1358" t="s">
        <v>3386</v>
      </c>
    </row>
    <row r="1359" spans="1:9" x14ac:dyDescent="0.3">
      <c r="A1359" t="s">
        <v>2946</v>
      </c>
      <c r="B1359" t="s">
        <v>3384</v>
      </c>
      <c r="C1359" t="s">
        <v>2135</v>
      </c>
      <c r="D1359" t="s">
        <v>111</v>
      </c>
      <c r="E1359" t="s">
        <v>421</v>
      </c>
      <c r="F1359" t="s">
        <v>3388</v>
      </c>
      <c r="H1359" t="s">
        <v>17</v>
      </c>
      <c r="I1359" t="s">
        <v>3389</v>
      </c>
    </row>
    <row r="1360" spans="1:9" x14ac:dyDescent="0.3">
      <c r="A1360" t="s">
        <v>2946</v>
      </c>
      <c r="B1360" t="s">
        <v>3046</v>
      </c>
      <c r="C1360" t="s">
        <v>2135</v>
      </c>
      <c r="D1360" t="s">
        <v>114</v>
      </c>
      <c r="E1360" t="s">
        <v>427</v>
      </c>
      <c r="F1360" t="s">
        <v>2723</v>
      </c>
      <c r="H1360" t="s">
        <v>17</v>
      </c>
      <c r="I1360" t="s">
        <v>2724</v>
      </c>
    </row>
    <row r="1361" spans="1:9" x14ac:dyDescent="0.3">
      <c r="A1361" t="s">
        <v>2946</v>
      </c>
      <c r="B1361" t="s">
        <v>3046</v>
      </c>
      <c r="C1361" t="s">
        <v>2135</v>
      </c>
      <c r="D1361" t="s">
        <v>117</v>
      </c>
      <c r="E1361" t="s">
        <v>430</v>
      </c>
      <c r="F1361" t="s">
        <v>2726</v>
      </c>
      <c r="H1361" t="s">
        <v>17</v>
      </c>
      <c r="I1361" t="s">
        <v>2724</v>
      </c>
    </row>
    <row r="1362" spans="1:9" x14ac:dyDescent="0.3">
      <c r="A1362" t="s">
        <v>2946</v>
      </c>
      <c r="B1362" t="s">
        <v>3046</v>
      </c>
      <c r="C1362" t="s">
        <v>2135</v>
      </c>
      <c r="D1362" t="s">
        <v>121</v>
      </c>
      <c r="E1362" t="s">
        <v>433</v>
      </c>
      <c r="F1362" t="s">
        <v>3390</v>
      </c>
      <c r="H1362" t="s">
        <v>17</v>
      </c>
      <c r="I1362" t="s">
        <v>2724</v>
      </c>
    </row>
    <row r="1363" spans="1:9" x14ac:dyDescent="0.3">
      <c r="A1363" t="s">
        <v>2946</v>
      </c>
      <c r="B1363" t="s">
        <v>3046</v>
      </c>
      <c r="C1363" t="s">
        <v>2135</v>
      </c>
      <c r="D1363" t="s">
        <v>126</v>
      </c>
      <c r="E1363" t="s">
        <v>436</v>
      </c>
      <c r="F1363" t="s">
        <v>2730</v>
      </c>
      <c r="H1363" t="s">
        <v>17</v>
      </c>
      <c r="I1363" t="s">
        <v>2724</v>
      </c>
    </row>
    <row r="1364" spans="1:9" x14ac:dyDescent="0.3">
      <c r="A1364" t="s">
        <v>2946</v>
      </c>
      <c r="B1364" t="s">
        <v>3046</v>
      </c>
      <c r="C1364" t="s">
        <v>2135</v>
      </c>
      <c r="D1364" t="s">
        <v>129</v>
      </c>
      <c r="E1364" t="s">
        <v>439</v>
      </c>
      <c r="F1364" t="s">
        <v>2728</v>
      </c>
      <c r="H1364" t="s">
        <v>17</v>
      </c>
      <c r="I1364" t="s">
        <v>2724</v>
      </c>
    </row>
    <row r="1365" spans="1:9" x14ac:dyDescent="0.3">
      <c r="A1365" t="s">
        <v>2946</v>
      </c>
      <c r="B1365" t="s">
        <v>3046</v>
      </c>
      <c r="C1365" t="s">
        <v>2135</v>
      </c>
      <c r="D1365" t="s">
        <v>132</v>
      </c>
      <c r="E1365" t="s">
        <v>442</v>
      </c>
      <c r="F1365" t="s">
        <v>3391</v>
      </c>
      <c r="H1365" t="s">
        <v>17</v>
      </c>
      <c r="I1365" t="s">
        <v>2724</v>
      </c>
    </row>
    <row r="1366" spans="1:9" x14ac:dyDescent="0.3">
      <c r="A1366" t="s">
        <v>2946</v>
      </c>
      <c r="B1366" t="s">
        <v>3046</v>
      </c>
      <c r="C1366" t="s">
        <v>2135</v>
      </c>
      <c r="D1366" t="s">
        <v>135</v>
      </c>
      <c r="E1366" t="s">
        <v>445</v>
      </c>
      <c r="F1366" t="s">
        <v>3392</v>
      </c>
      <c r="H1366" t="s">
        <v>17</v>
      </c>
      <c r="I1366" t="s">
        <v>2724</v>
      </c>
    </row>
    <row r="1367" spans="1:9" x14ac:dyDescent="0.3">
      <c r="A1367" t="s">
        <v>2946</v>
      </c>
      <c r="B1367" t="s">
        <v>3046</v>
      </c>
      <c r="C1367" t="s">
        <v>2135</v>
      </c>
      <c r="D1367" t="s">
        <v>138</v>
      </c>
      <c r="E1367" t="s">
        <v>449</v>
      </c>
      <c r="F1367" t="s">
        <v>2732</v>
      </c>
      <c r="H1367" t="s">
        <v>17</v>
      </c>
      <c r="I1367" t="s">
        <v>3393</v>
      </c>
    </row>
    <row r="1368" spans="1:9" x14ac:dyDescent="0.3">
      <c r="A1368" t="s">
        <v>2946</v>
      </c>
      <c r="B1368" t="s">
        <v>3046</v>
      </c>
      <c r="C1368" t="s">
        <v>2135</v>
      </c>
      <c r="D1368" t="s">
        <v>141</v>
      </c>
      <c r="E1368" t="s">
        <v>454</v>
      </c>
      <c r="F1368" t="s">
        <v>3394</v>
      </c>
      <c r="H1368" t="s">
        <v>17</v>
      </c>
      <c r="I1368" t="s">
        <v>3395</v>
      </c>
    </row>
    <row r="1369" spans="1:9" x14ac:dyDescent="0.3">
      <c r="A1369" t="s">
        <v>2946</v>
      </c>
      <c r="B1369" t="s">
        <v>3046</v>
      </c>
      <c r="C1369" t="s">
        <v>2135</v>
      </c>
      <c r="D1369" t="s">
        <v>144</v>
      </c>
      <c r="E1369" t="s">
        <v>458</v>
      </c>
      <c r="F1369" t="s">
        <v>2734</v>
      </c>
      <c r="H1369" t="s">
        <v>17</v>
      </c>
      <c r="I1369" t="s">
        <v>3396</v>
      </c>
    </row>
    <row r="1370" spans="1:9" x14ac:dyDescent="0.3">
      <c r="A1370" t="s">
        <v>2946</v>
      </c>
      <c r="B1370" t="s">
        <v>3046</v>
      </c>
      <c r="C1370" t="s">
        <v>2135</v>
      </c>
      <c r="D1370" t="s">
        <v>147</v>
      </c>
      <c r="E1370" t="s">
        <v>462</v>
      </c>
      <c r="F1370" t="s">
        <v>3397</v>
      </c>
      <c r="H1370" t="s">
        <v>17</v>
      </c>
      <c r="I1370" t="s">
        <v>3398</v>
      </c>
    </row>
    <row r="1371" spans="1:9" x14ac:dyDescent="0.3">
      <c r="A1371" t="s">
        <v>2946</v>
      </c>
      <c r="B1371" t="s">
        <v>3046</v>
      </c>
      <c r="C1371" t="s">
        <v>2135</v>
      </c>
      <c r="D1371" t="s">
        <v>152</v>
      </c>
      <c r="E1371" t="s">
        <v>465</v>
      </c>
      <c r="F1371" t="s">
        <v>3399</v>
      </c>
      <c r="H1371" t="s">
        <v>17</v>
      </c>
      <c r="I1371" t="s">
        <v>3400</v>
      </c>
    </row>
    <row r="1372" spans="1:9" x14ac:dyDescent="0.3">
      <c r="A1372" t="s">
        <v>2946</v>
      </c>
      <c r="B1372" t="s">
        <v>3046</v>
      </c>
      <c r="C1372" t="s">
        <v>2135</v>
      </c>
      <c r="D1372" t="s">
        <v>157</v>
      </c>
      <c r="E1372" t="s">
        <v>469</v>
      </c>
      <c r="F1372" t="s">
        <v>3401</v>
      </c>
      <c r="H1372" t="s">
        <v>17</v>
      </c>
      <c r="I1372" t="s">
        <v>3402</v>
      </c>
    </row>
    <row r="1373" spans="1:9" x14ac:dyDescent="0.3">
      <c r="A1373" t="s">
        <v>2946</v>
      </c>
      <c r="B1373" t="s">
        <v>3046</v>
      </c>
      <c r="C1373" t="s">
        <v>2135</v>
      </c>
      <c r="D1373" t="s">
        <v>162</v>
      </c>
      <c r="E1373" t="s">
        <v>472</v>
      </c>
      <c r="F1373" t="s">
        <v>3403</v>
      </c>
      <c r="H1373" t="s">
        <v>17</v>
      </c>
      <c r="I1373" t="s">
        <v>3404</v>
      </c>
    </row>
    <row r="1374" spans="1:9" x14ac:dyDescent="0.3">
      <c r="A1374" t="s">
        <v>2946</v>
      </c>
      <c r="B1374" t="s">
        <v>3046</v>
      </c>
      <c r="C1374" t="s">
        <v>2135</v>
      </c>
      <c r="D1374" t="s">
        <v>167</v>
      </c>
      <c r="E1374" t="s">
        <v>476</v>
      </c>
      <c r="F1374" t="s">
        <v>3405</v>
      </c>
      <c r="H1374" t="s">
        <v>17</v>
      </c>
      <c r="I1374" t="s">
        <v>3406</v>
      </c>
    </row>
    <row r="1375" spans="1:9" x14ac:dyDescent="0.3">
      <c r="A1375" t="s">
        <v>2946</v>
      </c>
      <c r="B1375" t="s">
        <v>3046</v>
      </c>
      <c r="C1375" t="s">
        <v>2135</v>
      </c>
      <c r="D1375" t="s">
        <v>172</v>
      </c>
      <c r="E1375" t="s">
        <v>479</v>
      </c>
      <c r="F1375" t="s">
        <v>3407</v>
      </c>
      <c r="H1375" t="s">
        <v>17</v>
      </c>
      <c r="I1375" t="s">
        <v>3019</v>
      </c>
    </row>
    <row r="1376" spans="1:9" x14ac:dyDescent="0.3">
      <c r="A1376" t="s">
        <v>2946</v>
      </c>
      <c r="B1376" t="s">
        <v>3408</v>
      </c>
      <c r="C1376" t="s">
        <v>2135</v>
      </c>
      <c r="D1376" t="s">
        <v>177</v>
      </c>
      <c r="E1376" t="s">
        <v>483</v>
      </c>
      <c r="F1376" t="s">
        <v>3409</v>
      </c>
      <c r="H1376" t="s">
        <v>17</v>
      </c>
      <c r="I1376" t="s">
        <v>3410</v>
      </c>
    </row>
    <row r="1377" spans="1:9" x14ac:dyDescent="0.3">
      <c r="A1377" t="s">
        <v>2946</v>
      </c>
      <c r="B1377" t="s">
        <v>3408</v>
      </c>
      <c r="C1377" t="s">
        <v>2135</v>
      </c>
      <c r="D1377" t="s">
        <v>182</v>
      </c>
      <c r="E1377" t="s">
        <v>490</v>
      </c>
      <c r="F1377" t="s">
        <v>3411</v>
      </c>
      <c r="H1377" t="s">
        <v>17</v>
      </c>
      <c r="I1377" t="s">
        <v>3412</v>
      </c>
    </row>
    <row r="1378" spans="1:9" x14ac:dyDescent="0.3">
      <c r="A1378" t="s">
        <v>2946</v>
      </c>
      <c r="B1378" t="s">
        <v>3408</v>
      </c>
      <c r="C1378" t="s">
        <v>2135</v>
      </c>
      <c r="D1378" t="s">
        <v>187</v>
      </c>
      <c r="E1378" t="s">
        <v>493</v>
      </c>
      <c r="F1378" t="s">
        <v>3413</v>
      </c>
      <c r="H1378" t="s">
        <v>17</v>
      </c>
      <c r="I1378" t="s">
        <v>3412</v>
      </c>
    </row>
    <row r="1379" spans="1:9" x14ac:dyDescent="0.3">
      <c r="A1379" t="s">
        <v>2946</v>
      </c>
      <c r="B1379" t="s">
        <v>3408</v>
      </c>
      <c r="C1379" t="s">
        <v>2135</v>
      </c>
      <c r="D1379" t="s">
        <v>193</v>
      </c>
      <c r="E1379" t="s">
        <v>497</v>
      </c>
      <c r="F1379" t="s">
        <v>3414</v>
      </c>
      <c r="H1379" t="s">
        <v>17</v>
      </c>
      <c r="I1379" t="s">
        <v>3415</v>
      </c>
    </row>
    <row r="1380" spans="1:9" x14ac:dyDescent="0.3">
      <c r="A1380" t="s">
        <v>2946</v>
      </c>
      <c r="B1380" t="s">
        <v>3408</v>
      </c>
      <c r="C1380" t="s">
        <v>2135</v>
      </c>
      <c r="D1380" t="s">
        <v>198</v>
      </c>
      <c r="E1380" t="s">
        <v>500</v>
      </c>
      <c r="F1380" t="s">
        <v>3416</v>
      </c>
      <c r="H1380" t="s">
        <v>17</v>
      </c>
      <c r="I1380" t="s">
        <v>3417</v>
      </c>
    </row>
    <row r="1381" spans="1:9" x14ac:dyDescent="0.3">
      <c r="A1381" t="s">
        <v>2946</v>
      </c>
      <c r="B1381" t="s">
        <v>3408</v>
      </c>
      <c r="C1381" t="s">
        <v>2135</v>
      </c>
      <c r="D1381" t="s">
        <v>202</v>
      </c>
      <c r="E1381" t="s">
        <v>505</v>
      </c>
      <c r="F1381" t="s">
        <v>3418</v>
      </c>
      <c r="H1381" t="s">
        <v>17</v>
      </c>
      <c r="I1381" t="s">
        <v>3417</v>
      </c>
    </row>
    <row r="1382" spans="1:9" x14ac:dyDescent="0.3">
      <c r="A1382" t="s">
        <v>2946</v>
      </c>
      <c r="B1382" t="s">
        <v>3408</v>
      </c>
      <c r="C1382" t="s">
        <v>2135</v>
      </c>
      <c r="D1382" t="s">
        <v>206</v>
      </c>
      <c r="E1382" t="s">
        <v>508</v>
      </c>
      <c r="F1382" t="s">
        <v>3419</v>
      </c>
      <c r="H1382" t="s">
        <v>17</v>
      </c>
      <c r="I1382" t="s">
        <v>3420</v>
      </c>
    </row>
    <row r="1383" spans="1:9" x14ac:dyDescent="0.3">
      <c r="A1383" t="s">
        <v>2946</v>
      </c>
      <c r="B1383" t="s">
        <v>3408</v>
      </c>
      <c r="C1383" t="s">
        <v>2135</v>
      </c>
      <c r="D1383" t="s">
        <v>210</v>
      </c>
      <c r="E1383" t="s">
        <v>512</v>
      </c>
      <c r="F1383" t="s">
        <v>3421</v>
      </c>
      <c r="H1383" t="s">
        <v>17</v>
      </c>
      <c r="I1383" t="s">
        <v>3422</v>
      </c>
    </row>
    <row r="1384" spans="1:9" x14ac:dyDescent="0.3">
      <c r="A1384" t="s">
        <v>2946</v>
      </c>
      <c r="B1384" t="s">
        <v>3408</v>
      </c>
      <c r="C1384" t="s">
        <v>2135</v>
      </c>
      <c r="D1384" t="s">
        <v>214</v>
      </c>
      <c r="E1384" t="s">
        <v>515</v>
      </c>
      <c r="F1384" t="s">
        <v>3423</v>
      </c>
      <c r="H1384" t="s">
        <v>17</v>
      </c>
      <c r="I1384" t="s">
        <v>3424</v>
      </c>
    </row>
    <row r="1385" spans="1:9" x14ac:dyDescent="0.3">
      <c r="A1385" t="s">
        <v>2946</v>
      </c>
      <c r="B1385" t="s">
        <v>3408</v>
      </c>
      <c r="C1385" t="s">
        <v>2135</v>
      </c>
      <c r="D1385" t="s">
        <v>218</v>
      </c>
      <c r="E1385" t="s">
        <v>519</v>
      </c>
      <c r="F1385" t="s">
        <v>3425</v>
      </c>
      <c r="H1385" t="s">
        <v>17</v>
      </c>
      <c r="I1385" t="s">
        <v>3424</v>
      </c>
    </row>
    <row r="1386" spans="1:9" x14ac:dyDescent="0.3">
      <c r="A1386" t="s">
        <v>2946</v>
      </c>
      <c r="B1386" t="s">
        <v>3408</v>
      </c>
      <c r="C1386" t="s">
        <v>2135</v>
      </c>
      <c r="D1386" t="s">
        <v>2924</v>
      </c>
      <c r="E1386" t="s">
        <v>522</v>
      </c>
      <c r="F1386" t="s">
        <v>3426</v>
      </c>
      <c r="H1386" t="s">
        <v>17</v>
      </c>
      <c r="I1386" t="s">
        <v>3427</v>
      </c>
    </row>
    <row r="1387" spans="1:9" x14ac:dyDescent="0.3">
      <c r="A1387" t="s">
        <v>2946</v>
      </c>
      <c r="B1387" t="s">
        <v>3408</v>
      </c>
      <c r="C1387" t="s">
        <v>2135</v>
      </c>
      <c r="D1387" t="s">
        <v>233</v>
      </c>
      <c r="E1387" t="s">
        <v>526</v>
      </c>
      <c r="F1387" t="s">
        <v>3428</v>
      </c>
      <c r="H1387" t="s">
        <v>17</v>
      </c>
      <c r="I1387" t="s">
        <v>3429</v>
      </c>
    </row>
    <row r="1388" spans="1:9" x14ac:dyDescent="0.3">
      <c r="A1388" t="s">
        <v>2946</v>
      </c>
      <c r="B1388" t="s">
        <v>3408</v>
      </c>
      <c r="C1388" t="s">
        <v>2135</v>
      </c>
      <c r="D1388" t="s">
        <v>236</v>
      </c>
      <c r="E1388" t="s">
        <v>529</v>
      </c>
      <c r="F1388" t="s">
        <v>3430</v>
      </c>
      <c r="H1388" t="s">
        <v>17</v>
      </c>
      <c r="I1388" t="s">
        <v>3431</v>
      </c>
    </row>
    <row r="1389" spans="1:9" x14ac:dyDescent="0.3">
      <c r="A1389" t="s">
        <v>2946</v>
      </c>
      <c r="B1389" t="s">
        <v>3408</v>
      </c>
      <c r="C1389" t="s">
        <v>2135</v>
      </c>
      <c r="D1389" t="s">
        <v>239</v>
      </c>
      <c r="E1389" t="s">
        <v>533</v>
      </c>
      <c r="F1389" t="s">
        <v>3432</v>
      </c>
      <c r="H1389" t="s">
        <v>17</v>
      </c>
      <c r="I1389" t="s">
        <v>3433</v>
      </c>
    </row>
    <row r="1390" spans="1:9" x14ac:dyDescent="0.3">
      <c r="A1390" t="s">
        <v>2946</v>
      </c>
      <c r="B1390" t="s">
        <v>3408</v>
      </c>
      <c r="C1390" t="s">
        <v>2135</v>
      </c>
      <c r="D1390" t="s">
        <v>1881</v>
      </c>
      <c r="E1390" t="s">
        <v>536</v>
      </c>
      <c r="F1390" t="s">
        <v>3434</v>
      </c>
      <c r="H1390" t="s">
        <v>17</v>
      </c>
      <c r="I1390" t="s">
        <v>3435</v>
      </c>
    </row>
    <row r="1391" spans="1:9" x14ac:dyDescent="0.3">
      <c r="A1391" t="s">
        <v>2946</v>
      </c>
      <c r="B1391" t="s">
        <v>3408</v>
      </c>
      <c r="C1391" t="s">
        <v>2135</v>
      </c>
      <c r="D1391" t="s">
        <v>1885</v>
      </c>
      <c r="E1391" t="s">
        <v>541</v>
      </c>
      <c r="F1391" t="s">
        <v>3436</v>
      </c>
      <c r="H1391" t="s">
        <v>17</v>
      </c>
      <c r="I1391" t="s">
        <v>3437</v>
      </c>
    </row>
    <row r="1392" spans="1:9" x14ac:dyDescent="0.3">
      <c r="A1392" t="s">
        <v>2946</v>
      </c>
      <c r="B1392" t="s">
        <v>3408</v>
      </c>
      <c r="C1392" t="s">
        <v>2135</v>
      </c>
      <c r="D1392" t="s">
        <v>1588</v>
      </c>
      <c r="E1392" t="s">
        <v>546</v>
      </c>
      <c r="F1392" t="s">
        <v>3438</v>
      </c>
      <c r="H1392" t="s">
        <v>17</v>
      </c>
      <c r="I1392" t="s">
        <v>3439</v>
      </c>
    </row>
    <row r="1393" spans="1:9" x14ac:dyDescent="0.3">
      <c r="A1393" t="s">
        <v>2946</v>
      </c>
      <c r="B1393" t="s">
        <v>3408</v>
      </c>
      <c r="C1393" t="s">
        <v>2135</v>
      </c>
      <c r="D1393" t="s">
        <v>1892</v>
      </c>
      <c r="E1393" t="s">
        <v>551</v>
      </c>
      <c r="F1393" t="s">
        <v>3440</v>
      </c>
      <c r="H1393" t="s">
        <v>17</v>
      </c>
      <c r="I1393" t="s">
        <v>3429</v>
      </c>
    </row>
    <row r="1394" spans="1:9" x14ac:dyDescent="0.3">
      <c r="A1394" t="s">
        <v>2946</v>
      </c>
      <c r="B1394" t="s">
        <v>3408</v>
      </c>
      <c r="C1394" t="s">
        <v>2135</v>
      </c>
      <c r="D1394" t="s">
        <v>1146</v>
      </c>
      <c r="E1394" t="s">
        <v>556</v>
      </c>
      <c r="F1394" t="s">
        <v>3441</v>
      </c>
      <c r="H1394" t="s">
        <v>17</v>
      </c>
      <c r="I1394" t="s">
        <v>3442</v>
      </c>
    </row>
    <row r="1395" spans="1:9" x14ac:dyDescent="0.3">
      <c r="A1395" t="s">
        <v>2946</v>
      </c>
      <c r="B1395" t="s">
        <v>3408</v>
      </c>
      <c r="C1395" t="s">
        <v>2135</v>
      </c>
      <c r="D1395" t="s">
        <v>1150</v>
      </c>
      <c r="E1395" t="s">
        <v>1712</v>
      </c>
      <c r="F1395" t="s">
        <v>3443</v>
      </c>
      <c r="H1395" t="s">
        <v>17</v>
      </c>
      <c r="I1395" t="s">
        <v>3442</v>
      </c>
    </row>
    <row r="1396" spans="1:9" x14ac:dyDescent="0.3">
      <c r="A1396" t="s">
        <v>2946</v>
      </c>
      <c r="B1396" t="s">
        <v>3408</v>
      </c>
      <c r="C1396" t="s">
        <v>2135</v>
      </c>
      <c r="D1396" t="s">
        <v>1154</v>
      </c>
      <c r="E1396" t="s">
        <v>560</v>
      </c>
      <c r="F1396" t="s">
        <v>3444</v>
      </c>
      <c r="H1396" t="s">
        <v>17</v>
      </c>
      <c r="I1396" t="s">
        <v>3445</v>
      </c>
    </row>
    <row r="1397" spans="1:9" x14ac:dyDescent="0.3">
      <c r="A1397" t="s">
        <v>2946</v>
      </c>
      <c r="B1397" t="s">
        <v>3408</v>
      </c>
      <c r="C1397" t="s">
        <v>2135</v>
      </c>
      <c r="D1397" t="s">
        <v>1158</v>
      </c>
      <c r="E1397" t="s">
        <v>565</v>
      </c>
      <c r="F1397" t="s">
        <v>2761</v>
      </c>
      <c r="H1397" t="s">
        <v>17</v>
      </c>
      <c r="I1397" t="s">
        <v>3446</v>
      </c>
    </row>
    <row r="1398" spans="1:9" x14ac:dyDescent="0.3">
      <c r="A1398" t="s">
        <v>2946</v>
      </c>
      <c r="B1398" t="s">
        <v>3408</v>
      </c>
      <c r="C1398" t="s">
        <v>2135</v>
      </c>
      <c r="D1398" t="s">
        <v>1162</v>
      </c>
      <c r="E1398" t="s">
        <v>1717</v>
      </c>
      <c r="F1398" t="s">
        <v>2762</v>
      </c>
      <c r="H1398" t="s">
        <v>17</v>
      </c>
      <c r="I1398" t="s">
        <v>3447</v>
      </c>
    </row>
    <row r="1399" spans="1:9" x14ac:dyDescent="0.3">
      <c r="A1399" t="s">
        <v>2946</v>
      </c>
      <c r="B1399" t="s">
        <v>3408</v>
      </c>
      <c r="C1399" t="s">
        <v>2135</v>
      </c>
      <c r="D1399" t="s">
        <v>1165</v>
      </c>
      <c r="E1399" t="s">
        <v>570</v>
      </c>
      <c r="F1399" t="s">
        <v>3448</v>
      </c>
      <c r="H1399" t="s">
        <v>17</v>
      </c>
      <c r="I1399" t="s">
        <v>3447</v>
      </c>
    </row>
    <row r="1400" spans="1:9" x14ac:dyDescent="0.3">
      <c r="A1400" t="s">
        <v>2946</v>
      </c>
      <c r="B1400" t="s">
        <v>3408</v>
      </c>
      <c r="C1400" t="s">
        <v>2135</v>
      </c>
      <c r="D1400" t="s">
        <v>1168</v>
      </c>
      <c r="E1400" t="s">
        <v>575</v>
      </c>
      <c r="F1400" t="s">
        <v>3449</v>
      </c>
      <c r="H1400" t="s">
        <v>17</v>
      </c>
      <c r="I1400" t="s">
        <v>3450</v>
      </c>
    </row>
    <row r="1401" spans="1:9" x14ac:dyDescent="0.3">
      <c r="A1401" t="s">
        <v>2946</v>
      </c>
      <c r="B1401" t="s">
        <v>3408</v>
      </c>
      <c r="C1401" t="s">
        <v>2135</v>
      </c>
      <c r="D1401" t="s">
        <v>1172</v>
      </c>
      <c r="E1401" t="s">
        <v>580</v>
      </c>
      <c r="F1401" t="s">
        <v>3451</v>
      </c>
      <c r="H1401" t="s">
        <v>17</v>
      </c>
      <c r="I1401" t="s">
        <v>2768</v>
      </c>
    </row>
    <row r="1402" spans="1:9" x14ac:dyDescent="0.3">
      <c r="A1402" t="s">
        <v>2946</v>
      </c>
      <c r="B1402" t="s">
        <v>3408</v>
      </c>
      <c r="C1402" t="s">
        <v>2135</v>
      </c>
      <c r="D1402" t="s">
        <v>1176</v>
      </c>
      <c r="E1402" t="s">
        <v>586</v>
      </c>
      <c r="F1402" t="s">
        <v>2769</v>
      </c>
      <c r="H1402" t="s">
        <v>17</v>
      </c>
      <c r="I1402" t="s">
        <v>2770</v>
      </c>
    </row>
    <row r="1403" spans="1:9" x14ac:dyDescent="0.3">
      <c r="A1403" t="s">
        <v>2946</v>
      </c>
      <c r="B1403" t="s">
        <v>3408</v>
      </c>
      <c r="C1403" t="s">
        <v>2135</v>
      </c>
      <c r="D1403" t="s">
        <v>1179</v>
      </c>
      <c r="E1403" t="s">
        <v>591</v>
      </c>
      <c r="F1403" t="s">
        <v>2771</v>
      </c>
      <c r="H1403" t="s">
        <v>17</v>
      </c>
      <c r="I1403" t="s">
        <v>3452</v>
      </c>
    </row>
    <row r="1404" spans="1:9" x14ac:dyDescent="0.3">
      <c r="A1404" t="s">
        <v>2946</v>
      </c>
      <c r="B1404" t="s">
        <v>3408</v>
      </c>
      <c r="C1404" t="s">
        <v>2135</v>
      </c>
      <c r="D1404" t="s">
        <v>268</v>
      </c>
      <c r="E1404" t="s">
        <v>1724</v>
      </c>
      <c r="F1404" t="s">
        <v>3453</v>
      </c>
      <c r="H1404" t="s">
        <v>17</v>
      </c>
      <c r="I1404" t="s">
        <v>3454</v>
      </c>
    </row>
    <row r="1405" spans="1:9" x14ac:dyDescent="0.3">
      <c r="A1405" t="s">
        <v>2946</v>
      </c>
      <c r="B1405" t="s">
        <v>3455</v>
      </c>
      <c r="C1405" t="s">
        <v>2135</v>
      </c>
      <c r="D1405" t="s">
        <v>1193</v>
      </c>
      <c r="E1405" t="s">
        <v>1727</v>
      </c>
      <c r="F1405" t="s">
        <v>3456</v>
      </c>
      <c r="H1405" t="s">
        <v>17</v>
      </c>
      <c r="I1405" t="s">
        <v>3457</v>
      </c>
    </row>
    <row r="1406" spans="1:9" x14ac:dyDescent="0.3">
      <c r="A1406" t="s">
        <v>2946</v>
      </c>
      <c r="B1406" t="s">
        <v>3455</v>
      </c>
      <c r="C1406" t="s">
        <v>2135</v>
      </c>
      <c r="D1406" t="s">
        <v>1197</v>
      </c>
      <c r="E1406" t="s">
        <v>1729</v>
      </c>
      <c r="F1406" t="s">
        <v>3458</v>
      </c>
      <c r="H1406" t="s">
        <v>17</v>
      </c>
      <c r="I1406" t="s">
        <v>3457</v>
      </c>
    </row>
    <row r="1407" spans="1:9" x14ac:dyDescent="0.3">
      <c r="A1407" t="s">
        <v>2946</v>
      </c>
      <c r="B1407" t="s">
        <v>3455</v>
      </c>
      <c r="C1407" t="s">
        <v>2135</v>
      </c>
      <c r="D1407" t="s">
        <v>1201</v>
      </c>
      <c r="E1407" t="s">
        <v>600</v>
      </c>
      <c r="F1407" t="s">
        <v>3459</v>
      </c>
      <c r="H1407" t="s">
        <v>17</v>
      </c>
      <c r="I1407" t="s">
        <v>3457</v>
      </c>
    </row>
    <row r="1408" spans="1:9" x14ac:dyDescent="0.3">
      <c r="A1408" t="s">
        <v>2946</v>
      </c>
      <c r="B1408" t="s">
        <v>3455</v>
      </c>
      <c r="C1408" t="s">
        <v>2135</v>
      </c>
      <c r="D1408" t="s">
        <v>1205</v>
      </c>
      <c r="E1408" t="s">
        <v>1731</v>
      </c>
      <c r="F1408" t="s">
        <v>3460</v>
      </c>
      <c r="H1408" t="s">
        <v>17</v>
      </c>
      <c r="I1408" t="s">
        <v>3457</v>
      </c>
    </row>
    <row r="1409" spans="1:9" x14ac:dyDescent="0.3">
      <c r="A1409" t="s">
        <v>2946</v>
      </c>
      <c r="B1409" t="s">
        <v>3455</v>
      </c>
      <c r="C1409" t="s">
        <v>2135</v>
      </c>
      <c r="D1409" t="s">
        <v>1209</v>
      </c>
      <c r="E1409" t="s">
        <v>3461</v>
      </c>
      <c r="F1409" t="s">
        <v>3462</v>
      </c>
      <c r="H1409" t="s">
        <v>17</v>
      </c>
      <c r="I1409" t="s">
        <v>3463</v>
      </c>
    </row>
    <row r="1410" spans="1:9" x14ac:dyDescent="0.3">
      <c r="A1410" t="s">
        <v>2946</v>
      </c>
      <c r="B1410" t="s">
        <v>3464</v>
      </c>
      <c r="C1410" t="s">
        <v>2135</v>
      </c>
      <c r="D1410" t="s">
        <v>1213</v>
      </c>
      <c r="E1410" t="s">
        <v>3465</v>
      </c>
      <c r="F1410" t="s">
        <v>3466</v>
      </c>
      <c r="H1410" t="s">
        <v>17</v>
      </c>
      <c r="I1410" t="s">
        <v>3467</v>
      </c>
    </row>
    <row r="1411" spans="1:9" x14ac:dyDescent="0.3">
      <c r="A1411" t="s">
        <v>2946</v>
      </c>
      <c r="B1411" t="s">
        <v>3464</v>
      </c>
      <c r="C1411" t="s">
        <v>2135</v>
      </c>
      <c r="D1411" t="s">
        <v>1219</v>
      </c>
      <c r="E1411" t="s">
        <v>1734</v>
      </c>
      <c r="F1411" t="s">
        <v>3468</v>
      </c>
      <c r="H1411" t="s">
        <v>17</v>
      </c>
      <c r="I1411" t="s">
        <v>3467</v>
      </c>
    </row>
    <row r="1412" spans="1:9" x14ac:dyDescent="0.3">
      <c r="A1412" t="s">
        <v>2946</v>
      </c>
      <c r="B1412" t="s">
        <v>3464</v>
      </c>
      <c r="C1412" t="s">
        <v>2135</v>
      </c>
      <c r="D1412" t="s">
        <v>1224</v>
      </c>
      <c r="E1412" t="s">
        <v>608</v>
      </c>
      <c r="F1412" t="s">
        <v>3469</v>
      </c>
      <c r="H1412" t="s">
        <v>17</v>
      </c>
      <c r="I1412" t="s">
        <v>3467</v>
      </c>
    </row>
    <row r="1413" spans="1:9" x14ac:dyDescent="0.3">
      <c r="A1413" t="s">
        <v>2946</v>
      </c>
      <c r="B1413" t="s">
        <v>3464</v>
      </c>
      <c r="C1413" t="s">
        <v>2135</v>
      </c>
      <c r="D1413" t="s">
        <v>1228</v>
      </c>
      <c r="E1413" t="s">
        <v>1737</v>
      </c>
      <c r="F1413" t="s">
        <v>3470</v>
      </c>
      <c r="H1413" t="s">
        <v>17</v>
      </c>
      <c r="I1413" t="s">
        <v>3467</v>
      </c>
    </row>
    <row r="1414" spans="1:9" x14ac:dyDescent="0.3">
      <c r="A1414" t="s">
        <v>2946</v>
      </c>
      <c r="B1414" t="s">
        <v>3464</v>
      </c>
      <c r="C1414" t="s">
        <v>2135</v>
      </c>
      <c r="D1414" t="s">
        <v>1232</v>
      </c>
      <c r="E1414" t="s">
        <v>3471</v>
      </c>
      <c r="F1414" t="s">
        <v>3472</v>
      </c>
      <c r="H1414" t="s">
        <v>17</v>
      </c>
      <c r="I1414" t="s">
        <v>3467</v>
      </c>
    </row>
    <row r="1415" spans="1:9" x14ac:dyDescent="0.3">
      <c r="A1415" t="s">
        <v>2946</v>
      </c>
      <c r="B1415" t="s">
        <v>3473</v>
      </c>
      <c r="C1415" t="s">
        <v>2135</v>
      </c>
      <c r="D1415" t="s">
        <v>1236</v>
      </c>
      <c r="E1415" t="s">
        <v>3474</v>
      </c>
      <c r="F1415" t="s">
        <v>3475</v>
      </c>
      <c r="H1415" t="s">
        <v>17</v>
      </c>
      <c r="I1415" t="s">
        <v>3457</v>
      </c>
    </row>
    <row r="1416" spans="1:9" x14ac:dyDescent="0.3">
      <c r="A1416" t="s">
        <v>2946</v>
      </c>
      <c r="B1416" t="s">
        <v>3473</v>
      </c>
      <c r="C1416" t="s">
        <v>2135</v>
      </c>
      <c r="D1416" t="s">
        <v>1240</v>
      </c>
      <c r="E1416" t="s">
        <v>616</v>
      </c>
      <c r="F1416" t="s">
        <v>3476</v>
      </c>
      <c r="H1416" t="s">
        <v>17</v>
      </c>
      <c r="I1416" t="s">
        <v>3457</v>
      </c>
    </row>
    <row r="1417" spans="1:9" x14ac:dyDescent="0.3">
      <c r="A1417" t="s">
        <v>2946</v>
      </c>
      <c r="B1417" t="s">
        <v>3473</v>
      </c>
      <c r="C1417" t="s">
        <v>2135</v>
      </c>
      <c r="D1417" t="s">
        <v>1244</v>
      </c>
      <c r="E1417" t="s">
        <v>3477</v>
      </c>
      <c r="F1417" t="s">
        <v>3478</v>
      </c>
      <c r="H1417" t="s">
        <v>17</v>
      </c>
      <c r="I1417" t="s">
        <v>3457</v>
      </c>
    </row>
    <row r="1418" spans="1:9" x14ac:dyDescent="0.3">
      <c r="A1418" t="s">
        <v>2946</v>
      </c>
      <c r="B1418" t="s">
        <v>3473</v>
      </c>
      <c r="C1418" t="s">
        <v>2135</v>
      </c>
      <c r="D1418" t="s">
        <v>1248</v>
      </c>
      <c r="E1418" t="s">
        <v>620</v>
      </c>
      <c r="F1418" t="s">
        <v>3479</v>
      </c>
      <c r="H1418" t="s">
        <v>17</v>
      </c>
      <c r="I1418" t="s">
        <v>3457</v>
      </c>
    </row>
    <row r="1419" spans="1:9" x14ac:dyDescent="0.3">
      <c r="A1419" t="s">
        <v>2946</v>
      </c>
      <c r="B1419" t="s">
        <v>3473</v>
      </c>
      <c r="C1419" t="s">
        <v>2135</v>
      </c>
      <c r="D1419" t="s">
        <v>1252</v>
      </c>
      <c r="E1419" t="s">
        <v>3480</v>
      </c>
      <c r="F1419" t="s">
        <v>3481</v>
      </c>
      <c r="H1419" t="s">
        <v>17</v>
      </c>
      <c r="I1419" t="s">
        <v>3457</v>
      </c>
    </row>
    <row r="1420" spans="1:9" x14ac:dyDescent="0.3">
      <c r="A1420" t="s">
        <v>2946</v>
      </c>
      <c r="B1420" t="s">
        <v>3482</v>
      </c>
      <c r="C1420" t="s">
        <v>2135</v>
      </c>
      <c r="D1420" t="s">
        <v>1256</v>
      </c>
      <c r="E1420" t="s">
        <v>3483</v>
      </c>
      <c r="F1420" t="s">
        <v>3484</v>
      </c>
      <c r="H1420" t="s">
        <v>17</v>
      </c>
      <c r="I1420" t="s">
        <v>3485</v>
      </c>
    </row>
    <row r="1421" spans="1:9" x14ac:dyDescent="0.3">
      <c r="A1421" t="s">
        <v>2946</v>
      </c>
      <c r="B1421" t="s">
        <v>3482</v>
      </c>
      <c r="C1421" t="s">
        <v>2135</v>
      </c>
      <c r="D1421" t="s">
        <v>1261</v>
      </c>
      <c r="E1421" t="s">
        <v>3486</v>
      </c>
      <c r="F1421" t="s">
        <v>3487</v>
      </c>
      <c r="H1421" t="s">
        <v>17</v>
      </c>
      <c r="I1421" t="s">
        <v>3485</v>
      </c>
    </row>
    <row r="1422" spans="1:9" x14ac:dyDescent="0.3">
      <c r="A1422" t="s">
        <v>2946</v>
      </c>
      <c r="B1422" t="s">
        <v>3482</v>
      </c>
      <c r="C1422" t="s">
        <v>2135</v>
      </c>
      <c r="D1422" t="s">
        <v>1265</v>
      </c>
      <c r="E1422" t="s">
        <v>3488</v>
      </c>
      <c r="F1422" t="s">
        <v>3489</v>
      </c>
      <c r="H1422" t="s">
        <v>17</v>
      </c>
      <c r="I1422" t="s">
        <v>3485</v>
      </c>
    </row>
    <row r="1423" spans="1:9" x14ac:dyDescent="0.3">
      <c r="A1423" t="s">
        <v>2946</v>
      </c>
      <c r="B1423" t="s">
        <v>3482</v>
      </c>
      <c r="C1423" t="s">
        <v>2135</v>
      </c>
      <c r="D1423" t="s">
        <v>1270</v>
      </c>
      <c r="E1423" t="s">
        <v>3490</v>
      </c>
      <c r="F1423" t="s">
        <v>3491</v>
      </c>
      <c r="H1423" t="s">
        <v>17</v>
      </c>
      <c r="I1423" t="s">
        <v>3485</v>
      </c>
    </row>
    <row r="1424" spans="1:9" x14ac:dyDescent="0.3">
      <c r="A1424" t="s">
        <v>2946</v>
      </c>
      <c r="B1424" t="s">
        <v>3482</v>
      </c>
      <c r="C1424" t="s">
        <v>2135</v>
      </c>
      <c r="D1424" t="s">
        <v>1276</v>
      </c>
      <c r="E1424" t="s">
        <v>3492</v>
      </c>
      <c r="F1424" t="s">
        <v>3493</v>
      </c>
      <c r="H1424" t="s">
        <v>17</v>
      </c>
      <c r="I1424" t="s">
        <v>3485</v>
      </c>
    </row>
    <row r="1425" spans="1:9" x14ac:dyDescent="0.3">
      <c r="A1425" t="s">
        <v>2946</v>
      </c>
      <c r="B1425" t="s">
        <v>3482</v>
      </c>
      <c r="C1425" t="s">
        <v>2135</v>
      </c>
      <c r="D1425" t="s">
        <v>303</v>
      </c>
      <c r="E1425" t="s">
        <v>3494</v>
      </c>
      <c r="F1425" t="s">
        <v>3495</v>
      </c>
      <c r="H1425" t="s">
        <v>17</v>
      </c>
      <c r="I1425" t="s">
        <v>3485</v>
      </c>
    </row>
    <row r="1426" spans="1:9" x14ac:dyDescent="0.3">
      <c r="A1426" t="s">
        <v>2946</v>
      </c>
      <c r="B1426" t="s">
        <v>3482</v>
      </c>
      <c r="C1426" t="s">
        <v>2135</v>
      </c>
      <c r="D1426" t="s">
        <v>308</v>
      </c>
      <c r="E1426" t="s">
        <v>3496</v>
      </c>
      <c r="F1426" t="s">
        <v>3497</v>
      </c>
      <c r="H1426" t="s">
        <v>17</v>
      </c>
      <c r="I1426" t="s">
        <v>3485</v>
      </c>
    </row>
    <row r="1427" spans="1:9" x14ac:dyDescent="0.3">
      <c r="A1427" t="s">
        <v>2946</v>
      </c>
      <c r="B1427" t="s">
        <v>3482</v>
      </c>
      <c r="C1427" t="s">
        <v>2135</v>
      </c>
      <c r="D1427" t="s">
        <v>312</v>
      </c>
      <c r="E1427" t="s">
        <v>3498</v>
      </c>
      <c r="F1427" t="s">
        <v>3499</v>
      </c>
      <c r="H1427" t="s">
        <v>17</v>
      </c>
      <c r="I1427" t="s">
        <v>3485</v>
      </c>
    </row>
    <row r="1428" spans="1:9" x14ac:dyDescent="0.3">
      <c r="A1428" t="s">
        <v>2946</v>
      </c>
      <c r="B1428" t="s">
        <v>3482</v>
      </c>
      <c r="C1428" t="s">
        <v>2135</v>
      </c>
      <c r="D1428" t="s">
        <v>316</v>
      </c>
      <c r="E1428" t="s">
        <v>3500</v>
      </c>
      <c r="F1428" t="s">
        <v>3501</v>
      </c>
      <c r="H1428" t="s">
        <v>17</v>
      </c>
      <c r="I1428" t="s">
        <v>3485</v>
      </c>
    </row>
    <row r="1429" spans="1:9" x14ac:dyDescent="0.3">
      <c r="A1429" t="s">
        <v>2946</v>
      </c>
      <c r="B1429" t="s">
        <v>3482</v>
      </c>
      <c r="C1429" t="s">
        <v>2135</v>
      </c>
      <c r="D1429" t="s">
        <v>319</v>
      </c>
      <c r="E1429" t="s">
        <v>3502</v>
      </c>
      <c r="F1429" t="s">
        <v>3503</v>
      </c>
      <c r="H1429" t="s">
        <v>17</v>
      </c>
      <c r="I1429" t="s">
        <v>3485</v>
      </c>
    </row>
    <row r="1430" spans="1:9" x14ac:dyDescent="0.3">
      <c r="A1430" t="s">
        <v>2946</v>
      </c>
      <c r="B1430" t="s">
        <v>3482</v>
      </c>
      <c r="C1430" t="s">
        <v>2135</v>
      </c>
      <c r="D1430" t="s">
        <v>323</v>
      </c>
      <c r="E1430" t="s">
        <v>3504</v>
      </c>
      <c r="F1430" t="s">
        <v>3505</v>
      </c>
      <c r="H1430" t="s">
        <v>17</v>
      </c>
      <c r="I1430" t="s">
        <v>3485</v>
      </c>
    </row>
    <row r="1431" spans="1:9" x14ac:dyDescent="0.3">
      <c r="A1431" t="s">
        <v>2946</v>
      </c>
      <c r="B1431" t="s">
        <v>3482</v>
      </c>
      <c r="C1431" t="s">
        <v>2135</v>
      </c>
      <c r="D1431" t="s">
        <v>327</v>
      </c>
      <c r="E1431" t="s">
        <v>3506</v>
      </c>
      <c r="F1431" t="s">
        <v>3507</v>
      </c>
      <c r="H1431" t="s">
        <v>17</v>
      </c>
      <c r="I1431" t="s">
        <v>3485</v>
      </c>
    </row>
    <row r="1432" spans="1:9" x14ac:dyDescent="0.3">
      <c r="A1432" t="s">
        <v>2946</v>
      </c>
      <c r="B1432" t="s">
        <v>3482</v>
      </c>
      <c r="C1432" t="s">
        <v>2135</v>
      </c>
      <c r="D1432" t="s">
        <v>332</v>
      </c>
      <c r="E1432" t="s">
        <v>3508</v>
      </c>
      <c r="F1432" t="s">
        <v>3509</v>
      </c>
      <c r="H1432" t="s">
        <v>17</v>
      </c>
      <c r="I1432" t="s">
        <v>3485</v>
      </c>
    </row>
    <row r="1433" spans="1:9" x14ac:dyDescent="0.3">
      <c r="A1433" t="s">
        <v>2946</v>
      </c>
      <c r="B1433" t="s">
        <v>3482</v>
      </c>
      <c r="C1433" t="s">
        <v>2135</v>
      </c>
      <c r="D1433" t="s">
        <v>335</v>
      </c>
      <c r="E1433" t="s">
        <v>3510</v>
      </c>
      <c r="F1433" t="s">
        <v>3511</v>
      </c>
      <c r="H1433" t="s">
        <v>17</v>
      </c>
      <c r="I1433" t="s">
        <v>3485</v>
      </c>
    </row>
    <row r="1434" spans="1:9" x14ac:dyDescent="0.3">
      <c r="A1434" t="s">
        <v>2946</v>
      </c>
      <c r="B1434" t="s">
        <v>3482</v>
      </c>
      <c r="C1434" t="s">
        <v>2135</v>
      </c>
      <c r="D1434" t="s">
        <v>338</v>
      </c>
      <c r="E1434" t="s">
        <v>3512</v>
      </c>
      <c r="F1434" t="s">
        <v>3513</v>
      </c>
      <c r="H1434" t="s">
        <v>17</v>
      </c>
      <c r="I1434" t="s">
        <v>3485</v>
      </c>
    </row>
    <row r="1435" spans="1:9" x14ac:dyDescent="0.3">
      <c r="A1435" t="s">
        <v>2946</v>
      </c>
      <c r="B1435" t="s">
        <v>3514</v>
      </c>
      <c r="C1435" t="s">
        <v>2135</v>
      </c>
      <c r="D1435" t="s">
        <v>341</v>
      </c>
      <c r="E1435" t="s">
        <v>3515</v>
      </c>
      <c r="F1435" t="s">
        <v>3516</v>
      </c>
      <c r="H1435" t="s">
        <v>17</v>
      </c>
      <c r="I1435" t="s">
        <v>3517</v>
      </c>
    </row>
    <row r="1436" spans="1:9" x14ac:dyDescent="0.3">
      <c r="A1436" t="s">
        <v>2946</v>
      </c>
      <c r="B1436" t="s">
        <v>3514</v>
      </c>
      <c r="C1436" t="s">
        <v>2135</v>
      </c>
      <c r="D1436" t="s">
        <v>344</v>
      </c>
      <c r="E1436" t="s">
        <v>3518</v>
      </c>
      <c r="F1436" t="s">
        <v>3519</v>
      </c>
      <c r="H1436" t="s">
        <v>17</v>
      </c>
      <c r="I1436" t="s">
        <v>3517</v>
      </c>
    </row>
    <row r="1437" spans="1:9" x14ac:dyDescent="0.3">
      <c r="A1437" t="s">
        <v>2946</v>
      </c>
      <c r="B1437" t="s">
        <v>3514</v>
      </c>
      <c r="C1437" t="s">
        <v>2135</v>
      </c>
      <c r="D1437" t="s">
        <v>347</v>
      </c>
      <c r="E1437" t="s">
        <v>3520</v>
      </c>
      <c r="F1437" t="s">
        <v>3521</v>
      </c>
      <c r="H1437" t="s">
        <v>17</v>
      </c>
      <c r="I1437" t="s">
        <v>3517</v>
      </c>
    </row>
    <row r="1438" spans="1:9" x14ac:dyDescent="0.3">
      <c r="A1438" t="s">
        <v>2946</v>
      </c>
      <c r="B1438" t="s">
        <v>3514</v>
      </c>
      <c r="C1438" t="s">
        <v>2135</v>
      </c>
      <c r="D1438" t="s">
        <v>353</v>
      </c>
      <c r="E1438" t="s">
        <v>3522</v>
      </c>
      <c r="F1438" t="s">
        <v>2821</v>
      </c>
      <c r="H1438" t="s">
        <v>17</v>
      </c>
      <c r="I1438" t="s">
        <v>3517</v>
      </c>
    </row>
    <row r="1439" spans="1:9" x14ac:dyDescent="0.3">
      <c r="A1439" t="s">
        <v>2946</v>
      </c>
      <c r="B1439" t="s">
        <v>3514</v>
      </c>
      <c r="C1439" t="s">
        <v>2135</v>
      </c>
      <c r="D1439" t="s">
        <v>358</v>
      </c>
      <c r="E1439" t="s">
        <v>3523</v>
      </c>
      <c r="F1439" t="s">
        <v>2827</v>
      </c>
      <c r="H1439" t="s">
        <v>17</v>
      </c>
      <c r="I1439" t="s">
        <v>3517</v>
      </c>
    </row>
    <row r="1440" spans="1:9" x14ac:dyDescent="0.3">
      <c r="A1440" t="s">
        <v>2946</v>
      </c>
      <c r="B1440" t="s">
        <v>3514</v>
      </c>
      <c r="C1440" t="s">
        <v>2135</v>
      </c>
      <c r="D1440" t="s">
        <v>361</v>
      </c>
      <c r="E1440" t="s">
        <v>3524</v>
      </c>
      <c r="F1440" t="s">
        <v>3525</v>
      </c>
      <c r="H1440" t="s">
        <v>17</v>
      </c>
      <c r="I1440" t="s">
        <v>3517</v>
      </c>
    </row>
    <row r="1441" spans="1:9" x14ac:dyDescent="0.3">
      <c r="A1441" t="s">
        <v>2946</v>
      </c>
      <c r="B1441" t="s">
        <v>3514</v>
      </c>
      <c r="C1441" t="s">
        <v>2135</v>
      </c>
      <c r="D1441" t="s">
        <v>364</v>
      </c>
      <c r="E1441" t="s">
        <v>3526</v>
      </c>
      <c r="F1441" t="s">
        <v>3527</v>
      </c>
      <c r="H1441" t="s">
        <v>17</v>
      </c>
      <c r="I1441" t="s">
        <v>3517</v>
      </c>
    </row>
    <row r="1442" spans="1:9" x14ac:dyDescent="0.3">
      <c r="A1442" t="s">
        <v>2946</v>
      </c>
      <c r="B1442" t="s">
        <v>3514</v>
      </c>
      <c r="C1442" t="s">
        <v>2135</v>
      </c>
      <c r="D1442" t="s">
        <v>367</v>
      </c>
      <c r="E1442" t="s">
        <v>3528</v>
      </c>
      <c r="F1442" t="s">
        <v>3529</v>
      </c>
      <c r="H1442" t="s">
        <v>17</v>
      </c>
      <c r="I1442" t="s">
        <v>3517</v>
      </c>
    </row>
    <row r="1443" spans="1:9" x14ac:dyDescent="0.3">
      <c r="A1443" t="s">
        <v>2946</v>
      </c>
      <c r="B1443" t="s">
        <v>3514</v>
      </c>
      <c r="C1443" t="s">
        <v>2135</v>
      </c>
      <c r="D1443" t="s">
        <v>370</v>
      </c>
      <c r="E1443" t="s">
        <v>3530</v>
      </c>
      <c r="F1443" t="s">
        <v>3531</v>
      </c>
      <c r="H1443" t="s">
        <v>17</v>
      </c>
      <c r="I1443" t="s">
        <v>3517</v>
      </c>
    </row>
    <row r="1444" spans="1:9" x14ac:dyDescent="0.3">
      <c r="A1444" t="s">
        <v>2946</v>
      </c>
      <c r="B1444" t="s">
        <v>3514</v>
      </c>
      <c r="C1444" t="s">
        <v>2135</v>
      </c>
      <c r="D1444" t="s">
        <v>373</v>
      </c>
      <c r="E1444" t="s">
        <v>3532</v>
      </c>
      <c r="F1444" t="s">
        <v>3533</v>
      </c>
      <c r="H1444" t="s">
        <v>17</v>
      </c>
      <c r="I1444" t="s">
        <v>3517</v>
      </c>
    </row>
    <row r="1445" spans="1:9" x14ac:dyDescent="0.3">
      <c r="A1445" t="s">
        <v>2946</v>
      </c>
      <c r="B1445" t="s">
        <v>3514</v>
      </c>
      <c r="C1445" t="s">
        <v>2135</v>
      </c>
      <c r="D1445" t="s">
        <v>376</v>
      </c>
      <c r="E1445" t="s">
        <v>3534</v>
      </c>
      <c r="F1445" t="s">
        <v>3535</v>
      </c>
      <c r="H1445" t="s">
        <v>17</v>
      </c>
      <c r="I1445" t="s">
        <v>3517</v>
      </c>
    </row>
    <row r="1446" spans="1:9" x14ac:dyDescent="0.3">
      <c r="A1446" t="s">
        <v>2946</v>
      </c>
      <c r="B1446" t="s">
        <v>3514</v>
      </c>
      <c r="C1446" t="s">
        <v>2135</v>
      </c>
      <c r="D1446" t="s">
        <v>1675</v>
      </c>
      <c r="E1446" t="s">
        <v>3536</v>
      </c>
      <c r="F1446" t="s">
        <v>2823</v>
      </c>
      <c r="H1446" t="s">
        <v>17</v>
      </c>
      <c r="I1446" t="s">
        <v>3517</v>
      </c>
    </row>
    <row r="1447" spans="1:9" x14ac:dyDescent="0.3">
      <c r="A1447" t="s">
        <v>2946</v>
      </c>
      <c r="B1447" t="s">
        <v>3514</v>
      </c>
      <c r="C1447" t="s">
        <v>2135</v>
      </c>
      <c r="D1447" t="s">
        <v>1678</v>
      </c>
      <c r="E1447" t="s">
        <v>3537</v>
      </c>
      <c r="F1447" t="s">
        <v>3538</v>
      </c>
      <c r="H1447" t="s">
        <v>17</v>
      </c>
      <c r="I1447" t="s">
        <v>3517</v>
      </c>
    </row>
    <row r="1448" spans="1:9" x14ac:dyDescent="0.3">
      <c r="A1448" t="s">
        <v>2946</v>
      </c>
      <c r="B1448" t="s">
        <v>3514</v>
      </c>
      <c r="C1448" t="s">
        <v>2135</v>
      </c>
      <c r="D1448" t="s">
        <v>1681</v>
      </c>
      <c r="E1448" t="s">
        <v>3539</v>
      </c>
      <c r="F1448" t="s">
        <v>3470</v>
      </c>
      <c r="H1448" t="s">
        <v>17</v>
      </c>
      <c r="I1448" t="s">
        <v>3517</v>
      </c>
    </row>
    <row r="1449" spans="1:9" x14ac:dyDescent="0.3">
      <c r="A1449" t="s">
        <v>2946</v>
      </c>
      <c r="B1449" t="s">
        <v>3514</v>
      </c>
      <c r="C1449" t="s">
        <v>2135</v>
      </c>
      <c r="D1449" t="s">
        <v>1683</v>
      </c>
      <c r="E1449" t="s">
        <v>3540</v>
      </c>
      <c r="F1449" t="s">
        <v>3472</v>
      </c>
      <c r="H1449" t="s">
        <v>17</v>
      </c>
      <c r="I1449" t="s">
        <v>3517</v>
      </c>
    </row>
    <row r="1450" spans="1:9" x14ac:dyDescent="0.3">
      <c r="A1450" t="s">
        <v>2946</v>
      </c>
      <c r="B1450" t="s">
        <v>3514</v>
      </c>
      <c r="C1450" t="s">
        <v>2135</v>
      </c>
      <c r="D1450" t="s">
        <v>1685</v>
      </c>
      <c r="E1450" t="s">
        <v>3541</v>
      </c>
      <c r="F1450" t="s">
        <v>3542</v>
      </c>
      <c r="H1450" t="s">
        <v>17</v>
      </c>
      <c r="I1450" t="s">
        <v>3517</v>
      </c>
    </row>
    <row r="1451" spans="1:9" x14ac:dyDescent="0.3">
      <c r="A1451" t="s">
        <v>2946</v>
      </c>
      <c r="B1451" t="s">
        <v>3514</v>
      </c>
      <c r="C1451" t="s">
        <v>2135</v>
      </c>
      <c r="D1451" t="s">
        <v>2859</v>
      </c>
      <c r="E1451" t="s">
        <v>3543</v>
      </c>
      <c r="F1451" t="s">
        <v>3544</v>
      </c>
      <c r="H1451" t="s">
        <v>17</v>
      </c>
      <c r="I1451" t="s">
        <v>548</v>
      </c>
    </row>
    <row r="1452" spans="1:9" x14ac:dyDescent="0.3">
      <c r="A1452" t="s">
        <v>2946</v>
      </c>
      <c r="B1452" t="s">
        <v>3545</v>
      </c>
      <c r="C1452" t="s">
        <v>3546</v>
      </c>
      <c r="D1452" t="s">
        <v>996</v>
      </c>
      <c r="E1452" t="s">
        <v>2136</v>
      </c>
      <c r="F1452" t="s">
        <v>3547</v>
      </c>
      <c r="H1452" t="s">
        <v>17</v>
      </c>
      <c r="I1452" t="s">
        <v>3457</v>
      </c>
    </row>
    <row r="1453" spans="1:9" x14ac:dyDescent="0.3">
      <c r="A1453" t="s">
        <v>2946</v>
      </c>
      <c r="B1453" t="s">
        <v>3545</v>
      </c>
      <c r="C1453" t="s">
        <v>3546</v>
      </c>
      <c r="D1453" t="s">
        <v>1001</v>
      </c>
      <c r="E1453" t="s">
        <v>2138</v>
      </c>
      <c r="F1453" t="s">
        <v>3548</v>
      </c>
      <c r="H1453" t="s">
        <v>17</v>
      </c>
      <c r="I1453" t="s">
        <v>3457</v>
      </c>
    </row>
    <row r="1454" spans="1:9" x14ac:dyDescent="0.3">
      <c r="A1454" t="s">
        <v>2946</v>
      </c>
      <c r="B1454" t="s">
        <v>3545</v>
      </c>
      <c r="C1454" t="s">
        <v>3546</v>
      </c>
      <c r="D1454" t="s">
        <v>1942</v>
      </c>
      <c r="E1454" t="s">
        <v>2140</v>
      </c>
      <c r="F1454" t="s">
        <v>3549</v>
      </c>
      <c r="H1454" t="s">
        <v>17</v>
      </c>
      <c r="I1454" t="s">
        <v>3457</v>
      </c>
    </row>
    <row r="1455" spans="1:9" x14ac:dyDescent="0.3">
      <c r="A1455" t="s">
        <v>2946</v>
      </c>
      <c r="B1455" t="s">
        <v>3545</v>
      </c>
      <c r="C1455" t="s">
        <v>3546</v>
      </c>
      <c r="D1455" t="s">
        <v>22</v>
      </c>
      <c r="E1455" t="s">
        <v>629</v>
      </c>
      <c r="F1455" t="s">
        <v>3550</v>
      </c>
      <c r="H1455" t="s">
        <v>17</v>
      </c>
      <c r="I1455" t="s">
        <v>3457</v>
      </c>
    </row>
    <row r="1456" spans="1:9" x14ac:dyDescent="0.3">
      <c r="A1456" t="s">
        <v>2946</v>
      </c>
      <c r="B1456" t="s">
        <v>3545</v>
      </c>
      <c r="C1456" t="s">
        <v>3546</v>
      </c>
      <c r="D1456" t="s">
        <v>27</v>
      </c>
      <c r="E1456" t="s">
        <v>2144</v>
      </c>
      <c r="F1456" t="s">
        <v>3551</v>
      </c>
      <c r="H1456" t="s">
        <v>17</v>
      </c>
      <c r="I1456" t="s">
        <v>3457</v>
      </c>
    </row>
    <row r="1457" spans="1:9" x14ac:dyDescent="0.3">
      <c r="A1457" t="s">
        <v>2946</v>
      </c>
      <c r="B1457" t="s">
        <v>3545</v>
      </c>
      <c r="C1457" t="s">
        <v>3546</v>
      </c>
      <c r="D1457" t="s">
        <v>1014</v>
      </c>
      <c r="E1457" t="s">
        <v>2147</v>
      </c>
      <c r="F1457" t="s">
        <v>3552</v>
      </c>
      <c r="H1457" t="s">
        <v>17</v>
      </c>
      <c r="I1457" t="s">
        <v>3457</v>
      </c>
    </row>
    <row r="1458" spans="1:9" x14ac:dyDescent="0.3">
      <c r="A1458" t="s">
        <v>2946</v>
      </c>
      <c r="B1458" t="s">
        <v>3545</v>
      </c>
      <c r="C1458" t="s">
        <v>3546</v>
      </c>
      <c r="D1458" t="s">
        <v>1017</v>
      </c>
      <c r="E1458" t="s">
        <v>633</v>
      </c>
      <c r="F1458" t="s">
        <v>3553</v>
      </c>
      <c r="H1458" t="s">
        <v>17</v>
      </c>
      <c r="I1458" t="s">
        <v>3457</v>
      </c>
    </row>
    <row r="1459" spans="1:9" x14ac:dyDescent="0.3">
      <c r="A1459" t="s">
        <v>2946</v>
      </c>
      <c r="B1459" t="s">
        <v>3545</v>
      </c>
      <c r="C1459" t="s">
        <v>3546</v>
      </c>
      <c r="D1459" t="s">
        <v>36</v>
      </c>
      <c r="E1459" t="s">
        <v>2151</v>
      </c>
      <c r="F1459" t="s">
        <v>3554</v>
      </c>
      <c r="H1459" t="s">
        <v>17</v>
      </c>
      <c r="I1459" t="s">
        <v>3457</v>
      </c>
    </row>
    <row r="1460" spans="1:9" x14ac:dyDescent="0.3">
      <c r="A1460" t="s">
        <v>2946</v>
      </c>
      <c r="B1460" t="s">
        <v>3545</v>
      </c>
      <c r="C1460" t="s">
        <v>3546</v>
      </c>
      <c r="D1460" t="s">
        <v>41</v>
      </c>
      <c r="E1460" t="s">
        <v>2153</v>
      </c>
      <c r="F1460" t="s">
        <v>3555</v>
      </c>
      <c r="H1460" t="s">
        <v>17</v>
      </c>
      <c r="I1460" t="s">
        <v>2794</v>
      </c>
    </row>
    <row r="1461" spans="1:9" x14ac:dyDescent="0.3">
      <c r="A1461" t="s">
        <v>2946</v>
      </c>
      <c r="B1461" t="s">
        <v>3545</v>
      </c>
      <c r="C1461" t="s">
        <v>3546</v>
      </c>
      <c r="D1461" t="s">
        <v>45</v>
      </c>
      <c r="E1461" t="s">
        <v>636</v>
      </c>
      <c r="F1461" t="s">
        <v>3556</v>
      </c>
      <c r="H1461" t="s">
        <v>17</v>
      </c>
      <c r="I1461" t="s">
        <v>3557</v>
      </c>
    </row>
    <row r="1462" spans="1:9" x14ac:dyDescent="0.3">
      <c r="A1462" t="s">
        <v>2946</v>
      </c>
      <c r="B1462" t="s">
        <v>3545</v>
      </c>
      <c r="C1462" t="s">
        <v>3546</v>
      </c>
      <c r="D1462" t="s">
        <v>50</v>
      </c>
      <c r="E1462" t="s">
        <v>2159</v>
      </c>
      <c r="F1462" t="s">
        <v>3558</v>
      </c>
      <c r="H1462" t="s">
        <v>17</v>
      </c>
      <c r="I1462" t="s">
        <v>3557</v>
      </c>
    </row>
    <row r="1463" spans="1:9" x14ac:dyDescent="0.3">
      <c r="A1463" t="s">
        <v>2946</v>
      </c>
      <c r="B1463" t="s">
        <v>3545</v>
      </c>
      <c r="C1463" t="s">
        <v>3546</v>
      </c>
      <c r="D1463" t="s">
        <v>53</v>
      </c>
      <c r="E1463" t="s">
        <v>2162</v>
      </c>
      <c r="F1463" t="s">
        <v>3559</v>
      </c>
      <c r="H1463" t="s">
        <v>17</v>
      </c>
      <c r="I1463" t="s">
        <v>3560</v>
      </c>
    </row>
    <row r="1464" spans="1:9" x14ac:dyDescent="0.3">
      <c r="A1464" t="s">
        <v>2946</v>
      </c>
      <c r="B1464" t="s">
        <v>3545</v>
      </c>
      <c r="C1464" t="s">
        <v>3546</v>
      </c>
      <c r="D1464" t="s">
        <v>1537</v>
      </c>
      <c r="E1464" t="s">
        <v>639</v>
      </c>
      <c r="F1464" t="s">
        <v>3561</v>
      </c>
      <c r="H1464" t="s">
        <v>17</v>
      </c>
      <c r="I1464" t="s">
        <v>3562</v>
      </c>
    </row>
    <row r="1465" spans="1:9" x14ac:dyDescent="0.3">
      <c r="A1465" t="s">
        <v>2946</v>
      </c>
      <c r="B1465" t="s">
        <v>3545</v>
      </c>
      <c r="C1465" t="s">
        <v>3546</v>
      </c>
      <c r="D1465" t="s">
        <v>66</v>
      </c>
      <c r="E1465" t="s">
        <v>2165</v>
      </c>
      <c r="F1465" t="s">
        <v>3563</v>
      </c>
      <c r="H1465" t="s">
        <v>17</v>
      </c>
      <c r="I1465" t="s">
        <v>3564</v>
      </c>
    </row>
    <row r="1466" spans="1:9" x14ac:dyDescent="0.3">
      <c r="A1466" t="s">
        <v>2946</v>
      </c>
      <c r="B1466" t="s">
        <v>3545</v>
      </c>
      <c r="C1466" t="s">
        <v>3546</v>
      </c>
      <c r="D1466" t="s">
        <v>3565</v>
      </c>
      <c r="E1466" t="s">
        <v>2169</v>
      </c>
      <c r="F1466" t="s">
        <v>3566</v>
      </c>
      <c r="H1466" t="s">
        <v>17</v>
      </c>
      <c r="I1466" t="s">
        <v>3567</v>
      </c>
    </row>
    <row r="1467" spans="1:9" x14ac:dyDescent="0.3">
      <c r="A1467" t="s">
        <v>2946</v>
      </c>
      <c r="B1467" t="s">
        <v>3545</v>
      </c>
      <c r="C1467" t="s">
        <v>3546</v>
      </c>
      <c r="D1467" t="s">
        <v>3568</v>
      </c>
      <c r="E1467" t="s">
        <v>642</v>
      </c>
      <c r="F1467" t="s">
        <v>3569</v>
      </c>
      <c r="H1467" t="s">
        <v>17</v>
      </c>
      <c r="I1467" t="s">
        <v>3570</v>
      </c>
    </row>
    <row r="1468" spans="1:9" x14ac:dyDescent="0.3">
      <c r="A1468" t="s">
        <v>2946</v>
      </c>
      <c r="B1468" t="s">
        <v>3571</v>
      </c>
      <c r="C1468" t="s">
        <v>3546</v>
      </c>
      <c r="D1468" t="s">
        <v>3572</v>
      </c>
      <c r="E1468" t="s">
        <v>2176</v>
      </c>
      <c r="F1468" t="s">
        <v>3573</v>
      </c>
      <c r="H1468" t="s">
        <v>17</v>
      </c>
      <c r="I1468" t="s">
        <v>3570</v>
      </c>
    </row>
    <row r="1469" spans="1:9" x14ac:dyDescent="0.3">
      <c r="A1469" t="s">
        <v>2946</v>
      </c>
      <c r="B1469" t="s">
        <v>3571</v>
      </c>
      <c r="C1469" t="s">
        <v>3546</v>
      </c>
      <c r="D1469" t="s">
        <v>3574</v>
      </c>
      <c r="E1469" t="s">
        <v>645</v>
      </c>
      <c r="F1469" t="s">
        <v>3575</v>
      </c>
      <c r="H1469" t="s">
        <v>17</v>
      </c>
      <c r="I1469" t="s">
        <v>3570</v>
      </c>
    </row>
    <row r="1470" spans="1:9" x14ac:dyDescent="0.3">
      <c r="A1470" t="s">
        <v>2946</v>
      </c>
      <c r="B1470" t="s">
        <v>3571</v>
      </c>
      <c r="C1470" t="s">
        <v>3546</v>
      </c>
      <c r="D1470" t="s">
        <v>1556</v>
      </c>
      <c r="E1470" t="s">
        <v>2179</v>
      </c>
      <c r="F1470" t="s">
        <v>3576</v>
      </c>
      <c r="H1470" t="s">
        <v>17</v>
      </c>
      <c r="I1470" t="s">
        <v>3577</v>
      </c>
    </row>
    <row r="1471" spans="1:9" x14ac:dyDescent="0.3">
      <c r="A1471" t="s">
        <v>2946</v>
      </c>
      <c r="B1471" t="s">
        <v>3571</v>
      </c>
      <c r="C1471" t="s">
        <v>3546</v>
      </c>
      <c r="D1471" t="s">
        <v>2183</v>
      </c>
      <c r="E1471" t="s">
        <v>2181</v>
      </c>
      <c r="F1471" t="s">
        <v>3578</v>
      </c>
      <c r="H1471" t="s">
        <v>17</v>
      </c>
      <c r="I1471" t="s">
        <v>3570</v>
      </c>
    </row>
    <row r="1472" spans="1:9" x14ac:dyDescent="0.3">
      <c r="A1472" t="s">
        <v>2946</v>
      </c>
      <c r="B1472" t="s">
        <v>3571</v>
      </c>
      <c r="C1472" t="s">
        <v>3546</v>
      </c>
      <c r="D1472" t="s">
        <v>121</v>
      </c>
      <c r="E1472" t="s">
        <v>648</v>
      </c>
      <c r="F1472" t="s">
        <v>2926</v>
      </c>
      <c r="H1472" t="s">
        <v>17</v>
      </c>
      <c r="I1472" t="s">
        <v>3579</v>
      </c>
    </row>
    <row r="1473" spans="1:9" x14ac:dyDescent="0.3">
      <c r="A1473" t="s">
        <v>2946</v>
      </c>
      <c r="B1473" t="s">
        <v>3571</v>
      </c>
      <c r="C1473" t="s">
        <v>3546</v>
      </c>
      <c r="D1473" t="s">
        <v>1080</v>
      </c>
      <c r="E1473" t="s">
        <v>2182</v>
      </c>
      <c r="F1473" t="s">
        <v>3580</v>
      </c>
      <c r="H1473" t="s">
        <v>17</v>
      </c>
      <c r="I1473" t="s">
        <v>3570</v>
      </c>
    </row>
    <row r="1474" spans="1:9" x14ac:dyDescent="0.3">
      <c r="A1474" t="s">
        <v>2946</v>
      </c>
      <c r="B1474" t="s">
        <v>3571</v>
      </c>
      <c r="C1474" t="s">
        <v>3546</v>
      </c>
      <c r="D1474" t="s">
        <v>132</v>
      </c>
      <c r="E1474" t="s">
        <v>2184</v>
      </c>
      <c r="F1474" t="s">
        <v>3581</v>
      </c>
      <c r="H1474" t="s">
        <v>17</v>
      </c>
      <c r="I1474" t="s">
        <v>3582</v>
      </c>
    </row>
    <row r="1475" spans="1:9" x14ac:dyDescent="0.3">
      <c r="A1475" t="s">
        <v>2946</v>
      </c>
      <c r="B1475" t="s">
        <v>3571</v>
      </c>
      <c r="C1475" t="s">
        <v>3546</v>
      </c>
      <c r="D1475" t="s">
        <v>3583</v>
      </c>
      <c r="E1475" t="s">
        <v>651</v>
      </c>
      <c r="F1475" t="s">
        <v>3584</v>
      </c>
      <c r="H1475" t="s">
        <v>17</v>
      </c>
      <c r="I1475" t="s">
        <v>3585</v>
      </c>
    </row>
    <row r="1476" spans="1:9" x14ac:dyDescent="0.3">
      <c r="A1476" t="s">
        <v>2946</v>
      </c>
      <c r="B1476" t="s">
        <v>3571</v>
      </c>
      <c r="C1476" t="s">
        <v>3546</v>
      </c>
      <c r="D1476" t="s">
        <v>3586</v>
      </c>
      <c r="E1476" t="s">
        <v>656</v>
      </c>
      <c r="F1476" t="s">
        <v>3587</v>
      </c>
      <c r="H1476" t="s">
        <v>17</v>
      </c>
    </row>
    <row r="1477" spans="1:9" x14ac:dyDescent="0.3">
      <c r="A1477" t="s">
        <v>2946</v>
      </c>
      <c r="B1477" t="s">
        <v>3571</v>
      </c>
      <c r="C1477" t="s">
        <v>3546</v>
      </c>
      <c r="D1477" t="s">
        <v>147</v>
      </c>
      <c r="E1477" t="s">
        <v>659</v>
      </c>
      <c r="F1477" t="s">
        <v>3588</v>
      </c>
      <c r="H1477" t="s">
        <v>17</v>
      </c>
      <c r="I1477" t="s">
        <v>3589</v>
      </c>
    </row>
    <row r="1478" spans="1:9" x14ac:dyDescent="0.3">
      <c r="A1478" t="s">
        <v>2946</v>
      </c>
      <c r="B1478" t="s">
        <v>3571</v>
      </c>
      <c r="C1478" t="s">
        <v>3546</v>
      </c>
      <c r="D1478" t="s">
        <v>1096</v>
      </c>
      <c r="E1478" t="s">
        <v>662</v>
      </c>
      <c r="F1478" t="s">
        <v>3590</v>
      </c>
      <c r="H1478" t="s">
        <v>17</v>
      </c>
      <c r="I1478" t="s">
        <v>3585</v>
      </c>
    </row>
    <row r="1479" spans="1:9" x14ac:dyDescent="0.3">
      <c r="A1479" t="s">
        <v>2946</v>
      </c>
      <c r="B1479" t="s">
        <v>3571</v>
      </c>
      <c r="C1479" t="s">
        <v>3546</v>
      </c>
      <c r="D1479" t="s">
        <v>1100</v>
      </c>
      <c r="E1479" t="s">
        <v>665</v>
      </c>
      <c r="F1479" t="s">
        <v>3587</v>
      </c>
      <c r="H1479" t="s">
        <v>17</v>
      </c>
    </row>
    <row r="1480" spans="1:9" x14ac:dyDescent="0.3">
      <c r="A1480" t="s">
        <v>2946</v>
      </c>
      <c r="B1480" t="s">
        <v>3571</v>
      </c>
      <c r="C1480" t="s">
        <v>3546</v>
      </c>
      <c r="D1480" t="s">
        <v>172</v>
      </c>
      <c r="E1480" t="s">
        <v>668</v>
      </c>
      <c r="F1480" t="s">
        <v>3591</v>
      </c>
      <c r="H1480" t="s">
        <v>17</v>
      </c>
      <c r="I1480" t="s">
        <v>3592</v>
      </c>
    </row>
    <row r="1481" spans="1:9" x14ac:dyDescent="0.3">
      <c r="A1481" t="s">
        <v>2946</v>
      </c>
      <c r="B1481" t="s">
        <v>3571</v>
      </c>
      <c r="C1481" t="s">
        <v>3546</v>
      </c>
      <c r="D1481" t="s">
        <v>3593</v>
      </c>
      <c r="E1481" t="s">
        <v>671</v>
      </c>
      <c r="F1481" t="s">
        <v>3594</v>
      </c>
      <c r="H1481" t="s">
        <v>17</v>
      </c>
      <c r="I1481" t="s">
        <v>3585</v>
      </c>
    </row>
    <row r="1482" spans="1:9" x14ac:dyDescent="0.3">
      <c r="A1482" t="s">
        <v>2946</v>
      </c>
      <c r="B1482" t="s">
        <v>3571</v>
      </c>
      <c r="C1482" t="s">
        <v>3546</v>
      </c>
      <c r="D1482" t="s">
        <v>3595</v>
      </c>
      <c r="E1482" t="s">
        <v>674</v>
      </c>
      <c r="F1482" t="s">
        <v>3587</v>
      </c>
      <c r="H1482" t="s">
        <v>17</v>
      </c>
    </row>
    <row r="1483" spans="1:9" x14ac:dyDescent="0.3">
      <c r="A1483" t="s">
        <v>2946</v>
      </c>
      <c r="B1483" t="s">
        <v>3571</v>
      </c>
      <c r="C1483" t="s">
        <v>3546</v>
      </c>
      <c r="D1483" t="s">
        <v>198</v>
      </c>
      <c r="E1483" t="s">
        <v>2201</v>
      </c>
      <c r="F1483" t="s">
        <v>3596</v>
      </c>
      <c r="H1483" t="s">
        <v>17</v>
      </c>
      <c r="I1483" t="s">
        <v>3582</v>
      </c>
    </row>
    <row r="1484" spans="1:9" x14ac:dyDescent="0.3">
      <c r="A1484" t="s">
        <v>2946</v>
      </c>
      <c r="B1484" t="s">
        <v>3571</v>
      </c>
      <c r="C1484" t="s">
        <v>3546</v>
      </c>
      <c r="D1484" t="s">
        <v>1118</v>
      </c>
      <c r="E1484" t="s">
        <v>680</v>
      </c>
      <c r="F1484" t="s">
        <v>3597</v>
      </c>
      <c r="H1484" t="s">
        <v>17</v>
      </c>
      <c r="I1484" t="s">
        <v>3585</v>
      </c>
    </row>
    <row r="1485" spans="1:9" x14ac:dyDescent="0.3">
      <c r="A1485" t="s">
        <v>2946</v>
      </c>
      <c r="B1485" t="s">
        <v>3571</v>
      </c>
      <c r="C1485" t="s">
        <v>3546</v>
      </c>
      <c r="D1485" t="s">
        <v>1123</v>
      </c>
      <c r="E1485" t="s">
        <v>2203</v>
      </c>
      <c r="F1485" t="s">
        <v>3587</v>
      </c>
      <c r="H1485" t="s">
        <v>17</v>
      </c>
    </row>
    <row r="1486" spans="1:9" x14ac:dyDescent="0.3">
      <c r="A1486" t="s">
        <v>2946</v>
      </c>
      <c r="B1486" t="s">
        <v>3571</v>
      </c>
      <c r="C1486" t="s">
        <v>3546</v>
      </c>
      <c r="D1486" t="s">
        <v>218</v>
      </c>
      <c r="E1486" t="s">
        <v>685</v>
      </c>
      <c r="F1486" t="s">
        <v>3598</v>
      </c>
      <c r="H1486" t="s">
        <v>17</v>
      </c>
      <c r="I1486" t="s">
        <v>3599</v>
      </c>
    </row>
    <row r="1487" spans="1:9" x14ac:dyDescent="0.3">
      <c r="A1487" t="s">
        <v>2946</v>
      </c>
      <c r="B1487" t="s">
        <v>3571</v>
      </c>
      <c r="C1487" t="s">
        <v>3546</v>
      </c>
      <c r="D1487" t="s">
        <v>2924</v>
      </c>
      <c r="E1487" t="s">
        <v>2208</v>
      </c>
      <c r="F1487" t="s">
        <v>3600</v>
      </c>
      <c r="H1487" t="s">
        <v>17</v>
      </c>
      <c r="I1487" t="s">
        <v>3585</v>
      </c>
    </row>
    <row r="1488" spans="1:9" x14ac:dyDescent="0.3">
      <c r="A1488" t="s">
        <v>2946</v>
      </c>
      <c r="B1488" t="s">
        <v>3571</v>
      </c>
      <c r="C1488" t="s">
        <v>3546</v>
      </c>
      <c r="D1488" t="s">
        <v>2925</v>
      </c>
      <c r="E1488" t="s">
        <v>690</v>
      </c>
      <c r="F1488" t="s">
        <v>3587</v>
      </c>
      <c r="H1488" t="s">
        <v>17</v>
      </c>
    </row>
    <row r="1489" spans="1:9" x14ac:dyDescent="0.3">
      <c r="A1489" t="s">
        <v>2946</v>
      </c>
      <c r="B1489" t="s">
        <v>3601</v>
      </c>
      <c r="C1489" t="s">
        <v>3546</v>
      </c>
      <c r="D1489" t="s">
        <v>239</v>
      </c>
      <c r="E1489" t="s">
        <v>695</v>
      </c>
      <c r="F1489" t="s">
        <v>3602</v>
      </c>
      <c r="H1489" t="s">
        <v>17</v>
      </c>
      <c r="I1489" t="s">
        <v>3603</v>
      </c>
    </row>
    <row r="1490" spans="1:9" x14ac:dyDescent="0.3">
      <c r="A1490" t="s">
        <v>2946</v>
      </c>
      <c r="B1490" t="s">
        <v>3601</v>
      </c>
      <c r="C1490" t="s">
        <v>3546</v>
      </c>
      <c r="D1490" t="s">
        <v>1881</v>
      </c>
      <c r="E1490" t="s">
        <v>701</v>
      </c>
      <c r="F1490" t="s">
        <v>3604</v>
      </c>
      <c r="H1490" t="s">
        <v>17</v>
      </c>
      <c r="I1490" t="s">
        <v>3603</v>
      </c>
    </row>
    <row r="1491" spans="1:9" x14ac:dyDescent="0.3">
      <c r="A1491" t="s">
        <v>2946</v>
      </c>
      <c r="B1491" t="s">
        <v>3601</v>
      </c>
      <c r="C1491" t="s">
        <v>3546</v>
      </c>
      <c r="D1491" t="s">
        <v>1885</v>
      </c>
      <c r="E1491" t="s">
        <v>706</v>
      </c>
      <c r="F1491" t="s">
        <v>3605</v>
      </c>
      <c r="H1491" t="s">
        <v>17</v>
      </c>
      <c r="I1491" t="s">
        <v>3603</v>
      </c>
    </row>
    <row r="1492" spans="1:9" x14ac:dyDescent="0.3">
      <c r="A1492" t="s">
        <v>2946</v>
      </c>
      <c r="B1492" t="s">
        <v>3601</v>
      </c>
      <c r="C1492" t="s">
        <v>3546</v>
      </c>
      <c r="D1492" t="s">
        <v>1588</v>
      </c>
      <c r="E1492" t="s">
        <v>709</v>
      </c>
      <c r="F1492" t="s">
        <v>3606</v>
      </c>
      <c r="H1492" t="s">
        <v>17</v>
      </c>
      <c r="I1492" t="s">
        <v>3603</v>
      </c>
    </row>
    <row r="1493" spans="1:9" x14ac:dyDescent="0.3">
      <c r="A1493" t="s">
        <v>2946</v>
      </c>
      <c r="B1493" t="s">
        <v>3601</v>
      </c>
      <c r="C1493" t="s">
        <v>3546</v>
      </c>
      <c r="D1493" t="s">
        <v>1892</v>
      </c>
      <c r="E1493" t="s">
        <v>713</v>
      </c>
      <c r="F1493" t="s">
        <v>3607</v>
      </c>
      <c r="H1493" t="s">
        <v>17</v>
      </c>
      <c r="I1493" t="s">
        <v>3608</v>
      </c>
    </row>
    <row r="1494" spans="1:9" x14ac:dyDescent="0.3">
      <c r="A1494" t="s">
        <v>2946</v>
      </c>
      <c r="B1494" t="s">
        <v>3601</v>
      </c>
      <c r="C1494" t="s">
        <v>3546</v>
      </c>
      <c r="D1494" t="s">
        <v>1146</v>
      </c>
      <c r="E1494" t="s">
        <v>716</v>
      </c>
      <c r="F1494" t="s">
        <v>3609</v>
      </c>
      <c r="H1494" t="s">
        <v>17</v>
      </c>
      <c r="I1494" t="s">
        <v>3610</v>
      </c>
    </row>
    <row r="1495" spans="1:9" x14ac:dyDescent="0.3">
      <c r="A1495" t="s">
        <v>2946</v>
      </c>
      <c r="B1495" t="s">
        <v>3601</v>
      </c>
      <c r="C1495" t="s">
        <v>3546</v>
      </c>
      <c r="D1495" t="s">
        <v>1593</v>
      </c>
      <c r="E1495" t="s">
        <v>721</v>
      </c>
      <c r="F1495" t="s">
        <v>1449</v>
      </c>
      <c r="H1495" t="s">
        <v>17</v>
      </c>
      <c r="I1495" t="s">
        <v>3611</v>
      </c>
    </row>
    <row r="1496" spans="1:9" x14ac:dyDescent="0.3">
      <c r="A1496" t="s">
        <v>2946</v>
      </c>
      <c r="B1496" t="s">
        <v>3601</v>
      </c>
      <c r="C1496" t="s">
        <v>3546</v>
      </c>
      <c r="D1496" t="s">
        <v>1158</v>
      </c>
      <c r="E1496" t="s">
        <v>724</v>
      </c>
      <c r="F1496" t="s">
        <v>3612</v>
      </c>
      <c r="H1496" t="s">
        <v>17</v>
      </c>
      <c r="I1496" t="s">
        <v>3613</v>
      </c>
    </row>
    <row r="1497" spans="1:9" x14ac:dyDescent="0.3">
      <c r="A1497" t="s">
        <v>2946</v>
      </c>
      <c r="B1497" t="s">
        <v>3601</v>
      </c>
      <c r="C1497" t="s">
        <v>3546</v>
      </c>
      <c r="D1497" t="s">
        <v>1162</v>
      </c>
      <c r="E1497" t="s">
        <v>727</v>
      </c>
      <c r="F1497" t="s">
        <v>3614</v>
      </c>
      <c r="H1497" t="s">
        <v>17</v>
      </c>
      <c r="I1497" t="s">
        <v>3615</v>
      </c>
    </row>
    <row r="1498" spans="1:9" x14ac:dyDescent="0.3">
      <c r="A1498" t="s">
        <v>2946</v>
      </c>
      <c r="B1498" t="s">
        <v>3601</v>
      </c>
      <c r="C1498" t="s">
        <v>3546</v>
      </c>
      <c r="D1498" t="s">
        <v>1165</v>
      </c>
      <c r="E1498" t="s">
        <v>730</v>
      </c>
      <c r="F1498" t="s">
        <v>3616</v>
      </c>
      <c r="H1498" t="s">
        <v>17</v>
      </c>
      <c r="I1498" t="s">
        <v>3617</v>
      </c>
    </row>
    <row r="1499" spans="1:9" x14ac:dyDescent="0.3">
      <c r="A1499" t="s">
        <v>2946</v>
      </c>
      <c r="B1499" t="s">
        <v>3601</v>
      </c>
      <c r="C1499" t="s">
        <v>3546</v>
      </c>
      <c r="D1499" t="s">
        <v>1168</v>
      </c>
      <c r="E1499" t="s">
        <v>735</v>
      </c>
      <c r="F1499" t="s">
        <v>2931</v>
      </c>
      <c r="H1499" t="s">
        <v>17</v>
      </c>
      <c r="I1499" t="s">
        <v>414</v>
      </c>
    </row>
    <row r="1500" spans="1:9" x14ac:dyDescent="0.3">
      <c r="A1500" t="s">
        <v>2946</v>
      </c>
      <c r="B1500" t="s">
        <v>3601</v>
      </c>
      <c r="C1500" t="s">
        <v>3546</v>
      </c>
      <c r="D1500" t="s">
        <v>1172</v>
      </c>
      <c r="E1500" t="s">
        <v>740</v>
      </c>
      <c r="F1500" t="s">
        <v>3350</v>
      </c>
      <c r="H1500" t="s">
        <v>17</v>
      </c>
      <c r="I1500" t="s">
        <v>3618</v>
      </c>
    </row>
    <row r="1501" spans="1:9" x14ac:dyDescent="0.3">
      <c r="A1501" t="s">
        <v>2946</v>
      </c>
      <c r="B1501" t="s">
        <v>3601</v>
      </c>
      <c r="C1501" t="s">
        <v>3546</v>
      </c>
      <c r="D1501" t="s">
        <v>1176</v>
      </c>
      <c r="E1501" t="s">
        <v>746</v>
      </c>
      <c r="F1501" t="s">
        <v>3619</v>
      </c>
      <c r="H1501" t="s">
        <v>17</v>
      </c>
      <c r="I1501" t="s">
        <v>3620</v>
      </c>
    </row>
    <row r="1502" spans="1:9" x14ac:dyDescent="0.3">
      <c r="A1502" t="s">
        <v>2946</v>
      </c>
      <c r="B1502" t="s">
        <v>3601</v>
      </c>
      <c r="C1502" t="s">
        <v>3546</v>
      </c>
      <c r="D1502" t="s">
        <v>1179</v>
      </c>
      <c r="E1502" t="s">
        <v>3621</v>
      </c>
      <c r="F1502" t="s">
        <v>3622</v>
      </c>
      <c r="H1502" t="s">
        <v>17</v>
      </c>
      <c r="I1502" t="s">
        <v>414</v>
      </c>
    </row>
    <row r="1503" spans="1:9" x14ac:dyDescent="0.3">
      <c r="A1503" t="s">
        <v>2946</v>
      </c>
      <c r="B1503" t="s">
        <v>3601</v>
      </c>
      <c r="C1503" t="s">
        <v>3546</v>
      </c>
      <c r="D1503" t="s">
        <v>1184</v>
      </c>
      <c r="E1503" t="s">
        <v>750</v>
      </c>
      <c r="F1503" t="s">
        <v>3623</v>
      </c>
      <c r="H1503" t="s">
        <v>17</v>
      </c>
      <c r="I1503" t="s">
        <v>414</v>
      </c>
    </row>
    <row r="1504" spans="1:9" x14ac:dyDescent="0.3">
      <c r="A1504" t="s">
        <v>2946</v>
      </c>
      <c r="B1504" t="s">
        <v>3601</v>
      </c>
      <c r="C1504" t="s">
        <v>3546</v>
      </c>
      <c r="D1504" t="s">
        <v>3624</v>
      </c>
      <c r="E1504" t="s">
        <v>755</v>
      </c>
      <c r="F1504" t="s">
        <v>747</v>
      </c>
      <c r="H1504" t="s">
        <v>17</v>
      </c>
    </row>
    <row r="1505" spans="1:9" x14ac:dyDescent="0.3">
      <c r="A1505" t="s">
        <v>2946</v>
      </c>
      <c r="B1505" t="s">
        <v>3601</v>
      </c>
      <c r="C1505" t="s">
        <v>3546</v>
      </c>
      <c r="D1505" t="s">
        <v>3625</v>
      </c>
      <c r="E1505" t="s">
        <v>2291</v>
      </c>
      <c r="F1505" t="s">
        <v>797</v>
      </c>
      <c r="H1505" t="s">
        <v>17</v>
      </c>
    </row>
    <row r="1506" spans="1:9" x14ac:dyDescent="0.3">
      <c r="A1506" t="s">
        <v>2946</v>
      </c>
      <c r="B1506" t="s">
        <v>3601</v>
      </c>
      <c r="C1506" t="s">
        <v>3546</v>
      </c>
      <c r="D1506" t="s">
        <v>1205</v>
      </c>
      <c r="E1506" t="s">
        <v>2294</v>
      </c>
      <c r="F1506" t="s">
        <v>3626</v>
      </c>
      <c r="H1506" t="s">
        <v>17</v>
      </c>
      <c r="I1506" t="s">
        <v>3627</v>
      </c>
    </row>
    <row r="1507" spans="1:9" x14ac:dyDescent="0.3">
      <c r="A1507" t="s">
        <v>2946</v>
      </c>
      <c r="B1507" t="s">
        <v>3601</v>
      </c>
      <c r="C1507" t="s">
        <v>3546</v>
      </c>
      <c r="D1507" t="s">
        <v>1209</v>
      </c>
      <c r="E1507" t="s">
        <v>759</v>
      </c>
      <c r="F1507" t="s">
        <v>3628</v>
      </c>
      <c r="H1507" t="s">
        <v>17</v>
      </c>
    </row>
    <row r="1508" spans="1:9" x14ac:dyDescent="0.3">
      <c r="A1508" t="s">
        <v>2946</v>
      </c>
      <c r="B1508" t="s">
        <v>3601</v>
      </c>
      <c r="C1508" t="s">
        <v>3546</v>
      </c>
      <c r="D1508" t="s">
        <v>1213</v>
      </c>
      <c r="E1508" t="s">
        <v>2297</v>
      </c>
      <c r="F1508" t="s">
        <v>3629</v>
      </c>
      <c r="H1508" t="s">
        <v>17</v>
      </c>
    </row>
    <row r="1509" spans="1:9" x14ac:dyDescent="0.3">
      <c r="A1509" t="s">
        <v>2946</v>
      </c>
      <c r="B1509" t="s">
        <v>3601</v>
      </c>
      <c r="C1509" t="s">
        <v>3546</v>
      </c>
      <c r="D1509" t="s">
        <v>1219</v>
      </c>
      <c r="E1509" t="s">
        <v>763</v>
      </c>
      <c r="F1509" t="s">
        <v>2192</v>
      </c>
      <c r="H1509" t="s">
        <v>17</v>
      </c>
      <c r="I1509" t="s">
        <v>3630</v>
      </c>
    </row>
    <row r="1510" spans="1:9" x14ac:dyDescent="0.3">
      <c r="A1510" t="s">
        <v>2946</v>
      </c>
      <c r="B1510" t="s">
        <v>3601</v>
      </c>
      <c r="C1510" t="s">
        <v>3546</v>
      </c>
      <c r="D1510" t="s">
        <v>1224</v>
      </c>
      <c r="E1510" t="s">
        <v>768</v>
      </c>
      <c r="F1510" t="s">
        <v>2196</v>
      </c>
      <c r="H1510" t="s">
        <v>17</v>
      </c>
      <c r="I1510" t="s">
        <v>3631</v>
      </c>
    </row>
    <row r="1511" spans="1:9" x14ac:dyDescent="0.3">
      <c r="A1511" t="s">
        <v>2946</v>
      </c>
      <c r="B1511" t="s">
        <v>3601</v>
      </c>
      <c r="C1511" t="s">
        <v>3546</v>
      </c>
      <c r="D1511" t="s">
        <v>285</v>
      </c>
      <c r="E1511" t="s">
        <v>2301</v>
      </c>
      <c r="F1511" t="s">
        <v>1703</v>
      </c>
      <c r="H1511" t="s">
        <v>17</v>
      </c>
    </row>
    <row r="1512" spans="1:9" x14ac:dyDescent="0.3">
      <c r="A1512" t="s">
        <v>2946</v>
      </c>
      <c r="B1512" t="s">
        <v>3601</v>
      </c>
      <c r="C1512" t="s">
        <v>3546</v>
      </c>
      <c r="D1512" t="s">
        <v>288</v>
      </c>
      <c r="E1512" t="s">
        <v>773</v>
      </c>
      <c r="F1512" t="s">
        <v>2945</v>
      </c>
      <c r="H1512" t="s">
        <v>17</v>
      </c>
    </row>
    <row r="1513" spans="1:9" x14ac:dyDescent="0.3">
      <c r="A1513" t="s">
        <v>2946</v>
      </c>
      <c r="B1513" t="s">
        <v>3601</v>
      </c>
      <c r="C1513" t="s">
        <v>3546</v>
      </c>
      <c r="D1513" t="s">
        <v>291</v>
      </c>
      <c r="E1513" t="s">
        <v>2304</v>
      </c>
      <c r="F1513" t="s">
        <v>1706</v>
      </c>
      <c r="H1513" t="s">
        <v>17</v>
      </c>
    </row>
    <row r="1514" spans="1:9" x14ac:dyDescent="0.3">
      <c r="A1514" t="s">
        <v>2946</v>
      </c>
      <c r="B1514" t="s">
        <v>3601</v>
      </c>
      <c r="C1514" t="s">
        <v>3546</v>
      </c>
      <c r="D1514" t="s">
        <v>3632</v>
      </c>
      <c r="E1514" t="s">
        <v>778</v>
      </c>
      <c r="F1514" t="s">
        <v>3633</v>
      </c>
      <c r="H1514" t="s">
        <v>17</v>
      </c>
    </row>
    <row r="1515" spans="1:9" x14ac:dyDescent="0.3">
      <c r="A1515" t="s">
        <v>2946</v>
      </c>
      <c r="E1515" t="s">
        <v>10</v>
      </c>
      <c r="F1515" t="s">
        <v>2947</v>
      </c>
    </row>
    <row r="1516" spans="1:9" x14ac:dyDescent="0.3">
      <c r="A1516" t="s">
        <v>2946</v>
      </c>
      <c r="C1516" t="s">
        <v>13</v>
      </c>
      <c r="D1516" t="s">
        <v>2948</v>
      </c>
      <c r="E1516" t="s">
        <v>1742</v>
      </c>
      <c r="F1516" t="s">
        <v>2670</v>
      </c>
      <c r="H1516" t="s">
        <v>17</v>
      </c>
    </row>
    <row r="1517" spans="1:9" x14ac:dyDescent="0.3">
      <c r="A1517" t="s">
        <v>2946</v>
      </c>
      <c r="C1517" t="s">
        <v>13</v>
      </c>
      <c r="D1517" t="s">
        <v>996</v>
      </c>
      <c r="E1517" t="s">
        <v>1744</v>
      </c>
      <c r="F1517" t="s">
        <v>2677</v>
      </c>
      <c r="H1517" t="s">
        <v>17</v>
      </c>
      <c r="I1517" t="s">
        <v>2678</v>
      </c>
    </row>
    <row r="1518" spans="1:9" x14ac:dyDescent="0.3">
      <c r="A1518" t="s">
        <v>2946</v>
      </c>
      <c r="C1518" t="s">
        <v>13</v>
      </c>
      <c r="D1518" t="s">
        <v>1001</v>
      </c>
      <c r="E1518" t="s">
        <v>1747</v>
      </c>
      <c r="F1518" t="s">
        <v>2680</v>
      </c>
      <c r="H1518" t="s">
        <v>17</v>
      </c>
      <c r="I1518" t="s">
        <v>2678</v>
      </c>
    </row>
    <row r="1519" spans="1:9" x14ac:dyDescent="0.3">
      <c r="A1519" t="s">
        <v>2946</v>
      </c>
      <c r="C1519" t="s">
        <v>13</v>
      </c>
      <c r="D1519" t="s">
        <v>1942</v>
      </c>
      <c r="E1519" t="s">
        <v>1750</v>
      </c>
      <c r="F1519" t="s">
        <v>2681</v>
      </c>
      <c r="H1519" t="s">
        <v>17</v>
      </c>
      <c r="I1519" t="s">
        <v>2678</v>
      </c>
    </row>
    <row r="1520" spans="1:9" x14ac:dyDescent="0.3">
      <c r="A1520" t="s">
        <v>2946</v>
      </c>
      <c r="C1520" t="s">
        <v>13</v>
      </c>
      <c r="D1520" t="s">
        <v>22</v>
      </c>
      <c r="E1520" t="s">
        <v>1752</v>
      </c>
      <c r="F1520" t="s">
        <v>2949</v>
      </c>
      <c r="H1520" t="s">
        <v>17</v>
      </c>
      <c r="I1520" t="s">
        <v>2950</v>
      </c>
    </row>
    <row r="1521" spans="1:9" x14ac:dyDescent="0.3">
      <c r="A1521" t="s">
        <v>2946</v>
      </c>
      <c r="C1521" t="s">
        <v>13</v>
      </c>
      <c r="D1521" t="s">
        <v>27</v>
      </c>
      <c r="E1521" t="s">
        <v>1754</v>
      </c>
      <c r="F1521" t="s">
        <v>2951</v>
      </c>
      <c r="H1521" t="s">
        <v>17</v>
      </c>
      <c r="I1521" t="s">
        <v>2691</v>
      </c>
    </row>
    <row r="1522" spans="1:9" x14ac:dyDescent="0.3">
      <c r="A1522" t="s">
        <v>2946</v>
      </c>
      <c r="B1522" t="s">
        <v>2952</v>
      </c>
      <c r="C1522" t="s">
        <v>13</v>
      </c>
      <c r="D1522" t="s">
        <v>1014</v>
      </c>
      <c r="E1522" t="s">
        <v>1760</v>
      </c>
      <c r="F1522" t="s">
        <v>2953</v>
      </c>
      <c r="H1522" t="s">
        <v>17</v>
      </c>
      <c r="I1522" t="s">
        <v>2954</v>
      </c>
    </row>
    <row r="1523" spans="1:9" x14ac:dyDescent="0.3">
      <c r="A1523" t="s">
        <v>2946</v>
      </c>
      <c r="B1523" t="s">
        <v>2952</v>
      </c>
      <c r="C1523" t="s">
        <v>13</v>
      </c>
      <c r="D1523" t="s">
        <v>1017</v>
      </c>
      <c r="E1523" t="s">
        <v>1763</v>
      </c>
      <c r="F1523" t="s">
        <v>2955</v>
      </c>
      <c r="H1523" t="s">
        <v>17</v>
      </c>
      <c r="I1523" t="s">
        <v>2954</v>
      </c>
    </row>
    <row r="1524" spans="1:9" x14ac:dyDescent="0.3">
      <c r="A1524" t="s">
        <v>2946</v>
      </c>
      <c r="B1524" t="s">
        <v>2952</v>
      </c>
      <c r="C1524" t="s">
        <v>13</v>
      </c>
      <c r="D1524" t="s">
        <v>36</v>
      </c>
      <c r="E1524" t="s">
        <v>1765</v>
      </c>
      <c r="F1524" t="s">
        <v>2956</v>
      </c>
      <c r="H1524" t="s">
        <v>17</v>
      </c>
      <c r="I1524" t="s">
        <v>2954</v>
      </c>
    </row>
    <row r="1525" spans="1:9" x14ac:dyDescent="0.3">
      <c r="A1525" t="s">
        <v>2946</v>
      </c>
      <c r="B1525" t="s">
        <v>2952</v>
      </c>
      <c r="C1525" t="s">
        <v>13</v>
      </c>
      <c r="D1525" t="s">
        <v>41</v>
      </c>
      <c r="E1525" t="s">
        <v>1768</v>
      </c>
      <c r="F1525" t="s">
        <v>2957</v>
      </c>
      <c r="H1525" t="s">
        <v>17</v>
      </c>
      <c r="I1525" t="s">
        <v>2954</v>
      </c>
    </row>
    <row r="1526" spans="1:9" x14ac:dyDescent="0.3">
      <c r="A1526" t="s">
        <v>2946</v>
      </c>
      <c r="B1526" t="s">
        <v>2952</v>
      </c>
      <c r="C1526" t="s">
        <v>13</v>
      </c>
      <c r="D1526" t="s">
        <v>45</v>
      </c>
      <c r="E1526" t="s">
        <v>1771</v>
      </c>
      <c r="F1526" t="s">
        <v>2701</v>
      </c>
      <c r="H1526" t="s">
        <v>17</v>
      </c>
      <c r="I1526" t="s">
        <v>2702</v>
      </c>
    </row>
    <row r="1527" spans="1:9" x14ac:dyDescent="0.3">
      <c r="A1527" t="s">
        <v>2946</v>
      </c>
      <c r="B1527" t="s">
        <v>2952</v>
      </c>
      <c r="C1527" t="s">
        <v>13</v>
      </c>
      <c r="D1527" t="s">
        <v>50</v>
      </c>
      <c r="E1527" t="s">
        <v>1775</v>
      </c>
      <c r="F1527" t="s">
        <v>2958</v>
      </c>
      <c r="H1527" t="s">
        <v>17</v>
      </c>
      <c r="I1527" t="s">
        <v>2959</v>
      </c>
    </row>
    <row r="1528" spans="1:9" x14ac:dyDescent="0.3">
      <c r="A1528" t="s">
        <v>2946</v>
      </c>
      <c r="B1528" t="s">
        <v>2952</v>
      </c>
      <c r="C1528" t="s">
        <v>13</v>
      </c>
      <c r="D1528" t="s">
        <v>53</v>
      </c>
      <c r="E1528" t="s">
        <v>1777</v>
      </c>
      <c r="F1528" t="s">
        <v>2960</v>
      </c>
      <c r="H1528" t="s">
        <v>17</v>
      </c>
      <c r="I1528" t="s">
        <v>2961</v>
      </c>
    </row>
    <row r="1529" spans="1:9" x14ac:dyDescent="0.3">
      <c r="A1529" t="s">
        <v>2946</v>
      </c>
      <c r="B1529" t="s">
        <v>2952</v>
      </c>
      <c r="C1529" t="s">
        <v>13</v>
      </c>
      <c r="D1529" t="s">
        <v>56</v>
      </c>
      <c r="E1529" t="s">
        <v>1779</v>
      </c>
      <c r="F1529" t="s">
        <v>2962</v>
      </c>
      <c r="H1529" t="s">
        <v>17</v>
      </c>
      <c r="I1529" t="s">
        <v>2963</v>
      </c>
    </row>
    <row r="1530" spans="1:9" x14ac:dyDescent="0.3">
      <c r="A1530" t="s">
        <v>2946</v>
      </c>
      <c r="B1530" t="s">
        <v>2952</v>
      </c>
      <c r="C1530" t="s">
        <v>13</v>
      </c>
      <c r="D1530" t="s">
        <v>61</v>
      </c>
      <c r="E1530" t="s">
        <v>1781</v>
      </c>
      <c r="F1530" t="s">
        <v>2964</v>
      </c>
      <c r="H1530" t="s">
        <v>17</v>
      </c>
      <c r="I1530" t="s">
        <v>2965</v>
      </c>
    </row>
    <row r="1531" spans="1:9" x14ac:dyDescent="0.3">
      <c r="A1531" t="s">
        <v>2946</v>
      </c>
      <c r="B1531" t="s">
        <v>2952</v>
      </c>
      <c r="C1531" t="s">
        <v>13</v>
      </c>
      <c r="D1531" t="s">
        <v>1039</v>
      </c>
      <c r="E1531" t="s">
        <v>1784</v>
      </c>
      <c r="F1531" t="s">
        <v>2966</v>
      </c>
      <c r="H1531" t="s">
        <v>17</v>
      </c>
      <c r="I1531" t="s">
        <v>2967</v>
      </c>
    </row>
    <row r="1532" spans="1:9" x14ac:dyDescent="0.3">
      <c r="A1532" t="s">
        <v>2946</v>
      </c>
      <c r="B1532" t="s">
        <v>2952</v>
      </c>
      <c r="C1532" t="s">
        <v>13</v>
      </c>
      <c r="D1532" t="s">
        <v>1043</v>
      </c>
      <c r="E1532" t="s">
        <v>1787</v>
      </c>
      <c r="F1532" t="s">
        <v>2968</v>
      </c>
      <c r="H1532" t="s">
        <v>17</v>
      </c>
      <c r="I1532" t="s">
        <v>2695</v>
      </c>
    </row>
    <row r="1533" spans="1:9" x14ac:dyDescent="0.3">
      <c r="A1533" t="s">
        <v>2946</v>
      </c>
      <c r="B1533" t="s">
        <v>2952</v>
      </c>
      <c r="C1533" t="s">
        <v>13</v>
      </c>
      <c r="D1533" t="s">
        <v>71</v>
      </c>
      <c r="E1533" t="s">
        <v>1789</v>
      </c>
      <c r="F1533" t="s">
        <v>2969</v>
      </c>
      <c r="H1533" t="s">
        <v>17</v>
      </c>
      <c r="I1533" t="s">
        <v>2695</v>
      </c>
    </row>
    <row r="1534" spans="1:9" x14ac:dyDescent="0.3">
      <c r="A1534" t="s">
        <v>2946</v>
      </c>
      <c r="B1534" t="s">
        <v>2952</v>
      </c>
      <c r="C1534" t="s">
        <v>13</v>
      </c>
      <c r="D1534" t="s">
        <v>1050</v>
      </c>
      <c r="E1534" t="s">
        <v>1793</v>
      </c>
      <c r="F1534" t="s">
        <v>2970</v>
      </c>
      <c r="H1534" t="s">
        <v>17</v>
      </c>
      <c r="I1534" t="s">
        <v>2693</v>
      </c>
    </row>
    <row r="1535" spans="1:9" x14ac:dyDescent="0.3">
      <c r="A1535" t="s">
        <v>2946</v>
      </c>
      <c r="B1535" t="s">
        <v>2952</v>
      </c>
      <c r="C1535" t="s">
        <v>13</v>
      </c>
      <c r="D1535" t="s">
        <v>1055</v>
      </c>
      <c r="E1535" t="s">
        <v>1795</v>
      </c>
      <c r="F1535" t="s">
        <v>2971</v>
      </c>
      <c r="H1535" t="s">
        <v>17</v>
      </c>
      <c r="I1535" t="s">
        <v>2972</v>
      </c>
    </row>
    <row r="1536" spans="1:9" x14ac:dyDescent="0.3">
      <c r="A1536" t="s">
        <v>2946</v>
      </c>
      <c r="B1536" t="s">
        <v>2952</v>
      </c>
      <c r="C1536" t="s">
        <v>13</v>
      </c>
      <c r="D1536" t="s">
        <v>80</v>
      </c>
      <c r="E1536" t="s">
        <v>1798</v>
      </c>
      <c r="F1536" t="s">
        <v>2973</v>
      </c>
      <c r="H1536" t="s">
        <v>17</v>
      </c>
      <c r="I1536" t="s">
        <v>2974</v>
      </c>
    </row>
    <row r="1537" spans="1:9" x14ac:dyDescent="0.3">
      <c r="A1537" t="s">
        <v>2946</v>
      </c>
      <c r="B1537" t="s">
        <v>2952</v>
      </c>
      <c r="C1537" t="s">
        <v>13</v>
      </c>
      <c r="D1537" t="s">
        <v>85</v>
      </c>
      <c r="E1537" t="s">
        <v>1801</v>
      </c>
      <c r="F1537" t="s">
        <v>2975</v>
      </c>
      <c r="H1537" t="s">
        <v>17</v>
      </c>
      <c r="I1537" t="s">
        <v>2976</v>
      </c>
    </row>
    <row r="1538" spans="1:9" x14ac:dyDescent="0.3">
      <c r="A1538" t="s">
        <v>2946</v>
      </c>
      <c r="B1538" t="s">
        <v>2952</v>
      </c>
      <c r="C1538" t="s">
        <v>13</v>
      </c>
      <c r="D1538" t="s">
        <v>90</v>
      </c>
      <c r="E1538" t="s">
        <v>1803</v>
      </c>
      <c r="F1538" t="s">
        <v>2977</v>
      </c>
      <c r="H1538" t="s">
        <v>17</v>
      </c>
      <c r="I1538" t="s">
        <v>2978</v>
      </c>
    </row>
    <row r="1539" spans="1:9" x14ac:dyDescent="0.3">
      <c r="A1539" t="s">
        <v>2946</v>
      </c>
      <c r="B1539" t="s">
        <v>2952</v>
      </c>
      <c r="C1539" t="s">
        <v>13</v>
      </c>
      <c r="D1539" t="s">
        <v>95</v>
      </c>
      <c r="E1539" t="s">
        <v>1806</v>
      </c>
      <c r="F1539" t="s">
        <v>2979</v>
      </c>
      <c r="H1539" t="s">
        <v>17</v>
      </c>
      <c r="I1539" t="s">
        <v>414</v>
      </c>
    </row>
    <row r="1540" spans="1:9" x14ac:dyDescent="0.3">
      <c r="A1540" t="s">
        <v>2946</v>
      </c>
      <c r="B1540" t="s">
        <v>2952</v>
      </c>
      <c r="C1540" t="s">
        <v>13</v>
      </c>
      <c r="D1540" t="s">
        <v>100</v>
      </c>
      <c r="E1540" t="s">
        <v>1808</v>
      </c>
      <c r="F1540" t="s">
        <v>2697</v>
      </c>
      <c r="H1540" t="s">
        <v>17</v>
      </c>
      <c r="I1540" t="s">
        <v>414</v>
      </c>
    </row>
    <row r="1541" spans="1:9" x14ac:dyDescent="0.3">
      <c r="A1541" t="s">
        <v>2946</v>
      </c>
      <c r="B1541" t="s">
        <v>2952</v>
      </c>
      <c r="C1541" t="s">
        <v>13</v>
      </c>
      <c r="D1541" t="s">
        <v>106</v>
      </c>
      <c r="E1541" t="s">
        <v>1811</v>
      </c>
      <c r="F1541" t="s">
        <v>2980</v>
      </c>
      <c r="H1541" t="s">
        <v>17</v>
      </c>
      <c r="I1541" t="s">
        <v>2981</v>
      </c>
    </row>
    <row r="1542" spans="1:9" x14ac:dyDescent="0.3">
      <c r="A1542" t="s">
        <v>2946</v>
      </c>
      <c r="B1542" t="s">
        <v>2982</v>
      </c>
      <c r="C1542" t="s">
        <v>13</v>
      </c>
      <c r="D1542" t="s">
        <v>111</v>
      </c>
      <c r="E1542" t="s">
        <v>1818</v>
      </c>
      <c r="F1542" t="s">
        <v>2983</v>
      </c>
      <c r="H1542" t="s">
        <v>17</v>
      </c>
      <c r="I1542" t="s">
        <v>2984</v>
      </c>
    </row>
    <row r="1543" spans="1:9" x14ac:dyDescent="0.3">
      <c r="A1543" t="s">
        <v>2946</v>
      </c>
      <c r="B1543" t="s">
        <v>2982</v>
      </c>
      <c r="C1543" t="s">
        <v>13</v>
      </c>
      <c r="D1543" t="s">
        <v>114</v>
      </c>
      <c r="E1543" t="s">
        <v>1820</v>
      </c>
      <c r="F1543" t="s">
        <v>2985</v>
      </c>
      <c r="H1543" t="s">
        <v>17</v>
      </c>
      <c r="I1543" t="s">
        <v>2984</v>
      </c>
    </row>
    <row r="1544" spans="1:9" x14ac:dyDescent="0.3">
      <c r="A1544" t="s">
        <v>2946</v>
      </c>
      <c r="B1544" t="s">
        <v>2982</v>
      </c>
      <c r="C1544" t="s">
        <v>13</v>
      </c>
      <c r="D1544" t="s">
        <v>117</v>
      </c>
      <c r="E1544" t="s">
        <v>1822</v>
      </c>
      <c r="F1544" t="s">
        <v>2986</v>
      </c>
      <c r="H1544" t="s">
        <v>17</v>
      </c>
      <c r="I1544" t="s">
        <v>2984</v>
      </c>
    </row>
    <row r="1545" spans="1:9" x14ac:dyDescent="0.3">
      <c r="A1545" t="s">
        <v>2946</v>
      </c>
      <c r="B1545" t="s">
        <v>2982</v>
      </c>
      <c r="C1545" t="s">
        <v>13</v>
      </c>
      <c r="D1545" t="s">
        <v>121</v>
      </c>
      <c r="E1545" t="s">
        <v>1824</v>
      </c>
      <c r="F1545" t="s">
        <v>2987</v>
      </c>
      <c r="H1545" t="s">
        <v>17</v>
      </c>
      <c r="I1545" t="s">
        <v>2984</v>
      </c>
    </row>
    <row r="1546" spans="1:9" x14ac:dyDescent="0.3">
      <c r="A1546" t="s">
        <v>2946</v>
      </c>
      <c r="B1546" t="s">
        <v>2982</v>
      </c>
      <c r="C1546" t="s">
        <v>13</v>
      </c>
      <c r="D1546" t="s">
        <v>126</v>
      </c>
      <c r="E1546" t="s">
        <v>1826</v>
      </c>
      <c r="F1546" t="s">
        <v>2988</v>
      </c>
      <c r="H1546" t="s">
        <v>17</v>
      </c>
      <c r="I1546" t="s">
        <v>2984</v>
      </c>
    </row>
    <row r="1547" spans="1:9" x14ac:dyDescent="0.3">
      <c r="A1547" t="s">
        <v>2946</v>
      </c>
      <c r="B1547" t="s">
        <v>2982</v>
      </c>
      <c r="C1547" t="s">
        <v>13</v>
      </c>
      <c r="D1547" t="s">
        <v>129</v>
      </c>
      <c r="E1547" t="s">
        <v>1828</v>
      </c>
      <c r="F1547" t="s">
        <v>2989</v>
      </c>
      <c r="H1547" t="s">
        <v>17</v>
      </c>
      <c r="I1547" t="s">
        <v>2984</v>
      </c>
    </row>
    <row r="1548" spans="1:9" x14ac:dyDescent="0.3">
      <c r="A1548" t="s">
        <v>2946</v>
      </c>
      <c r="B1548" t="s">
        <v>2982</v>
      </c>
      <c r="C1548" t="s">
        <v>13</v>
      </c>
      <c r="D1548" t="s">
        <v>132</v>
      </c>
      <c r="E1548" t="s">
        <v>1831</v>
      </c>
      <c r="F1548" t="s">
        <v>2990</v>
      </c>
      <c r="H1548" t="s">
        <v>17</v>
      </c>
      <c r="I1548" t="s">
        <v>2991</v>
      </c>
    </row>
    <row r="1549" spans="1:9" x14ac:dyDescent="0.3">
      <c r="A1549" t="s">
        <v>2946</v>
      </c>
      <c r="B1549" t="s">
        <v>2982</v>
      </c>
      <c r="C1549" t="s">
        <v>13</v>
      </c>
      <c r="D1549" t="s">
        <v>135</v>
      </c>
      <c r="E1549" t="s">
        <v>1833</v>
      </c>
      <c r="F1549" t="s">
        <v>2992</v>
      </c>
      <c r="H1549" t="s">
        <v>17</v>
      </c>
      <c r="I1549" t="s">
        <v>2991</v>
      </c>
    </row>
    <row r="1550" spans="1:9" x14ac:dyDescent="0.3">
      <c r="A1550" t="s">
        <v>2946</v>
      </c>
      <c r="B1550" t="s">
        <v>2993</v>
      </c>
      <c r="C1550" t="s">
        <v>13</v>
      </c>
      <c r="D1550" t="s">
        <v>138</v>
      </c>
      <c r="E1550" t="s">
        <v>1838</v>
      </c>
      <c r="F1550" t="s">
        <v>2994</v>
      </c>
      <c r="H1550" t="s">
        <v>17</v>
      </c>
      <c r="I1550" t="s">
        <v>2995</v>
      </c>
    </row>
    <row r="1551" spans="1:9" x14ac:dyDescent="0.3">
      <c r="A1551" t="s">
        <v>2946</v>
      </c>
      <c r="B1551" t="s">
        <v>2993</v>
      </c>
      <c r="C1551" t="s">
        <v>13</v>
      </c>
      <c r="D1551" t="s">
        <v>141</v>
      </c>
      <c r="E1551" t="s">
        <v>1840</v>
      </c>
      <c r="F1551" t="s">
        <v>2996</v>
      </c>
      <c r="H1551" t="s">
        <v>17</v>
      </c>
      <c r="I1551" t="s">
        <v>2995</v>
      </c>
    </row>
    <row r="1552" spans="1:9" x14ac:dyDescent="0.3">
      <c r="A1552" t="s">
        <v>2946</v>
      </c>
      <c r="B1552" t="s">
        <v>2993</v>
      </c>
      <c r="C1552" t="s">
        <v>13</v>
      </c>
      <c r="D1552" t="s">
        <v>144</v>
      </c>
      <c r="E1552" t="s">
        <v>1843</v>
      </c>
      <c r="F1552" t="s">
        <v>2997</v>
      </c>
      <c r="H1552" t="s">
        <v>17</v>
      </c>
      <c r="I1552" t="s">
        <v>2995</v>
      </c>
    </row>
    <row r="1553" spans="1:9" x14ac:dyDescent="0.3">
      <c r="A1553" t="s">
        <v>2946</v>
      </c>
      <c r="B1553" t="s">
        <v>2993</v>
      </c>
      <c r="C1553" t="s">
        <v>13</v>
      </c>
      <c r="D1553" t="s">
        <v>147</v>
      </c>
      <c r="E1553" t="s">
        <v>1847</v>
      </c>
      <c r="F1553" t="s">
        <v>2998</v>
      </c>
      <c r="H1553" t="s">
        <v>17</v>
      </c>
      <c r="I1553" t="s">
        <v>2995</v>
      </c>
    </row>
    <row r="1554" spans="1:9" x14ac:dyDescent="0.3">
      <c r="A1554" t="s">
        <v>2946</v>
      </c>
      <c r="B1554" t="s">
        <v>2993</v>
      </c>
      <c r="C1554" t="s">
        <v>13</v>
      </c>
      <c r="D1554" t="s">
        <v>152</v>
      </c>
      <c r="E1554" t="s">
        <v>1849</v>
      </c>
      <c r="F1554" t="s">
        <v>2999</v>
      </c>
      <c r="H1554" t="s">
        <v>17</v>
      </c>
      <c r="I1554" t="s">
        <v>2995</v>
      </c>
    </row>
    <row r="1555" spans="1:9" x14ac:dyDescent="0.3">
      <c r="A1555" t="s">
        <v>2946</v>
      </c>
      <c r="B1555" t="s">
        <v>2993</v>
      </c>
      <c r="C1555" t="s">
        <v>13</v>
      </c>
      <c r="D1555" t="s">
        <v>157</v>
      </c>
      <c r="E1555" t="s">
        <v>1851</v>
      </c>
      <c r="F1555" t="s">
        <v>3000</v>
      </c>
      <c r="H1555" t="s">
        <v>17</v>
      </c>
      <c r="I1555" t="s">
        <v>2995</v>
      </c>
    </row>
    <row r="1556" spans="1:9" x14ac:dyDescent="0.3">
      <c r="A1556" t="s">
        <v>2946</v>
      </c>
      <c r="B1556" t="s">
        <v>2993</v>
      </c>
      <c r="C1556" t="s">
        <v>13</v>
      </c>
      <c r="D1556" t="s">
        <v>162</v>
      </c>
      <c r="E1556" t="s">
        <v>1853</v>
      </c>
      <c r="F1556" t="s">
        <v>3001</v>
      </c>
      <c r="H1556" t="s">
        <v>17</v>
      </c>
      <c r="I1556" t="s">
        <v>2995</v>
      </c>
    </row>
    <row r="1557" spans="1:9" x14ac:dyDescent="0.3">
      <c r="A1557" t="s">
        <v>2946</v>
      </c>
      <c r="B1557" t="s">
        <v>2993</v>
      </c>
      <c r="C1557" t="s">
        <v>13</v>
      </c>
      <c r="D1557" t="s">
        <v>167</v>
      </c>
      <c r="E1557" t="s">
        <v>1855</v>
      </c>
      <c r="F1557" t="s">
        <v>3002</v>
      </c>
      <c r="H1557" t="s">
        <v>17</v>
      </c>
      <c r="I1557" t="s">
        <v>2995</v>
      </c>
    </row>
    <row r="1558" spans="1:9" x14ac:dyDescent="0.3">
      <c r="A1558" t="s">
        <v>2946</v>
      </c>
      <c r="B1558" t="s">
        <v>2993</v>
      </c>
      <c r="C1558" t="s">
        <v>13</v>
      </c>
      <c r="D1558" t="s">
        <v>172</v>
      </c>
      <c r="E1558" t="s">
        <v>1857</v>
      </c>
      <c r="F1558" t="s">
        <v>3003</v>
      </c>
      <c r="H1558" t="s">
        <v>17</v>
      </c>
      <c r="I1558" t="s">
        <v>2995</v>
      </c>
    </row>
    <row r="1559" spans="1:9" x14ac:dyDescent="0.3">
      <c r="A1559" t="s">
        <v>2946</v>
      </c>
      <c r="B1559" t="s">
        <v>2993</v>
      </c>
      <c r="C1559" t="s">
        <v>13</v>
      </c>
      <c r="D1559" t="s">
        <v>177</v>
      </c>
      <c r="E1559" t="s">
        <v>1859</v>
      </c>
      <c r="F1559" t="s">
        <v>3004</v>
      </c>
      <c r="H1559" t="s">
        <v>17</v>
      </c>
      <c r="I1559" t="s">
        <v>2995</v>
      </c>
    </row>
    <row r="1560" spans="1:9" x14ac:dyDescent="0.3">
      <c r="A1560" t="s">
        <v>2946</v>
      </c>
      <c r="B1560" t="s">
        <v>2993</v>
      </c>
      <c r="C1560" t="s">
        <v>13</v>
      </c>
      <c r="D1560" t="s">
        <v>182</v>
      </c>
      <c r="E1560" t="s">
        <v>1861</v>
      </c>
      <c r="F1560" t="s">
        <v>3005</v>
      </c>
      <c r="H1560" t="s">
        <v>17</v>
      </c>
      <c r="I1560" t="s">
        <v>414</v>
      </c>
    </row>
    <row r="1561" spans="1:9" x14ac:dyDescent="0.3">
      <c r="A1561" t="s">
        <v>2946</v>
      </c>
      <c r="B1561" t="s">
        <v>2993</v>
      </c>
      <c r="C1561" t="s">
        <v>13</v>
      </c>
      <c r="D1561" t="s">
        <v>187</v>
      </c>
      <c r="E1561" t="s">
        <v>1863</v>
      </c>
      <c r="F1561" t="s">
        <v>3006</v>
      </c>
      <c r="H1561" t="s">
        <v>17</v>
      </c>
      <c r="I1561" t="s">
        <v>3007</v>
      </c>
    </row>
    <row r="1562" spans="1:9" x14ac:dyDescent="0.3">
      <c r="A1562" t="s">
        <v>2946</v>
      </c>
      <c r="B1562" t="s">
        <v>3008</v>
      </c>
      <c r="C1562" t="s">
        <v>13</v>
      </c>
      <c r="D1562" t="s">
        <v>193</v>
      </c>
      <c r="E1562" t="s">
        <v>1867</v>
      </c>
      <c r="F1562" t="s">
        <v>3009</v>
      </c>
      <c r="H1562" t="s">
        <v>17</v>
      </c>
      <c r="I1562" t="s">
        <v>2995</v>
      </c>
    </row>
    <row r="1563" spans="1:9" x14ac:dyDescent="0.3">
      <c r="A1563" t="s">
        <v>2946</v>
      </c>
      <c r="B1563" t="s">
        <v>3008</v>
      </c>
      <c r="C1563" t="s">
        <v>13</v>
      </c>
      <c r="D1563" t="s">
        <v>198</v>
      </c>
      <c r="E1563" t="s">
        <v>1869</v>
      </c>
      <c r="F1563" t="s">
        <v>3010</v>
      </c>
      <c r="H1563" t="s">
        <v>17</v>
      </c>
      <c r="I1563" t="s">
        <v>2995</v>
      </c>
    </row>
    <row r="1564" spans="1:9" x14ac:dyDescent="0.3">
      <c r="A1564" t="s">
        <v>2946</v>
      </c>
      <c r="B1564" t="s">
        <v>3008</v>
      </c>
      <c r="C1564" t="s">
        <v>13</v>
      </c>
      <c r="D1564" t="s">
        <v>202</v>
      </c>
      <c r="E1564" t="s">
        <v>1871</v>
      </c>
      <c r="F1564" t="s">
        <v>3011</v>
      </c>
      <c r="H1564" t="s">
        <v>17</v>
      </c>
      <c r="I1564" t="s">
        <v>2995</v>
      </c>
    </row>
    <row r="1565" spans="1:9" x14ac:dyDescent="0.3">
      <c r="A1565" t="s">
        <v>2946</v>
      </c>
      <c r="B1565" t="s">
        <v>3008</v>
      </c>
      <c r="C1565" t="s">
        <v>13</v>
      </c>
      <c r="D1565" t="s">
        <v>206</v>
      </c>
      <c r="E1565" t="s">
        <v>1873</v>
      </c>
      <c r="F1565" t="s">
        <v>3012</v>
      </c>
      <c r="H1565" t="s">
        <v>17</v>
      </c>
      <c r="I1565" t="s">
        <v>2995</v>
      </c>
    </row>
    <row r="1566" spans="1:9" x14ac:dyDescent="0.3">
      <c r="A1566" t="s">
        <v>2946</v>
      </c>
      <c r="B1566" t="s">
        <v>3008</v>
      </c>
      <c r="C1566" t="s">
        <v>13</v>
      </c>
      <c r="D1566" t="s">
        <v>210</v>
      </c>
      <c r="E1566" t="s">
        <v>1875</v>
      </c>
      <c r="F1566" t="s">
        <v>3013</v>
      </c>
      <c r="H1566" t="s">
        <v>17</v>
      </c>
      <c r="I1566" t="s">
        <v>2995</v>
      </c>
    </row>
    <row r="1567" spans="1:9" x14ac:dyDescent="0.3">
      <c r="A1567" t="s">
        <v>2946</v>
      </c>
      <c r="B1567" t="s">
        <v>3008</v>
      </c>
      <c r="C1567" t="s">
        <v>13</v>
      </c>
      <c r="D1567" t="s">
        <v>214</v>
      </c>
      <c r="E1567" t="s">
        <v>1878</v>
      </c>
      <c r="F1567" t="s">
        <v>3014</v>
      </c>
      <c r="H1567" t="s">
        <v>17</v>
      </c>
      <c r="I1567" t="s">
        <v>3015</v>
      </c>
    </row>
    <row r="1568" spans="1:9" x14ac:dyDescent="0.3">
      <c r="A1568" t="s">
        <v>2946</v>
      </c>
      <c r="B1568" t="s">
        <v>3008</v>
      </c>
      <c r="C1568" t="s">
        <v>13</v>
      </c>
      <c r="D1568" t="s">
        <v>218</v>
      </c>
      <c r="E1568" t="s">
        <v>1882</v>
      </c>
      <c r="F1568" t="s">
        <v>3016</v>
      </c>
      <c r="H1568" t="s">
        <v>17</v>
      </c>
      <c r="I1568" t="s">
        <v>3017</v>
      </c>
    </row>
    <row r="1569" spans="1:9" x14ac:dyDescent="0.3">
      <c r="A1569" t="s">
        <v>2946</v>
      </c>
      <c r="B1569" t="s">
        <v>3008</v>
      </c>
      <c r="C1569" t="s">
        <v>13</v>
      </c>
      <c r="D1569" t="s">
        <v>223</v>
      </c>
      <c r="E1569" t="s">
        <v>1886</v>
      </c>
      <c r="F1569" t="s">
        <v>3018</v>
      </c>
      <c r="H1569" t="s">
        <v>17</v>
      </c>
      <c r="I1569" t="s">
        <v>3019</v>
      </c>
    </row>
    <row r="1570" spans="1:9" x14ac:dyDescent="0.3">
      <c r="A1570" t="s">
        <v>2946</v>
      </c>
      <c r="B1570" t="s">
        <v>3008</v>
      </c>
      <c r="C1570" t="s">
        <v>13</v>
      </c>
      <c r="D1570" t="s">
        <v>228</v>
      </c>
      <c r="E1570" t="s">
        <v>1889</v>
      </c>
      <c r="F1570" t="s">
        <v>3020</v>
      </c>
      <c r="H1570" t="s">
        <v>17</v>
      </c>
      <c r="I1570" t="s">
        <v>3021</v>
      </c>
    </row>
    <row r="1571" spans="1:9" x14ac:dyDescent="0.3">
      <c r="A1571" t="s">
        <v>2946</v>
      </c>
      <c r="B1571" t="s">
        <v>3008</v>
      </c>
      <c r="C1571" t="s">
        <v>13</v>
      </c>
      <c r="D1571" t="s">
        <v>233</v>
      </c>
      <c r="E1571" t="s">
        <v>1896</v>
      </c>
      <c r="F1571" t="s">
        <v>3022</v>
      </c>
      <c r="H1571" t="s">
        <v>17</v>
      </c>
      <c r="I1571" t="s">
        <v>2991</v>
      </c>
    </row>
    <row r="1572" spans="1:9" x14ac:dyDescent="0.3">
      <c r="A1572" t="s">
        <v>2946</v>
      </c>
      <c r="B1572" t="s">
        <v>3008</v>
      </c>
      <c r="C1572" t="s">
        <v>13</v>
      </c>
      <c r="D1572" t="s">
        <v>236</v>
      </c>
      <c r="E1572" t="s">
        <v>1898</v>
      </c>
      <c r="F1572" t="s">
        <v>3023</v>
      </c>
      <c r="H1572" t="s">
        <v>17</v>
      </c>
      <c r="I1572" t="s">
        <v>2991</v>
      </c>
    </row>
    <row r="1573" spans="1:9" x14ac:dyDescent="0.3">
      <c r="A1573" t="s">
        <v>2946</v>
      </c>
      <c r="B1573" t="s">
        <v>3008</v>
      </c>
      <c r="C1573" t="s">
        <v>13</v>
      </c>
      <c r="D1573" t="s">
        <v>239</v>
      </c>
      <c r="E1573" t="s">
        <v>1901</v>
      </c>
      <c r="F1573" t="s">
        <v>3024</v>
      </c>
      <c r="H1573" t="s">
        <v>17</v>
      </c>
      <c r="I1573" t="s">
        <v>2991</v>
      </c>
    </row>
    <row r="1574" spans="1:9" x14ac:dyDescent="0.3">
      <c r="A1574" t="s">
        <v>2946</v>
      </c>
      <c r="B1574" t="s">
        <v>3008</v>
      </c>
      <c r="C1574" t="s">
        <v>13</v>
      </c>
      <c r="D1574" t="s">
        <v>1881</v>
      </c>
      <c r="E1574" t="s">
        <v>1903</v>
      </c>
      <c r="F1574" t="s">
        <v>3025</v>
      </c>
      <c r="H1574" t="s">
        <v>17</v>
      </c>
      <c r="I1574" t="s">
        <v>2991</v>
      </c>
    </row>
    <row r="1575" spans="1:9" x14ac:dyDescent="0.3">
      <c r="A1575" t="s">
        <v>2946</v>
      </c>
      <c r="B1575" t="s">
        <v>3008</v>
      </c>
      <c r="C1575" t="s">
        <v>13</v>
      </c>
      <c r="D1575" t="s">
        <v>1885</v>
      </c>
      <c r="E1575" t="s">
        <v>1905</v>
      </c>
      <c r="F1575" t="s">
        <v>3026</v>
      </c>
      <c r="H1575" t="s">
        <v>17</v>
      </c>
      <c r="I1575" t="s">
        <v>2991</v>
      </c>
    </row>
    <row r="1576" spans="1:9" x14ac:dyDescent="0.3">
      <c r="A1576" t="s">
        <v>2946</v>
      </c>
      <c r="B1576" t="s">
        <v>3008</v>
      </c>
      <c r="C1576" t="s">
        <v>13</v>
      </c>
      <c r="D1576" t="s">
        <v>1588</v>
      </c>
      <c r="E1576" t="s">
        <v>1907</v>
      </c>
      <c r="F1576" t="s">
        <v>2707</v>
      </c>
      <c r="H1576" t="s">
        <v>17</v>
      </c>
      <c r="I1576" t="s">
        <v>2708</v>
      </c>
    </row>
    <row r="1577" spans="1:9" x14ac:dyDescent="0.3">
      <c r="A1577" t="s">
        <v>2946</v>
      </c>
      <c r="B1577" t="s">
        <v>3008</v>
      </c>
      <c r="C1577" t="s">
        <v>13</v>
      </c>
      <c r="D1577" t="s">
        <v>1892</v>
      </c>
      <c r="E1577" t="s">
        <v>1909</v>
      </c>
      <c r="F1577" t="s">
        <v>2709</v>
      </c>
      <c r="H1577" t="s">
        <v>17</v>
      </c>
      <c r="I1577" t="s">
        <v>3027</v>
      </c>
    </row>
    <row r="1578" spans="1:9" x14ac:dyDescent="0.3">
      <c r="A1578" t="s">
        <v>2946</v>
      </c>
      <c r="B1578" t="s">
        <v>3008</v>
      </c>
      <c r="C1578" t="s">
        <v>13</v>
      </c>
      <c r="D1578" t="s">
        <v>1146</v>
      </c>
      <c r="E1578" t="s">
        <v>1911</v>
      </c>
      <c r="F1578" t="s">
        <v>3028</v>
      </c>
      <c r="H1578" t="s">
        <v>17</v>
      </c>
      <c r="I1578" t="s">
        <v>3029</v>
      </c>
    </row>
    <row r="1579" spans="1:9" x14ac:dyDescent="0.3">
      <c r="A1579" t="s">
        <v>2946</v>
      </c>
      <c r="B1579" t="s">
        <v>3008</v>
      </c>
      <c r="C1579" t="s">
        <v>13</v>
      </c>
      <c r="D1579" t="s">
        <v>1150</v>
      </c>
      <c r="E1579" t="s">
        <v>1914</v>
      </c>
      <c r="F1579" t="s">
        <v>2714</v>
      </c>
      <c r="H1579" t="s">
        <v>17</v>
      </c>
      <c r="I1579" t="s">
        <v>3029</v>
      </c>
    </row>
    <row r="1580" spans="1:9" x14ac:dyDescent="0.3">
      <c r="A1580" t="s">
        <v>2946</v>
      </c>
      <c r="B1580" t="s">
        <v>3008</v>
      </c>
      <c r="C1580" t="s">
        <v>13</v>
      </c>
      <c r="D1580" t="s">
        <v>1154</v>
      </c>
      <c r="E1580" t="s">
        <v>1917</v>
      </c>
      <c r="F1580" t="s">
        <v>3030</v>
      </c>
      <c r="H1580" t="s">
        <v>17</v>
      </c>
      <c r="I1580" t="s">
        <v>3031</v>
      </c>
    </row>
    <row r="1581" spans="1:9" x14ac:dyDescent="0.3">
      <c r="A1581" t="s">
        <v>2946</v>
      </c>
      <c r="B1581" t="s">
        <v>3008</v>
      </c>
      <c r="C1581" t="s">
        <v>13</v>
      </c>
      <c r="D1581" t="s">
        <v>1158</v>
      </c>
      <c r="E1581" t="s">
        <v>3032</v>
      </c>
      <c r="F1581" t="s">
        <v>3033</v>
      </c>
      <c r="H1581" t="s">
        <v>17</v>
      </c>
      <c r="I1581" t="s">
        <v>3031</v>
      </c>
    </row>
    <row r="1582" spans="1:9" x14ac:dyDescent="0.3">
      <c r="A1582" t="s">
        <v>2946</v>
      </c>
      <c r="B1582" t="s">
        <v>3008</v>
      </c>
      <c r="C1582" t="s">
        <v>13</v>
      </c>
      <c r="D1582" t="s">
        <v>1162</v>
      </c>
      <c r="E1582" t="s">
        <v>1919</v>
      </c>
      <c r="F1582" t="s">
        <v>3034</v>
      </c>
      <c r="H1582" t="s">
        <v>17</v>
      </c>
      <c r="I1582" t="s">
        <v>3035</v>
      </c>
    </row>
    <row r="1583" spans="1:9" x14ac:dyDescent="0.3">
      <c r="A1583" t="s">
        <v>2946</v>
      </c>
      <c r="B1583" t="s">
        <v>3008</v>
      </c>
      <c r="C1583" t="s">
        <v>13</v>
      </c>
      <c r="D1583" t="s">
        <v>1165</v>
      </c>
      <c r="E1583" t="s">
        <v>1921</v>
      </c>
      <c r="F1583" t="s">
        <v>3036</v>
      </c>
      <c r="H1583" t="s">
        <v>17</v>
      </c>
      <c r="I1583" t="s">
        <v>3035</v>
      </c>
    </row>
    <row r="1584" spans="1:9" x14ac:dyDescent="0.3">
      <c r="A1584" t="s">
        <v>2946</v>
      </c>
      <c r="B1584" t="s">
        <v>3037</v>
      </c>
      <c r="C1584" t="s">
        <v>13</v>
      </c>
      <c r="D1584" t="s">
        <v>1168</v>
      </c>
      <c r="E1584" t="s">
        <v>1925</v>
      </c>
      <c r="F1584" t="s">
        <v>3038</v>
      </c>
      <c r="H1584" t="s">
        <v>17</v>
      </c>
      <c r="I1584" t="s">
        <v>3039</v>
      </c>
    </row>
    <row r="1585" spans="1:9" x14ac:dyDescent="0.3">
      <c r="A1585" t="s">
        <v>2946</v>
      </c>
      <c r="B1585" t="s">
        <v>3037</v>
      </c>
      <c r="C1585" t="s">
        <v>13</v>
      </c>
      <c r="D1585" t="s">
        <v>1172</v>
      </c>
      <c r="E1585" t="s">
        <v>1927</v>
      </c>
      <c r="F1585" t="s">
        <v>3040</v>
      </c>
      <c r="H1585" t="s">
        <v>17</v>
      </c>
      <c r="I1585" t="s">
        <v>3039</v>
      </c>
    </row>
    <row r="1586" spans="1:9" x14ac:dyDescent="0.3">
      <c r="A1586" t="s">
        <v>2946</v>
      </c>
      <c r="B1586" t="s">
        <v>3037</v>
      </c>
      <c r="C1586" t="s">
        <v>13</v>
      </c>
      <c r="D1586" t="s">
        <v>1176</v>
      </c>
      <c r="E1586" t="s">
        <v>1929</v>
      </c>
      <c r="F1586" t="s">
        <v>3041</v>
      </c>
      <c r="H1586" t="s">
        <v>17</v>
      </c>
      <c r="I1586" t="s">
        <v>3039</v>
      </c>
    </row>
    <row r="1587" spans="1:9" x14ac:dyDescent="0.3">
      <c r="A1587" t="s">
        <v>2946</v>
      </c>
      <c r="B1587" t="s">
        <v>3037</v>
      </c>
      <c r="C1587" t="s">
        <v>13</v>
      </c>
      <c r="D1587" t="s">
        <v>1179</v>
      </c>
      <c r="E1587" t="s">
        <v>1931</v>
      </c>
      <c r="F1587" t="s">
        <v>3042</v>
      </c>
      <c r="H1587" t="s">
        <v>17</v>
      </c>
      <c r="I1587" t="s">
        <v>3039</v>
      </c>
    </row>
    <row r="1588" spans="1:9" x14ac:dyDescent="0.3">
      <c r="A1588" t="s">
        <v>2946</v>
      </c>
      <c r="B1588" t="s">
        <v>3037</v>
      </c>
      <c r="C1588" t="s">
        <v>13</v>
      </c>
      <c r="D1588" t="s">
        <v>1184</v>
      </c>
      <c r="E1588" t="s">
        <v>1933</v>
      </c>
      <c r="F1588" t="s">
        <v>3043</v>
      </c>
      <c r="H1588" t="s">
        <v>17</v>
      </c>
      <c r="I1588" t="s">
        <v>3039</v>
      </c>
    </row>
    <row r="1589" spans="1:9" x14ac:dyDescent="0.3">
      <c r="A1589" t="s">
        <v>2946</v>
      </c>
      <c r="B1589" t="s">
        <v>3037</v>
      </c>
      <c r="C1589" t="s">
        <v>13</v>
      </c>
      <c r="D1589" t="s">
        <v>1189</v>
      </c>
      <c r="E1589" t="s">
        <v>3044</v>
      </c>
      <c r="F1589" t="s">
        <v>3045</v>
      </c>
      <c r="H1589" t="s">
        <v>17</v>
      </c>
      <c r="I1589" t="s">
        <v>3039</v>
      </c>
    </row>
    <row r="1590" spans="1:9" x14ac:dyDescent="0.3">
      <c r="A1590" t="s">
        <v>2946</v>
      </c>
      <c r="B1590" t="s">
        <v>3046</v>
      </c>
      <c r="C1590" t="s">
        <v>13</v>
      </c>
      <c r="D1590" t="s">
        <v>1193</v>
      </c>
      <c r="E1590" t="s">
        <v>3047</v>
      </c>
      <c r="F1590" t="s">
        <v>3048</v>
      </c>
      <c r="H1590" t="s">
        <v>17</v>
      </c>
      <c r="I1590" t="s">
        <v>2724</v>
      </c>
    </row>
    <row r="1591" spans="1:9" x14ac:dyDescent="0.3">
      <c r="A1591" t="s">
        <v>2946</v>
      </c>
      <c r="B1591" t="s">
        <v>3046</v>
      </c>
      <c r="C1591" t="s">
        <v>13</v>
      </c>
      <c r="D1591" t="s">
        <v>1197</v>
      </c>
      <c r="E1591" t="s">
        <v>3049</v>
      </c>
      <c r="F1591" t="s">
        <v>3050</v>
      </c>
      <c r="H1591" t="s">
        <v>17</v>
      </c>
      <c r="I1591" t="s">
        <v>2724</v>
      </c>
    </row>
    <row r="1592" spans="1:9" x14ac:dyDescent="0.3">
      <c r="A1592" t="s">
        <v>2946</v>
      </c>
      <c r="B1592" t="s">
        <v>3046</v>
      </c>
      <c r="C1592" t="s">
        <v>13</v>
      </c>
      <c r="D1592" t="s">
        <v>1201</v>
      </c>
      <c r="E1592" t="s">
        <v>3051</v>
      </c>
      <c r="F1592" t="s">
        <v>3052</v>
      </c>
      <c r="H1592" t="s">
        <v>17</v>
      </c>
      <c r="I1592" t="s">
        <v>2724</v>
      </c>
    </row>
    <row r="1593" spans="1:9" x14ac:dyDescent="0.3">
      <c r="A1593" t="s">
        <v>2946</v>
      </c>
      <c r="B1593" t="s">
        <v>3046</v>
      </c>
      <c r="C1593" t="s">
        <v>13</v>
      </c>
      <c r="D1593" t="s">
        <v>1213</v>
      </c>
      <c r="E1593" t="s">
        <v>3053</v>
      </c>
      <c r="F1593" t="s">
        <v>3054</v>
      </c>
      <c r="H1593" t="s">
        <v>17</v>
      </c>
      <c r="I1593" t="s">
        <v>2724</v>
      </c>
    </row>
    <row r="1594" spans="1:9" x14ac:dyDescent="0.3">
      <c r="A1594" t="s">
        <v>2946</v>
      </c>
      <c r="B1594" t="s">
        <v>3046</v>
      </c>
      <c r="C1594" t="s">
        <v>13</v>
      </c>
      <c r="D1594" t="s">
        <v>1209</v>
      </c>
      <c r="E1594" t="s">
        <v>3055</v>
      </c>
      <c r="F1594" t="s">
        <v>3056</v>
      </c>
      <c r="H1594" t="s">
        <v>17</v>
      </c>
      <c r="I1594" t="s">
        <v>2724</v>
      </c>
    </row>
    <row r="1595" spans="1:9" x14ac:dyDescent="0.3">
      <c r="A1595" t="s">
        <v>2946</v>
      </c>
      <c r="B1595" t="s">
        <v>3046</v>
      </c>
      <c r="C1595" t="s">
        <v>13</v>
      </c>
      <c r="D1595" t="s">
        <v>1213</v>
      </c>
      <c r="E1595" t="s">
        <v>3057</v>
      </c>
      <c r="F1595" t="s">
        <v>3058</v>
      </c>
      <c r="H1595" t="s">
        <v>17</v>
      </c>
      <c r="I1595" t="s">
        <v>2724</v>
      </c>
    </row>
    <row r="1596" spans="1:9" x14ac:dyDescent="0.3">
      <c r="A1596" t="s">
        <v>2946</v>
      </c>
      <c r="B1596" t="s">
        <v>3046</v>
      </c>
      <c r="C1596" t="s">
        <v>13</v>
      </c>
      <c r="D1596" t="s">
        <v>1219</v>
      </c>
      <c r="E1596" t="s">
        <v>3059</v>
      </c>
      <c r="F1596" t="s">
        <v>3060</v>
      </c>
      <c r="H1596" t="s">
        <v>17</v>
      </c>
      <c r="I1596" t="s">
        <v>2724</v>
      </c>
    </row>
    <row r="1597" spans="1:9" x14ac:dyDescent="0.3">
      <c r="A1597" t="s">
        <v>2946</v>
      </c>
      <c r="B1597" t="s">
        <v>3046</v>
      </c>
      <c r="C1597" t="s">
        <v>13</v>
      </c>
      <c r="D1597" t="s">
        <v>1224</v>
      </c>
      <c r="E1597" t="s">
        <v>3061</v>
      </c>
      <c r="F1597" t="s">
        <v>3062</v>
      </c>
      <c r="H1597" t="s">
        <v>17</v>
      </c>
      <c r="I1597" t="s">
        <v>3063</v>
      </c>
    </row>
    <row r="1598" spans="1:9" x14ac:dyDescent="0.3">
      <c r="A1598" t="s">
        <v>2946</v>
      </c>
      <c r="B1598" t="s">
        <v>3046</v>
      </c>
      <c r="C1598" t="s">
        <v>13</v>
      </c>
      <c r="D1598" t="s">
        <v>1228</v>
      </c>
      <c r="E1598" t="s">
        <v>3064</v>
      </c>
      <c r="F1598" t="s">
        <v>3065</v>
      </c>
      <c r="H1598" t="s">
        <v>17</v>
      </c>
      <c r="I1598" t="s">
        <v>3066</v>
      </c>
    </row>
    <row r="1599" spans="1:9" x14ac:dyDescent="0.3">
      <c r="A1599" t="s">
        <v>2946</v>
      </c>
      <c r="B1599" t="s">
        <v>3046</v>
      </c>
      <c r="C1599" t="s">
        <v>13</v>
      </c>
      <c r="D1599" t="s">
        <v>1232</v>
      </c>
      <c r="E1599" t="s">
        <v>3067</v>
      </c>
      <c r="F1599" t="s">
        <v>3068</v>
      </c>
      <c r="H1599" t="s">
        <v>17</v>
      </c>
      <c r="I1599" t="s">
        <v>3066</v>
      </c>
    </row>
    <row r="1600" spans="1:9" x14ac:dyDescent="0.3">
      <c r="A1600" t="s">
        <v>2946</v>
      </c>
      <c r="B1600" t="s">
        <v>3046</v>
      </c>
      <c r="C1600" t="s">
        <v>13</v>
      </c>
      <c r="D1600" t="s">
        <v>1236</v>
      </c>
      <c r="E1600" t="s">
        <v>3069</v>
      </c>
      <c r="F1600" t="s">
        <v>3070</v>
      </c>
      <c r="H1600" t="s">
        <v>17</v>
      </c>
      <c r="I1600" t="s">
        <v>3071</v>
      </c>
    </row>
    <row r="1601" spans="1:9" x14ac:dyDescent="0.3">
      <c r="A1601" t="s">
        <v>2946</v>
      </c>
      <c r="B1601" t="s">
        <v>3072</v>
      </c>
      <c r="C1601" t="s">
        <v>13</v>
      </c>
      <c r="D1601" t="s">
        <v>1240</v>
      </c>
      <c r="E1601" t="s">
        <v>3073</v>
      </c>
      <c r="F1601" t="s">
        <v>3074</v>
      </c>
      <c r="H1601" t="s">
        <v>17</v>
      </c>
      <c r="I1601" t="s">
        <v>3075</v>
      </c>
    </row>
    <row r="1602" spans="1:9" x14ac:dyDescent="0.3">
      <c r="A1602" t="s">
        <v>2946</v>
      </c>
      <c r="B1602" t="s">
        <v>3072</v>
      </c>
      <c r="C1602" t="s">
        <v>13</v>
      </c>
      <c r="D1602" t="s">
        <v>1244</v>
      </c>
      <c r="E1602" t="s">
        <v>3076</v>
      </c>
      <c r="F1602" t="s">
        <v>3077</v>
      </c>
      <c r="H1602" t="s">
        <v>17</v>
      </c>
      <c r="I1602" t="s">
        <v>3075</v>
      </c>
    </row>
    <row r="1603" spans="1:9" x14ac:dyDescent="0.3">
      <c r="A1603" t="s">
        <v>2946</v>
      </c>
      <c r="B1603" t="s">
        <v>3072</v>
      </c>
      <c r="C1603" t="s">
        <v>13</v>
      </c>
      <c r="D1603" t="s">
        <v>1248</v>
      </c>
      <c r="E1603" t="s">
        <v>3078</v>
      </c>
      <c r="F1603" t="s">
        <v>3079</v>
      </c>
      <c r="H1603" t="s">
        <v>17</v>
      </c>
      <c r="I1603" t="s">
        <v>3075</v>
      </c>
    </row>
    <row r="1604" spans="1:9" x14ac:dyDescent="0.3">
      <c r="A1604" t="s">
        <v>2946</v>
      </c>
      <c r="B1604" t="s">
        <v>3072</v>
      </c>
      <c r="C1604" t="s">
        <v>13</v>
      </c>
      <c r="D1604" t="s">
        <v>1252</v>
      </c>
      <c r="E1604" t="s">
        <v>3080</v>
      </c>
      <c r="F1604" t="s">
        <v>3081</v>
      </c>
      <c r="H1604" t="s">
        <v>17</v>
      </c>
      <c r="I1604" t="s">
        <v>3075</v>
      </c>
    </row>
    <row r="1605" spans="1:9" x14ac:dyDescent="0.3">
      <c r="A1605" t="s">
        <v>2946</v>
      </c>
      <c r="B1605" t="s">
        <v>3072</v>
      </c>
      <c r="C1605" t="s">
        <v>13</v>
      </c>
      <c r="D1605" t="s">
        <v>1256</v>
      </c>
      <c r="E1605" t="s">
        <v>3082</v>
      </c>
      <c r="F1605" t="s">
        <v>3083</v>
      </c>
      <c r="H1605" t="s">
        <v>17</v>
      </c>
      <c r="I1605" t="s">
        <v>3075</v>
      </c>
    </row>
    <row r="1606" spans="1:9" x14ac:dyDescent="0.3">
      <c r="A1606" t="s">
        <v>2946</v>
      </c>
      <c r="B1606" t="s">
        <v>3072</v>
      </c>
      <c r="C1606" t="s">
        <v>13</v>
      </c>
      <c r="D1606" t="s">
        <v>1261</v>
      </c>
      <c r="E1606" t="s">
        <v>3084</v>
      </c>
      <c r="F1606" t="s">
        <v>3085</v>
      </c>
      <c r="H1606" t="s">
        <v>17</v>
      </c>
      <c r="I1606" t="s">
        <v>3075</v>
      </c>
    </row>
    <row r="1607" spans="1:9" x14ac:dyDescent="0.3">
      <c r="A1607" t="s">
        <v>2946</v>
      </c>
      <c r="B1607" t="s">
        <v>3072</v>
      </c>
      <c r="C1607" t="s">
        <v>13</v>
      </c>
      <c r="D1607" t="s">
        <v>1265</v>
      </c>
      <c r="E1607" t="s">
        <v>3086</v>
      </c>
      <c r="F1607" t="s">
        <v>3087</v>
      </c>
      <c r="H1607" t="s">
        <v>17</v>
      </c>
      <c r="I1607" t="s">
        <v>3088</v>
      </c>
    </row>
    <row r="1608" spans="1:9" x14ac:dyDescent="0.3">
      <c r="A1608" t="s">
        <v>2946</v>
      </c>
      <c r="B1608" t="s">
        <v>3072</v>
      </c>
      <c r="C1608" t="s">
        <v>13</v>
      </c>
      <c r="D1608" t="s">
        <v>1270</v>
      </c>
      <c r="E1608" t="s">
        <v>3089</v>
      </c>
      <c r="F1608" t="s">
        <v>3090</v>
      </c>
      <c r="H1608" t="s">
        <v>17</v>
      </c>
      <c r="I1608" t="s">
        <v>3088</v>
      </c>
    </row>
    <row r="1609" spans="1:9" x14ac:dyDescent="0.3">
      <c r="A1609" t="s">
        <v>2946</v>
      </c>
      <c r="B1609" t="s">
        <v>3091</v>
      </c>
      <c r="C1609" t="s">
        <v>13</v>
      </c>
      <c r="D1609" t="s">
        <v>1276</v>
      </c>
      <c r="E1609" t="s">
        <v>3092</v>
      </c>
      <c r="F1609" t="s">
        <v>3093</v>
      </c>
      <c r="H1609" t="s">
        <v>17</v>
      </c>
      <c r="I1609" t="s">
        <v>3094</v>
      </c>
    </row>
    <row r="1610" spans="1:9" x14ac:dyDescent="0.3">
      <c r="A1610" t="s">
        <v>2946</v>
      </c>
      <c r="B1610" t="s">
        <v>3091</v>
      </c>
      <c r="C1610" t="s">
        <v>13</v>
      </c>
      <c r="D1610" t="s">
        <v>303</v>
      </c>
      <c r="E1610" t="s">
        <v>3095</v>
      </c>
      <c r="F1610" t="s">
        <v>3096</v>
      </c>
      <c r="H1610" t="s">
        <v>17</v>
      </c>
      <c r="I1610" t="s">
        <v>3094</v>
      </c>
    </row>
    <row r="1611" spans="1:9" x14ac:dyDescent="0.3">
      <c r="A1611" t="s">
        <v>2946</v>
      </c>
      <c r="B1611" t="s">
        <v>3091</v>
      </c>
      <c r="C1611" t="s">
        <v>13</v>
      </c>
      <c r="D1611" t="s">
        <v>308</v>
      </c>
      <c r="E1611" t="s">
        <v>3097</v>
      </c>
      <c r="F1611" t="s">
        <v>3098</v>
      </c>
      <c r="H1611" t="s">
        <v>17</v>
      </c>
      <c r="I1611" t="s">
        <v>3094</v>
      </c>
    </row>
    <row r="1612" spans="1:9" x14ac:dyDescent="0.3">
      <c r="A1612" t="s">
        <v>2946</v>
      </c>
      <c r="B1612" t="s">
        <v>3091</v>
      </c>
      <c r="C1612" t="s">
        <v>13</v>
      </c>
      <c r="D1612" t="s">
        <v>312</v>
      </c>
      <c r="E1612" t="s">
        <v>3099</v>
      </c>
      <c r="F1612" t="s">
        <v>3100</v>
      </c>
      <c r="H1612" t="s">
        <v>17</v>
      </c>
      <c r="I1612" t="s">
        <v>3101</v>
      </c>
    </row>
    <row r="1613" spans="1:9" x14ac:dyDescent="0.3">
      <c r="A1613" t="s">
        <v>2946</v>
      </c>
      <c r="B1613" t="s">
        <v>3091</v>
      </c>
      <c r="C1613" t="s">
        <v>13</v>
      </c>
      <c r="D1613" t="s">
        <v>316</v>
      </c>
      <c r="E1613" t="s">
        <v>3102</v>
      </c>
      <c r="F1613" t="s">
        <v>3103</v>
      </c>
      <c r="H1613" t="s">
        <v>17</v>
      </c>
      <c r="I1613" t="s">
        <v>3104</v>
      </c>
    </row>
    <row r="1614" spans="1:9" x14ac:dyDescent="0.3">
      <c r="A1614" t="s">
        <v>2946</v>
      </c>
      <c r="B1614" t="s">
        <v>3091</v>
      </c>
      <c r="C1614" t="s">
        <v>13</v>
      </c>
      <c r="D1614" t="s">
        <v>319</v>
      </c>
      <c r="E1614" t="s">
        <v>3105</v>
      </c>
      <c r="F1614" t="s">
        <v>3106</v>
      </c>
      <c r="H1614" t="s">
        <v>17</v>
      </c>
      <c r="I1614" t="s">
        <v>3107</v>
      </c>
    </row>
    <row r="1615" spans="1:9" x14ac:dyDescent="0.3">
      <c r="A1615" t="s">
        <v>2946</v>
      </c>
      <c r="B1615" t="s">
        <v>3091</v>
      </c>
      <c r="C1615" t="s">
        <v>13</v>
      </c>
      <c r="D1615" t="s">
        <v>323</v>
      </c>
      <c r="E1615" t="s">
        <v>3108</v>
      </c>
      <c r="F1615" t="s">
        <v>3109</v>
      </c>
      <c r="H1615" t="s">
        <v>17</v>
      </c>
      <c r="I1615" t="s">
        <v>3110</v>
      </c>
    </row>
    <row r="1616" spans="1:9" x14ac:dyDescent="0.3">
      <c r="A1616" t="s">
        <v>2946</v>
      </c>
      <c r="B1616" t="s">
        <v>3091</v>
      </c>
      <c r="C1616" t="s">
        <v>13</v>
      </c>
      <c r="D1616" t="s">
        <v>327</v>
      </c>
      <c r="E1616" t="s">
        <v>3111</v>
      </c>
      <c r="F1616" t="s">
        <v>3112</v>
      </c>
      <c r="H1616" t="s">
        <v>17</v>
      </c>
      <c r="I1616" t="s">
        <v>3110</v>
      </c>
    </row>
    <row r="1617" spans="1:9" x14ac:dyDescent="0.3">
      <c r="A1617" t="s">
        <v>2946</v>
      </c>
      <c r="B1617" t="s">
        <v>3091</v>
      </c>
      <c r="C1617" t="s">
        <v>13</v>
      </c>
      <c r="D1617" t="s">
        <v>332</v>
      </c>
      <c r="E1617" t="s">
        <v>3113</v>
      </c>
      <c r="F1617" t="s">
        <v>3114</v>
      </c>
      <c r="H1617" t="s">
        <v>17</v>
      </c>
      <c r="I1617" t="s">
        <v>3115</v>
      </c>
    </row>
    <row r="1618" spans="1:9" x14ac:dyDescent="0.3">
      <c r="A1618" t="s">
        <v>2946</v>
      </c>
      <c r="B1618" t="s">
        <v>3091</v>
      </c>
      <c r="C1618" t="s">
        <v>13</v>
      </c>
      <c r="D1618" t="s">
        <v>335</v>
      </c>
      <c r="E1618" t="s">
        <v>3116</v>
      </c>
      <c r="F1618" t="s">
        <v>3117</v>
      </c>
      <c r="H1618" t="s">
        <v>17</v>
      </c>
      <c r="I1618" t="s">
        <v>3118</v>
      </c>
    </row>
    <row r="1619" spans="1:9" x14ac:dyDescent="0.3">
      <c r="A1619" t="s">
        <v>2946</v>
      </c>
      <c r="B1619" t="s">
        <v>3091</v>
      </c>
      <c r="C1619" t="s">
        <v>13</v>
      </c>
      <c r="D1619" t="s">
        <v>338</v>
      </c>
      <c r="E1619" t="s">
        <v>3119</v>
      </c>
      <c r="F1619" t="s">
        <v>3120</v>
      </c>
      <c r="H1619" t="s">
        <v>17</v>
      </c>
      <c r="I1619" t="s">
        <v>3121</v>
      </c>
    </row>
    <row r="1620" spans="1:9" x14ac:dyDescent="0.3">
      <c r="A1620" t="s">
        <v>2946</v>
      </c>
      <c r="B1620" t="s">
        <v>3091</v>
      </c>
      <c r="C1620" t="s">
        <v>13</v>
      </c>
      <c r="D1620" t="s">
        <v>341</v>
      </c>
      <c r="E1620" t="s">
        <v>3122</v>
      </c>
      <c r="F1620" t="s">
        <v>3123</v>
      </c>
      <c r="H1620" t="s">
        <v>17</v>
      </c>
      <c r="I1620" t="s">
        <v>3124</v>
      </c>
    </row>
    <row r="1621" spans="1:9" x14ac:dyDescent="0.3">
      <c r="A1621" t="s">
        <v>2946</v>
      </c>
      <c r="B1621" t="s">
        <v>3091</v>
      </c>
      <c r="C1621" t="s">
        <v>13</v>
      </c>
      <c r="D1621" t="s">
        <v>344</v>
      </c>
      <c r="E1621" t="s">
        <v>3125</v>
      </c>
      <c r="F1621" t="s">
        <v>3126</v>
      </c>
      <c r="H1621" t="s">
        <v>17</v>
      </c>
      <c r="I1621" t="s">
        <v>3127</v>
      </c>
    </row>
    <row r="1622" spans="1:9" x14ac:dyDescent="0.3">
      <c r="A1622" t="s">
        <v>2946</v>
      </c>
      <c r="B1622" t="s">
        <v>3091</v>
      </c>
      <c r="C1622" t="s">
        <v>13</v>
      </c>
      <c r="D1622" t="s">
        <v>347</v>
      </c>
      <c r="E1622" t="s">
        <v>3128</v>
      </c>
      <c r="F1622" t="s">
        <v>3129</v>
      </c>
      <c r="H1622" t="s">
        <v>17</v>
      </c>
      <c r="I1622" t="s">
        <v>3130</v>
      </c>
    </row>
    <row r="1623" spans="1:9" x14ac:dyDescent="0.3">
      <c r="A1623" t="s">
        <v>2946</v>
      </c>
      <c r="B1623" t="s">
        <v>3091</v>
      </c>
      <c r="C1623" t="s">
        <v>13</v>
      </c>
      <c r="D1623" t="s">
        <v>353</v>
      </c>
      <c r="E1623" t="s">
        <v>3131</v>
      </c>
      <c r="F1623" t="s">
        <v>3132</v>
      </c>
      <c r="H1623" t="s">
        <v>17</v>
      </c>
      <c r="I1623" t="s">
        <v>3133</v>
      </c>
    </row>
    <row r="1624" spans="1:9" x14ac:dyDescent="0.3">
      <c r="A1624" t="s">
        <v>2946</v>
      </c>
      <c r="B1624" t="s">
        <v>3091</v>
      </c>
      <c r="C1624" t="s">
        <v>13</v>
      </c>
      <c r="D1624" t="s">
        <v>358</v>
      </c>
      <c r="E1624" t="s">
        <v>3134</v>
      </c>
      <c r="F1624" t="s">
        <v>3135</v>
      </c>
      <c r="H1624" t="s">
        <v>17</v>
      </c>
      <c r="I1624" t="s">
        <v>3133</v>
      </c>
    </row>
    <row r="1625" spans="1:9" x14ac:dyDescent="0.3">
      <c r="A1625" t="s">
        <v>2946</v>
      </c>
      <c r="B1625" t="s">
        <v>3091</v>
      </c>
      <c r="C1625" t="s">
        <v>13</v>
      </c>
      <c r="D1625" t="s">
        <v>361</v>
      </c>
      <c r="E1625" t="s">
        <v>3136</v>
      </c>
      <c r="F1625" t="s">
        <v>3137</v>
      </c>
      <c r="H1625" t="s">
        <v>17</v>
      </c>
      <c r="I1625" t="s">
        <v>3138</v>
      </c>
    </row>
    <row r="1626" spans="1:9" x14ac:dyDescent="0.3">
      <c r="A1626" t="s">
        <v>2946</v>
      </c>
      <c r="B1626" t="s">
        <v>3091</v>
      </c>
      <c r="C1626" t="s">
        <v>13</v>
      </c>
      <c r="D1626" t="s">
        <v>364</v>
      </c>
      <c r="E1626" t="s">
        <v>3139</v>
      </c>
      <c r="F1626" t="s">
        <v>3140</v>
      </c>
      <c r="H1626" t="s">
        <v>17</v>
      </c>
      <c r="I1626" t="s">
        <v>3138</v>
      </c>
    </row>
    <row r="1627" spans="1:9" x14ac:dyDescent="0.3">
      <c r="A1627" t="s">
        <v>2946</v>
      </c>
      <c r="B1627" t="s">
        <v>3091</v>
      </c>
      <c r="C1627" t="s">
        <v>13</v>
      </c>
      <c r="D1627" t="s">
        <v>367</v>
      </c>
      <c r="E1627" t="s">
        <v>3141</v>
      </c>
      <c r="F1627" t="s">
        <v>3142</v>
      </c>
      <c r="H1627" t="s">
        <v>17</v>
      </c>
      <c r="I1627" t="s">
        <v>3143</v>
      </c>
    </row>
    <row r="1628" spans="1:9" x14ac:dyDescent="0.3">
      <c r="A1628" t="s">
        <v>2946</v>
      </c>
      <c r="B1628" t="s">
        <v>3144</v>
      </c>
      <c r="C1628" t="s">
        <v>13</v>
      </c>
      <c r="D1628" t="s">
        <v>370</v>
      </c>
      <c r="E1628" t="s">
        <v>3145</v>
      </c>
      <c r="F1628" t="s">
        <v>3146</v>
      </c>
      <c r="H1628" t="s">
        <v>17</v>
      </c>
      <c r="I1628" t="s">
        <v>3147</v>
      </c>
    </row>
    <row r="1629" spans="1:9" x14ac:dyDescent="0.3">
      <c r="A1629" t="s">
        <v>2946</v>
      </c>
      <c r="B1629" t="s">
        <v>3144</v>
      </c>
      <c r="C1629" t="s">
        <v>13</v>
      </c>
      <c r="D1629" t="s">
        <v>373</v>
      </c>
      <c r="E1629" t="s">
        <v>3148</v>
      </c>
      <c r="F1629" t="s">
        <v>3149</v>
      </c>
      <c r="H1629" t="s">
        <v>17</v>
      </c>
      <c r="I1629" t="s">
        <v>3147</v>
      </c>
    </row>
    <row r="1630" spans="1:9" x14ac:dyDescent="0.3">
      <c r="A1630" t="s">
        <v>2946</v>
      </c>
      <c r="B1630" t="s">
        <v>3144</v>
      </c>
      <c r="C1630" t="s">
        <v>13</v>
      </c>
      <c r="D1630" t="s">
        <v>376</v>
      </c>
      <c r="E1630" t="s">
        <v>3150</v>
      </c>
      <c r="F1630" t="s">
        <v>3151</v>
      </c>
      <c r="H1630" t="s">
        <v>17</v>
      </c>
      <c r="I1630" t="s">
        <v>3147</v>
      </c>
    </row>
    <row r="1631" spans="1:9" x14ac:dyDescent="0.3">
      <c r="A1631" t="s">
        <v>2946</v>
      </c>
      <c r="B1631" t="s">
        <v>3144</v>
      </c>
      <c r="C1631" t="s">
        <v>13</v>
      </c>
      <c r="D1631" t="s">
        <v>1675</v>
      </c>
      <c r="E1631" t="s">
        <v>3152</v>
      </c>
      <c r="F1631" t="s">
        <v>3153</v>
      </c>
      <c r="H1631" t="s">
        <v>17</v>
      </c>
      <c r="I1631" t="s">
        <v>3147</v>
      </c>
    </row>
    <row r="1632" spans="1:9" x14ac:dyDescent="0.3">
      <c r="A1632" t="s">
        <v>2946</v>
      </c>
      <c r="B1632" t="s">
        <v>3144</v>
      </c>
      <c r="C1632" t="s">
        <v>13</v>
      </c>
      <c r="D1632" t="s">
        <v>1678</v>
      </c>
      <c r="E1632" t="s">
        <v>3154</v>
      </c>
      <c r="F1632" t="s">
        <v>3155</v>
      </c>
      <c r="H1632" t="s">
        <v>17</v>
      </c>
      <c r="I1632" t="s">
        <v>3147</v>
      </c>
    </row>
    <row r="1633" spans="1:9" x14ac:dyDescent="0.3">
      <c r="A1633" t="s">
        <v>2946</v>
      </c>
      <c r="B1633" t="s">
        <v>3144</v>
      </c>
      <c r="C1633" t="s">
        <v>13</v>
      </c>
      <c r="D1633" t="s">
        <v>1681</v>
      </c>
      <c r="E1633" t="s">
        <v>3156</v>
      </c>
      <c r="F1633" t="s">
        <v>3157</v>
      </c>
      <c r="H1633" t="s">
        <v>17</v>
      </c>
      <c r="I1633" t="s">
        <v>3147</v>
      </c>
    </row>
    <row r="1634" spans="1:9" x14ac:dyDescent="0.3">
      <c r="A1634" t="s">
        <v>2946</v>
      </c>
      <c r="B1634" t="s">
        <v>3144</v>
      </c>
      <c r="C1634" t="s">
        <v>13</v>
      </c>
      <c r="D1634" t="s">
        <v>1683</v>
      </c>
      <c r="E1634" t="s">
        <v>3158</v>
      </c>
      <c r="F1634" t="s">
        <v>3159</v>
      </c>
      <c r="H1634" t="s">
        <v>17</v>
      </c>
      <c r="I1634" t="s">
        <v>3147</v>
      </c>
    </row>
    <row r="1635" spans="1:9" x14ac:dyDescent="0.3">
      <c r="A1635" t="s">
        <v>2946</v>
      </c>
      <c r="B1635" t="s">
        <v>3144</v>
      </c>
      <c r="C1635" t="s">
        <v>13</v>
      </c>
      <c r="D1635" t="s">
        <v>1685</v>
      </c>
      <c r="E1635" t="s">
        <v>3160</v>
      </c>
      <c r="F1635" t="s">
        <v>3161</v>
      </c>
      <c r="H1635" t="s">
        <v>17</v>
      </c>
      <c r="I1635" t="s">
        <v>3147</v>
      </c>
    </row>
    <row r="1636" spans="1:9" x14ac:dyDescent="0.3">
      <c r="A1636" t="s">
        <v>2946</v>
      </c>
      <c r="B1636" t="s">
        <v>3144</v>
      </c>
      <c r="C1636" t="s">
        <v>13</v>
      </c>
      <c r="D1636" t="s">
        <v>2859</v>
      </c>
      <c r="E1636" t="s">
        <v>3162</v>
      </c>
      <c r="F1636" t="s">
        <v>3163</v>
      </c>
      <c r="H1636" t="s">
        <v>17</v>
      </c>
      <c r="I1636" t="s">
        <v>3147</v>
      </c>
    </row>
    <row r="1637" spans="1:9" x14ac:dyDescent="0.3">
      <c r="A1637" t="s">
        <v>2946</v>
      </c>
      <c r="B1637" t="s">
        <v>3144</v>
      </c>
      <c r="C1637" t="s">
        <v>13</v>
      </c>
      <c r="D1637" t="s">
        <v>2413</v>
      </c>
      <c r="E1637" t="s">
        <v>3164</v>
      </c>
      <c r="F1637" t="s">
        <v>3165</v>
      </c>
      <c r="H1637" t="s">
        <v>17</v>
      </c>
      <c r="I1637" t="s">
        <v>3166</v>
      </c>
    </row>
    <row r="1638" spans="1:9" x14ac:dyDescent="0.3">
      <c r="A1638" t="s">
        <v>2946</v>
      </c>
      <c r="B1638" t="s">
        <v>3144</v>
      </c>
      <c r="C1638" t="s">
        <v>13</v>
      </c>
      <c r="D1638" t="s">
        <v>2417</v>
      </c>
      <c r="E1638" t="s">
        <v>3167</v>
      </c>
      <c r="F1638" t="s">
        <v>3168</v>
      </c>
      <c r="H1638" t="s">
        <v>17</v>
      </c>
      <c r="I1638" t="s">
        <v>3169</v>
      </c>
    </row>
    <row r="1639" spans="1:9" x14ac:dyDescent="0.3">
      <c r="A1639" t="s">
        <v>2946</v>
      </c>
      <c r="B1639" t="s">
        <v>3144</v>
      </c>
      <c r="C1639" t="s">
        <v>13</v>
      </c>
      <c r="D1639" t="s">
        <v>2421</v>
      </c>
      <c r="E1639" t="s">
        <v>3170</v>
      </c>
      <c r="F1639" t="s">
        <v>3171</v>
      </c>
      <c r="H1639" t="s">
        <v>17</v>
      </c>
      <c r="I1639" t="s">
        <v>2984</v>
      </c>
    </row>
    <row r="1640" spans="1:9" x14ac:dyDescent="0.3">
      <c r="A1640" t="s">
        <v>2946</v>
      </c>
      <c r="B1640" t="s">
        <v>3144</v>
      </c>
      <c r="C1640" t="s">
        <v>1936</v>
      </c>
      <c r="D1640" t="s">
        <v>996</v>
      </c>
      <c r="E1640" t="s">
        <v>2671</v>
      </c>
      <c r="F1640" t="s">
        <v>3172</v>
      </c>
      <c r="H1640" t="s">
        <v>17</v>
      </c>
      <c r="I1640" t="s">
        <v>3173</v>
      </c>
    </row>
    <row r="1641" spans="1:9" x14ac:dyDescent="0.3">
      <c r="A1641" t="s">
        <v>2946</v>
      </c>
      <c r="B1641" t="s">
        <v>3144</v>
      </c>
      <c r="C1641" t="s">
        <v>1936</v>
      </c>
      <c r="D1641" t="s">
        <v>1001</v>
      </c>
      <c r="E1641" t="s">
        <v>2674</v>
      </c>
      <c r="F1641" t="s">
        <v>3174</v>
      </c>
      <c r="H1641" t="s">
        <v>17</v>
      </c>
      <c r="I1641" t="s">
        <v>3175</v>
      </c>
    </row>
    <row r="1642" spans="1:9" x14ac:dyDescent="0.3">
      <c r="A1642" t="s">
        <v>2946</v>
      </c>
      <c r="B1642" t="s">
        <v>3176</v>
      </c>
      <c r="C1642" t="s">
        <v>1936</v>
      </c>
      <c r="D1642" t="s">
        <v>1942</v>
      </c>
      <c r="E1642" t="s">
        <v>2679</v>
      </c>
      <c r="F1642" t="s">
        <v>3177</v>
      </c>
      <c r="H1642" t="s">
        <v>17</v>
      </c>
      <c r="I1642" t="s">
        <v>3178</v>
      </c>
    </row>
    <row r="1643" spans="1:9" x14ac:dyDescent="0.3">
      <c r="A1643" t="s">
        <v>2946</v>
      </c>
      <c r="B1643" t="s">
        <v>3176</v>
      </c>
      <c r="C1643" t="s">
        <v>1936</v>
      </c>
      <c r="D1643" t="s">
        <v>22</v>
      </c>
      <c r="E1643" t="s">
        <v>23</v>
      </c>
      <c r="F1643" t="s">
        <v>3179</v>
      </c>
      <c r="H1643" t="s">
        <v>17</v>
      </c>
      <c r="I1643" t="s">
        <v>3178</v>
      </c>
    </row>
    <row r="1644" spans="1:9" x14ac:dyDescent="0.3">
      <c r="A1644" t="s">
        <v>2946</v>
      </c>
      <c r="B1644" t="s">
        <v>3176</v>
      </c>
      <c r="C1644" t="s">
        <v>1936</v>
      </c>
      <c r="D1644" t="s">
        <v>27</v>
      </c>
      <c r="E1644" t="s">
        <v>28</v>
      </c>
      <c r="F1644" t="s">
        <v>3180</v>
      </c>
      <c r="H1644" t="s">
        <v>17</v>
      </c>
      <c r="I1644" t="s">
        <v>3178</v>
      </c>
    </row>
    <row r="1645" spans="1:9" x14ac:dyDescent="0.3">
      <c r="A1645" t="s">
        <v>2946</v>
      </c>
      <c r="B1645" t="s">
        <v>3176</v>
      </c>
      <c r="C1645" t="s">
        <v>1936</v>
      </c>
      <c r="D1645" t="s">
        <v>1014</v>
      </c>
      <c r="E1645" t="s">
        <v>33</v>
      </c>
      <c r="F1645" t="s">
        <v>3181</v>
      </c>
      <c r="H1645" t="s">
        <v>17</v>
      </c>
      <c r="I1645" t="s">
        <v>3178</v>
      </c>
    </row>
    <row r="1646" spans="1:9" x14ac:dyDescent="0.3">
      <c r="A1646" t="s">
        <v>2946</v>
      </c>
      <c r="B1646" t="s">
        <v>3176</v>
      </c>
      <c r="C1646" t="s">
        <v>1936</v>
      </c>
      <c r="D1646" t="s">
        <v>1017</v>
      </c>
      <c r="E1646" t="s">
        <v>2687</v>
      </c>
      <c r="F1646" t="s">
        <v>3182</v>
      </c>
      <c r="H1646" t="s">
        <v>17</v>
      </c>
      <c r="I1646" t="s">
        <v>3178</v>
      </c>
    </row>
    <row r="1647" spans="1:9" x14ac:dyDescent="0.3">
      <c r="A1647" t="s">
        <v>2946</v>
      </c>
      <c r="B1647" t="s">
        <v>3176</v>
      </c>
      <c r="C1647" t="s">
        <v>1936</v>
      </c>
      <c r="D1647" t="s">
        <v>36</v>
      </c>
      <c r="E1647" t="s">
        <v>37</v>
      </c>
      <c r="F1647" t="s">
        <v>3183</v>
      </c>
      <c r="H1647" t="s">
        <v>17</v>
      </c>
      <c r="I1647" t="s">
        <v>3184</v>
      </c>
    </row>
    <row r="1648" spans="1:9" x14ac:dyDescent="0.3">
      <c r="A1648" t="s">
        <v>2946</v>
      </c>
      <c r="B1648" t="s">
        <v>3176</v>
      </c>
      <c r="C1648" t="s">
        <v>1936</v>
      </c>
      <c r="D1648" t="s">
        <v>41</v>
      </c>
      <c r="E1648" t="s">
        <v>42</v>
      </c>
      <c r="F1648" t="s">
        <v>3185</v>
      </c>
      <c r="H1648" t="s">
        <v>17</v>
      </c>
      <c r="I1648" t="s">
        <v>3186</v>
      </c>
    </row>
    <row r="1649" spans="1:9" x14ac:dyDescent="0.3">
      <c r="A1649" t="s">
        <v>2946</v>
      </c>
      <c r="B1649" t="s">
        <v>3176</v>
      </c>
      <c r="C1649" t="s">
        <v>1936</v>
      </c>
      <c r="D1649" t="s">
        <v>45</v>
      </c>
      <c r="E1649" t="s">
        <v>46</v>
      </c>
      <c r="F1649" t="s">
        <v>3187</v>
      </c>
      <c r="H1649" t="s">
        <v>17</v>
      </c>
      <c r="I1649" t="s">
        <v>3188</v>
      </c>
    </row>
    <row r="1650" spans="1:9" x14ac:dyDescent="0.3">
      <c r="A1650" t="s">
        <v>2946</v>
      </c>
      <c r="B1650" t="s">
        <v>3176</v>
      </c>
      <c r="C1650" t="s">
        <v>1936</v>
      </c>
      <c r="D1650" t="s">
        <v>50</v>
      </c>
      <c r="E1650" t="s">
        <v>51</v>
      </c>
      <c r="F1650" t="s">
        <v>3189</v>
      </c>
      <c r="H1650" t="s">
        <v>17</v>
      </c>
      <c r="I1650" t="s">
        <v>3190</v>
      </c>
    </row>
    <row r="1651" spans="1:9" x14ac:dyDescent="0.3">
      <c r="A1651" t="s">
        <v>2946</v>
      </c>
      <c r="B1651" t="s">
        <v>3176</v>
      </c>
      <c r="C1651" t="s">
        <v>1936</v>
      </c>
      <c r="D1651" t="s">
        <v>53</v>
      </c>
      <c r="E1651" t="s">
        <v>54</v>
      </c>
      <c r="F1651" t="s">
        <v>3191</v>
      </c>
      <c r="H1651" t="s">
        <v>17</v>
      </c>
      <c r="I1651" t="s">
        <v>3192</v>
      </c>
    </row>
    <row r="1652" spans="1:9" x14ac:dyDescent="0.3">
      <c r="A1652" t="s">
        <v>2946</v>
      </c>
      <c r="B1652" t="s">
        <v>3176</v>
      </c>
      <c r="C1652" t="s">
        <v>1936</v>
      </c>
      <c r="D1652" t="s">
        <v>56</v>
      </c>
      <c r="E1652" t="s">
        <v>57</v>
      </c>
      <c r="F1652" t="s">
        <v>3193</v>
      </c>
      <c r="H1652" t="s">
        <v>17</v>
      </c>
      <c r="I1652" t="s">
        <v>3194</v>
      </c>
    </row>
    <row r="1653" spans="1:9" x14ac:dyDescent="0.3">
      <c r="A1653" t="s">
        <v>2946</v>
      </c>
      <c r="B1653" t="s">
        <v>3176</v>
      </c>
      <c r="C1653" t="s">
        <v>1936</v>
      </c>
      <c r="D1653" t="s">
        <v>61</v>
      </c>
      <c r="E1653" t="s">
        <v>62</v>
      </c>
      <c r="F1653" t="s">
        <v>3195</v>
      </c>
      <c r="H1653" t="s">
        <v>17</v>
      </c>
      <c r="I1653" t="s">
        <v>3196</v>
      </c>
    </row>
    <row r="1654" spans="1:9" x14ac:dyDescent="0.3">
      <c r="A1654" t="s">
        <v>2946</v>
      </c>
      <c r="B1654" t="s">
        <v>3176</v>
      </c>
      <c r="C1654" t="s">
        <v>1936</v>
      </c>
      <c r="D1654" t="s">
        <v>1039</v>
      </c>
      <c r="E1654" t="s">
        <v>67</v>
      </c>
      <c r="F1654" t="s">
        <v>3197</v>
      </c>
      <c r="H1654" t="s">
        <v>17</v>
      </c>
      <c r="I1654" t="s">
        <v>3198</v>
      </c>
    </row>
    <row r="1655" spans="1:9" x14ac:dyDescent="0.3">
      <c r="A1655" t="s">
        <v>2946</v>
      </c>
      <c r="B1655" t="s">
        <v>3199</v>
      </c>
      <c r="C1655" t="s">
        <v>1936</v>
      </c>
      <c r="D1655" t="s">
        <v>1043</v>
      </c>
      <c r="E1655" t="s">
        <v>77</v>
      </c>
      <c r="F1655" t="s">
        <v>3200</v>
      </c>
      <c r="H1655" t="s">
        <v>17</v>
      </c>
      <c r="I1655" t="s">
        <v>3147</v>
      </c>
    </row>
    <row r="1656" spans="1:9" x14ac:dyDescent="0.3">
      <c r="A1656" t="s">
        <v>2946</v>
      </c>
      <c r="B1656" t="s">
        <v>3199</v>
      </c>
      <c r="C1656" t="s">
        <v>1936</v>
      </c>
      <c r="D1656" t="s">
        <v>71</v>
      </c>
      <c r="E1656" t="s">
        <v>81</v>
      </c>
      <c r="F1656" t="s">
        <v>3201</v>
      </c>
      <c r="H1656" t="s">
        <v>17</v>
      </c>
      <c r="I1656" t="s">
        <v>3147</v>
      </c>
    </row>
    <row r="1657" spans="1:9" x14ac:dyDescent="0.3">
      <c r="A1657" t="s">
        <v>2946</v>
      </c>
      <c r="B1657" t="s">
        <v>3199</v>
      </c>
      <c r="C1657" t="s">
        <v>1936</v>
      </c>
      <c r="D1657" t="s">
        <v>1050</v>
      </c>
      <c r="E1657" t="s">
        <v>86</v>
      </c>
      <c r="F1657" t="s">
        <v>3202</v>
      </c>
      <c r="H1657" t="s">
        <v>17</v>
      </c>
      <c r="I1657" t="s">
        <v>3147</v>
      </c>
    </row>
    <row r="1658" spans="1:9" x14ac:dyDescent="0.3">
      <c r="A1658" t="s">
        <v>2946</v>
      </c>
      <c r="B1658" t="s">
        <v>3199</v>
      </c>
      <c r="C1658" t="s">
        <v>1936</v>
      </c>
      <c r="D1658" t="s">
        <v>1055</v>
      </c>
      <c r="E1658" t="s">
        <v>91</v>
      </c>
      <c r="F1658" t="s">
        <v>3203</v>
      </c>
      <c r="H1658" t="s">
        <v>17</v>
      </c>
      <c r="I1658" t="s">
        <v>3147</v>
      </c>
    </row>
    <row r="1659" spans="1:9" x14ac:dyDescent="0.3">
      <c r="A1659" t="s">
        <v>2946</v>
      </c>
      <c r="B1659" t="s">
        <v>3204</v>
      </c>
      <c r="C1659" t="s">
        <v>1936</v>
      </c>
      <c r="D1659" t="s">
        <v>80</v>
      </c>
      <c r="E1659" t="s">
        <v>101</v>
      </c>
      <c r="F1659" t="s">
        <v>3205</v>
      </c>
      <c r="H1659" t="s">
        <v>17</v>
      </c>
      <c r="I1659" t="s">
        <v>3206</v>
      </c>
    </row>
    <row r="1660" spans="1:9" x14ac:dyDescent="0.3">
      <c r="A1660" t="s">
        <v>2946</v>
      </c>
      <c r="B1660" t="s">
        <v>3204</v>
      </c>
      <c r="C1660" t="s">
        <v>1936</v>
      </c>
      <c r="D1660" t="s">
        <v>85</v>
      </c>
      <c r="E1660" t="s">
        <v>107</v>
      </c>
      <c r="F1660" t="s">
        <v>3207</v>
      </c>
      <c r="H1660" t="s">
        <v>17</v>
      </c>
      <c r="I1660" t="s">
        <v>3208</v>
      </c>
    </row>
    <row r="1661" spans="1:9" x14ac:dyDescent="0.3">
      <c r="A1661" t="s">
        <v>2946</v>
      </c>
      <c r="B1661" t="s">
        <v>3204</v>
      </c>
      <c r="C1661" t="s">
        <v>1936</v>
      </c>
      <c r="D1661" t="s">
        <v>90</v>
      </c>
      <c r="E1661" t="s">
        <v>112</v>
      </c>
      <c r="F1661" t="s">
        <v>3209</v>
      </c>
      <c r="H1661" t="s">
        <v>17</v>
      </c>
      <c r="I1661" t="s">
        <v>3210</v>
      </c>
    </row>
    <row r="1662" spans="1:9" x14ac:dyDescent="0.3">
      <c r="A1662" t="s">
        <v>2946</v>
      </c>
      <c r="B1662" t="s">
        <v>3204</v>
      </c>
      <c r="C1662" t="s">
        <v>1936</v>
      </c>
      <c r="D1662" t="s">
        <v>95</v>
      </c>
      <c r="E1662" t="s">
        <v>115</v>
      </c>
      <c r="F1662" t="s">
        <v>3211</v>
      </c>
      <c r="H1662" t="s">
        <v>17</v>
      </c>
      <c r="I1662" t="s">
        <v>3212</v>
      </c>
    </row>
    <row r="1663" spans="1:9" x14ac:dyDescent="0.3">
      <c r="A1663" t="s">
        <v>2946</v>
      </c>
      <c r="B1663" t="s">
        <v>3204</v>
      </c>
      <c r="C1663" t="s">
        <v>1936</v>
      </c>
      <c r="D1663" t="s">
        <v>100</v>
      </c>
      <c r="E1663" t="s">
        <v>118</v>
      </c>
      <c r="F1663" t="s">
        <v>3213</v>
      </c>
      <c r="H1663" t="s">
        <v>17</v>
      </c>
      <c r="I1663" t="s">
        <v>3214</v>
      </c>
    </row>
    <row r="1664" spans="1:9" x14ac:dyDescent="0.3">
      <c r="A1664" t="s">
        <v>2946</v>
      </c>
      <c r="B1664" t="s">
        <v>3204</v>
      </c>
      <c r="C1664" t="s">
        <v>1936</v>
      </c>
      <c r="D1664" t="s">
        <v>106</v>
      </c>
      <c r="E1664" t="s">
        <v>122</v>
      </c>
      <c r="F1664" t="s">
        <v>3215</v>
      </c>
      <c r="H1664" t="s">
        <v>17</v>
      </c>
      <c r="I1664" t="s">
        <v>3216</v>
      </c>
    </row>
    <row r="1665" spans="1:9" x14ac:dyDescent="0.3">
      <c r="A1665" t="s">
        <v>2946</v>
      </c>
      <c r="B1665" t="s">
        <v>3204</v>
      </c>
      <c r="C1665" t="s">
        <v>1936</v>
      </c>
      <c r="D1665" t="s">
        <v>111</v>
      </c>
      <c r="E1665" t="s">
        <v>127</v>
      </c>
      <c r="F1665" t="s">
        <v>3217</v>
      </c>
      <c r="H1665" t="s">
        <v>17</v>
      </c>
      <c r="I1665" t="s">
        <v>3216</v>
      </c>
    </row>
    <row r="1666" spans="1:9" x14ac:dyDescent="0.3">
      <c r="A1666" t="s">
        <v>2946</v>
      </c>
      <c r="B1666" t="s">
        <v>3204</v>
      </c>
      <c r="C1666" t="s">
        <v>1936</v>
      </c>
      <c r="D1666" t="s">
        <v>114</v>
      </c>
      <c r="E1666" t="s">
        <v>130</v>
      </c>
      <c r="F1666" t="s">
        <v>3218</v>
      </c>
      <c r="H1666" t="s">
        <v>17</v>
      </c>
      <c r="I1666" t="s">
        <v>3219</v>
      </c>
    </row>
    <row r="1667" spans="1:9" x14ac:dyDescent="0.3">
      <c r="A1667" t="s">
        <v>2946</v>
      </c>
      <c r="B1667" t="s">
        <v>3204</v>
      </c>
      <c r="C1667" t="s">
        <v>1936</v>
      </c>
      <c r="D1667" t="s">
        <v>117</v>
      </c>
      <c r="E1667" t="s">
        <v>133</v>
      </c>
      <c r="F1667" t="s">
        <v>3220</v>
      </c>
      <c r="H1667" t="s">
        <v>17</v>
      </c>
      <c r="I1667" t="s">
        <v>3221</v>
      </c>
    </row>
    <row r="1668" spans="1:9" x14ac:dyDescent="0.3">
      <c r="A1668" t="s">
        <v>2946</v>
      </c>
      <c r="B1668" t="s">
        <v>3204</v>
      </c>
      <c r="C1668" t="s">
        <v>1936</v>
      </c>
      <c r="D1668" t="s">
        <v>121</v>
      </c>
      <c r="E1668" t="s">
        <v>136</v>
      </c>
      <c r="F1668" t="s">
        <v>3222</v>
      </c>
      <c r="H1668" t="s">
        <v>17</v>
      </c>
      <c r="I1668" t="s">
        <v>3223</v>
      </c>
    </row>
    <row r="1669" spans="1:9" x14ac:dyDescent="0.3">
      <c r="A1669" t="s">
        <v>2946</v>
      </c>
      <c r="B1669" t="s">
        <v>3204</v>
      </c>
      <c r="C1669" t="s">
        <v>1936</v>
      </c>
      <c r="D1669" t="s">
        <v>126</v>
      </c>
      <c r="E1669" t="s">
        <v>139</v>
      </c>
      <c r="F1669" t="s">
        <v>3224</v>
      </c>
      <c r="H1669" t="s">
        <v>17</v>
      </c>
      <c r="I1669" t="s">
        <v>3225</v>
      </c>
    </row>
    <row r="1670" spans="1:9" x14ac:dyDescent="0.3">
      <c r="A1670" t="s">
        <v>2946</v>
      </c>
      <c r="B1670" t="s">
        <v>3226</v>
      </c>
      <c r="C1670" t="s">
        <v>1936</v>
      </c>
      <c r="D1670" t="s">
        <v>129</v>
      </c>
      <c r="E1670" t="s">
        <v>145</v>
      </c>
      <c r="F1670" t="s">
        <v>3227</v>
      </c>
      <c r="H1670" t="s">
        <v>17</v>
      </c>
      <c r="I1670" t="s">
        <v>3228</v>
      </c>
    </row>
    <row r="1671" spans="1:9" x14ac:dyDescent="0.3">
      <c r="A1671" t="s">
        <v>2946</v>
      </c>
      <c r="B1671" t="s">
        <v>3226</v>
      </c>
      <c r="C1671" t="s">
        <v>1936</v>
      </c>
      <c r="D1671" t="s">
        <v>132</v>
      </c>
      <c r="E1671" t="s">
        <v>148</v>
      </c>
      <c r="F1671" t="s">
        <v>3229</v>
      </c>
      <c r="H1671" t="s">
        <v>17</v>
      </c>
      <c r="I1671" t="s">
        <v>3228</v>
      </c>
    </row>
    <row r="1672" spans="1:9" x14ac:dyDescent="0.3">
      <c r="A1672" t="s">
        <v>2946</v>
      </c>
      <c r="B1672" t="s">
        <v>3226</v>
      </c>
      <c r="C1672" t="s">
        <v>1936</v>
      </c>
      <c r="D1672" t="s">
        <v>135</v>
      </c>
      <c r="E1672" t="s">
        <v>153</v>
      </c>
      <c r="F1672" t="s">
        <v>3230</v>
      </c>
      <c r="H1672" t="s">
        <v>17</v>
      </c>
      <c r="I1672" t="s">
        <v>3228</v>
      </c>
    </row>
    <row r="1673" spans="1:9" x14ac:dyDescent="0.3">
      <c r="A1673" t="s">
        <v>2946</v>
      </c>
      <c r="B1673" t="s">
        <v>3226</v>
      </c>
      <c r="C1673" t="s">
        <v>1936</v>
      </c>
      <c r="D1673" t="s">
        <v>138</v>
      </c>
      <c r="E1673" t="s">
        <v>158</v>
      </c>
      <c r="F1673" t="s">
        <v>3231</v>
      </c>
      <c r="H1673" t="s">
        <v>17</v>
      </c>
      <c r="I1673" t="s">
        <v>3228</v>
      </c>
    </row>
    <row r="1674" spans="1:9" x14ac:dyDescent="0.3">
      <c r="A1674" t="s">
        <v>2946</v>
      </c>
      <c r="B1674" t="s">
        <v>3226</v>
      </c>
      <c r="C1674" t="s">
        <v>1936</v>
      </c>
      <c r="D1674" t="s">
        <v>141</v>
      </c>
      <c r="E1674" t="s">
        <v>163</v>
      </c>
      <c r="F1674" t="s">
        <v>3232</v>
      </c>
      <c r="H1674" t="s">
        <v>17</v>
      </c>
      <c r="I1674" t="s">
        <v>3228</v>
      </c>
    </row>
    <row r="1675" spans="1:9" x14ac:dyDescent="0.3">
      <c r="A1675" t="s">
        <v>2946</v>
      </c>
      <c r="B1675" t="s">
        <v>3226</v>
      </c>
      <c r="C1675" t="s">
        <v>1936</v>
      </c>
      <c r="D1675" t="s">
        <v>144</v>
      </c>
      <c r="E1675" t="s">
        <v>168</v>
      </c>
      <c r="F1675" t="s">
        <v>3233</v>
      </c>
      <c r="H1675" t="s">
        <v>17</v>
      </c>
      <c r="I1675" t="s">
        <v>3228</v>
      </c>
    </row>
    <row r="1676" spans="1:9" x14ac:dyDescent="0.3">
      <c r="A1676" t="s">
        <v>2946</v>
      </c>
      <c r="B1676" t="s">
        <v>3226</v>
      </c>
      <c r="C1676" t="s">
        <v>1936</v>
      </c>
      <c r="D1676" t="s">
        <v>147</v>
      </c>
      <c r="E1676" t="s">
        <v>173</v>
      </c>
      <c r="F1676" t="s">
        <v>3234</v>
      </c>
      <c r="H1676" t="s">
        <v>17</v>
      </c>
      <c r="I1676" t="s">
        <v>3228</v>
      </c>
    </row>
    <row r="1677" spans="1:9" x14ac:dyDescent="0.3">
      <c r="A1677" t="s">
        <v>2946</v>
      </c>
      <c r="B1677" t="s">
        <v>3226</v>
      </c>
      <c r="C1677" t="s">
        <v>1936</v>
      </c>
      <c r="D1677" t="s">
        <v>152</v>
      </c>
      <c r="E1677" t="s">
        <v>178</v>
      </c>
      <c r="F1677" t="s">
        <v>3235</v>
      </c>
      <c r="H1677" t="s">
        <v>17</v>
      </c>
      <c r="I1677" t="s">
        <v>3228</v>
      </c>
    </row>
    <row r="1678" spans="1:9" x14ac:dyDescent="0.3">
      <c r="A1678" t="s">
        <v>2946</v>
      </c>
      <c r="B1678" t="s">
        <v>3236</v>
      </c>
      <c r="C1678" t="s">
        <v>1936</v>
      </c>
      <c r="D1678" t="s">
        <v>157</v>
      </c>
      <c r="E1678" t="s">
        <v>188</v>
      </c>
      <c r="F1678" t="s">
        <v>3237</v>
      </c>
      <c r="H1678" t="s">
        <v>17</v>
      </c>
      <c r="I1678" t="s">
        <v>3238</v>
      </c>
    </row>
    <row r="1679" spans="1:9" x14ac:dyDescent="0.3">
      <c r="A1679" t="s">
        <v>2946</v>
      </c>
      <c r="B1679" t="s">
        <v>3236</v>
      </c>
      <c r="C1679" t="s">
        <v>1936</v>
      </c>
      <c r="D1679" t="s">
        <v>162</v>
      </c>
      <c r="E1679" t="s">
        <v>194</v>
      </c>
      <c r="F1679" t="s">
        <v>3239</v>
      </c>
      <c r="H1679" t="s">
        <v>17</v>
      </c>
      <c r="I1679" t="s">
        <v>3240</v>
      </c>
    </row>
    <row r="1680" spans="1:9" x14ac:dyDescent="0.3">
      <c r="A1680" t="s">
        <v>2946</v>
      </c>
      <c r="B1680" t="s">
        <v>3236</v>
      </c>
      <c r="C1680" t="s">
        <v>1936</v>
      </c>
      <c r="D1680" t="s">
        <v>167</v>
      </c>
      <c r="E1680" t="s">
        <v>199</v>
      </c>
      <c r="F1680" t="s">
        <v>3241</v>
      </c>
      <c r="H1680" t="s">
        <v>17</v>
      </c>
      <c r="I1680" t="s">
        <v>3242</v>
      </c>
    </row>
    <row r="1681" spans="1:9" x14ac:dyDescent="0.3">
      <c r="A1681" t="s">
        <v>2946</v>
      </c>
      <c r="B1681" t="s">
        <v>3236</v>
      </c>
      <c r="C1681" t="s">
        <v>1936</v>
      </c>
      <c r="D1681" t="s">
        <v>172</v>
      </c>
      <c r="E1681" t="s">
        <v>203</v>
      </c>
      <c r="F1681" t="s">
        <v>3243</v>
      </c>
      <c r="H1681" t="s">
        <v>17</v>
      </c>
      <c r="I1681" t="s">
        <v>3244</v>
      </c>
    </row>
    <row r="1682" spans="1:9" x14ac:dyDescent="0.3">
      <c r="A1682" t="s">
        <v>2946</v>
      </c>
      <c r="B1682" t="s">
        <v>3236</v>
      </c>
      <c r="C1682" t="s">
        <v>1936</v>
      </c>
      <c r="D1682" t="s">
        <v>177</v>
      </c>
      <c r="E1682" t="s">
        <v>207</v>
      </c>
      <c r="F1682" t="s">
        <v>3245</v>
      </c>
      <c r="H1682" t="s">
        <v>17</v>
      </c>
      <c r="I1682" t="s">
        <v>3246</v>
      </c>
    </row>
    <row r="1683" spans="1:9" x14ac:dyDescent="0.3">
      <c r="A1683" t="s">
        <v>2946</v>
      </c>
      <c r="B1683" t="s">
        <v>3236</v>
      </c>
      <c r="C1683" t="s">
        <v>1936</v>
      </c>
      <c r="D1683" t="s">
        <v>182</v>
      </c>
      <c r="E1683" t="s">
        <v>211</v>
      </c>
      <c r="F1683" t="s">
        <v>3247</v>
      </c>
      <c r="H1683" t="s">
        <v>17</v>
      </c>
      <c r="I1683" t="s">
        <v>3246</v>
      </c>
    </row>
    <row r="1684" spans="1:9" x14ac:dyDescent="0.3">
      <c r="A1684" t="s">
        <v>2946</v>
      </c>
      <c r="B1684" t="s">
        <v>3236</v>
      </c>
      <c r="C1684" t="s">
        <v>1936</v>
      </c>
      <c r="D1684" t="s">
        <v>187</v>
      </c>
      <c r="E1684" t="s">
        <v>215</v>
      </c>
      <c r="F1684" t="s">
        <v>3248</v>
      </c>
      <c r="H1684" t="s">
        <v>17</v>
      </c>
      <c r="I1684" t="s">
        <v>3249</v>
      </c>
    </row>
    <row r="1685" spans="1:9" x14ac:dyDescent="0.3">
      <c r="A1685" t="s">
        <v>2946</v>
      </c>
      <c r="B1685" t="s">
        <v>3236</v>
      </c>
      <c r="C1685" t="s">
        <v>1936</v>
      </c>
      <c r="D1685" t="s">
        <v>1114</v>
      </c>
      <c r="E1685" t="s">
        <v>1584</v>
      </c>
      <c r="F1685" t="s">
        <v>3250</v>
      </c>
      <c r="H1685" t="s">
        <v>17</v>
      </c>
      <c r="I1685" t="s">
        <v>3251</v>
      </c>
    </row>
    <row r="1686" spans="1:9" x14ac:dyDescent="0.3">
      <c r="A1686" t="s">
        <v>2946</v>
      </c>
      <c r="B1686" t="s">
        <v>3236</v>
      </c>
      <c r="C1686" t="s">
        <v>1936</v>
      </c>
      <c r="D1686" t="s">
        <v>202</v>
      </c>
      <c r="E1686" t="s">
        <v>224</v>
      </c>
      <c r="F1686" t="s">
        <v>3252</v>
      </c>
      <c r="H1686" t="s">
        <v>17</v>
      </c>
      <c r="I1686" t="s">
        <v>3253</v>
      </c>
    </row>
    <row r="1687" spans="1:9" x14ac:dyDescent="0.3">
      <c r="A1687" t="s">
        <v>2946</v>
      </c>
      <c r="B1687" t="s">
        <v>3254</v>
      </c>
      <c r="C1687" t="s">
        <v>1936</v>
      </c>
      <c r="D1687" t="s">
        <v>206</v>
      </c>
      <c r="E1687" t="s">
        <v>234</v>
      </c>
      <c r="F1687" t="s">
        <v>3255</v>
      </c>
      <c r="H1687" t="s">
        <v>17</v>
      </c>
      <c r="I1687" t="s">
        <v>3256</v>
      </c>
    </row>
    <row r="1688" spans="1:9" x14ac:dyDescent="0.3">
      <c r="A1688" t="s">
        <v>2946</v>
      </c>
      <c r="B1688" t="s">
        <v>3254</v>
      </c>
      <c r="C1688" t="s">
        <v>1936</v>
      </c>
      <c r="D1688" t="s">
        <v>210</v>
      </c>
      <c r="E1688" t="s">
        <v>237</v>
      </c>
      <c r="F1688" t="s">
        <v>3257</v>
      </c>
      <c r="H1688" t="s">
        <v>17</v>
      </c>
      <c r="I1688" t="s">
        <v>3256</v>
      </c>
    </row>
    <row r="1689" spans="1:9" x14ac:dyDescent="0.3">
      <c r="A1689" t="s">
        <v>2946</v>
      </c>
      <c r="B1689" t="s">
        <v>3254</v>
      </c>
      <c r="C1689" t="s">
        <v>1936</v>
      </c>
      <c r="D1689" t="s">
        <v>214</v>
      </c>
      <c r="E1689" t="s">
        <v>240</v>
      </c>
      <c r="F1689" t="s">
        <v>3258</v>
      </c>
      <c r="H1689" t="s">
        <v>17</v>
      </c>
      <c r="I1689" t="s">
        <v>3256</v>
      </c>
    </row>
    <row r="1690" spans="1:9" x14ac:dyDescent="0.3">
      <c r="A1690" t="s">
        <v>2946</v>
      </c>
      <c r="B1690" t="s">
        <v>3254</v>
      </c>
      <c r="C1690" t="s">
        <v>1936</v>
      </c>
      <c r="D1690" t="s">
        <v>218</v>
      </c>
      <c r="E1690" t="s">
        <v>246</v>
      </c>
      <c r="F1690" t="s">
        <v>3259</v>
      </c>
      <c r="H1690" t="s">
        <v>17</v>
      </c>
      <c r="I1690" t="s">
        <v>3260</v>
      </c>
    </row>
    <row r="1691" spans="1:9" x14ac:dyDescent="0.3">
      <c r="A1691" t="s">
        <v>2946</v>
      </c>
      <c r="B1691" t="s">
        <v>3254</v>
      </c>
      <c r="C1691" t="s">
        <v>1936</v>
      </c>
      <c r="D1691" t="s">
        <v>223</v>
      </c>
      <c r="E1691" t="s">
        <v>251</v>
      </c>
      <c r="F1691" t="s">
        <v>3261</v>
      </c>
      <c r="H1691" t="s">
        <v>17</v>
      </c>
      <c r="I1691" t="s">
        <v>3262</v>
      </c>
    </row>
    <row r="1692" spans="1:9" x14ac:dyDescent="0.3">
      <c r="A1692" t="s">
        <v>2946</v>
      </c>
      <c r="B1692" t="s">
        <v>3254</v>
      </c>
      <c r="C1692" t="s">
        <v>1936</v>
      </c>
      <c r="D1692" t="s">
        <v>228</v>
      </c>
      <c r="E1692" t="s">
        <v>254</v>
      </c>
      <c r="F1692" t="s">
        <v>3263</v>
      </c>
      <c r="H1692" t="s">
        <v>17</v>
      </c>
      <c r="I1692" t="s">
        <v>3264</v>
      </c>
    </row>
    <row r="1693" spans="1:9" x14ac:dyDescent="0.3">
      <c r="A1693" t="s">
        <v>2946</v>
      </c>
      <c r="B1693" t="s">
        <v>3254</v>
      </c>
      <c r="C1693" t="s">
        <v>1936</v>
      </c>
      <c r="D1693" t="s">
        <v>2925</v>
      </c>
      <c r="E1693" t="s">
        <v>257</v>
      </c>
      <c r="F1693" t="s">
        <v>3265</v>
      </c>
      <c r="H1693" t="s">
        <v>17</v>
      </c>
      <c r="I1693" t="s">
        <v>3266</v>
      </c>
    </row>
    <row r="1694" spans="1:9" x14ac:dyDescent="0.3">
      <c r="A1694" t="s">
        <v>2946</v>
      </c>
      <c r="B1694" t="s">
        <v>3254</v>
      </c>
      <c r="C1694" t="s">
        <v>1936</v>
      </c>
      <c r="D1694" t="s">
        <v>3267</v>
      </c>
      <c r="E1694" t="s">
        <v>260</v>
      </c>
      <c r="F1694" t="s">
        <v>3268</v>
      </c>
      <c r="H1694" t="s">
        <v>17</v>
      </c>
      <c r="I1694" t="s">
        <v>3269</v>
      </c>
    </row>
    <row r="1695" spans="1:9" x14ac:dyDescent="0.3">
      <c r="A1695" t="s">
        <v>2946</v>
      </c>
      <c r="B1695" t="s">
        <v>3254</v>
      </c>
      <c r="C1695" t="s">
        <v>1936</v>
      </c>
      <c r="D1695" t="s">
        <v>3270</v>
      </c>
      <c r="E1695" t="s">
        <v>263</v>
      </c>
      <c r="F1695" t="s">
        <v>3271</v>
      </c>
      <c r="H1695" t="s">
        <v>17</v>
      </c>
      <c r="I1695" t="s">
        <v>3272</v>
      </c>
    </row>
    <row r="1696" spans="1:9" x14ac:dyDescent="0.3">
      <c r="A1696" t="s">
        <v>2946</v>
      </c>
      <c r="B1696" t="s">
        <v>3254</v>
      </c>
      <c r="C1696" t="s">
        <v>1936</v>
      </c>
      <c r="D1696" t="s">
        <v>1590</v>
      </c>
      <c r="E1696" t="s">
        <v>266</v>
      </c>
      <c r="F1696" t="s">
        <v>3273</v>
      </c>
      <c r="H1696" t="s">
        <v>17</v>
      </c>
      <c r="I1696" t="s">
        <v>3274</v>
      </c>
    </row>
    <row r="1697" spans="1:9" x14ac:dyDescent="0.3">
      <c r="A1697" t="s">
        <v>2946</v>
      </c>
      <c r="B1697" t="s">
        <v>3254</v>
      </c>
      <c r="C1697" t="s">
        <v>1936</v>
      </c>
      <c r="D1697" t="s">
        <v>1593</v>
      </c>
      <c r="E1697" t="s">
        <v>269</v>
      </c>
      <c r="F1697" t="s">
        <v>3275</v>
      </c>
      <c r="H1697" t="s">
        <v>17</v>
      </c>
    </row>
    <row r="1698" spans="1:9" x14ac:dyDescent="0.3">
      <c r="A1698" t="s">
        <v>2946</v>
      </c>
      <c r="B1698" t="s">
        <v>3254</v>
      </c>
      <c r="C1698" t="s">
        <v>1936</v>
      </c>
      <c r="D1698" t="s">
        <v>1597</v>
      </c>
      <c r="E1698" t="s">
        <v>1610</v>
      </c>
      <c r="F1698" t="s">
        <v>3276</v>
      </c>
      <c r="H1698" t="s">
        <v>17</v>
      </c>
    </row>
    <row r="1699" spans="1:9" x14ac:dyDescent="0.3">
      <c r="A1699" t="s">
        <v>2946</v>
      </c>
      <c r="B1699" t="s">
        <v>3254</v>
      </c>
      <c r="C1699" t="s">
        <v>1936</v>
      </c>
      <c r="D1699" t="s">
        <v>2937</v>
      </c>
      <c r="E1699" t="s">
        <v>274</v>
      </c>
      <c r="F1699" t="s">
        <v>3277</v>
      </c>
      <c r="H1699" t="s">
        <v>17</v>
      </c>
    </row>
    <row r="1700" spans="1:9" x14ac:dyDescent="0.3">
      <c r="A1700" t="s">
        <v>2946</v>
      </c>
      <c r="B1700" t="s">
        <v>3254</v>
      </c>
      <c r="C1700" t="s">
        <v>1936</v>
      </c>
      <c r="D1700" t="s">
        <v>1172</v>
      </c>
      <c r="E1700" t="s">
        <v>277</v>
      </c>
      <c r="F1700" t="s">
        <v>2926</v>
      </c>
      <c r="H1700" t="s">
        <v>17</v>
      </c>
      <c r="I1700" t="s">
        <v>3278</v>
      </c>
    </row>
    <row r="1701" spans="1:9" x14ac:dyDescent="0.3">
      <c r="A1701" t="s">
        <v>2946</v>
      </c>
      <c r="B1701" t="s">
        <v>3254</v>
      </c>
      <c r="C1701" t="s">
        <v>1936</v>
      </c>
      <c r="D1701" t="s">
        <v>1176</v>
      </c>
      <c r="E1701" t="s">
        <v>280</v>
      </c>
      <c r="F1701" t="s">
        <v>3279</v>
      </c>
      <c r="H1701" t="s">
        <v>17</v>
      </c>
    </row>
    <row r="1702" spans="1:9" x14ac:dyDescent="0.3">
      <c r="A1702" t="s">
        <v>2946</v>
      </c>
      <c r="B1702" t="s">
        <v>3254</v>
      </c>
      <c r="C1702" t="s">
        <v>1936</v>
      </c>
      <c r="D1702" t="s">
        <v>1179</v>
      </c>
      <c r="E1702" t="s">
        <v>283</v>
      </c>
      <c r="F1702" t="s">
        <v>3280</v>
      </c>
      <c r="H1702" t="s">
        <v>17</v>
      </c>
      <c r="I1702" t="s">
        <v>3281</v>
      </c>
    </row>
    <row r="1703" spans="1:9" x14ac:dyDescent="0.3">
      <c r="A1703" t="s">
        <v>2946</v>
      </c>
      <c r="B1703" t="s">
        <v>3254</v>
      </c>
      <c r="C1703" t="s">
        <v>1936</v>
      </c>
      <c r="D1703" t="s">
        <v>1184</v>
      </c>
      <c r="E1703" t="s">
        <v>286</v>
      </c>
      <c r="F1703" t="s">
        <v>3282</v>
      </c>
      <c r="H1703" t="s">
        <v>17</v>
      </c>
      <c r="I1703" t="s">
        <v>3283</v>
      </c>
    </row>
    <row r="1704" spans="1:9" x14ac:dyDescent="0.3">
      <c r="A1704" t="s">
        <v>2946</v>
      </c>
      <c r="B1704" t="s">
        <v>3254</v>
      </c>
      <c r="C1704" t="s">
        <v>1936</v>
      </c>
      <c r="D1704" t="s">
        <v>1189</v>
      </c>
      <c r="E1704" t="s">
        <v>289</v>
      </c>
      <c r="F1704" t="s">
        <v>3284</v>
      </c>
      <c r="H1704" t="s">
        <v>17</v>
      </c>
      <c r="I1704" t="s">
        <v>3285</v>
      </c>
    </row>
    <row r="1705" spans="1:9" x14ac:dyDescent="0.3">
      <c r="A1705" t="s">
        <v>2946</v>
      </c>
      <c r="B1705" t="s">
        <v>3254</v>
      </c>
      <c r="C1705" t="s">
        <v>1936</v>
      </c>
      <c r="D1705" t="s">
        <v>1193</v>
      </c>
      <c r="E1705" t="s">
        <v>292</v>
      </c>
      <c r="F1705" t="s">
        <v>3286</v>
      </c>
      <c r="H1705" t="s">
        <v>17</v>
      </c>
      <c r="I1705" t="s">
        <v>3287</v>
      </c>
    </row>
    <row r="1706" spans="1:9" x14ac:dyDescent="0.3">
      <c r="A1706" t="s">
        <v>2946</v>
      </c>
      <c r="B1706" t="s">
        <v>3254</v>
      </c>
      <c r="C1706" t="s">
        <v>1936</v>
      </c>
      <c r="D1706" t="s">
        <v>1197</v>
      </c>
      <c r="E1706" t="s">
        <v>295</v>
      </c>
      <c r="F1706" t="s">
        <v>3288</v>
      </c>
      <c r="H1706" t="s">
        <v>17</v>
      </c>
      <c r="I1706" t="s">
        <v>3289</v>
      </c>
    </row>
    <row r="1707" spans="1:9" x14ac:dyDescent="0.3">
      <c r="A1707" t="s">
        <v>2946</v>
      </c>
      <c r="B1707" t="s">
        <v>3254</v>
      </c>
      <c r="C1707" t="s">
        <v>1936</v>
      </c>
      <c r="D1707" t="s">
        <v>1201</v>
      </c>
      <c r="E1707" t="s">
        <v>298</v>
      </c>
      <c r="F1707" t="s">
        <v>3290</v>
      </c>
      <c r="H1707" t="s">
        <v>17</v>
      </c>
      <c r="I1707" t="s">
        <v>3291</v>
      </c>
    </row>
    <row r="1708" spans="1:9" x14ac:dyDescent="0.3">
      <c r="A1708" t="s">
        <v>2946</v>
      </c>
      <c r="B1708" t="s">
        <v>3254</v>
      </c>
      <c r="C1708" t="s">
        <v>1936</v>
      </c>
      <c r="D1708" t="s">
        <v>1205</v>
      </c>
      <c r="E1708" t="s">
        <v>301</v>
      </c>
      <c r="F1708" t="s">
        <v>3292</v>
      </c>
      <c r="H1708" t="s">
        <v>17</v>
      </c>
      <c r="I1708" t="s">
        <v>3293</v>
      </c>
    </row>
    <row r="1709" spans="1:9" x14ac:dyDescent="0.3">
      <c r="A1709" t="s">
        <v>2946</v>
      </c>
      <c r="B1709" t="s">
        <v>3254</v>
      </c>
      <c r="C1709" t="s">
        <v>1936</v>
      </c>
      <c r="D1709" t="s">
        <v>1209</v>
      </c>
      <c r="E1709" t="s">
        <v>304</v>
      </c>
      <c r="F1709" t="s">
        <v>3294</v>
      </c>
      <c r="H1709" t="s">
        <v>17</v>
      </c>
      <c r="I1709" t="s">
        <v>3295</v>
      </c>
    </row>
    <row r="1710" spans="1:9" x14ac:dyDescent="0.3">
      <c r="A1710" t="s">
        <v>2946</v>
      </c>
      <c r="B1710" t="s">
        <v>3254</v>
      </c>
      <c r="C1710" t="s">
        <v>1936</v>
      </c>
      <c r="D1710" t="s">
        <v>1213</v>
      </c>
      <c r="E1710" t="s">
        <v>309</v>
      </c>
      <c r="F1710" t="s">
        <v>3296</v>
      </c>
      <c r="H1710" t="s">
        <v>17</v>
      </c>
      <c r="I1710" t="s">
        <v>3297</v>
      </c>
    </row>
    <row r="1711" spans="1:9" x14ac:dyDescent="0.3">
      <c r="A1711" t="s">
        <v>2946</v>
      </c>
      <c r="B1711" t="s">
        <v>3254</v>
      </c>
      <c r="C1711" t="s">
        <v>1936</v>
      </c>
      <c r="D1711" t="s">
        <v>1219</v>
      </c>
      <c r="E1711" t="s">
        <v>313</v>
      </c>
      <c r="F1711" t="s">
        <v>3298</v>
      </c>
      <c r="H1711" t="s">
        <v>17</v>
      </c>
      <c r="I1711" t="s">
        <v>3299</v>
      </c>
    </row>
    <row r="1712" spans="1:9" x14ac:dyDescent="0.3">
      <c r="A1712" t="s">
        <v>2946</v>
      </c>
      <c r="B1712" t="s">
        <v>3254</v>
      </c>
      <c r="C1712" t="s">
        <v>1936</v>
      </c>
      <c r="D1712" t="s">
        <v>1224</v>
      </c>
      <c r="E1712" t="s">
        <v>317</v>
      </c>
      <c r="F1712" t="s">
        <v>3300</v>
      </c>
      <c r="H1712" t="s">
        <v>17</v>
      </c>
      <c r="I1712" t="s">
        <v>3301</v>
      </c>
    </row>
    <row r="1713" spans="1:9" x14ac:dyDescent="0.3">
      <c r="A1713" t="s">
        <v>2946</v>
      </c>
      <c r="B1713" t="s">
        <v>3254</v>
      </c>
      <c r="C1713" t="s">
        <v>1936</v>
      </c>
      <c r="D1713" t="s">
        <v>1228</v>
      </c>
      <c r="E1713" t="s">
        <v>320</v>
      </c>
      <c r="F1713" t="s">
        <v>3302</v>
      </c>
      <c r="H1713" t="s">
        <v>17</v>
      </c>
      <c r="I1713" t="s">
        <v>3303</v>
      </c>
    </row>
    <row r="1714" spans="1:9" x14ac:dyDescent="0.3">
      <c r="A1714" t="s">
        <v>2946</v>
      </c>
      <c r="B1714" t="s">
        <v>3254</v>
      </c>
      <c r="C1714" t="s">
        <v>1936</v>
      </c>
      <c r="D1714" t="s">
        <v>1232</v>
      </c>
      <c r="E1714" t="s">
        <v>324</v>
      </c>
      <c r="F1714" t="s">
        <v>3304</v>
      </c>
      <c r="H1714" t="s">
        <v>17</v>
      </c>
      <c r="I1714" t="s">
        <v>3305</v>
      </c>
    </row>
    <row r="1715" spans="1:9" x14ac:dyDescent="0.3">
      <c r="A1715" t="s">
        <v>2946</v>
      </c>
      <c r="B1715" t="s">
        <v>3254</v>
      </c>
      <c r="C1715" t="s">
        <v>1936</v>
      </c>
      <c r="D1715" t="s">
        <v>1236</v>
      </c>
      <c r="E1715" t="s">
        <v>328</v>
      </c>
      <c r="F1715" t="s">
        <v>3306</v>
      </c>
      <c r="H1715" t="s">
        <v>17</v>
      </c>
      <c r="I1715" t="s">
        <v>414</v>
      </c>
    </row>
    <row r="1716" spans="1:9" x14ac:dyDescent="0.3">
      <c r="A1716" t="s">
        <v>2946</v>
      </c>
      <c r="B1716" t="s">
        <v>3254</v>
      </c>
      <c r="C1716" t="s">
        <v>1936</v>
      </c>
      <c r="D1716" t="s">
        <v>3307</v>
      </c>
      <c r="E1716" t="s">
        <v>333</v>
      </c>
      <c r="F1716" t="s">
        <v>3308</v>
      </c>
      <c r="H1716" t="s">
        <v>17</v>
      </c>
    </row>
    <row r="1717" spans="1:9" x14ac:dyDescent="0.3">
      <c r="A1717" t="s">
        <v>2946</v>
      </c>
      <c r="B1717" t="s">
        <v>3254</v>
      </c>
      <c r="C1717" t="s">
        <v>1936</v>
      </c>
      <c r="D1717" t="s">
        <v>1248</v>
      </c>
      <c r="E1717" t="s">
        <v>336</v>
      </c>
      <c r="F1717" t="s">
        <v>3309</v>
      </c>
      <c r="H1717" t="s">
        <v>17</v>
      </c>
      <c r="I1717" t="s">
        <v>3310</v>
      </c>
    </row>
    <row r="1718" spans="1:9" x14ac:dyDescent="0.3">
      <c r="A1718" t="s">
        <v>2946</v>
      </c>
      <c r="B1718" t="s">
        <v>3254</v>
      </c>
      <c r="C1718" t="s">
        <v>1936</v>
      </c>
      <c r="D1718" t="s">
        <v>1252</v>
      </c>
      <c r="E1718" t="s">
        <v>339</v>
      </c>
      <c r="F1718" t="s">
        <v>3311</v>
      </c>
      <c r="H1718" t="s">
        <v>17</v>
      </c>
      <c r="I1718" t="s">
        <v>3312</v>
      </c>
    </row>
    <row r="1719" spans="1:9" x14ac:dyDescent="0.3">
      <c r="A1719" t="s">
        <v>2946</v>
      </c>
      <c r="B1719" t="s">
        <v>3254</v>
      </c>
      <c r="C1719" t="s">
        <v>1936</v>
      </c>
      <c r="D1719" t="s">
        <v>1256</v>
      </c>
      <c r="E1719" t="s">
        <v>342</v>
      </c>
      <c r="F1719" t="s">
        <v>3313</v>
      </c>
      <c r="H1719" t="s">
        <v>17</v>
      </c>
      <c r="I1719" t="s">
        <v>3314</v>
      </c>
    </row>
    <row r="1720" spans="1:9" x14ac:dyDescent="0.3">
      <c r="A1720" t="s">
        <v>2946</v>
      </c>
      <c r="B1720" t="s">
        <v>3254</v>
      </c>
      <c r="C1720" t="s">
        <v>1936</v>
      </c>
      <c r="D1720" t="s">
        <v>1261</v>
      </c>
      <c r="E1720" t="s">
        <v>345</v>
      </c>
      <c r="F1720" t="s">
        <v>3315</v>
      </c>
      <c r="H1720" t="s">
        <v>17</v>
      </c>
      <c r="I1720" t="s">
        <v>3316</v>
      </c>
    </row>
    <row r="1721" spans="1:9" x14ac:dyDescent="0.3">
      <c r="A1721" t="s">
        <v>2946</v>
      </c>
      <c r="B1721" t="s">
        <v>3254</v>
      </c>
      <c r="C1721" t="s">
        <v>1936</v>
      </c>
      <c r="D1721" t="s">
        <v>1265</v>
      </c>
      <c r="E1721" t="s">
        <v>348</v>
      </c>
      <c r="F1721" t="s">
        <v>3317</v>
      </c>
      <c r="H1721" t="s">
        <v>17</v>
      </c>
    </row>
    <row r="1722" spans="1:9" x14ac:dyDescent="0.3">
      <c r="A1722" t="s">
        <v>2946</v>
      </c>
      <c r="B1722" t="s">
        <v>3254</v>
      </c>
      <c r="C1722" t="s">
        <v>1936</v>
      </c>
      <c r="D1722" t="s">
        <v>1270</v>
      </c>
      <c r="E1722" t="s">
        <v>354</v>
      </c>
      <c r="F1722" t="s">
        <v>3318</v>
      </c>
      <c r="H1722" t="s">
        <v>17</v>
      </c>
      <c r="I1722" t="s">
        <v>3319</v>
      </c>
    </row>
    <row r="1723" spans="1:9" x14ac:dyDescent="0.3">
      <c r="A1723" t="s">
        <v>2946</v>
      </c>
      <c r="B1723" t="s">
        <v>3254</v>
      </c>
      <c r="C1723" t="s">
        <v>1936</v>
      </c>
      <c r="D1723" t="s">
        <v>1276</v>
      </c>
      <c r="E1723" t="s">
        <v>359</v>
      </c>
      <c r="F1723" t="s">
        <v>3320</v>
      </c>
      <c r="H1723" t="s">
        <v>17</v>
      </c>
      <c r="I1723" t="s">
        <v>3321</v>
      </c>
    </row>
    <row r="1724" spans="1:9" x14ac:dyDescent="0.3">
      <c r="A1724" t="s">
        <v>2946</v>
      </c>
      <c r="B1724" t="s">
        <v>3254</v>
      </c>
      <c r="C1724" t="s">
        <v>1936</v>
      </c>
      <c r="D1724" t="s">
        <v>303</v>
      </c>
      <c r="E1724" t="s">
        <v>362</v>
      </c>
      <c r="F1724" t="s">
        <v>3322</v>
      </c>
      <c r="H1724" t="s">
        <v>17</v>
      </c>
      <c r="I1724" t="s">
        <v>3323</v>
      </c>
    </row>
    <row r="1725" spans="1:9" x14ac:dyDescent="0.3">
      <c r="A1725" t="s">
        <v>2946</v>
      </c>
      <c r="B1725" t="s">
        <v>3254</v>
      </c>
      <c r="C1725" t="s">
        <v>1936</v>
      </c>
      <c r="D1725" t="s">
        <v>308</v>
      </c>
      <c r="E1725" t="s">
        <v>365</v>
      </c>
      <c r="F1725" t="s">
        <v>3324</v>
      </c>
      <c r="H1725" t="s">
        <v>17</v>
      </c>
      <c r="I1725" t="s">
        <v>414</v>
      </c>
    </row>
    <row r="1726" spans="1:9" x14ac:dyDescent="0.3">
      <c r="A1726" t="s">
        <v>2946</v>
      </c>
      <c r="B1726" t="s">
        <v>3254</v>
      </c>
      <c r="C1726" t="s">
        <v>1936</v>
      </c>
      <c r="D1726" t="s">
        <v>3325</v>
      </c>
      <c r="E1726" t="s">
        <v>368</v>
      </c>
      <c r="F1726" t="s">
        <v>747</v>
      </c>
      <c r="H1726" t="s">
        <v>17</v>
      </c>
    </row>
    <row r="1727" spans="1:9" x14ac:dyDescent="0.3">
      <c r="A1727" t="s">
        <v>2946</v>
      </c>
      <c r="B1727" t="s">
        <v>3254</v>
      </c>
      <c r="C1727" t="s">
        <v>1936</v>
      </c>
      <c r="D1727" t="s">
        <v>319</v>
      </c>
      <c r="E1727" t="s">
        <v>371</v>
      </c>
      <c r="F1727" t="s">
        <v>3326</v>
      </c>
      <c r="H1727" t="s">
        <v>17</v>
      </c>
      <c r="I1727" t="s">
        <v>3327</v>
      </c>
    </row>
    <row r="1728" spans="1:9" x14ac:dyDescent="0.3">
      <c r="A1728" t="s">
        <v>2946</v>
      </c>
      <c r="B1728" t="s">
        <v>3254</v>
      </c>
      <c r="C1728" t="s">
        <v>1936</v>
      </c>
      <c r="D1728" t="s">
        <v>3328</v>
      </c>
      <c r="E1728" t="s">
        <v>374</v>
      </c>
      <c r="F1728" t="s">
        <v>3329</v>
      </c>
      <c r="H1728" t="s">
        <v>17</v>
      </c>
      <c r="I1728" t="s">
        <v>3330</v>
      </c>
    </row>
    <row r="1729" spans="1:9" x14ac:dyDescent="0.3">
      <c r="A1729" t="s">
        <v>2946</v>
      </c>
      <c r="B1729" t="s">
        <v>3254</v>
      </c>
      <c r="C1729" t="s">
        <v>1936</v>
      </c>
      <c r="D1729" t="s">
        <v>1652</v>
      </c>
      <c r="E1729" t="s">
        <v>2812</v>
      </c>
      <c r="F1729" t="s">
        <v>3331</v>
      </c>
      <c r="H1729" t="s">
        <v>17</v>
      </c>
    </row>
    <row r="1730" spans="1:9" x14ac:dyDescent="0.3">
      <c r="A1730" t="s">
        <v>2946</v>
      </c>
      <c r="B1730" t="s">
        <v>3254</v>
      </c>
      <c r="C1730" t="s">
        <v>1936</v>
      </c>
      <c r="D1730" t="s">
        <v>3332</v>
      </c>
      <c r="E1730" t="s">
        <v>2813</v>
      </c>
      <c r="F1730" t="s">
        <v>797</v>
      </c>
      <c r="H1730" t="s">
        <v>17</v>
      </c>
    </row>
    <row r="1731" spans="1:9" x14ac:dyDescent="0.3">
      <c r="A1731" t="s">
        <v>2946</v>
      </c>
      <c r="B1731" t="s">
        <v>3254</v>
      </c>
      <c r="C1731" t="s">
        <v>1936</v>
      </c>
      <c r="D1731" t="s">
        <v>344</v>
      </c>
      <c r="E1731" t="s">
        <v>3333</v>
      </c>
      <c r="F1731" t="s">
        <v>3334</v>
      </c>
      <c r="H1731" t="s">
        <v>17</v>
      </c>
      <c r="I1731" t="s">
        <v>3335</v>
      </c>
    </row>
    <row r="1732" spans="1:9" x14ac:dyDescent="0.3">
      <c r="A1732" t="s">
        <v>2946</v>
      </c>
      <c r="B1732" t="s">
        <v>3336</v>
      </c>
      <c r="C1732" t="s">
        <v>1936</v>
      </c>
      <c r="D1732" t="s">
        <v>347</v>
      </c>
      <c r="E1732" t="s">
        <v>2818</v>
      </c>
      <c r="F1732" t="s">
        <v>3337</v>
      </c>
      <c r="H1732" t="s">
        <v>17</v>
      </c>
      <c r="I1732" t="s">
        <v>3338</v>
      </c>
    </row>
    <row r="1733" spans="1:9" x14ac:dyDescent="0.3">
      <c r="A1733" t="s">
        <v>2946</v>
      </c>
      <c r="B1733" t="s">
        <v>3336</v>
      </c>
      <c r="C1733" t="s">
        <v>1936</v>
      </c>
      <c r="D1733" t="s">
        <v>353</v>
      </c>
      <c r="E1733" t="s">
        <v>2820</v>
      </c>
      <c r="F1733" t="s">
        <v>3339</v>
      </c>
      <c r="H1733" t="s">
        <v>17</v>
      </c>
      <c r="I1733" t="s">
        <v>3338</v>
      </c>
    </row>
    <row r="1734" spans="1:9" x14ac:dyDescent="0.3">
      <c r="A1734" t="s">
        <v>2946</v>
      </c>
      <c r="B1734" t="s">
        <v>3336</v>
      </c>
      <c r="C1734" t="s">
        <v>1936</v>
      </c>
      <c r="D1734" t="s">
        <v>358</v>
      </c>
      <c r="E1734" t="s">
        <v>2822</v>
      </c>
      <c r="F1734" t="s">
        <v>3340</v>
      </c>
      <c r="H1734" t="s">
        <v>17</v>
      </c>
      <c r="I1734" t="s">
        <v>3338</v>
      </c>
    </row>
    <row r="1735" spans="1:9" x14ac:dyDescent="0.3">
      <c r="A1735" t="s">
        <v>2946</v>
      </c>
      <c r="B1735" t="s">
        <v>3336</v>
      </c>
      <c r="C1735" t="s">
        <v>1936</v>
      </c>
      <c r="D1735" t="s">
        <v>361</v>
      </c>
      <c r="E1735" t="s">
        <v>2824</v>
      </c>
      <c r="F1735" t="s">
        <v>3341</v>
      </c>
      <c r="H1735" t="s">
        <v>17</v>
      </c>
      <c r="I1735" t="s">
        <v>3342</v>
      </c>
    </row>
    <row r="1736" spans="1:9" x14ac:dyDescent="0.3">
      <c r="A1736" t="s">
        <v>2946</v>
      </c>
      <c r="B1736" t="s">
        <v>3336</v>
      </c>
      <c r="C1736" t="s">
        <v>1936</v>
      </c>
      <c r="D1736" t="s">
        <v>364</v>
      </c>
      <c r="E1736" t="s">
        <v>2826</v>
      </c>
      <c r="F1736" t="s">
        <v>3343</v>
      </c>
      <c r="H1736" t="s">
        <v>17</v>
      </c>
    </row>
    <row r="1737" spans="1:9" x14ac:dyDescent="0.3">
      <c r="A1737" t="s">
        <v>2946</v>
      </c>
      <c r="B1737" t="s">
        <v>3336</v>
      </c>
      <c r="C1737" t="s">
        <v>1936</v>
      </c>
      <c r="D1737" t="s">
        <v>1669</v>
      </c>
      <c r="E1737" t="s">
        <v>2828</v>
      </c>
      <c r="F1737" t="s">
        <v>3344</v>
      </c>
      <c r="H1737" t="s">
        <v>17</v>
      </c>
    </row>
    <row r="1738" spans="1:9" x14ac:dyDescent="0.3">
      <c r="A1738" t="s">
        <v>2946</v>
      </c>
      <c r="B1738" t="s">
        <v>3336</v>
      </c>
      <c r="C1738" t="s">
        <v>1936</v>
      </c>
      <c r="D1738" t="s">
        <v>373</v>
      </c>
      <c r="E1738" t="s">
        <v>2830</v>
      </c>
      <c r="F1738" t="s">
        <v>3345</v>
      </c>
      <c r="H1738" t="s">
        <v>17</v>
      </c>
      <c r="I1738" t="s">
        <v>3346</v>
      </c>
    </row>
    <row r="1739" spans="1:9" x14ac:dyDescent="0.3">
      <c r="A1739" t="s">
        <v>2946</v>
      </c>
      <c r="B1739" t="s">
        <v>3336</v>
      </c>
      <c r="C1739" t="s">
        <v>1936</v>
      </c>
      <c r="D1739" t="s">
        <v>376</v>
      </c>
      <c r="E1739" t="s">
        <v>2832</v>
      </c>
      <c r="F1739" t="s">
        <v>3347</v>
      </c>
      <c r="H1739" t="s">
        <v>17</v>
      </c>
      <c r="I1739" t="s">
        <v>414</v>
      </c>
    </row>
    <row r="1740" spans="1:9" x14ac:dyDescent="0.3">
      <c r="A1740" t="s">
        <v>2946</v>
      </c>
      <c r="B1740" t="s">
        <v>3336</v>
      </c>
      <c r="C1740" t="s">
        <v>1936</v>
      </c>
      <c r="D1740" t="s">
        <v>1675</v>
      </c>
      <c r="E1740" t="s">
        <v>2834</v>
      </c>
      <c r="F1740" t="s">
        <v>2196</v>
      </c>
      <c r="H1740" t="s">
        <v>17</v>
      </c>
      <c r="I1740" t="s">
        <v>3348</v>
      </c>
    </row>
    <row r="1741" spans="1:9" x14ac:dyDescent="0.3">
      <c r="A1741" t="s">
        <v>2946</v>
      </c>
      <c r="B1741" t="s">
        <v>3336</v>
      </c>
      <c r="C1741" t="s">
        <v>1936</v>
      </c>
      <c r="D1741" t="s">
        <v>1678</v>
      </c>
      <c r="E1741" t="s">
        <v>3349</v>
      </c>
      <c r="F1741" t="s">
        <v>3350</v>
      </c>
      <c r="H1741" t="s">
        <v>17</v>
      </c>
      <c r="I1741" t="s">
        <v>3351</v>
      </c>
    </row>
    <row r="1742" spans="1:9" x14ac:dyDescent="0.3">
      <c r="A1742" t="s">
        <v>2946</v>
      </c>
      <c r="B1742" t="s">
        <v>3336</v>
      </c>
      <c r="C1742" t="s">
        <v>1936</v>
      </c>
      <c r="D1742" t="s">
        <v>1681</v>
      </c>
      <c r="E1742" t="s">
        <v>2837</v>
      </c>
      <c r="F1742" t="s">
        <v>3352</v>
      </c>
      <c r="H1742" t="s">
        <v>17</v>
      </c>
      <c r="I1742" t="s">
        <v>2768</v>
      </c>
    </row>
    <row r="1743" spans="1:9" x14ac:dyDescent="0.3">
      <c r="A1743" t="s">
        <v>2946</v>
      </c>
      <c r="B1743" t="s">
        <v>3336</v>
      </c>
      <c r="C1743" t="s">
        <v>1936</v>
      </c>
      <c r="D1743" t="s">
        <v>1683</v>
      </c>
      <c r="E1743" t="s">
        <v>2840</v>
      </c>
      <c r="F1743" t="s">
        <v>3353</v>
      </c>
      <c r="H1743" t="s">
        <v>17</v>
      </c>
      <c r="I1743" t="s">
        <v>2768</v>
      </c>
    </row>
    <row r="1744" spans="1:9" x14ac:dyDescent="0.3">
      <c r="A1744" t="s">
        <v>2946</v>
      </c>
      <c r="B1744" t="s">
        <v>3336</v>
      </c>
      <c r="C1744" t="s">
        <v>1936</v>
      </c>
      <c r="D1744" t="s">
        <v>1685</v>
      </c>
      <c r="E1744" t="s">
        <v>2842</v>
      </c>
      <c r="F1744" t="s">
        <v>3354</v>
      </c>
      <c r="H1744" t="s">
        <v>17</v>
      </c>
      <c r="I1744" t="s">
        <v>414</v>
      </c>
    </row>
    <row r="1745" spans="1:9" x14ac:dyDescent="0.3">
      <c r="A1745" t="s">
        <v>2946</v>
      </c>
      <c r="B1745" t="s">
        <v>3336</v>
      </c>
      <c r="C1745" t="s">
        <v>1936</v>
      </c>
      <c r="D1745" t="s">
        <v>2859</v>
      </c>
      <c r="E1745" t="s">
        <v>2843</v>
      </c>
      <c r="F1745" t="s">
        <v>3355</v>
      </c>
      <c r="H1745" t="s">
        <v>17</v>
      </c>
      <c r="I1745" t="s">
        <v>414</v>
      </c>
    </row>
    <row r="1746" spans="1:9" x14ac:dyDescent="0.3">
      <c r="A1746" t="s">
        <v>2946</v>
      </c>
      <c r="B1746" t="s">
        <v>3336</v>
      </c>
      <c r="C1746" t="s">
        <v>1936</v>
      </c>
      <c r="D1746" t="s">
        <v>2413</v>
      </c>
      <c r="E1746" t="s">
        <v>2844</v>
      </c>
      <c r="F1746" t="s">
        <v>3356</v>
      </c>
      <c r="H1746" t="s">
        <v>17</v>
      </c>
      <c r="I1746" t="s">
        <v>414</v>
      </c>
    </row>
    <row r="1747" spans="1:9" x14ac:dyDescent="0.3">
      <c r="A1747" t="s">
        <v>2946</v>
      </c>
      <c r="B1747" t="s">
        <v>3336</v>
      </c>
      <c r="C1747" t="s">
        <v>1936</v>
      </c>
      <c r="D1747" t="s">
        <v>2417</v>
      </c>
      <c r="E1747" t="s">
        <v>2846</v>
      </c>
      <c r="F1747" t="s">
        <v>3357</v>
      </c>
      <c r="H1747" t="s">
        <v>17</v>
      </c>
      <c r="I1747" t="s">
        <v>3358</v>
      </c>
    </row>
    <row r="1748" spans="1:9" x14ac:dyDescent="0.3">
      <c r="A1748" t="s">
        <v>2946</v>
      </c>
      <c r="B1748" t="s">
        <v>3336</v>
      </c>
      <c r="C1748" t="s">
        <v>1936</v>
      </c>
      <c r="D1748" t="s">
        <v>2421</v>
      </c>
      <c r="E1748" t="s">
        <v>2848</v>
      </c>
      <c r="F1748" t="s">
        <v>3359</v>
      </c>
      <c r="H1748" t="s">
        <v>17</v>
      </c>
      <c r="I1748" t="s">
        <v>414</v>
      </c>
    </row>
    <row r="1749" spans="1:9" x14ac:dyDescent="0.3">
      <c r="A1749" t="s">
        <v>2946</v>
      </c>
      <c r="B1749" t="s">
        <v>3336</v>
      </c>
      <c r="C1749" t="s">
        <v>1936</v>
      </c>
      <c r="D1749" t="s">
        <v>1690</v>
      </c>
      <c r="E1749" t="s">
        <v>2849</v>
      </c>
      <c r="F1749" t="s">
        <v>843</v>
      </c>
      <c r="H1749" t="s">
        <v>17</v>
      </c>
      <c r="I1749" t="s">
        <v>2209</v>
      </c>
    </row>
    <row r="1750" spans="1:9" x14ac:dyDescent="0.3">
      <c r="A1750" t="s">
        <v>2946</v>
      </c>
      <c r="B1750" t="s">
        <v>3336</v>
      </c>
      <c r="C1750" t="s">
        <v>2135</v>
      </c>
      <c r="D1750" t="s">
        <v>996</v>
      </c>
      <c r="E1750" t="s">
        <v>3360</v>
      </c>
      <c r="F1750" t="s">
        <v>2672</v>
      </c>
      <c r="H1750" t="s">
        <v>17</v>
      </c>
      <c r="I1750" t="s">
        <v>2673</v>
      </c>
    </row>
    <row r="1751" spans="1:9" x14ac:dyDescent="0.3">
      <c r="A1751" t="s">
        <v>2946</v>
      </c>
      <c r="B1751" t="s">
        <v>3336</v>
      </c>
      <c r="C1751" t="s">
        <v>2135</v>
      </c>
      <c r="D1751" t="s">
        <v>1001</v>
      </c>
      <c r="E1751" t="s">
        <v>3361</v>
      </c>
      <c r="F1751" t="s">
        <v>3362</v>
      </c>
      <c r="H1751" t="s">
        <v>17</v>
      </c>
      <c r="I1751" t="s">
        <v>3363</v>
      </c>
    </row>
    <row r="1752" spans="1:9" x14ac:dyDescent="0.3">
      <c r="A1752" t="s">
        <v>2946</v>
      </c>
      <c r="B1752" t="s">
        <v>3364</v>
      </c>
      <c r="C1752" t="s">
        <v>2135</v>
      </c>
      <c r="D1752" t="s">
        <v>1942</v>
      </c>
      <c r="E1752" t="s">
        <v>3365</v>
      </c>
      <c r="F1752" t="s">
        <v>2677</v>
      </c>
      <c r="H1752" t="s">
        <v>17</v>
      </c>
      <c r="I1752" t="s">
        <v>2678</v>
      </c>
    </row>
    <row r="1753" spans="1:9" x14ac:dyDescent="0.3">
      <c r="A1753" t="s">
        <v>2946</v>
      </c>
      <c r="B1753" t="s">
        <v>3364</v>
      </c>
      <c r="C1753" t="s">
        <v>2135</v>
      </c>
      <c r="D1753" t="s">
        <v>22</v>
      </c>
      <c r="E1753" t="s">
        <v>377</v>
      </c>
      <c r="F1753" t="s">
        <v>2680</v>
      </c>
      <c r="H1753" t="s">
        <v>17</v>
      </c>
      <c r="I1753" t="s">
        <v>2678</v>
      </c>
    </row>
    <row r="1754" spans="1:9" x14ac:dyDescent="0.3">
      <c r="A1754" t="s">
        <v>2946</v>
      </c>
      <c r="B1754" t="s">
        <v>3364</v>
      </c>
      <c r="C1754" t="s">
        <v>2135</v>
      </c>
      <c r="D1754" t="s">
        <v>27</v>
      </c>
      <c r="E1754" t="s">
        <v>383</v>
      </c>
      <c r="F1754" t="s">
        <v>2681</v>
      </c>
      <c r="H1754" t="s">
        <v>17</v>
      </c>
      <c r="I1754" t="s">
        <v>2678</v>
      </c>
    </row>
    <row r="1755" spans="1:9" x14ac:dyDescent="0.3">
      <c r="A1755" t="s">
        <v>2946</v>
      </c>
      <c r="B1755" t="s">
        <v>3364</v>
      </c>
      <c r="C1755" t="s">
        <v>2135</v>
      </c>
      <c r="D1755" t="s">
        <v>32</v>
      </c>
      <c r="E1755" t="s">
        <v>1638</v>
      </c>
      <c r="F1755" t="s">
        <v>3366</v>
      </c>
      <c r="H1755" t="s">
        <v>17</v>
      </c>
      <c r="I1755" t="s">
        <v>3251</v>
      </c>
    </row>
    <row r="1756" spans="1:9" x14ac:dyDescent="0.3">
      <c r="A1756" t="s">
        <v>2946</v>
      </c>
      <c r="B1756" t="s">
        <v>3364</v>
      </c>
      <c r="C1756" t="s">
        <v>2135</v>
      </c>
      <c r="D1756" t="s">
        <v>2684</v>
      </c>
      <c r="E1756" t="s">
        <v>1640</v>
      </c>
      <c r="F1756" t="s">
        <v>2685</v>
      </c>
      <c r="H1756" t="s">
        <v>17</v>
      </c>
      <c r="I1756" t="s">
        <v>3367</v>
      </c>
    </row>
    <row r="1757" spans="1:9" x14ac:dyDescent="0.3">
      <c r="A1757" t="s">
        <v>2946</v>
      </c>
      <c r="B1757" t="s">
        <v>3364</v>
      </c>
      <c r="C1757" t="s">
        <v>2135</v>
      </c>
      <c r="D1757" t="s">
        <v>45</v>
      </c>
      <c r="E1757" t="s">
        <v>1643</v>
      </c>
      <c r="F1757" t="s">
        <v>2688</v>
      </c>
      <c r="H1757" t="s">
        <v>17</v>
      </c>
      <c r="I1757" t="s">
        <v>3368</v>
      </c>
    </row>
    <row r="1758" spans="1:9" x14ac:dyDescent="0.3">
      <c r="A1758" t="s">
        <v>2946</v>
      </c>
      <c r="B1758" t="s">
        <v>3364</v>
      </c>
      <c r="C1758" t="s">
        <v>2135</v>
      </c>
      <c r="D1758" t="s">
        <v>50</v>
      </c>
      <c r="E1758" t="s">
        <v>388</v>
      </c>
      <c r="F1758" t="s">
        <v>3369</v>
      </c>
      <c r="H1758" t="s">
        <v>17</v>
      </c>
      <c r="I1758" t="s">
        <v>3370</v>
      </c>
    </row>
    <row r="1759" spans="1:9" x14ac:dyDescent="0.3">
      <c r="A1759" t="s">
        <v>2946</v>
      </c>
      <c r="B1759" t="s">
        <v>3364</v>
      </c>
      <c r="C1759" t="s">
        <v>2135</v>
      </c>
      <c r="D1759" t="s">
        <v>53</v>
      </c>
      <c r="E1759" t="s">
        <v>1647</v>
      </c>
      <c r="F1759" t="s">
        <v>3371</v>
      </c>
      <c r="H1759" t="s">
        <v>17</v>
      </c>
      <c r="I1759" t="s">
        <v>3372</v>
      </c>
    </row>
    <row r="1760" spans="1:9" x14ac:dyDescent="0.3">
      <c r="A1760" t="s">
        <v>2946</v>
      </c>
      <c r="B1760" t="s">
        <v>3364</v>
      </c>
      <c r="C1760" t="s">
        <v>2135</v>
      </c>
      <c r="D1760" t="s">
        <v>56</v>
      </c>
      <c r="E1760" t="s">
        <v>392</v>
      </c>
      <c r="F1760" t="s">
        <v>3373</v>
      </c>
      <c r="H1760" t="s">
        <v>17</v>
      </c>
      <c r="I1760" t="s">
        <v>414</v>
      </c>
    </row>
    <row r="1761" spans="1:9" x14ac:dyDescent="0.3">
      <c r="A1761" t="s">
        <v>2946</v>
      </c>
      <c r="B1761" t="s">
        <v>3364</v>
      </c>
      <c r="C1761" t="s">
        <v>2135</v>
      </c>
      <c r="D1761" t="s">
        <v>61</v>
      </c>
      <c r="E1761" t="s">
        <v>1653</v>
      </c>
      <c r="F1761" t="s">
        <v>3374</v>
      </c>
      <c r="H1761" t="s">
        <v>17</v>
      </c>
      <c r="I1761" t="s">
        <v>414</v>
      </c>
    </row>
    <row r="1762" spans="1:9" x14ac:dyDescent="0.3">
      <c r="A1762" t="s">
        <v>2946</v>
      </c>
      <c r="B1762" t="s">
        <v>3364</v>
      </c>
      <c r="C1762" t="s">
        <v>2135</v>
      </c>
      <c r="D1762" t="s">
        <v>1039</v>
      </c>
      <c r="E1762" t="s">
        <v>395</v>
      </c>
      <c r="F1762" t="s">
        <v>3375</v>
      </c>
      <c r="H1762" t="s">
        <v>17</v>
      </c>
      <c r="I1762" t="s">
        <v>2695</v>
      </c>
    </row>
    <row r="1763" spans="1:9" x14ac:dyDescent="0.3">
      <c r="A1763" t="s">
        <v>2946</v>
      </c>
      <c r="B1763" t="s">
        <v>3364</v>
      </c>
      <c r="C1763" t="s">
        <v>2135</v>
      </c>
      <c r="D1763" t="s">
        <v>1043</v>
      </c>
      <c r="E1763" t="s">
        <v>1656</v>
      </c>
      <c r="F1763" t="s">
        <v>2966</v>
      </c>
      <c r="H1763" t="s">
        <v>17</v>
      </c>
      <c r="I1763" t="s">
        <v>3376</v>
      </c>
    </row>
    <row r="1764" spans="1:9" x14ac:dyDescent="0.3">
      <c r="A1764" t="s">
        <v>2946</v>
      </c>
      <c r="B1764" t="s">
        <v>3364</v>
      </c>
      <c r="C1764" t="s">
        <v>2135</v>
      </c>
      <c r="D1764" t="s">
        <v>71</v>
      </c>
      <c r="E1764" t="s">
        <v>398</v>
      </c>
      <c r="F1764" t="s">
        <v>3377</v>
      </c>
      <c r="H1764" t="s">
        <v>17</v>
      </c>
      <c r="I1764" t="s">
        <v>2702</v>
      </c>
    </row>
    <row r="1765" spans="1:9" x14ac:dyDescent="0.3">
      <c r="A1765" t="s">
        <v>2946</v>
      </c>
      <c r="B1765" t="s">
        <v>3364</v>
      </c>
      <c r="C1765" t="s">
        <v>2135</v>
      </c>
      <c r="D1765" t="s">
        <v>1050</v>
      </c>
      <c r="E1765" t="s">
        <v>3378</v>
      </c>
      <c r="F1765" t="s">
        <v>3379</v>
      </c>
      <c r="H1765" t="s">
        <v>17</v>
      </c>
      <c r="I1765" t="s">
        <v>2704</v>
      </c>
    </row>
    <row r="1766" spans="1:9" x14ac:dyDescent="0.3">
      <c r="A1766" t="s">
        <v>2946</v>
      </c>
      <c r="B1766" t="s">
        <v>3364</v>
      </c>
      <c r="C1766" t="s">
        <v>2135</v>
      </c>
      <c r="D1766" t="s">
        <v>1055</v>
      </c>
      <c r="E1766" t="s">
        <v>401</v>
      </c>
      <c r="F1766" t="s">
        <v>3380</v>
      </c>
      <c r="H1766" t="s">
        <v>17</v>
      </c>
      <c r="I1766" t="s">
        <v>2706</v>
      </c>
    </row>
    <row r="1767" spans="1:9" x14ac:dyDescent="0.3">
      <c r="A1767" t="s">
        <v>2946</v>
      </c>
      <c r="B1767" t="s">
        <v>3364</v>
      </c>
      <c r="C1767" t="s">
        <v>2135</v>
      </c>
      <c r="D1767" t="s">
        <v>80</v>
      </c>
      <c r="E1767" t="s">
        <v>1663</v>
      </c>
      <c r="F1767" t="s">
        <v>3381</v>
      </c>
      <c r="H1767" t="s">
        <v>17</v>
      </c>
      <c r="I1767" t="s">
        <v>2708</v>
      </c>
    </row>
    <row r="1768" spans="1:9" x14ac:dyDescent="0.3">
      <c r="A1768" t="s">
        <v>2946</v>
      </c>
      <c r="B1768" t="s">
        <v>3364</v>
      </c>
      <c r="C1768" t="s">
        <v>2135</v>
      </c>
      <c r="D1768" t="s">
        <v>85</v>
      </c>
      <c r="E1768" t="s">
        <v>404</v>
      </c>
      <c r="F1768" t="s">
        <v>2709</v>
      </c>
      <c r="H1768" t="s">
        <v>17</v>
      </c>
      <c r="I1768" t="s">
        <v>3027</v>
      </c>
    </row>
    <row r="1769" spans="1:9" x14ac:dyDescent="0.3">
      <c r="A1769" t="s">
        <v>2946</v>
      </c>
      <c r="B1769" t="s">
        <v>3364</v>
      </c>
      <c r="C1769" t="s">
        <v>2135</v>
      </c>
      <c r="D1769" t="s">
        <v>90</v>
      </c>
      <c r="E1769" t="s">
        <v>3382</v>
      </c>
      <c r="F1769" t="s">
        <v>3383</v>
      </c>
      <c r="H1769" t="s">
        <v>17</v>
      </c>
      <c r="I1769" t="s">
        <v>3029</v>
      </c>
    </row>
    <row r="1770" spans="1:9" x14ac:dyDescent="0.3">
      <c r="A1770" t="s">
        <v>2946</v>
      </c>
      <c r="B1770" t="s">
        <v>3364</v>
      </c>
      <c r="C1770" t="s">
        <v>2135</v>
      </c>
      <c r="D1770" t="s">
        <v>95</v>
      </c>
      <c r="E1770" t="s">
        <v>407</v>
      </c>
      <c r="F1770" t="s">
        <v>2714</v>
      </c>
      <c r="H1770" t="s">
        <v>17</v>
      </c>
      <c r="I1770" t="s">
        <v>3029</v>
      </c>
    </row>
    <row r="1771" spans="1:9" x14ac:dyDescent="0.3">
      <c r="A1771" t="s">
        <v>2946</v>
      </c>
      <c r="B1771" t="s">
        <v>3384</v>
      </c>
      <c r="C1771" t="s">
        <v>2135</v>
      </c>
      <c r="D1771" t="s">
        <v>100</v>
      </c>
      <c r="E1771" t="s">
        <v>411</v>
      </c>
      <c r="F1771" t="s">
        <v>3385</v>
      </c>
      <c r="H1771" t="s">
        <v>17</v>
      </c>
      <c r="I1771" t="s">
        <v>3386</v>
      </c>
    </row>
    <row r="1772" spans="1:9" x14ac:dyDescent="0.3">
      <c r="A1772" t="s">
        <v>2946</v>
      </c>
      <c r="B1772" t="s">
        <v>3384</v>
      </c>
      <c r="C1772" t="s">
        <v>2135</v>
      </c>
      <c r="D1772" t="s">
        <v>106</v>
      </c>
      <c r="E1772" t="s">
        <v>416</v>
      </c>
      <c r="F1772" t="s">
        <v>3387</v>
      </c>
      <c r="H1772" t="s">
        <v>17</v>
      </c>
      <c r="I1772" t="s">
        <v>3386</v>
      </c>
    </row>
    <row r="1773" spans="1:9" x14ac:dyDescent="0.3">
      <c r="A1773" t="s">
        <v>2946</v>
      </c>
      <c r="B1773" t="s">
        <v>3384</v>
      </c>
      <c r="C1773" t="s">
        <v>2135</v>
      </c>
      <c r="D1773" t="s">
        <v>111</v>
      </c>
      <c r="E1773" t="s">
        <v>421</v>
      </c>
      <c r="F1773" t="s">
        <v>3388</v>
      </c>
      <c r="H1773" t="s">
        <v>17</v>
      </c>
      <c r="I1773" t="s">
        <v>3389</v>
      </c>
    </row>
    <row r="1774" spans="1:9" x14ac:dyDescent="0.3">
      <c r="A1774" t="s">
        <v>2946</v>
      </c>
      <c r="B1774" t="s">
        <v>3046</v>
      </c>
      <c r="C1774" t="s">
        <v>2135</v>
      </c>
      <c r="D1774" t="s">
        <v>114</v>
      </c>
      <c r="E1774" t="s">
        <v>427</v>
      </c>
      <c r="F1774" t="s">
        <v>2723</v>
      </c>
      <c r="H1774" t="s">
        <v>17</v>
      </c>
      <c r="I1774" t="s">
        <v>2724</v>
      </c>
    </row>
    <row r="1775" spans="1:9" x14ac:dyDescent="0.3">
      <c r="A1775" t="s">
        <v>2946</v>
      </c>
      <c r="B1775" t="s">
        <v>3046</v>
      </c>
      <c r="C1775" t="s">
        <v>2135</v>
      </c>
      <c r="D1775" t="s">
        <v>117</v>
      </c>
      <c r="E1775" t="s">
        <v>430</v>
      </c>
      <c r="F1775" t="s">
        <v>2726</v>
      </c>
      <c r="H1775" t="s">
        <v>17</v>
      </c>
      <c r="I1775" t="s">
        <v>2724</v>
      </c>
    </row>
    <row r="1776" spans="1:9" x14ac:dyDescent="0.3">
      <c r="A1776" t="s">
        <v>2946</v>
      </c>
      <c r="B1776" t="s">
        <v>3046</v>
      </c>
      <c r="C1776" t="s">
        <v>2135</v>
      </c>
      <c r="D1776" t="s">
        <v>121</v>
      </c>
      <c r="E1776" t="s">
        <v>433</v>
      </c>
      <c r="F1776" t="s">
        <v>3390</v>
      </c>
      <c r="H1776" t="s">
        <v>17</v>
      </c>
      <c r="I1776" t="s">
        <v>2724</v>
      </c>
    </row>
    <row r="1777" spans="1:9" x14ac:dyDescent="0.3">
      <c r="A1777" t="s">
        <v>2946</v>
      </c>
      <c r="B1777" t="s">
        <v>3046</v>
      </c>
      <c r="C1777" t="s">
        <v>2135</v>
      </c>
      <c r="D1777" t="s">
        <v>126</v>
      </c>
      <c r="E1777" t="s">
        <v>436</v>
      </c>
      <c r="F1777" t="s">
        <v>2730</v>
      </c>
      <c r="H1777" t="s">
        <v>17</v>
      </c>
      <c r="I1777" t="s">
        <v>2724</v>
      </c>
    </row>
    <row r="1778" spans="1:9" x14ac:dyDescent="0.3">
      <c r="A1778" t="s">
        <v>2946</v>
      </c>
      <c r="B1778" t="s">
        <v>3046</v>
      </c>
      <c r="C1778" t="s">
        <v>2135</v>
      </c>
      <c r="D1778" t="s">
        <v>129</v>
      </c>
      <c r="E1778" t="s">
        <v>439</v>
      </c>
      <c r="F1778" t="s">
        <v>2728</v>
      </c>
      <c r="H1778" t="s">
        <v>17</v>
      </c>
      <c r="I1778" t="s">
        <v>2724</v>
      </c>
    </row>
    <row r="1779" spans="1:9" x14ac:dyDescent="0.3">
      <c r="A1779" t="s">
        <v>2946</v>
      </c>
      <c r="B1779" t="s">
        <v>3046</v>
      </c>
      <c r="C1779" t="s">
        <v>2135</v>
      </c>
      <c r="D1779" t="s">
        <v>132</v>
      </c>
      <c r="E1779" t="s">
        <v>442</v>
      </c>
      <c r="F1779" t="s">
        <v>3391</v>
      </c>
      <c r="H1779" t="s">
        <v>17</v>
      </c>
      <c r="I1779" t="s">
        <v>2724</v>
      </c>
    </row>
    <row r="1780" spans="1:9" x14ac:dyDescent="0.3">
      <c r="A1780" t="s">
        <v>2946</v>
      </c>
      <c r="B1780" t="s">
        <v>3046</v>
      </c>
      <c r="C1780" t="s">
        <v>2135</v>
      </c>
      <c r="D1780" t="s">
        <v>135</v>
      </c>
      <c r="E1780" t="s">
        <v>445</v>
      </c>
      <c r="F1780" t="s">
        <v>3392</v>
      </c>
      <c r="H1780" t="s">
        <v>17</v>
      </c>
      <c r="I1780" t="s">
        <v>2724</v>
      </c>
    </row>
    <row r="1781" spans="1:9" x14ac:dyDescent="0.3">
      <c r="A1781" t="s">
        <v>2946</v>
      </c>
      <c r="B1781" t="s">
        <v>3046</v>
      </c>
      <c r="C1781" t="s">
        <v>2135</v>
      </c>
      <c r="D1781" t="s">
        <v>138</v>
      </c>
      <c r="E1781" t="s">
        <v>449</v>
      </c>
      <c r="F1781" t="s">
        <v>2732</v>
      </c>
      <c r="H1781" t="s">
        <v>17</v>
      </c>
      <c r="I1781" t="s">
        <v>3393</v>
      </c>
    </row>
    <row r="1782" spans="1:9" x14ac:dyDescent="0.3">
      <c r="A1782" t="s">
        <v>2946</v>
      </c>
      <c r="B1782" t="s">
        <v>3046</v>
      </c>
      <c r="C1782" t="s">
        <v>2135</v>
      </c>
      <c r="D1782" t="s">
        <v>141</v>
      </c>
      <c r="E1782" t="s">
        <v>454</v>
      </c>
      <c r="F1782" t="s">
        <v>3394</v>
      </c>
      <c r="H1782" t="s">
        <v>17</v>
      </c>
      <c r="I1782" t="s">
        <v>3395</v>
      </c>
    </row>
    <row r="1783" spans="1:9" x14ac:dyDescent="0.3">
      <c r="A1783" t="s">
        <v>2946</v>
      </c>
      <c r="B1783" t="s">
        <v>3046</v>
      </c>
      <c r="C1783" t="s">
        <v>2135</v>
      </c>
      <c r="D1783" t="s">
        <v>144</v>
      </c>
      <c r="E1783" t="s">
        <v>458</v>
      </c>
      <c r="F1783" t="s">
        <v>2734</v>
      </c>
      <c r="H1783" t="s">
        <v>17</v>
      </c>
      <c r="I1783" t="s">
        <v>3396</v>
      </c>
    </row>
    <row r="1784" spans="1:9" x14ac:dyDescent="0.3">
      <c r="A1784" t="s">
        <v>2946</v>
      </c>
      <c r="B1784" t="s">
        <v>3046</v>
      </c>
      <c r="C1784" t="s">
        <v>2135</v>
      </c>
      <c r="D1784" t="s">
        <v>147</v>
      </c>
      <c r="E1784" t="s">
        <v>462</v>
      </c>
      <c r="F1784" t="s">
        <v>3397</v>
      </c>
      <c r="H1784" t="s">
        <v>17</v>
      </c>
      <c r="I1784" t="s">
        <v>3398</v>
      </c>
    </row>
    <row r="1785" spans="1:9" x14ac:dyDescent="0.3">
      <c r="A1785" t="s">
        <v>2946</v>
      </c>
      <c r="B1785" t="s">
        <v>3046</v>
      </c>
      <c r="C1785" t="s">
        <v>2135</v>
      </c>
      <c r="D1785" t="s">
        <v>152</v>
      </c>
      <c r="E1785" t="s">
        <v>465</v>
      </c>
      <c r="F1785" t="s">
        <v>3399</v>
      </c>
      <c r="H1785" t="s">
        <v>17</v>
      </c>
      <c r="I1785" t="s">
        <v>3400</v>
      </c>
    </row>
    <row r="1786" spans="1:9" x14ac:dyDescent="0.3">
      <c r="A1786" t="s">
        <v>2946</v>
      </c>
      <c r="B1786" t="s">
        <v>3046</v>
      </c>
      <c r="C1786" t="s">
        <v>2135</v>
      </c>
      <c r="D1786" t="s">
        <v>157</v>
      </c>
      <c r="E1786" t="s">
        <v>469</v>
      </c>
      <c r="F1786" t="s">
        <v>3401</v>
      </c>
      <c r="H1786" t="s">
        <v>17</v>
      </c>
      <c r="I1786" t="s">
        <v>3402</v>
      </c>
    </row>
    <row r="1787" spans="1:9" x14ac:dyDescent="0.3">
      <c r="A1787" t="s">
        <v>2946</v>
      </c>
      <c r="B1787" t="s">
        <v>3046</v>
      </c>
      <c r="C1787" t="s">
        <v>2135</v>
      </c>
      <c r="D1787" t="s">
        <v>162</v>
      </c>
      <c r="E1787" t="s">
        <v>472</v>
      </c>
      <c r="F1787" t="s">
        <v>3403</v>
      </c>
      <c r="H1787" t="s">
        <v>17</v>
      </c>
      <c r="I1787" t="s">
        <v>3404</v>
      </c>
    </row>
    <row r="1788" spans="1:9" x14ac:dyDescent="0.3">
      <c r="A1788" t="s">
        <v>2946</v>
      </c>
      <c r="B1788" t="s">
        <v>3046</v>
      </c>
      <c r="C1788" t="s">
        <v>2135</v>
      </c>
      <c r="D1788" t="s">
        <v>167</v>
      </c>
      <c r="E1788" t="s">
        <v>476</v>
      </c>
      <c r="F1788" t="s">
        <v>3405</v>
      </c>
      <c r="H1788" t="s">
        <v>17</v>
      </c>
      <c r="I1788" t="s">
        <v>3406</v>
      </c>
    </row>
    <row r="1789" spans="1:9" x14ac:dyDescent="0.3">
      <c r="A1789" t="s">
        <v>2946</v>
      </c>
      <c r="B1789" t="s">
        <v>3046</v>
      </c>
      <c r="C1789" t="s">
        <v>2135</v>
      </c>
      <c r="D1789" t="s">
        <v>172</v>
      </c>
      <c r="E1789" t="s">
        <v>479</v>
      </c>
      <c r="F1789" t="s">
        <v>3407</v>
      </c>
      <c r="H1789" t="s">
        <v>17</v>
      </c>
      <c r="I1789" t="s">
        <v>3019</v>
      </c>
    </row>
    <row r="1790" spans="1:9" x14ac:dyDescent="0.3">
      <c r="A1790" t="s">
        <v>2946</v>
      </c>
      <c r="B1790" t="s">
        <v>3408</v>
      </c>
      <c r="C1790" t="s">
        <v>2135</v>
      </c>
      <c r="D1790" t="s">
        <v>177</v>
      </c>
      <c r="E1790" t="s">
        <v>483</v>
      </c>
      <c r="F1790" t="s">
        <v>3409</v>
      </c>
      <c r="H1790" t="s">
        <v>17</v>
      </c>
      <c r="I1790" t="s">
        <v>3410</v>
      </c>
    </row>
    <row r="1791" spans="1:9" x14ac:dyDescent="0.3">
      <c r="A1791" t="s">
        <v>2946</v>
      </c>
      <c r="B1791" t="s">
        <v>3408</v>
      </c>
      <c r="C1791" t="s">
        <v>2135</v>
      </c>
      <c r="D1791" t="s">
        <v>182</v>
      </c>
      <c r="E1791" t="s">
        <v>490</v>
      </c>
      <c r="F1791" t="s">
        <v>3411</v>
      </c>
      <c r="H1791" t="s">
        <v>17</v>
      </c>
      <c r="I1791" t="s">
        <v>3412</v>
      </c>
    </row>
    <row r="1792" spans="1:9" x14ac:dyDescent="0.3">
      <c r="A1792" t="s">
        <v>2946</v>
      </c>
      <c r="B1792" t="s">
        <v>3408</v>
      </c>
      <c r="C1792" t="s">
        <v>2135</v>
      </c>
      <c r="D1792" t="s">
        <v>187</v>
      </c>
      <c r="E1792" t="s">
        <v>493</v>
      </c>
      <c r="F1792" t="s">
        <v>3413</v>
      </c>
      <c r="H1792" t="s">
        <v>17</v>
      </c>
      <c r="I1792" t="s">
        <v>3412</v>
      </c>
    </row>
    <row r="1793" spans="1:9" x14ac:dyDescent="0.3">
      <c r="A1793" t="s">
        <v>2946</v>
      </c>
      <c r="B1793" t="s">
        <v>3408</v>
      </c>
      <c r="C1793" t="s">
        <v>2135</v>
      </c>
      <c r="D1793" t="s">
        <v>193</v>
      </c>
      <c r="E1793" t="s">
        <v>497</v>
      </c>
      <c r="F1793" t="s">
        <v>3414</v>
      </c>
      <c r="H1793" t="s">
        <v>17</v>
      </c>
      <c r="I1793" t="s">
        <v>3415</v>
      </c>
    </row>
    <row r="1794" spans="1:9" x14ac:dyDescent="0.3">
      <c r="A1794" t="s">
        <v>2946</v>
      </c>
      <c r="B1794" t="s">
        <v>3408</v>
      </c>
      <c r="C1794" t="s">
        <v>2135</v>
      </c>
      <c r="D1794" t="s">
        <v>198</v>
      </c>
      <c r="E1794" t="s">
        <v>500</v>
      </c>
      <c r="F1794" t="s">
        <v>3416</v>
      </c>
      <c r="H1794" t="s">
        <v>17</v>
      </c>
      <c r="I1794" t="s">
        <v>3417</v>
      </c>
    </row>
    <row r="1795" spans="1:9" x14ac:dyDescent="0.3">
      <c r="A1795" t="s">
        <v>2946</v>
      </c>
      <c r="B1795" t="s">
        <v>3408</v>
      </c>
      <c r="C1795" t="s">
        <v>2135</v>
      </c>
      <c r="D1795" t="s">
        <v>202</v>
      </c>
      <c r="E1795" t="s">
        <v>505</v>
      </c>
      <c r="F1795" t="s">
        <v>3418</v>
      </c>
      <c r="H1795" t="s">
        <v>17</v>
      </c>
      <c r="I1795" t="s">
        <v>3417</v>
      </c>
    </row>
    <row r="1796" spans="1:9" x14ac:dyDescent="0.3">
      <c r="A1796" t="s">
        <v>2946</v>
      </c>
      <c r="B1796" t="s">
        <v>3408</v>
      </c>
      <c r="C1796" t="s">
        <v>2135</v>
      </c>
      <c r="D1796" t="s">
        <v>206</v>
      </c>
      <c r="E1796" t="s">
        <v>508</v>
      </c>
      <c r="F1796" t="s">
        <v>3419</v>
      </c>
      <c r="H1796" t="s">
        <v>17</v>
      </c>
      <c r="I1796" t="s">
        <v>3420</v>
      </c>
    </row>
    <row r="1797" spans="1:9" x14ac:dyDescent="0.3">
      <c r="A1797" t="s">
        <v>2946</v>
      </c>
      <c r="B1797" t="s">
        <v>3408</v>
      </c>
      <c r="C1797" t="s">
        <v>2135</v>
      </c>
      <c r="D1797" t="s">
        <v>210</v>
      </c>
      <c r="E1797" t="s">
        <v>512</v>
      </c>
      <c r="F1797" t="s">
        <v>3421</v>
      </c>
      <c r="H1797" t="s">
        <v>17</v>
      </c>
      <c r="I1797" t="s">
        <v>3422</v>
      </c>
    </row>
    <row r="1798" spans="1:9" x14ac:dyDescent="0.3">
      <c r="A1798" t="s">
        <v>2946</v>
      </c>
      <c r="B1798" t="s">
        <v>3408</v>
      </c>
      <c r="C1798" t="s">
        <v>2135</v>
      </c>
      <c r="D1798" t="s">
        <v>214</v>
      </c>
      <c r="E1798" t="s">
        <v>515</v>
      </c>
      <c r="F1798" t="s">
        <v>3423</v>
      </c>
      <c r="H1798" t="s">
        <v>17</v>
      </c>
      <c r="I1798" t="s">
        <v>3424</v>
      </c>
    </row>
    <row r="1799" spans="1:9" x14ac:dyDescent="0.3">
      <c r="A1799" t="s">
        <v>2946</v>
      </c>
      <c r="B1799" t="s">
        <v>3408</v>
      </c>
      <c r="C1799" t="s">
        <v>2135</v>
      </c>
      <c r="D1799" t="s">
        <v>218</v>
      </c>
      <c r="E1799" t="s">
        <v>519</v>
      </c>
      <c r="F1799" t="s">
        <v>3425</v>
      </c>
      <c r="H1799" t="s">
        <v>17</v>
      </c>
      <c r="I1799" t="s">
        <v>3424</v>
      </c>
    </row>
    <row r="1800" spans="1:9" x14ac:dyDescent="0.3">
      <c r="A1800" t="s">
        <v>2946</v>
      </c>
      <c r="B1800" t="s">
        <v>3408</v>
      </c>
      <c r="C1800" t="s">
        <v>2135</v>
      </c>
      <c r="D1800" t="s">
        <v>2924</v>
      </c>
      <c r="E1800" t="s">
        <v>522</v>
      </c>
      <c r="F1800" t="s">
        <v>3426</v>
      </c>
      <c r="H1800" t="s">
        <v>17</v>
      </c>
      <c r="I1800" t="s">
        <v>3427</v>
      </c>
    </row>
    <row r="1801" spans="1:9" x14ac:dyDescent="0.3">
      <c r="A1801" t="s">
        <v>2946</v>
      </c>
      <c r="B1801" t="s">
        <v>3408</v>
      </c>
      <c r="C1801" t="s">
        <v>2135</v>
      </c>
      <c r="D1801" t="s">
        <v>233</v>
      </c>
      <c r="E1801" t="s">
        <v>526</v>
      </c>
      <c r="F1801" t="s">
        <v>3428</v>
      </c>
      <c r="H1801" t="s">
        <v>17</v>
      </c>
      <c r="I1801" t="s">
        <v>3429</v>
      </c>
    </row>
    <row r="1802" spans="1:9" x14ac:dyDescent="0.3">
      <c r="A1802" t="s">
        <v>2946</v>
      </c>
      <c r="B1802" t="s">
        <v>3408</v>
      </c>
      <c r="C1802" t="s">
        <v>2135</v>
      </c>
      <c r="D1802" t="s">
        <v>236</v>
      </c>
      <c r="E1802" t="s">
        <v>529</v>
      </c>
      <c r="F1802" t="s">
        <v>3430</v>
      </c>
      <c r="H1802" t="s">
        <v>17</v>
      </c>
      <c r="I1802" t="s">
        <v>3431</v>
      </c>
    </row>
    <row r="1803" spans="1:9" x14ac:dyDescent="0.3">
      <c r="A1803" t="s">
        <v>2946</v>
      </c>
      <c r="B1803" t="s">
        <v>3408</v>
      </c>
      <c r="C1803" t="s">
        <v>2135</v>
      </c>
      <c r="D1803" t="s">
        <v>239</v>
      </c>
      <c r="E1803" t="s">
        <v>533</v>
      </c>
      <c r="F1803" t="s">
        <v>3432</v>
      </c>
      <c r="H1803" t="s">
        <v>17</v>
      </c>
      <c r="I1803" t="s">
        <v>3433</v>
      </c>
    </row>
    <row r="1804" spans="1:9" x14ac:dyDescent="0.3">
      <c r="A1804" t="s">
        <v>2946</v>
      </c>
      <c r="B1804" t="s">
        <v>3408</v>
      </c>
      <c r="C1804" t="s">
        <v>2135</v>
      </c>
      <c r="D1804" t="s">
        <v>1881</v>
      </c>
      <c r="E1804" t="s">
        <v>536</v>
      </c>
      <c r="F1804" t="s">
        <v>3434</v>
      </c>
      <c r="H1804" t="s">
        <v>17</v>
      </c>
      <c r="I1804" t="s">
        <v>3435</v>
      </c>
    </row>
    <row r="1805" spans="1:9" x14ac:dyDescent="0.3">
      <c r="A1805" t="s">
        <v>2946</v>
      </c>
      <c r="B1805" t="s">
        <v>3408</v>
      </c>
      <c r="C1805" t="s">
        <v>2135</v>
      </c>
      <c r="D1805" t="s">
        <v>1885</v>
      </c>
      <c r="E1805" t="s">
        <v>541</v>
      </c>
      <c r="F1805" t="s">
        <v>3436</v>
      </c>
      <c r="H1805" t="s">
        <v>17</v>
      </c>
      <c r="I1805" t="s">
        <v>3437</v>
      </c>
    </row>
    <row r="1806" spans="1:9" x14ac:dyDescent="0.3">
      <c r="A1806" t="s">
        <v>2946</v>
      </c>
      <c r="B1806" t="s">
        <v>3408</v>
      </c>
      <c r="C1806" t="s">
        <v>2135</v>
      </c>
      <c r="D1806" t="s">
        <v>1588</v>
      </c>
      <c r="E1806" t="s">
        <v>546</v>
      </c>
      <c r="F1806" t="s">
        <v>3438</v>
      </c>
      <c r="H1806" t="s">
        <v>17</v>
      </c>
      <c r="I1806" t="s">
        <v>3439</v>
      </c>
    </row>
    <row r="1807" spans="1:9" x14ac:dyDescent="0.3">
      <c r="A1807" t="s">
        <v>2946</v>
      </c>
      <c r="B1807" t="s">
        <v>3408</v>
      </c>
      <c r="C1807" t="s">
        <v>2135</v>
      </c>
      <c r="D1807" t="s">
        <v>1892</v>
      </c>
      <c r="E1807" t="s">
        <v>551</v>
      </c>
      <c r="F1807" t="s">
        <v>3440</v>
      </c>
      <c r="H1807" t="s">
        <v>17</v>
      </c>
      <c r="I1807" t="s">
        <v>3429</v>
      </c>
    </row>
    <row r="1808" spans="1:9" x14ac:dyDescent="0.3">
      <c r="A1808" t="s">
        <v>2946</v>
      </c>
      <c r="B1808" t="s">
        <v>3408</v>
      </c>
      <c r="C1808" t="s">
        <v>2135</v>
      </c>
      <c r="D1808" t="s">
        <v>1146</v>
      </c>
      <c r="E1808" t="s">
        <v>556</v>
      </c>
      <c r="F1808" t="s">
        <v>3441</v>
      </c>
      <c r="H1808" t="s">
        <v>17</v>
      </c>
      <c r="I1808" t="s">
        <v>3442</v>
      </c>
    </row>
    <row r="1809" spans="1:9" x14ac:dyDescent="0.3">
      <c r="A1809" t="s">
        <v>2946</v>
      </c>
      <c r="B1809" t="s">
        <v>3408</v>
      </c>
      <c r="C1809" t="s">
        <v>2135</v>
      </c>
      <c r="D1809" t="s">
        <v>1150</v>
      </c>
      <c r="E1809" t="s">
        <v>1712</v>
      </c>
      <c r="F1809" t="s">
        <v>3443</v>
      </c>
      <c r="H1809" t="s">
        <v>17</v>
      </c>
      <c r="I1809" t="s">
        <v>3442</v>
      </c>
    </row>
    <row r="1810" spans="1:9" x14ac:dyDescent="0.3">
      <c r="A1810" t="s">
        <v>2946</v>
      </c>
      <c r="B1810" t="s">
        <v>3408</v>
      </c>
      <c r="C1810" t="s">
        <v>2135</v>
      </c>
      <c r="D1810" t="s">
        <v>1154</v>
      </c>
      <c r="E1810" t="s">
        <v>560</v>
      </c>
      <c r="F1810" t="s">
        <v>3444</v>
      </c>
      <c r="H1810" t="s">
        <v>17</v>
      </c>
      <c r="I1810" t="s">
        <v>3445</v>
      </c>
    </row>
    <row r="1811" spans="1:9" x14ac:dyDescent="0.3">
      <c r="A1811" t="s">
        <v>2946</v>
      </c>
      <c r="B1811" t="s">
        <v>3408</v>
      </c>
      <c r="C1811" t="s">
        <v>2135</v>
      </c>
      <c r="D1811" t="s">
        <v>1158</v>
      </c>
      <c r="E1811" t="s">
        <v>565</v>
      </c>
      <c r="F1811" t="s">
        <v>2761</v>
      </c>
      <c r="H1811" t="s">
        <v>17</v>
      </c>
      <c r="I1811" t="s">
        <v>3446</v>
      </c>
    </row>
    <row r="1812" spans="1:9" x14ac:dyDescent="0.3">
      <c r="A1812" t="s">
        <v>2946</v>
      </c>
      <c r="B1812" t="s">
        <v>3408</v>
      </c>
      <c r="C1812" t="s">
        <v>2135</v>
      </c>
      <c r="D1812" t="s">
        <v>1162</v>
      </c>
      <c r="E1812" t="s">
        <v>1717</v>
      </c>
      <c r="F1812" t="s">
        <v>2762</v>
      </c>
      <c r="H1812" t="s">
        <v>17</v>
      </c>
      <c r="I1812" t="s">
        <v>3447</v>
      </c>
    </row>
    <row r="1813" spans="1:9" x14ac:dyDescent="0.3">
      <c r="A1813" t="s">
        <v>2946</v>
      </c>
      <c r="B1813" t="s">
        <v>3408</v>
      </c>
      <c r="C1813" t="s">
        <v>2135</v>
      </c>
      <c r="D1813" t="s">
        <v>1165</v>
      </c>
      <c r="E1813" t="s">
        <v>570</v>
      </c>
      <c r="F1813" t="s">
        <v>3448</v>
      </c>
      <c r="H1813" t="s">
        <v>17</v>
      </c>
      <c r="I1813" t="s">
        <v>3447</v>
      </c>
    </row>
    <row r="1814" spans="1:9" x14ac:dyDescent="0.3">
      <c r="A1814" t="s">
        <v>2946</v>
      </c>
      <c r="B1814" t="s">
        <v>3408</v>
      </c>
      <c r="C1814" t="s">
        <v>2135</v>
      </c>
      <c r="D1814" t="s">
        <v>1168</v>
      </c>
      <c r="E1814" t="s">
        <v>575</v>
      </c>
      <c r="F1814" t="s">
        <v>3449</v>
      </c>
      <c r="H1814" t="s">
        <v>17</v>
      </c>
      <c r="I1814" t="s">
        <v>3450</v>
      </c>
    </row>
    <row r="1815" spans="1:9" x14ac:dyDescent="0.3">
      <c r="A1815" t="s">
        <v>2946</v>
      </c>
      <c r="B1815" t="s">
        <v>3408</v>
      </c>
      <c r="C1815" t="s">
        <v>2135</v>
      </c>
      <c r="D1815" t="s">
        <v>1172</v>
      </c>
      <c r="E1815" t="s">
        <v>580</v>
      </c>
      <c r="F1815" t="s">
        <v>3451</v>
      </c>
      <c r="H1815" t="s">
        <v>17</v>
      </c>
      <c r="I1815" t="s">
        <v>2768</v>
      </c>
    </row>
    <row r="1816" spans="1:9" x14ac:dyDescent="0.3">
      <c r="A1816" t="s">
        <v>2946</v>
      </c>
      <c r="B1816" t="s">
        <v>3408</v>
      </c>
      <c r="C1816" t="s">
        <v>2135</v>
      </c>
      <c r="D1816" t="s">
        <v>1176</v>
      </c>
      <c r="E1816" t="s">
        <v>586</v>
      </c>
      <c r="F1816" t="s">
        <v>2769</v>
      </c>
      <c r="H1816" t="s">
        <v>17</v>
      </c>
      <c r="I1816" t="s">
        <v>2770</v>
      </c>
    </row>
    <row r="1817" spans="1:9" x14ac:dyDescent="0.3">
      <c r="A1817" t="s">
        <v>2946</v>
      </c>
      <c r="B1817" t="s">
        <v>3408</v>
      </c>
      <c r="C1817" t="s">
        <v>2135</v>
      </c>
      <c r="D1817" t="s">
        <v>1179</v>
      </c>
      <c r="E1817" t="s">
        <v>591</v>
      </c>
      <c r="F1817" t="s">
        <v>2771</v>
      </c>
      <c r="H1817" t="s">
        <v>17</v>
      </c>
      <c r="I1817" t="s">
        <v>3452</v>
      </c>
    </row>
    <row r="1818" spans="1:9" x14ac:dyDescent="0.3">
      <c r="A1818" t="s">
        <v>2946</v>
      </c>
      <c r="B1818" t="s">
        <v>3408</v>
      </c>
      <c r="C1818" t="s">
        <v>2135</v>
      </c>
      <c r="D1818" t="s">
        <v>268</v>
      </c>
      <c r="E1818" t="s">
        <v>1724</v>
      </c>
      <c r="F1818" t="s">
        <v>3453</v>
      </c>
      <c r="H1818" t="s">
        <v>17</v>
      </c>
      <c r="I1818" t="s">
        <v>3454</v>
      </c>
    </row>
    <row r="1819" spans="1:9" x14ac:dyDescent="0.3">
      <c r="A1819" t="s">
        <v>2946</v>
      </c>
      <c r="B1819" t="s">
        <v>3455</v>
      </c>
      <c r="C1819" t="s">
        <v>2135</v>
      </c>
      <c r="D1819" t="s">
        <v>1193</v>
      </c>
      <c r="E1819" t="s">
        <v>1727</v>
      </c>
      <c r="F1819" t="s">
        <v>3456</v>
      </c>
      <c r="H1819" t="s">
        <v>17</v>
      </c>
      <c r="I1819" t="s">
        <v>3457</v>
      </c>
    </row>
    <row r="1820" spans="1:9" x14ac:dyDescent="0.3">
      <c r="A1820" t="s">
        <v>2946</v>
      </c>
      <c r="B1820" t="s">
        <v>3455</v>
      </c>
      <c r="C1820" t="s">
        <v>2135</v>
      </c>
      <c r="D1820" t="s">
        <v>1197</v>
      </c>
      <c r="E1820" t="s">
        <v>1729</v>
      </c>
      <c r="F1820" t="s">
        <v>3458</v>
      </c>
      <c r="H1820" t="s">
        <v>17</v>
      </c>
      <c r="I1820" t="s">
        <v>3457</v>
      </c>
    </row>
    <row r="1821" spans="1:9" x14ac:dyDescent="0.3">
      <c r="A1821" t="s">
        <v>2946</v>
      </c>
      <c r="B1821" t="s">
        <v>3455</v>
      </c>
      <c r="C1821" t="s">
        <v>2135</v>
      </c>
      <c r="D1821" t="s">
        <v>1201</v>
      </c>
      <c r="E1821" t="s">
        <v>600</v>
      </c>
      <c r="F1821" t="s">
        <v>3459</v>
      </c>
      <c r="H1821" t="s">
        <v>17</v>
      </c>
      <c r="I1821" t="s">
        <v>3457</v>
      </c>
    </row>
    <row r="1822" spans="1:9" x14ac:dyDescent="0.3">
      <c r="A1822" t="s">
        <v>2946</v>
      </c>
      <c r="B1822" t="s">
        <v>3455</v>
      </c>
      <c r="C1822" t="s">
        <v>2135</v>
      </c>
      <c r="D1822" t="s">
        <v>1205</v>
      </c>
      <c r="E1822" t="s">
        <v>1731</v>
      </c>
      <c r="F1822" t="s">
        <v>3460</v>
      </c>
      <c r="H1822" t="s">
        <v>17</v>
      </c>
      <c r="I1822" t="s">
        <v>3457</v>
      </c>
    </row>
    <row r="1823" spans="1:9" x14ac:dyDescent="0.3">
      <c r="A1823" t="s">
        <v>2946</v>
      </c>
      <c r="B1823" t="s">
        <v>3455</v>
      </c>
      <c r="C1823" t="s">
        <v>2135</v>
      </c>
      <c r="D1823" t="s">
        <v>1209</v>
      </c>
      <c r="E1823" t="s">
        <v>3461</v>
      </c>
      <c r="F1823" t="s">
        <v>3462</v>
      </c>
      <c r="H1823" t="s">
        <v>17</v>
      </c>
      <c r="I1823" t="s">
        <v>3463</v>
      </c>
    </row>
    <row r="1824" spans="1:9" x14ac:dyDescent="0.3">
      <c r="A1824" t="s">
        <v>2946</v>
      </c>
      <c r="B1824" t="s">
        <v>3464</v>
      </c>
      <c r="C1824" t="s">
        <v>2135</v>
      </c>
      <c r="D1824" t="s">
        <v>1213</v>
      </c>
      <c r="E1824" t="s">
        <v>3465</v>
      </c>
      <c r="F1824" t="s">
        <v>3466</v>
      </c>
      <c r="H1824" t="s">
        <v>17</v>
      </c>
      <c r="I1824" t="s">
        <v>3467</v>
      </c>
    </row>
    <row r="1825" spans="1:9" x14ac:dyDescent="0.3">
      <c r="A1825" t="s">
        <v>2946</v>
      </c>
      <c r="B1825" t="s">
        <v>3464</v>
      </c>
      <c r="C1825" t="s">
        <v>2135</v>
      </c>
      <c r="D1825" t="s">
        <v>1219</v>
      </c>
      <c r="E1825" t="s">
        <v>1734</v>
      </c>
      <c r="F1825" t="s">
        <v>3468</v>
      </c>
      <c r="H1825" t="s">
        <v>17</v>
      </c>
      <c r="I1825" t="s">
        <v>3467</v>
      </c>
    </row>
    <row r="1826" spans="1:9" x14ac:dyDescent="0.3">
      <c r="A1826" t="s">
        <v>2946</v>
      </c>
      <c r="B1826" t="s">
        <v>3464</v>
      </c>
      <c r="C1826" t="s">
        <v>2135</v>
      </c>
      <c r="D1826" t="s">
        <v>1224</v>
      </c>
      <c r="E1826" t="s">
        <v>608</v>
      </c>
      <c r="F1826" t="s">
        <v>3469</v>
      </c>
      <c r="H1826" t="s">
        <v>17</v>
      </c>
      <c r="I1826" t="s">
        <v>3467</v>
      </c>
    </row>
    <row r="1827" spans="1:9" x14ac:dyDescent="0.3">
      <c r="A1827" t="s">
        <v>2946</v>
      </c>
      <c r="B1827" t="s">
        <v>3464</v>
      </c>
      <c r="C1827" t="s">
        <v>2135</v>
      </c>
      <c r="D1827" t="s">
        <v>1228</v>
      </c>
      <c r="E1827" t="s">
        <v>1737</v>
      </c>
      <c r="F1827" t="s">
        <v>3470</v>
      </c>
      <c r="H1827" t="s">
        <v>17</v>
      </c>
      <c r="I1827" t="s">
        <v>3467</v>
      </c>
    </row>
    <row r="1828" spans="1:9" x14ac:dyDescent="0.3">
      <c r="A1828" t="s">
        <v>2946</v>
      </c>
      <c r="B1828" t="s">
        <v>3464</v>
      </c>
      <c r="C1828" t="s">
        <v>2135</v>
      </c>
      <c r="D1828" t="s">
        <v>1232</v>
      </c>
      <c r="E1828" t="s">
        <v>3471</v>
      </c>
      <c r="F1828" t="s">
        <v>3472</v>
      </c>
      <c r="H1828" t="s">
        <v>17</v>
      </c>
      <c r="I1828" t="s">
        <v>3467</v>
      </c>
    </row>
    <row r="1829" spans="1:9" x14ac:dyDescent="0.3">
      <c r="A1829" t="s">
        <v>2946</v>
      </c>
      <c r="B1829" t="s">
        <v>3473</v>
      </c>
      <c r="C1829" t="s">
        <v>2135</v>
      </c>
      <c r="D1829" t="s">
        <v>1236</v>
      </c>
      <c r="E1829" t="s">
        <v>3474</v>
      </c>
      <c r="F1829" t="s">
        <v>3475</v>
      </c>
      <c r="H1829" t="s">
        <v>17</v>
      </c>
      <c r="I1829" t="s">
        <v>3457</v>
      </c>
    </row>
    <row r="1830" spans="1:9" x14ac:dyDescent="0.3">
      <c r="A1830" t="s">
        <v>2946</v>
      </c>
      <c r="B1830" t="s">
        <v>3473</v>
      </c>
      <c r="C1830" t="s">
        <v>2135</v>
      </c>
      <c r="D1830" t="s">
        <v>1240</v>
      </c>
      <c r="E1830" t="s">
        <v>616</v>
      </c>
      <c r="F1830" t="s">
        <v>3476</v>
      </c>
      <c r="H1830" t="s">
        <v>17</v>
      </c>
      <c r="I1830" t="s">
        <v>3457</v>
      </c>
    </row>
    <row r="1831" spans="1:9" x14ac:dyDescent="0.3">
      <c r="A1831" t="s">
        <v>2946</v>
      </c>
      <c r="B1831" t="s">
        <v>3473</v>
      </c>
      <c r="C1831" t="s">
        <v>2135</v>
      </c>
      <c r="D1831" t="s">
        <v>1244</v>
      </c>
      <c r="E1831" t="s">
        <v>3477</v>
      </c>
      <c r="F1831" t="s">
        <v>3478</v>
      </c>
      <c r="H1831" t="s">
        <v>17</v>
      </c>
      <c r="I1831" t="s">
        <v>3457</v>
      </c>
    </row>
    <row r="1832" spans="1:9" x14ac:dyDescent="0.3">
      <c r="A1832" t="s">
        <v>2946</v>
      </c>
      <c r="B1832" t="s">
        <v>3473</v>
      </c>
      <c r="C1832" t="s">
        <v>2135</v>
      </c>
      <c r="D1832" t="s">
        <v>1248</v>
      </c>
      <c r="E1832" t="s">
        <v>620</v>
      </c>
      <c r="F1832" t="s">
        <v>3479</v>
      </c>
      <c r="H1832" t="s">
        <v>17</v>
      </c>
      <c r="I1832" t="s">
        <v>3457</v>
      </c>
    </row>
    <row r="1833" spans="1:9" x14ac:dyDescent="0.3">
      <c r="A1833" t="s">
        <v>2946</v>
      </c>
      <c r="B1833" t="s">
        <v>3473</v>
      </c>
      <c r="C1833" t="s">
        <v>2135</v>
      </c>
      <c r="D1833" t="s">
        <v>1252</v>
      </c>
      <c r="E1833" t="s">
        <v>3480</v>
      </c>
      <c r="F1833" t="s">
        <v>3481</v>
      </c>
      <c r="H1833" t="s">
        <v>17</v>
      </c>
      <c r="I1833" t="s">
        <v>3457</v>
      </c>
    </row>
    <row r="1834" spans="1:9" x14ac:dyDescent="0.3">
      <c r="A1834" t="s">
        <v>2946</v>
      </c>
      <c r="B1834" t="s">
        <v>3482</v>
      </c>
      <c r="C1834" t="s">
        <v>2135</v>
      </c>
      <c r="D1834" t="s">
        <v>1256</v>
      </c>
      <c r="E1834" t="s">
        <v>3483</v>
      </c>
      <c r="F1834" t="s">
        <v>3484</v>
      </c>
      <c r="H1834" t="s">
        <v>17</v>
      </c>
      <c r="I1834" t="s">
        <v>3485</v>
      </c>
    </row>
    <row r="1835" spans="1:9" x14ac:dyDescent="0.3">
      <c r="A1835" t="s">
        <v>2946</v>
      </c>
      <c r="B1835" t="s">
        <v>3482</v>
      </c>
      <c r="C1835" t="s">
        <v>2135</v>
      </c>
      <c r="D1835" t="s">
        <v>1261</v>
      </c>
      <c r="E1835" t="s">
        <v>3486</v>
      </c>
      <c r="F1835" t="s">
        <v>3487</v>
      </c>
      <c r="H1835" t="s">
        <v>17</v>
      </c>
      <c r="I1835" t="s">
        <v>3485</v>
      </c>
    </row>
    <row r="1836" spans="1:9" x14ac:dyDescent="0.3">
      <c r="A1836" t="s">
        <v>2946</v>
      </c>
      <c r="B1836" t="s">
        <v>3482</v>
      </c>
      <c r="C1836" t="s">
        <v>2135</v>
      </c>
      <c r="D1836" t="s">
        <v>1265</v>
      </c>
      <c r="E1836" t="s">
        <v>3488</v>
      </c>
      <c r="F1836" t="s">
        <v>3489</v>
      </c>
      <c r="H1836" t="s">
        <v>17</v>
      </c>
      <c r="I1836" t="s">
        <v>3485</v>
      </c>
    </row>
    <row r="1837" spans="1:9" x14ac:dyDescent="0.3">
      <c r="A1837" t="s">
        <v>2946</v>
      </c>
      <c r="B1837" t="s">
        <v>3482</v>
      </c>
      <c r="C1837" t="s">
        <v>2135</v>
      </c>
      <c r="D1837" t="s">
        <v>1270</v>
      </c>
      <c r="E1837" t="s">
        <v>3490</v>
      </c>
      <c r="F1837" t="s">
        <v>3491</v>
      </c>
      <c r="H1837" t="s">
        <v>17</v>
      </c>
      <c r="I1837" t="s">
        <v>3485</v>
      </c>
    </row>
    <row r="1838" spans="1:9" x14ac:dyDescent="0.3">
      <c r="A1838" t="s">
        <v>2946</v>
      </c>
      <c r="B1838" t="s">
        <v>3482</v>
      </c>
      <c r="C1838" t="s">
        <v>2135</v>
      </c>
      <c r="D1838" t="s">
        <v>1276</v>
      </c>
      <c r="E1838" t="s">
        <v>3492</v>
      </c>
      <c r="F1838" t="s">
        <v>3493</v>
      </c>
      <c r="H1838" t="s">
        <v>17</v>
      </c>
      <c r="I1838" t="s">
        <v>3485</v>
      </c>
    </row>
    <row r="1839" spans="1:9" x14ac:dyDescent="0.3">
      <c r="A1839" t="s">
        <v>2946</v>
      </c>
      <c r="B1839" t="s">
        <v>3482</v>
      </c>
      <c r="C1839" t="s">
        <v>2135</v>
      </c>
      <c r="D1839" t="s">
        <v>303</v>
      </c>
      <c r="E1839" t="s">
        <v>3494</v>
      </c>
      <c r="F1839" t="s">
        <v>3495</v>
      </c>
      <c r="H1839" t="s">
        <v>17</v>
      </c>
      <c r="I1839" t="s">
        <v>3485</v>
      </c>
    </row>
    <row r="1840" spans="1:9" x14ac:dyDescent="0.3">
      <c r="A1840" t="s">
        <v>2946</v>
      </c>
      <c r="B1840" t="s">
        <v>3482</v>
      </c>
      <c r="C1840" t="s">
        <v>2135</v>
      </c>
      <c r="D1840" t="s">
        <v>308</v>
      </c>
      <c r="E1840" t="s">
        <v>3496</v>
      </c>
      <c r="F1840" t="s">
        <v>3497</v>
      </c>
      <c r="H1840" t="s">
        <v>17</v>
      </c>
      <c r="I1840" t="s">
        <v>3485</v>
      </c>
    </row>
    <row r="1841" spans="1:9" x14ac:dyDescent="0.3">
      <c r="A1841" t="s">
        <v>2946</v>
      </c>
      <c r="B1841" t="s">
        <v>3482</v>
      </c>
      <c r="C1841" t="s">
        <v>2135</v>
      </c>
      <c r="D1841" t="s">
        <v>312</v>
      </c>
      <c r="E1841" t="s">
        <v>3498</v>
      </c>
      <c r="F1841" t="s">
        <v>3499</v>
      </c>
      <c r="H1841" t="s">
        <v>17</v>
      </c>
      <c r="I1841" t="s">
        <v>3485</v>
      </c>
    </row>
    <row r="1842" spans="1:9" x14ac:dyDescent="0.3">
      <c r="A1842" t="s">
        <v>2946</v>
      </c>
      <c r="B1842" t="s">
        <v>3482</v>
      </c>
      <c r="C1842" t="s">
        <v>2135</v>
      </c>
      <c r="D1842" t="s">
        <v>316</v>
      </c>
      <c r="E1842" t="s">
        <v>3500</v>
      </c>
      <c r="F1842" t="s">
        <v>3501</v>
      </c>
      <c r="H1842" t="s">
        <v>17</v>
      </c>
      <c r="I1842" t="s">
        <v>3485</v>
      </c>
    </row>
    <row r="1843" spans="1:9" x14ac:dyDescent="0.3">
      <c r="A1843" t="s">
        <v>2946</v>
      </c>
      <c r="B1843" t="s">
        <v>3482</v>
      </c>
      <c r="C1843" t="s">
        <v>2135</v>
      </c>
      <c r="D1843" t="s">
        <v>319</v>
      </c>
      <c r="E1843" t="s">
        <v>3502</v>
      </c>
      <c r="F1843" t="s">
        <v>3503</v>
      </c>
      <c r="H1843" t="s">
        <v>17</v>
      </c>
      <c r="I1843" t="s">
        <v>3485</v>
      </c>
    </row>
    <row r="1844" spans="1:9" x14ac:dyDescent="0.3">
      <c r="A1844" t="s">
        <v>2946</v>
      </c>
      <c r="B1844" t="s">
        <v>3482</v>
      </c>
      <c r="C1844" t="s">
        <v>2135</v>
      </c>
      <c r="D1844" t="s">
        <v>323</v>
      </c>
      <c r="E1844" t="s">
        <v>3504</v>
      </c>
      <c r="F1844" t="s">
        <v>3505</v>
      </c>
      <c r="H1844" t="s">
        <v>17</v>
      </c>
      <c r="I1844" t="s">
        <v>3485</v>
      </c>
    </row>
    <row r="1845" spans="1:9" x14ac:dyDescent="0.3">
      <c r="A1845" t="s">
        <v>2946</v>
      </c>
      <c r="B1845" t="s">
        <v>3482</v>
      </c>
      <c r="C1845" t="s">
        <v>2135</v>
      </c>
      <c r="D1845" t="s">
        <v>327</v>
      </c>
      <c r="E1845" t="s">
        <v>3506</v>
      </c>
      <c r="F1845" t="s">
        <v>3507</v>
      </c>
      <c r="H1845" t="s">
        <v>17</v>
      </c>
      <c r="I1845" t="s">
        <v>3485</v>
      </c>
    </row>
    <row r="1846" spans="1:9" x14ac:dyDescent="0.3">
      <c r="A1846" t="s">
        <v>2946</v>
      </c>
      <c r="B1846" t="s">
        <v>3482</v>
      </c>
      <c r="C1846" t="s">
        <v>2135</v>
      </c>
      <c r="D1846" t="s">
        <v>332</v>
      </c>
      <c r="E1846" t="s">
        <v>3508</v>
      </c>
      <c r="F1846" t="s">
        <v>3509</v>
      </c>
      <c r="H1846" t="s">
        <v>17</v>
      </c>
      <c r="I1846" t="s">
        <v>3485</v>
      </c>
    </row>
    <row r="1847" spans="1:9" x14ac:dyDescent="0.3">
      <c r="A1847" t="s">
        <v>2946</v>
      </c>
      <c r="B1847" t="s">
        <v>3482</v>
      </c>
      <c r="C1847" t="s">
        <v>2135</v>
      </c>
      <c r="D1847" t="s">
        <v>335</v>
      </c>
      <c r="E1847" t="s">
        <v>3510</v>
      </c>
      <c r="F1847" t="s">
        <v>3511</v>
      </c>
      <c r="H1847" t="s">
        <v>17</v>
      </c>
      <c r="I1847" t="s">
        <v>3485</v>
      </c>
    </row>
    <row r="1848" spans="1:9" x14ac:dyDescent="0.3">
      <c r="A1848" t="s">
        <v>2946</v>
      </c>
      <c r="B1848" t="s">
        <v>3482</v>
      </c>
      <c r="C1848" t="s">
        <v>2135</v>
      </c>
      <c r="D1848" t="s">
        <v>338</v>
      </c>
      <c r="E1848" t="s">
        <v>3512</v>
      </c>
      <c r="F1848" t="s">
        <v>3513</v>
      </c>
      <c r="H1848" t="s">
        <v>17</v>
      </c>
      <c r="I1848" t="s">
        <v>3485</v>
      </c>
    </row>
    <row r="1849" spans="1:9" x14ac:dyDescent="0.3">
      <c r="A1849" t="s">
        <v>2946</v>
      </c>
      <c r="B1849" t="s">
        <v>3514</v>
      </c>
      <c r="C1849" t="s">
        <v>2135</v>
      </c>
      <c r="D1849" t="s">
        <v>341</v>
      </c>
      <c r="E1849" t="s">
        <v>3515</v>
      </c>
      <c r="F1849" t="s">
        <v>3516</v>
      </c>
      <c r="H1849" t="s">
        <v>17</v>
      </c>
      <c r="I1849" t="s">
        <v>3517</v>
      </c>
    </row>
    <row r="1850" spans="1:9" x14ac:dyDescent="0.3">
      <c r="A1850" t="s">
        <v>2946</v>
      </c>
      <c r="B1850" t="s">
        <v>3514</v>
      </c>
      <c r="C1850" t="s">
        <v>2135</v>
      </c>
      <c r="D1850" t="s">
        <v>344</v>
      </c>
      <c r="E1850" t="s">
        <v>3518</v>
      </c>
      <c r="F1850" t="s">
        <v>3519</v>
      </c>
      <c r="H1850" t="s">
        <v>17</v>
      </c>
      <c r="I1850" t="s">
        <v>3517</v>
      </c>
    </row>
    <row r="1851" spans="1:9" x14ac:dyDescent="0.3">
      <c r="A1851" t="s">
        <v>2946</v>
      </c>
      <c r="B1851" t="s">
        <v>3514</v>
      </c>
      <c r="C1851" t="s">
        <v>2135</v>
      </c>
      <c r="D1851" t="s">
        <v>347</v>
      </c>
      <c r="E1851" t="s">
        <v>3520</v>
      </c>
      <c r="F1851" t="s">
        <v>3521</v>
      </c>
      <c r="H1851" t="s">
        <v>17</v>
      </c>
      <c r="I1851" t="s">
        <v>3517</v>
      </c>
    </row>
    <row r="1852" spans="1:9" x14ac:dyDescent="0.3">
      <c r="A1852" t="s">
        <v>2946</v>
      </c>
      <c r="B1852" t="s">
        <v>3514</v>
      </c>
      <c r="C1852" t="s">
        <v>2135</v>
      </c>
      <c r="D1852" t="s">
        <v>353</v>
      </c>
      <c r="E1852" t="s">
        <v>3522</v>
      </c>
      <c r="F1852" t="s">
        <v>2821</v>
      </c>
      <c r="H1852" t="s">
        <v>17</v>
      </c>
      <c r="I1852" t="s">
        <v>3517</v>
      </c>
    </row>
    <row r="1853" spans="1:9" x14ac:dyDescent="0.3">
      <c r="A1853" t="s">
        <v>2946</v>
      </c>
      <c r="B1853" t="s">
        <v>3514</v>
      </c>
      <c r="C1853" t="s">
        <v>2135</v>
      </c>
      <c r="D1853" t="s">
        <v>358</v>
      </c>
      <c r="E1853" t="s">
        <v>3523</v>
      </c>
      <c r="F1853" t="s">
        <v>2827</v>
      </c>
      <c r="H1853" t="s">
        <v>17</v>
      </c>
      <c r="I1853" t="s">
        <v>3517</v>
      </c>
    </row>
    <row r="1854" spans="1:9" x14ac:dyDescent="0.3">
      <c r="A1854" t="s">
        <v>2946</v>
      </c>
      <c r="B1854" t="s">
        <v>3514</v>
      </c>
      <c r="C1854" t="s">
        <v>2135</v>
      </c>
      <c r="D1854" t="s">
        <v>361</v>
      </c>
      <c r="E1854" t="s">
        <v>3524</v>
      </c>
      <c r="F1854" t="s">
        <v>3525</v>
      </c>
      <c r="H1854" t="s">
        <v>17</v>
      </c>
      <c r="I1854" t="s">
        <v>3517</v>
      </c>
    </row>
    <row r="1855" spans="1:9" x14ac:dyDescent="0.3">
      <c r="A1855" t="s">
        <v>2946</v>
      </c>
      <c r="B1855" t="s">
        <v>3514</v>
      </c>
      <c r="C1855" t="s">
        <v>2135</v>
      </c>
      <c r="D1855" t="s">
        <v>364</v>
      </c>
      <c r="E1855" t="s">
        <v>3526</v>
      </c>
      <c r="F1855" t="s">
        <v>3527</v>
      </c>
      <c r="H1855" t="s">
        <v>17</v>
      </c>
      <c r="I1855" t="s">
        <v>3517</v>
      </c>
    </row>
    <row r="1856" spans="1:9" x14ac:dyDescent="0.3">
      <c r="A1856" t="s">
        <v>2946</v>
      </c>
      <c r="B1856" t="s">
        <v>3514</v>
      </c>
      <c r="C1856" t="s">
        <v>2135</v>
      </c>
      <c r="D1856" t="s">
        <v>367</v>
      </c>
      <c r="E1856" t="s">
        <v>3528</v>
      </c>
      <c r="F1856" t="s">
        <v>3529</v>
      </c>
      <c r="H1856" t="s">
        <v>17</v>
      </c>
      <c r="I1856" t="s">
        <v>3517</v>
      </c>
    </row>
    <row r="1857" spans="1:9" x14ac:dyDescent="0.3">
      <c r="A1857" t="s">
        <v>2946</v>
      </c>
      <c r="B1857" t="s">
        <v>3514</v>
      </c>
      <c r="C1857" t="s">
        <v>2135</v>
      </c>
      <c r="D1857" t="s">
        <v>370</v>
      </c>
      <c r="E1857" t="s">
        <v>3530</v>
      </c>
      <c r="F1857" t="s">
        <v>3531</v>
      </c>
      <c r="H1857" t="s">
        <v>17</v>
      </c>
      <c r="I1857" t="s">
        <v>3517</v>
      </c>
    </row>
    <row r="1858" spans="1:9" x14ac:dyDescent="0.3">
      <c r="A1858" t="s">
        <v>2946</v>
      </c>
      <c r="B1858" t="s">
        <v>3514</v>
      </c>
      <c r="C1858" t="s">
        <v>2135</v>
      </c>
      <c r="D1858" t="s">
        <v>373</v>
      </c>
      <c r="E1858" t="s">
        <v>3532</v>
      </c>
      <c r="F1858" t="s">
        <v>3533</v>
      </c>
      <c r="H1858" t="s">
        <v>17</v>
      </c>
      <c r="I1858" t="s">
        <v>3517</v>
      </c>
    </row>
    <row r="1859" spans="1:9" x14ac:dyDescent="0.3">
      <c r="A1859" t="s">
        <v>2946</v>
      </c>
      <c r="B1859" t="s">
        <v>3514</v>
      </c>
      <c r="C1859" t="s">
        <v>2135</v>
      </c>
      <c r="D1859" t="s">
        <v>376</v>
      </c>
      <c r="E1859" t="s">
        <v>3534</v>
      </c>
      <c r="F1859" t="s">
        <v>3535</v>
      </c>
      <c r="H1859" t="s">
        <v>17</v>
      </c>
      <c r="I1859" t="s">
        <v>3517</v>
      </c>
    </row>
    <row r="1860" spans="1:9" x14ac:dyDescent="0.3">
      <c r="A1860" t="s">
        <v>2946</v>
      </c>
      <c r="B1860" t="s">
        <v>3514</v>
      </c>
      <c r="C1860" t="s">
        <v>2135</v>
      </c>
      <c r="D1860" t="s">
        <v>1675</v>
      </c>
      <c r="E1860" t="s">
        <v>3536</v>
      </c>
      <c r="F1860" t="s">
        <v>2823</v>
      </c>
      <c r="H1860" t="s">
        <v>17</v>
      </c>
      <c r="I1860" t="s">
        <v>3517</v>
      </c>
    </row>
    <row r="1861" spans="1:9" x14ac:dyDescent="0.3">
      <c r="A1861" t="s">
        <v>2946</v>
      </c>
      <c r="B1861" t="s">
        <v>3514</v>
      </c>
      <c r="C1861" t="s">
        <v>2135</v>
      </c>
      <c r="D1861" t="s">
        <v>1678</v>
      </c>
      <c r="E1861" t="s">
        <v>3537</v>
      </c>
      <c r="F1861" t="s">
        <v>3538</v>
      </c>
      <c r="H1861" t="s">
        <v>17</v>
      </c>
      <c r="I1861" t="s">
        <v>3517</v>
      </c>
    </row>
    <row r="1862" spans="1:9" x14ac:dyDescent="0.3">
      <c r="A1862" t="s">
        <v>2946</v>
      </c>
      <c r="B1862" t="s">
        <v>3514</v>
      </c>
      <c r="C1862" t="s">
        <v>2135</v>
      </c>
      <c r="D1862" t="s">
        <v>1681</v>
      </c>
      <c r="E1862" t="s">
        <v>3539</v>
      </c>
      <c r="F1862" t="s">
        <v>3470</v>
      </c>
      <c r="H1862" t="s">
        <v>17</v>
      </c>
      <c r="I1862" t="s">
        <v>3517</v>
      </c>
    </row>
    <row r="1863" spans="1:9" x14ac:dyDescent="0.3">
      <c r="A1863" t="s">
        <v>2946</v>
      </c>
      <c r="B1863" t="s">
        <v>3514</v>
      </c>
      <c r="C1863" t="s">
        <v>2135</v>
      </c>
      <c r="D1863" t="s">
        <v>1683</v>
      </c>
      <c r="E1863" t="s">
        <v>3540</v>
      </c>
      <c r="F1863" t="s">
        <v>3472</v>
      </c>
      <c r="H1863" t="s">
        <v>17</v>
      </c>
      <c r="I1863" t="s">
        <v>3517</v>
      </c>
    </row>
    <row r="1864" spans="1:9" x14ac:dyDescent="0.3">
      <c r="A1864" t="s">
        <v>2946</v>
      </c>
      <c r="B1864" t="s">
        <v>3514</v>
      </c>
      <c r="C1864" t="s">
        <v>2135</v>
      </c>
      <c r="D1864" t="s">
        <v>1685</v>
      </c>
      <c r="E1864" t="s">
        <v>3541</v>
      </c>
      <c r="F1864" t="s">
        <v>3542</v>
      </c>
      <c r="H1864" t="s">
        <v>17</v>
      </c>
      <c r="I1864" t="s">
        <v>3517</v>
      </c>
    </row>
    <row r="1865" spans="1:9" x14ac:dyDescent="0.3">
      <c r="A1865" t="s">
        <v>2946</v>
      </c>
      <c r="B1865" t="s">
        <v>3514</v>
      </c>
      <c r="C1865" t="s">
        <v>2135</v>
      </c>
      <c r="D1865" t="s">
        <v>2859</v>
      </c>
      <c r="E1865" t="s">
        <v>3543</v>
      </c>
      <c r="F1865" t="s">
        <v>3544</v>
      </c>
      <c r="H1865" t="s">
        <v>17</v>
      </c>
      <c r="I1865" t="s">
        <v>548</v>
      </c>
    </row>
    <row r="1866" spans="1:9" x14ac:dyDescent="0.3">
      <c r="A1866" t="s">
        <v>2946</v>
      </c>
      <c r="B1866" t="s">
        <v>3545</v>
      </c>
      <c r="C1866" t="s">
        <v>3546</v>
      </c>
      <c r="D1866" t="s">
        <v>996</v>
      </c>
      <c r="E1866" t="s">
        <v>2136</v>
      </c>
      <c r="F1866" t="s">
        <v>3547</v>
      </c>
      <c r="H1866" t="s">
        <v>17</v>
      </c>
      <c r="I1866" t="s">
        <v>3457</v>
      </c>
    </row>
    <row r="1867" spans="1:9" x14ac:dyDescent="0.3">
      <c r="A1867" t="s">
        <v>2946</v>
      </c>
      <c r="B1867" t="s">
        <v>3545</v>
      </c>
      <c r="C1867" t="s">
        <v>3546</v>
      </c>
      <c r="D1867" t="s">
        <v>1001</v>
      </c>
      <c r="E1867" t="s">
        <v>2138</v>
      </c>
      <c r="F1867" t="s">
        <v>3548</v>
      </c>
      <c r="H1867" t="s">
        <v>17</v>
      </c>
      <c r="I1867" t="s">
        <v>3457</v>
      </c>
    </row>
    <row r="1868" spans="1:9" x14ac:dyDescent="0.3">
      <c r="A1868" t="s">
        <v>2946</v>
      </c>
      <c r="B1868" t="s">
        <v>3545</v>
      </c>
      <c r="C1868" t="s">
        <v>3546</v>
      </c>
      <c r="D1868" t="s">
        <v>1942</v>
      </c>
      <c r="E1868" t="s">
        <v>2140</v>
      </c>
      <c r="F1868" t="s">
        <v>3549</v>
      </c>
      <c r="H1868" t="s">
        <v>17</v>
      </c>
      <c r="I1868" t="s">
        <v>3457</v>
      </c>
    </row>
    <row r="1869" spans="1:9" x14ac:dyDescent="0.3">
      <c r="A1869" t="s">
        <v>2946</v>
      </c>
      <c r="B1869" t="s">
        <v>3545</v>
      </c>
      <c r="C1869" t="s">
        <v>3546</v>
      </c>
      <c r="D1869" t="s">
        <v>22</v>
      </c>
      <c r="E1869" t="s">
        <v>629</v>
      </c>
      <c r="F1869" t="s">
        <v>3550</v>
      </c>
      <c r="H1869" t="s">
        <v>17</v>
      </c>
      <c r="I1869" t="s">
        <v>3457</v>
      </c>
    </row>
    <row r="1870" spans="1:9" x14ac:dyDescent="0.3">
      <c r="A1870" t="s">
        <v>2946</v>
      </c>
      <c r="B1870" t="s">
        <v>3545</v>
      </c>
      <c r="C1870" t="s">
        <v>3546</v>
      </c>
      <c r="D1870" t="s">
        <v>27</v>
      </c>
      <c r="E1870" t="s">
        <v>2144</v>
      </c>
      <c r="F1870" t="s">
        <v>3551</v>
      </c>
      <c r="H1870" t="s">
        <v>17</v>
      </c>
      <c r="I1870" t="s">
        <v>3457</v>
      </c>
    </row>
    <row r="1871" spans="1:9" x14ac:dyDescent="0.3">
      <c r="A1871" t="s">
        <v>2946</v>
      </c>
      <c r="B1871" t="s">
        <v>3545</v>
      </c>
      <c r="C1871" t="s">
        <v>3546</v>
      </c>
      <c r="D1871" t="s">
        <v>1014</v>
      </c>
      <c r="E1871" t="s">
        <v>2147</v>
      </c>
      <c r="F1871" t="s">
        <v>3552</v>
      </c>
      <c r="H1871" t="s">
        <v>17</v>
      </c>
      <c r="I1871" t="s">
        <v>3457</v>
      </c>
    </row>
    <row r="1872" spans="1:9" x14ac:dyDescent="0.3">
      <c r="A1872" t="s">
        <v>2946</v>
      </c>
      <c r="B1872" t="s">
        <v>3545</v>
      </c>
      <c r="C1872" t="s">
        <v>3546</v>
      </c>
      <c r="D1872" t="s">
        <v>1017</v>
      </c>
      <c r="E1872" t="s">
        <v>633</v>
      </c>
      <c r="F1872" t="s">
        <v>3553</v>
      </c>
      <c r="H1872" t="s">
        <v>17</v>
      </c>
      <c r="I1872" t="s">
        <v>3457</v>
      </c>
    </row>
    <row r="1873" spans="1:9" x14ac:dyDescent="0.3">
      <c r="A1873" t="s">
        <v>2946</v>
      </c>
      <c r="B1873" t="s">
        <v>3545</v>
      </c>
      <c r="C1873" t="s">
        <v>3546</v>
      </c>
      <c r="D1873" t="s">
        <v>36</v>
      </c>
      <c r="E1873" t="s">
        <v>2151</v>
      </c>
      <c r="F1873" t="s">
        <v>3554</v>
      </c>
      <c r="H1873" t="s">
        <v>17</v>
      </c>
      <c r="I1873" t="s">
        <v>3457</v>
      </c>
    </row>
    <row r="1874" spans="1:9" x14ac:dyDescent="0.3">
      <c r="A1874" t="s">
        <v>2946</v>
      </c>
      <c r="B1874" t="s">
        <v>3545</v>
      </c>
      <c r="C1874" t="s">
        <v>3546</v>
      </c>
      <c r="D1874" t="s">
        <v>41</v>
      </c>
      <c r="E1874" t="s">
        <v>2153</v>
      </c>
      <c r="F1874" t="s">
        <v>3555</v>
      </c>
      <c r="H1874" t="s">
        <v>17</v>
      </c>
      <c r="I1874" t="s">
        <v>2794</v>
      </c>
    </row>
    <row r="1875" spans="1:9" x14ac:dyDescent="0.3">
      <c r="A1875" t="s">
        <v>2946</v>
      </c>
      <c r="B1875" t="s">
        <v>3545</v>
      </c>
      <c r="C1875" t="s">
        <v>3546</v>
      </c>
      <c r="D1875" t="s">
        <v>45</v>
      </c>
      <c r="E1875" t="s">
        <v>636</v>
      </c>
      <c r="F1875" t="s">
        <v>3556</v>
      </c>
      <c r="H1875" t="s">
        <v>17</v>
      </c>
      <c r="I1875" t="s">
        <v>3557</v>
      </c>
    </row>
    <row r="1876" spans="1:9" x14ac:dyDescent="0.3">
      <c r="A1876" t="s">
        <v>2946</v>
      </c>
      <c r="B1876" t="s">
        <v>3545</v>
      </c>
      <c r="C1876" t="s">
        <v>3546</v>
      </c>
      <c r="D1876" t="s">
        <v>50</v>
      </c>
      <c r="E1876" t="s">
        <v>2159</v>
      </c>
      <c r="F1876" t="s">
        <v>3558</v>
      </c>
      <c r="H1876" t="s">
        <v>17</v>
      </c>
      <c r="I1876" t="s">
        <v>3557</v>
      </c>
    </row>
    <row r="1877" spans="1:9" x14ac:dyDescent="0.3">
      <c r="A1877" t="s">
        <v>2946</v>
      </c>
      <c r="B1877" t="s">
        <v>3545</v>
      </c>
      <c r="C1877" t="s">
        <v>3546</v>
      </c>
      <c r="D1877" t="s">
        <v>53</v>
      </c>
      <c r="E1877" t="s">
        <v>2162</v>
      </c>
      <c r="F1877" t="s">
        <v>3559</v>
      </c>
      <c r="H1877" t="s">
        <v>17</v>
      </c>
      <c r="I1877" t="s">
        <v>3560</v>
      </c>
    </row>
    <row r="1878" spans="1:9" x14ac:dyDescent="0.3">
      <c r="A1878" t="s">
        <v>2946</v>
      </c>
      <c r="B1878" t="s">
        <v>3545</v>
      </c>
      <c r="C1878" t="s">
        <v>3546</v>
      </c>
      <c r="D1878" t="s">
        <v>1537</v>
      </c>
      <c r="E1878" t="s">
        <v>639</v>
      </c>
      <c r="F1878" t="s">
        <v>3561</v>
      </c>
      <c r="H1878" t="s">
        <v>17</v>
      </c>
      <c r="I1878" t="s">
        <v>3562</v>
      </c>
    </row>
    <row r="1879" spans="1:9" x14ac:dyDescent="0.3">
      <c r="A1879" t="s">
        <v>2946</v>
      </c>
      <c r="B1879" t="s">
        <v>3545</v>
      </c>
      <c r="C1879" t="s">
        <v>3546</v>
      </c>
      <c r="D1879" t="s">
        <v>66</v>
      </c>
      <c r="E1879" t="s">
        <v>2165</v>
      </c>
      <c r="F1879" t="s">
        <v>3563</v>
      </c>
      <c r="H1879" t="s">
        <v>17</v>
      </c>
      <c r="I1879" t="s">
        <v>3564</v>
      </c>
    </row>
    <row r="1880" spans="1:9" x14ac:dyDescent="0.3">
      <c r="A1880" t="s">
        <v>2946</v>
      </c>
      <c r="B1880" t="s">
        <v>3545</v>
      </c>
      <c r="C1880" t="s">
        <v>3546</v>
      </c>
      <c r="D1880" t="s">
        <v>3565</v>
      </c>
      <c r="E1880" t="s">
        <v>2169</v>
      </c>
      <c r="F1880" t="s">
        <v>3566</v>
      </c>
      <c r="H1880" t="s">
        <v>17</v>
      </c>
      <c r="I1880" t="s">
        <v>3567</v>
      </c>
    </row>
    <row r="1881" spans="1:9" x14ac:dyDescent="0.3">
      <c r="A1881" t="s">
        <v>2946</v>
      </c>
      <c r="B1881" t="s">
        <v>3545</v>
      </c>
      <c r="C1881" t="s">
        <v>3546</v>
      </c>
      <c r="D1881" t="s">
        <v>3568</v>
      </c>
      <c r="E1881" t="s">
        <v>642</v>
      </c>
      <c r="F1881" t="s">
        <v>3569</v>
      </c>
      <c r="H1881" t="s">
        <v>17</v>
      </c>
      <c r="I1881" t="s">
        <v>3570</v>
      </c>
    </row>
    <row r="1882" spans="1:9" x14ac:dyDescent="0.3">
      <c r="A1882" t="s">
        <v>2946</v>
      </c>
      <c r="B1882" t="s">
        <v>3571</v>
      </c>
      <c r="C1882" t="s">
        <v>3546</v>
      </c>
      <c r="D1882" t="s">
        <v>3572</v>
      </c>
      <c r="E1882" t="s">
        <v>2176</v>
      </c>
      <c r="F1882" t="s">
        <v>3573</v>
      </c>
      <c r="H1882" t="s">
        <v>17</v>
      </c>
      <c r="I1882" t="s">
        <v>3570</v>
      </c>
    </row>
    <row r="1883" spans="1:9" x14ac:dyDescent="0.3">
      <c r="A1883" t="s">
        <v>2946</v>
      </c>
      <c r="B1883" t="s">
        <v>3571</v>
      </c>
      <c r="C1883" t="s">
        <v>3546</v>
      </c>
      <c r="D1883" t="s">
        <v>3574</v>
      </c>
      <c r="E1883" t="s">
        <v>645</v>
      </c>
      <c r="F1883" t="s">
        <v>3575</v>
      </c>
      <c r="H1883" t="s">
        <v>17</v>
      </c>
      <c r="I1883" t="s">
        <v>3570</v>
      </c>
    </row>
    <row r="1884" spans="1:9" x14ac:dyDescent="0.3">
      <c r="A1884" t="s">
        <v>2946</v>
      </c>
      <c r="B1884" t="s">
        <v>3571</v>
      </c>
      <c r="C1884" t="s">
        <v>3546</v>
      </c>
      <c r="D1884" t="s">
        <v>1556</v>
      </c>
      <c r="E1884" t="s">
        <v>2179</v>
      </c>
      <c r="F1884" t="s">
        <v>3576</v>
      </c>
      <c r="H1884" t="s">
        <v>17</v>
      </c>
      <c r="I1884" t="s">
        <v>3577</v>
      </c>
    </row>
    <row r="1885" spans="1:9" x14ac:dyDescent="0.3">
      <c r="A1885" t="s">
        <v>2946</v>
      </c>
      <c r="B1885" t="s">
        <v>3571</v>
      </c>
      <c r="C1885" t="s">
        <v>3546</v>
      </c>
      <c r="D1885" t="s">
        <v>2183</v>
      </c>
      <c r="E1885" t="s">
        <v>2181</v>
      </c>
      <c r="F1885" t="s">
        <v>3578</v>
      </c>
      <c r="H1885" t="s">
        <v>17</v>
      </c>
      <c r="I1885" t="s">
        <v>3570</v>
      </c>
    </row>
    <row r="1886" spans="1:9" x14ac:dyDescent="0.3">
      <c r="A1886" t="s">
        <v>2946</v>
      </c>
      <c r="B1886" t="s">
        <v>3571</v>
      </c>
      <c r="C1886" t="s">
        <v>3546</v>
      </c>
      <c r="D1886" t="s">
        <v>121</v>
      </c>
      <c r="E1886" t="s">
        <v>648</v>
      </c>
      <c r="F1886" t="s">
        <v>2926</v>
      </c>
      <c r="H1886" t="s">
        <v>17</v>
      </c>
      <c r="I1886" t="s">
        <v>3579</v>
      </c>
    </row>
    <row r="1887" spans="1:9" x14ac:dyDescent="0.3">
      <c r="A1887" t="s">
        <v>2946</v>
      </c>
      <c r="B1887" t="s">
        <v>3571</v>
      </c>
      <c r="C1887" t="s">
        <v>3546</v>
      </c>
      <c r="D1887" t="s">
        <v>1080</v>
      </c>
      <c r="E1887" t="s">
        <v>2182</v>
      </c>
      <c r="F1887" t="s">
        <v>3580</v>
      </c>
      <c r="H1887" t="s">
        <v>17</v>
      </c>
      <c r="I1887" t="s">
        <v>3570</v>
      </c>
    </row>
    <row r="1888" spans="1:9" x14ac:dyDescent="0.3">
      <c r="A1888" t="s">
        <v>2946</v>
      </c>
      <c r="B1888" t="s">
        <v>3571</v>
      </c>
      <c r="C1888" t="s">
        <v>3546</v>
      </c>
      <c r="D1888" t="s">
        <v>132</v>
      </c>
      <c r="E1888" t="s">
        <v>2184</v>
      </c>
      <c r="F1888" t="s">
        <v>3581</v>
      </c>
      <c r="H1888" t="s">
        <v>17</v>
      </c>
      <c r="I1888" t="s">
        <v>3582</v>
      </c>
    </row>
    <row r="1889" spans="1:9" x14ac:dyDescent="0.3">
      <c r="A1889" t="s">
        <v>2946</v>
      </c>
      <c r="B1889" t="s">
        <v>3571</v>
      </c>
      <c r="C1889" t="s">
        <v>3546</v>
      </c>
      <c r="D1889" t="s">
        <v>3583</v>
      </c>
      <c r="E1889" t="s">
        <v>651</v>
      </c>
      <c r="F1889" t="s">
        <v>3584</v>
      </c>
      <c r="H1889" t="s">
        <v>17</v>
      </c>
      <c r="I1889" t="s">
        <v>3585</v>
      </c>
    </row>
    <row r="1890" spans="1:9" x14ac:dyDescent="0.3">
      <c r="A1890" t="s">
        <v>2946</v>
      </c>
      <c r="B1890" t="s">
        <v>3571</v>
      </c>
      <c r="C1890" t="s">
        <v>3546</v>
      </c>
      <c r="D1890" t="s">
        <v>3586</v>
      </c>
      <c r="E1890" t="s">
        <v>656</v>
      </c>
      <c r="F1890" t="s">
        <v>3587</v>
      </c>
      <c r="H1890" t="s">
        <v>17</v>
      </c>
    </row>
    <row r="1891" spans="1:9" x14ac:dyDescent="0.3">
      <c r="A1891" t="s">
        <v>2946</v>
      </c>
      <c r="B1891" t="s">
        <v>3571</v>
      </c>
      <c r="C1891" t="s">
        <v>3546</v>
      </c>
      <c r="D1891" t="s">
        <v>147</v>
      </c>
      <c r="E1891" t="s">
        <v>659</v>
      </c>
      <c r="F1891" t="s">
        <v>3588</v>
      </c>
      <c r="H1891" t="s">
        <v>17</v>
      </c>
      <c r="I1891" t="s">
        <v>3589</v>
      </c>
    </row>
    <row r="1892" spans="1:9" x14ac:dyDescent="0.3">
      <c r="A1892" t="s">
        <v>2946</v>
      </c>
      <c r="B1892" t="s">
        <v>3571</v>
      </c>
      <c r="C1892" t="s">
        <v>3546</v>
      </c>
      <c r="D1892" t="s">
        <v>1096</v>
      </c>
      <c r="E1892" t="s">
        <v>662</v>
      </c>
      <c r="F1892" t="s">
        <v>3590</v>
      </c>
      <c r="H1892" t="s">
        <v>17</v>
      </c>
      <c r="I1892" t="s">
        <v>3585</v>
      </c>
    </row>
    <row r="1893" spans="1:9" x14ac:dyDescent="0.3">
      <c r="A1893" t="s">
        <v>2946</v>
      </c>
      <c r="B1893" t="s">
        <v>3571</v>
      </c>
      <c r="C1893" t="s">
        <v>3546</v>
      </c>
      <c r="D1893" t="s">
        <v>1100</v>
      </c>
      <c r="E1893" t="s">
        <v>665</v>
      </c>
      <c r="F1893" t="s">
        <v>3587</v>
      </c>
      <c r="H1893" t="s">
        <v>17</v>
      </c>
    </row>
    <row r="1894" spans="1:9" x14ac:dyDescent="0.3">
      <c r="A1894" t="s">
        <v>2946</v>
      </c>
      <c r="B1894" t="s">
        <v>3571</v>
      </c>
      <c r="C1894" t="s">
        <v>3546</v>
      </c>
      <c r="D1894" t="s">
        <v>172</v>
      </c>
      <c r="E1894" t="s">
        <v>668</v>
      </c>
      <c r="F1894" t="s">
        <v>3591</v>
      </c>
      <c r="H1894" t="s">
        <v>17</v>
      </c>
      <c r="I1894" t="s">
        <v>3592</v>
      </c>
    </row>
    <row r="1895" spans="1:9" x14ac:dyDescent="0.3">
      <c r="A1895" t="s">
        <v>2946</v>
      </c>
      <c r="B1895" t="s">
        <v>3571</v>
      </c>
      <c r="C1895" t="s">
        <v>3546</v>
      </c>
      <c r="D1895" t="s">
        <v>3593</v>
      </c>
      <c r="E1895" t="s">
        <v>671</v>
      </c>
      <c r="F1895" t="s">
        <v>3594</v>
      </c>
      <c r="H1895" t="s">
        <v>17</v>
      </c>
      <c r="I1895" t="s">
        <v>3585</v>
      </c>
    </row>
    <row r="1896" spans="1:9" x14ac:dyDescent="0.3">
      <c r="A1896" t="s">
        <v>2946</v>
      </c>
      <c r="B1896" t="s">
        <v>3571</v>
      </c>
      <c r="C1896" t="s">
        <v>3546</v>
      </c>
      <c r="D1896" t="s">
        <v>3595</v>
      </c>
      <c r="E1896" t="s">
        <v>674</v>
      </c>
      <c r="F1896" t="s">
        <v>3587</v>
      </c>
      <c r="H1896" t="s">
        <v>17</v>
      </c>
    </row>
    <row r="1897" spans="1:9" x14ac:dyDescent="0.3">
      <c r="A1897" t="s">
        <v>2946</v>
      </c>
      <c r="B1897" t="s">
        <v>3571</v>
      </c>
      <c r="C1897" t="s">
        <v>3546</v>
      </c>
      <c r="D1897" t="s">
        <v>198</v>
      </c>
      <c r="E1897" t="s">
        <v>2201</v>
      </c>
      <c r="F1897" t="s">
        <v>3596</v>
      </c>
      <c r="H1897" t="s">
        <v>17</v>
      </c>
      <c r="I1897" t="s">
        <v>3582</v>
      </c>
    </row>
    <row r="1898" spans="1:9" x14ac:dyDescent="0.3">
      <c r="A1898" t="s">
        <v>2946</v>
      </c>
      <c r="B1898" t="s">
        <v>3571</v>
      </c>
      <c r="C1898" t="s">
        <v>3546</v>
      </c>
      <c r="D1898" t="s">
        <v>1118</v>
      </c>
      <c r="E1898" t="s">
        <v>680</v>
      </c>
      <c r="F1898" t="s">
        <v>3597</v>
      </c>
      <c r="H1898" t="s">
        <v>17</v>
      </c>
      <c r="I1898" t="s">
        <v>3585</v>
      </c>
    </row>
    <row r="1899" spans="1:9" x14ac:dyDescent="0.3">
      <c r="A1899" t="s">
        <v>2946</v>
      </c>
      <c r="B1899" t="s">
        <v>3571</v>
      </c>
      <c r="C1899" t="s">
        <v>3546</v>
      </c>
      <c r="D1899" t="s">
        <v>1123</v>
      </c>
      <c r="E1899" t="s">
        <v>2203</v>
      </c>
      <c r="F1899" t="s">
        <v>3587</v>
      </c>
      <c r="H1899" t="s">
        <v>17</v>
      </c>
    </row>
    <row r="1900" spans="1:9" x14ac:dyDescent="0.3">
      <c r="A1900" t="s">
        <v>2946</v>
      </c>
      <c r="B1900" t="s">
        <v>3571</v>
      </c>
      <c r="C1900" t="s">
        <v>3546</v>
      </c>
      <c r="D1900" t="s">
        <v>218</v>
      </c>
      <c r="E1900" t="s">
        <v>685</v>
      </c>
      <c r="F1900" t="s">
        <v>3598</v>
      </c>
      <c r="H1900" t="s">
        <v>17</v>
      </c>
      <c r="I1900" t="s">
        <v>3599</v>
      </c>
    </row>
    <row r="1901" spans="1:9" x14ac:dyDescent="0.3">
      <c r="A1901" t="s">
        <v>2946</v>
      </c>
      <c r="B1901" t="s">
        <v>3571</v>
      </c>
      <c r="C1901" t="s">
        <v>3546</v>
      </c>
      <c r="D1901" t="s">
        <v>2924</v>
      </c>
      <c r="E1901" t="s">
        <v>2208</v>
      </c>
      <c r="F1901" t="s">
        <v>3600</v>
      </c>
      <c r="H1901" t="s">
        <v>17</v>
      </c>
      <c r="I1901" t="s">
        <v>3585</v>
      </c>
    </row>
    <row r="1902" spans="1:9" x14ac:dyDescent="0.3">
      <c r="A1902" t="s">
        <v>2946</v>
      </c>
      <c r="B1902" t="s">
        <v>3571</v>
      </c>
      <c r="C1902" t="s">
        <v>3546</v>
      </c>
      <c r="D1902" t="s">
        <v>2925</v>
      </c>
      <c r="E1902" t="s">
        <v>690</v>
      </c>
      <c r="F1902" t="s">
        <v>3587</v>
      </c>
      <c r="H1902" t="s">
        <v>17</v>
      </c>
    </row>
    <row r="1903" spans="1:9" x14ac:dyDescent="0.3">
      <c r="A1903" t="s">
        <v>2946</v>
      </c>
      <c r="B1903" t="s">
        <v>3601</v>
      </c>
      <c r="C1903" t="s">
        <v>3546</v>
      </c>
      <c r="D1903" t="s">
        <v>239</v>
      </c>
      <c r="E1903" t="s">
        <v>695</v>
      </c>
      <c r="F1903" t="s">
        <v>3602</v>
      </c>
      <c r="H1903" t="s">
        <v>17</v>
      </c>
      <c r="I1903" t="s">
        <v>3603</v>
      </c>
    </row>
    <row r="1904" spans="1:9" x14ac:dyDescent="0.3">
      <c r="A1904" t="s">
        <v>2946</v>
      </c>
      <c r="B1904" t="s">
        <v>3601</v>
      </c>
      <c r="C1904" t="s">
        <v>3546</v>
      </c>
      <c r="D1904" t="s">
        <v>1881</v>
      </c>
      <c r="E1904" t="s">
        <v>701</v>
      </c>
      <c r="F1904" t="s">
        <v>3604</v>
      </c>
      <c r="H1904" t="s">
        <v>17</v>
      </c>
      <c r="I1904" t="s">
        <v>3603</v>
      </c>
    </row>
    <row r="1905" spans="1:9" x14ac:dyDescent="0.3">
      <c r="A1905" t="s">
        <v>2946</v>
      </c>
      <c r="B1905" t="s">
        <v>3601</v>
      </c>
      <c r="C1905" t="s">
        <v>3546</v>
      </c>
      <c r="D1905" t="s">
        <v>1885</v>
      </c>
      <c r="E1905" t="s">
        <v>706</v>
      </c>
      <c r="F1905" t="s">
        <v>3605</v>
      </c>
      <c r="H1905" t="s">
        <v>17</v>
      </c>
      <c r="I1905" t="s">
        <v>3603</v>
      </c>
    </row>
    <row r="1906" spans="1:9" x14ac:dyDescent="0.3">
      <c r="A1906" t="s">
        <v>2946</v>
      </c>
      <c r="B1906" t="s">
        <v>3601</v>
      </c>
      <c r="C1906" t="s">
        <v>3546</v>
      </c>
      <c r="D1906" t="s">
        <v>1588</v>
      </c>
      <c r="E1906" t="s">
        <v>709</v>
      </c>
      <c r="F1906" t="s">
        <v>3606</v>
      </c>
      <c r="H1906" t="s">
        <v>17</v>
      </c>
      <c r="I1906" t="s">
        <v>3603</v>
      </c>
    </row>
    <row r="1907" spans="1:9" x14ac:dyDescent="0.3">
      <c r="A1907" t="s">
        <v>2946</v>
      </c>
      <c r="B1907" t="s">
        <v>3601</v>
      </c>
      <c r="C1907" t="s">
        <v>3546</v>
      </c>
      <c r="D1907" t="s">
        <v>1892</v>
      </c>
      <c r="E1907" t="s">
        <v>713</v>
      </c>
      <c r="F1907" t="s">
        <v>3607</v>
      </c>
      <c r="H1907" t="s">
        <v>17</v>
      </c>
      <c r="I1907" t="s">
        <v>3608</v>
      </c>
    </row>
    <row r="1908" spans="1:9" x14ac:dyDescent="0.3">
      <c r="A1908" t="s">
        <v>2946</v>
      </c>
      <c r="B1908" t="s">
        <v>3601</v>
      </c>
      <c r="C1908" t="s">
        <v>3546</v>
      </c>
      <c r="D1908" t="s">
        <v>1146</v>
      </c>
      <c r="E1908" t="s">
        <v>716</v>
      </c>
      <c r="F1908" t="s">
        <v>3609</v>
      </c>
      <c r="H1908" t="s">
        <v>17</v>
      </c>
      <c r="I1908" t="s">
        <v>3610</v>
      </c>
    </row>
    <row r="1909" spans="1:9" x14ac:dyDescent="0.3">
      <c r="A1909" t="s">
        <v>2946</v>
      </c>
      <c r="B1909" t="s">
        <v>3601</v>
      </c>
      <c r="C1909" t="s">
        <v>3546</v>
      </c>
      <c r="D1909" t="s">
        <v>1593</v>
      </c>
      <c r="E1909" t="s">
        <v>721</v>
      </c>
      <c r="F1909" t="s">
        <v>1449</v>
      </c>
      <c r="H1909" t="s">
        <v>17</v>
      </c>
      <c r="I1909" t="s">
        <v>3611</v>
      </c>
    </row>
    <row r="1910" spans="1:9" x14ac:dyDescent="0.3">
      <c r="A1910" t="s">
        <v>2946</v>
      </c>
      <c r="B1910" t="s">
        <v>3601</v>
      </c>
      <c r="C1910" t="s">
        <v>3546</v>
      </c>
      <c r="D1910" t="s">
        <v>1158</v>
      </c>
      <c r="E1910" t="s">
        <v>724</v>
      </c>
      <c r="F1910" t="s">
        <v>3612</v>
      </c>
      <c r="H1910" t="s">
        <v>17</v>
      </c>
      <c r="I1910" t="s">
        <v>3613</v>
      </c>
    </row>
    <row r="1911" spans="1:9" x14ac:dyDescent="0.3">
      <c r="A1911" t="s">
        <v>2946</v>
      </c>
      <c r="B1911" t="s">
        <v>3601</v>
      </c>
      <c r="C1911" t="s">
        <v>3546</v>
      </c>
      <c r="D1911" t="s">
        <v>1162</v>
      </c>
      <c r="E1911" t="s">
        <v>727</v>
      </c>
      <c r="F1911" t="s">
        <v>3614</v>
      </c>
      <c r="H1911" t="s">
        <v>17</v>
      </c>
      <c r="I1911" t="s">
        <v>3615</v>
      </c>
    </row>
    <row r="1912" spans="1:9" x14ac:dyDescent="0.3">
      <c r="A1912" t="s">
        <v>2946</v>
      </c>
      <c r="B1912" t="s">
        <v>3601</v>
      </c>
      <c r="C1912" t="s">
        <v>3546</v>
      </c>
      <c r="D1912" t="s">
        <v>1165</v>
      </c>
      <c r="E1912" t="s">
        <v>730</v>
      </c>
      <c r="F1912" t="s">
        <v>3616</v>
      </c>
      <c r="H1912" t="s">
        <v>17</v>
      </c>
      <c r="I1912" t="s">
        <v>3617</v>
      </c>
    </row>
    <row r="1913" spans="1:9" x14ac:dyDescent="0.3">
      <c r="A1913" t="s">
        <v>2946</v>
      </c>
      <c r="B1913" t="s">
        <v>3601</v>
      </c>
      <c r="C1913" t="s">
        <v>3546</v>
      </c>
      <c r="D1913" t="s">
        <v>1168</v>
      </c>
      <c r="E1913" t="s">
        <v>735</v>
      </c>
      <c r="F1913" t="s">
        <v>2931</v>
      </c>
      <c r="H1913" t="s">
        <v>17</v>
      </c>
      <c r="I1913" t="s">
        <v>414</v>
      </c>
    </row>
    <row r="1914" spans="1:9" x14ac:dyDescent="0.3">
      <c r="A1914" t="s">
        <v>2946</v>
      </c>
      <c r="B1914" t="s">
        <v>3601</v>
      </c>
      <c r="C1914" t="s">
        <v>3546</v>
      </c>
      <c r="D1914" t="s">
        <v>1172</v>
      </c>
      <c r="E1914" t="s">
        <v>740</v>
      </c>
      <c r="F1914" t="s">
        <v>3350</v>
      </c>
      <c r="H1914" t="s">
        <v>17</v>
      </c>
      <c r="I1914" t="s">
        <v>3618</v>
      </c>
    </row>
    <row r="1915" spans="1:9" x14ac:dyDescent="0.3">
      <c r="A1915" t="s">
        <v>2946</v>
      </c>
      <c r="B1915" t="s">
        <v>3601</v>
      </c>
      <c r="C1915" t="s">
        <v>3546</v>
      </c>
      <c r="D1915" t="s">
        <v>1176</v>
      </c>
      <c r="E1915" t="s">
        <v>746</v>
      </c>
      <c r="F1915" t="s">
        <v>3619</v>
      </c>
      <c r="H1915" t="s">
        <v>17</v>
      </c>
      <c r="I1915" t="s">
        <v>3620</v>
      </c>
    </row>
    <row r="1916" spans="1:9" x14ac:dyDescent="0.3">
      <c r="A1916" t="s">
        <v>2946</v>
      </c>
      <c r="B1916" t="s">
        <v>3601</v>
      </c>
      <c r="C1916" t="s">
        <v>3546</v>
      </c>
      <c r="D1916" t="s">
        <v>1179</v>
      </c>
      <c r="E1916" t="s">
        <v>3621</v>
      </c>
      <c r="F1916" t="s">
        <v>3622</v>
      </c>
      <c r="H1916" t="s">
        <v>17</v>
      </c>
      <c r="I1916" t="s">
        <v>414</v>
      </c>
    </row>
    <row r="1917" spans="1:9" x14ac:dyDescent="0.3">
      <c r="A1917" t="s">
        <v>2946</v>
      </c>
      <c r="B1917" t="s">
        <v>3601</v>
      </c>
      <c r="C1917" t="s">
        <v>3546</v>
      </c>
      <c r="D1917" t="s">
        <v>1184</v>
      </c>
      <c r="E1917" t="s">
        <v>750</v>
      </c>
      <c r="F1917" t="s">
        <v>3623</v>
      </c>
      <c r="H1917" t="s">
        <v>17</v>
      </c>
      <c r="I1917" t="s">
        <v>414</v>
      </c>
    </row>
    <row r="1918" spans="1:9" x14ac:dyDescent="0.3">
      <c r="A1918" t="s">
        <v>2946</v>
      </c>
      <c r="B1918" t="s">
        <v>3601</v>
      </c>
      <c r="C1918" t="s">
        <v>3546</v>
      </c>
      <c r="D1918" t="s">
        <v>3624</v>
      </c>
      <c r="E1918" t="s">
        <v>755</v>
      </c>
      <c r="F1918" t="s">
        <v>747</v>
      </c>
      <c r="H1918" t="s">
        <v>17</v>
      </c>
    </row>
    <row r="1919" spans="1:9" x14ac:dyDescent="0.3">
      <c r="A1919" t="s">
        <v>2946</v>
      </c>
      <c r="B1919" t="s">
        <v>3601</v>
      </c>
      <c r="C1919" t="s">
        <v>3546</v>
      </c>
      <c r="D1919" t="s">
        <v>3625</v>
      </c>
      <c r="E1919" t="s">
        <v>2291</v>
      </c>
      <c r="F1919" t="s">
        <v>797</v>
      </c>
      <c r="H1919" t="s">
        <v>17</v>
      </c>
    </row>
    <row r="1920" spans="1:9" x14ac:dyDescent="0.3">
      <c r="A1920" t="s">
        <v>2946</v>
      </c>
      <c r="B1920" t="s">
        <v>3601</v>
      </c>
      <c r="C1920" t="s">
        <v>3546</v>
      </c>
      <c r="D1920" t="s">
        <v>1205</v>
      </c>
      <c r="E1920" t="s">
        <v>2294</v>
      </c>
      <c r="F1920" t="s">
        <v>3626</v>
      </c>
      <c r="H1920" t="s">
        <v>17</v>
      </c>
      <c r="I1920" t="s">
        <v>3627</v>
      </c>
    </row>
    <row r="1921" spans="1:9" x14ac:dyDescent="0.3">
      <c r="A1921" t="s">
        <v>2946</v>
      </c>
      <c r="B1921" t="s">
        <v>3601</v>
      </c>
      <c r="C1921" t="s">
        <v>3546</v>
      </c>
      <c r="D1921" t="s">
        <v>1209</v>
      </c>
      <c r="E1921" t="s">
        <v>759</v>
      </c>
      <c r="F1921" t="s">
        <v>3628</v>
      </c>
      <c r="H1921" t="s">
        <v>17</v>
      </c>
    </row>
    <row r="1922" spans="1:9" x14ac:dyDescent="0.3">
      <c r="A1922" t="s">
        <v>2946</v>
      </c>
      <c r="B1922" t="s">
        <v>3601</v>
      </c>
      <c r="C1922" t="s">
        <v>3546</v>
      </c>
      <c r="D1922" t="s">
        <v>1213</v>
      </c>
      <c r="E1922" t="s">
        <v>2297</v>
      </c>
      <c r="F1922" t="s">
        <v>3629</v>
      </c>
      <c r="H1922" t="s">
        <v>17</v>
      </c>
    </row>
    <row r="1923" spans="1:9" x14ac:dyDescent="0.3">
      <c r="A1923" t="s">
        <v>2946</v>
      </c>
      <c r="B1923" t="s">
        <v>3601</v>
      </c>
      <c r="C1923" t="s">
        <v>3546</v>
      </c>
      <c r="D1923" t="s">
        <v>1219</v>
      </c>
      <c r="E1923" t="s">
        <v>763</v>
      </c>
      <c r="F1923" t="s">
        <v>2192</v>
      </c>
      <c r="H1923" t="s">
        <v>17</v>
      </c>
      <c r="I1923" t="s">
        <v>3630</v>
      </c>
    </row>
    <row r="1924" spans="1:9" x14ac:dyDescent="0.3">
      <c r="A1924" t="s">
        <v>2946</v>
      </c>
      <c r="B1924" t="s">
        <v>3601</v>
      </c>
      <c r="C1924" t="s">
        <v>3546</v>
      </c>
      <c r="D1924" t="s">
        <v>1224</v>
      </c>
      <c r="E1924" t="s">
        <v>768</v>
      </c>
      <c r="F1924" t="s">
        <v>2196</v>
      </c>
      <c r="H1924" t="s">
        <v>17</v>
      </c>
      <c r="I1924" t="s">
        <v>3631</v>
      </c>
    </row>
    <row r="1925" spans="1:9" x14ac:dyDescent="0.3">
      <c r="A1925" t="s">
        <v>2946</v>
      </c>
      <c r="B1925" t="s">
        <v>3601</v>
      </c>
      <c r="C1925" t="s">
        <v>3546</v>
      </c>
      <c r="D1925" t="s">
        <v>285</v>
      </c>
      <c r="E1925" t="s">
        <v>2301</v>
      </c>
      <c r="F1925" t="s">
        <v>1703</v>
      </c>
      <c r="H1925" t="s">
        <v>17</v>
      </c>
    </row>
    <row r="1926" spans="1:9" x14ac:dyDescent="0.3">
      <c r="A1926" t="s">
        <v>2946</v>
      </c>
      <c r="B1926" t="s">
        <v>3601</v>
      </c>
      <c r="C1926" t="s">
        <v>3546</v>
      </c>
      <c r="D1926" t="s">
        <v>288</v>
      </c>
      <c r="E1926" t="s">
        <v>773</v>
      </c>
      <c r="F1926" t="s">
        <v>2945</v>
      </c>
      <c r="H1926" t="s">
        <v>17</v>
      </c>
    </row>
    <row r="1927" spans="1:9" x14ac:dyDescent="0.3">
      <c r="A1927" t="s">
        <v>2946</v>
      </c>
      <c r="B1927" t="s">
        <v>3601</v>
      </c>
      <c r="C1927" t="s">
        <v>3546</v>
      </c>
      <c r="D1927" t="s">
        <v>291</v>
      </c>
      <c r="E1927" t="s">
        <v>2304</v>
      </c>
      <c r="F1927" t="s">
        <v>1706</v>
      </c>
      <c r="H1927" t="s">
        <v>17</v>
      </c>
    </row>
    <row r="1928" spans="1:9" x14ac:dyDescent="0.3">
      <c r="A1928" t="s">
        <v>2946</v>
      </c>
      <c r="B1928" t="s">
        <v>3601</v>
      </c>
      <c r="C1928" t="s">
        <v>3546</v>
      </c>
      <c r="D1928" t="s">
        <v>3632</v>
      </c>
      <c r="E1928" t="s">
        <v>778</v>
      </c>
      <c r="F1928" t="s">
        <v>3633</v>
      </c>
      <c r="H1928" t="s">
        <v>17</v>
      </c>
    </row>
    <row r="1929" spans="1:9" x14ac:dyDescent="0.3">
      <c r="A1929" t="s">
        <v>3634</v>
      </c>
      <c r="E1929" t="s">
        <v>10</v>
      </c>
      <c r="F1929" t="s">
        <v>3635</v>
      </c>
    </row>
    <row r="1930" spans="1:9" x14ac:dyDescent="0.3">
      <c r="A1930" t="s">
        <v>3634</v>
      </c>
      <c r="C1930" t="s">
        <v>13</v>
      </c>
      <c r="D1930" t="s">
        <v>13</v>
      </c>
      <c r="E1930" t="s">
        <v>3636</v>
      </c>
      <c r="F1930" t="s">
        <v>2672</v>
      </c>
      <c r="H1930" t="s">
        <v>17</v>
      </c>
      <c r="I1930" t="s">
        <v>2673</v>
      </c>
    </row>
    <row r="1931" spans="1:9" x14ac:dyDescent="0.3">
      <c r="A1931" t="s">
        <v>3634</v>
      </c>
      <c r="C1931" t="s">
        <v>13</v>
      </c>
      <c r="D1931" t="s">
        <v>1936</v>
      </c>
      <c r="E1931" t="s">
        <v>3637</v>
      </c>
      <c r="F1931" t="s">
        <v>3362</v>
      </c>
      <c r="H1931" t="s">
        <v>17</v>
      </c>
      <c r="I1931" t="s">
        <v>3363</v>
      </c>
    </row>
    <row r="1932" spans="1:9" x14ac:dyDescent="0.3">
      <c r="A1932" t="s">
        <v>3634</v>
      </c>
      <c r="B1932" t="s">
        <v>3364</v>
      </c>
      <c r="C1932" t="s">
        <v>13</v>
      </c>
      <c r="D1932" t="s">
        <v>2135</v>
      </c>
      <c r="E1932" t="s">
        <v>3638</v>
      </c>
      <c r="F1932" t="s">
        <v>2677</v>
      </c>
      <c r="H1932" t="s">
        <v>17</v>
      </c>
      <c r="I1932" t="s">
        <v>2678</v>
      </c>
    </row>
    <row r="1933" spans="1:9" x14ac:dyDescent="0.3">
      <c r="A1933" t="s">
        <v>3634</v>
      </c>
      <c r="B1933" t="s">
        <v>3364</v>
      </c>
      <c r="C1933" t="s">
        <v>13</v>
      </c>
      <c r="D1933" t="s">
        <v>3546</v>
      </c>
      <c r="E1933" t="s">
        <v>3639</v>
      </c>
      <c r="F1933" t="s">
        <v>2680</v>
      </c>
      <c r="H1933" t="s">
        <v>17</v>
      </c>
      <c r="I1933" t="s">
        <v>2678</v>
      </c>
    </row>
    <row r="1934" spans="1:9" x14ac:dyDescent="0.3">
      <c r="A1934" t="s">
        <v>3634</v>
      </c>
      <c r="B1934" t="s">
        <v>3364</v>
      </c>
      <c r="C1934" t="s">
        <v>13</v>
      </c>
      <c r="D1934" t="s">
        <v>1743</v>
      </c>
      <c r="E1934" t="s">
        <v>3640</v>
      </c>
      <c r="F1934" t="s">
        <v>2681</v>
      </c>
      <c r="H1934" t="s">
        <v>17</v>
      </c>
      <c r="I1934" t="s">
        <v>2678</v>
      </c>
    </row>
    <row r="1935" spans="1:9" x14ac:dyDescent="0.3">
      <c r="A1935" t="s">
        <v>3634</v>
      </c>
      <c r="B1935" t="s">
        <v>3364</v>
      </c>
      <c r="C1935" t="s">
        <v>13</v>
      </c>
      <c r="D1935" t="s">
        <v>2222</v>
      </c>
      <c r="E1935" t="s">
        <v>3641</v>
      </c>
      <c r="F1935" t="s">
        <v>3366</v>
      </c>
      <c r="H1935" t="s">
        <v>17</v>
      </c>
      <c r="I1935" t="s">
        <v>3642</v>
      </c>
    </row>
    <row r="1936" spans="1:9" x14ac:dyDescent="0.3">
      <c r="A1936" t="s">
        <v>3634</v>
      </c>
      <c r="B1936" t="s">
        <v>3364</v>
      </c>
      <c r="C1936" t="s">
        <v>13</v>
      </c>
      <c r="D1936" t="s">
        <v>1005</v>
      </c>
      <c r="E1936" t="s">
        <v>3643</v>
      </c>
      <c r="F1936" t="s">
        <v>2685</v>
      </c>
      <c r="H1936" t="s">
        <v>17</v>
      </c>
      <c r="I1936" t="s">
        <v>3644</v>
      </c>
    </row>
    <row r="1937" spans="1:9" x14ac:dyDescent="0.3">
      <c r="A1937" t="s">
        <v>3634</v>
      </c>
      <c r="B1937" t="s">
        <v>3364</v>
      </c>
      <c r="C1937" t="s">
        <v>13</v>
      </c>
      <c r="D1937" t="s">
        <v>27</v>
      </c>
      <c r="E1937" t="s">
        <v>3645</v>
      </c>
      <c r="F1937" t="s">
        <v>2688</v>
      </c>
      <c r="H1937" t="s">
        <v>17</v>
      </c>
      <c r="I1937" t="s">
        <v>3368</v>
      </c>
    </row>
    <row r="1938" spans="1:9" x14ac:dyDescent="0.3">
      <c r="A1938" t="s">
        <v>3634</v>
      </c>
      <c r="B1938" t="s">
        <v>3364</v>
      </c>
      <c r="C1938" t="s">
        <v>13</v>
      </c>
      <c r="D1938" t="s">
        <v>1014</v>
      </c>
      <c r="E1938" t="s">
        <v>3646</v>
      </c>
      <c r="F1938" t="s">
        <v>3369</v>
      </c>
      <c r="H1938" t="s">
        <v>17</v>
      </c>
      <c r="I1938" t="s">
        <v>3370</v>
      </c>
    </row>
    <row r="1939" spans="1:9" x14ac:dyDescent="0.3">
      <c r="A1939" t="s">
        <v>3634</v>
      </c>
      <c r="B1939" t="s">
        <v>3364</v>
      </c>
      <c r="C1939" t="s">
        <v>13</v>
      </c>
      <c r="D1939" t="s">
        <v>1017</v>
      </c>
      <c r="E1939" t="s">
        <v>3647</v>
      </c>
      <c r="F1939" t="s">
        <v>3371</v>
      </c>
      <c r="H1939" t="s">
        <v>17</v>
      </c>
      <c r="I1939" t="s">
        <v>3372</v>
      </c>
    </row>
    <row r="1940" spans="1:9" x14ac:dyDescent="0.3">
      <c r="A1940" t="s">
        <v>3634</v>
      </c>
      <c r="B1940" t="s">
        <v>3364</v>
      </c>
      <c r="C1940" t="s">
        <v>13</v>
      </c>
      <c r="D1940" t="s">
        <v>36</v>
      </c>
      <c r="E1940" t="s">
        <v>3648</v>
      </c>
      <c r="F1940" t="s">
        <v>3373</v>
      </c>
      <c r="H1940" t="s">
        <v>17</v>
      </c>
      <c r="I1940" t="s">
        <v>414</v>
      </c>
    </row>
    <row r="1941" spans="1:9" x14ac:dyDescent="0.3">
      <c r="A1941" t="s">
        <v>3634</v>
      </c>
      <c r="B1941" t="s">
        <v>3364</v>
      </c>
      <c r="C1941" t="s">
        <v>13</v>
      </c>
      <c r="D1941" t="s">
        <v>41</v>
      </c>
      <c r="E1941" t="s">
        <v>3649</v>
      </c>
      <c r="F1941" t="s">
        <v>3374</v>
      </c>
      <c r="H1941" t="s">
        <v>17</v>
      </c>
      <c r="I1941" t="s">
        <v>414</v>
      </c>
    </row>
    <row r="1942" spans="1:9" x14ac:dyDescent="0.3">
      <c r="A1942" t="s">
        <v>3634</v>
      </c>
      <c r="B1942" t="s">
        <v>3364</v>
      </c>
      <c r="C1942" t="s">
        <v>13</v>
      </c>
      <c r="D1942" t="s">
        <v>45</v>
      </c>
      <c r="E1942" t="s">
        <v>3650</v>
      </c>
      <c r="F1942" t="s">
        <v>3375</v>
      </c>
      <c r="H1942" t="s">
        <v>17</v>
      </c>
      <c r="I1942" t="s">
        <v>2695</v>
      </c>
    </row>
    <row r="1943" spans="1:9" x14ac:dyDescent="0.3">
      <c r="A1943" t="s">
        <v>3634</v>
      </c>
      <c r="B1943" t="s">
        <v>3364</v>
      </c>
      <c r="C1943" t="s">
        <v>13</v>
      </c>
      <c r="D1943" t="s">
        <v>50</v>
      </c>
      <c r="E1943" t="s">
        <v>3651</v>
      </c>
      <c r="F1943" t="s">
        <v>2966</v>
      </c>
      <c r="H1943" t="s">
        <v>17</v>
      </c>
      <c r="I1943" t="s">
        <v>3376</v>
      </c>
    </row>
    <row r="1944" spans="1:9" x14ac:dyDescent="0.3">
      <c r="A1944" t="s">
        <v>3634</v>
      </c>
      <c r="B1944" t="s">
        <v>3364</v>
      </c>
      <c r="C1944" t="s">
        <v>13</v>
      </c>
      <c r="D1944" t="s">
        <v>53</v>
      </c>
      <c r="E1944" t="s">
        <v>3652</v>
      </c>
      <c r="F1944" t="s">
        <v>3377</v>
      </c>
      <c r="H1944" t="s">
        <v>17</v>
      </c>
      <c r="I1944" t="s">
        <v>2702</v>
      </c>
    </row>
    <row r="1945" spans="1:9" x14ac:dyDescent="0.3">
      <c r="A1945" t="s">
        <v>3634</v>
      </c>
      <c r="B1945" t="s">
        <v>3364</v>
      </c>
      <c r="C1945" t="s">
        <v>13</v>
      </c>
      <c r="D1945" t="s">
        <v>56</v>
      </c>
      <c r="E1945" t="s">
        <v>3653</v>
      </c>
      <c r="F1945" t="s">
        <v>3379</v>
      </c>
      <c r="H1945" t="s">
        <v>17</v>
      </c>
      <c r="I1945" t="s">
        <v>2704</v>
      </c>
    </row>
    <row r="1946" spans="1:9" x14ac:dyDescent="0.3">
      <c r="A1946" t="s">
        <v>3634</v>
      </c>
      <c r="B1946" t="s">
        <v>3364</v>
      </c>
      <c r="C1946" t="s">
        <v>13</v>
      </c>
      <c r="D1946" t="s">
        <v>61</v>
      </c>
      <c r="E1946" t="s">
        <v>3654</v>
      </c>
      <c r="F1946" t="s">
        <v>3380</v>
      </c>
      <c r="H1946" t="s">
        <v>17</v>
      </c>
      <c r="I1946" t="s">
        <v>2706</v>
      </c>
    </row>
    <row r="1947" spans="1:9" x14ac:dyDescent="0.3">
      <c r="A1947" t="s">
        <v>3634</v>
      </c>
      <c r="B1947" t="s">
        <v>3364</v>
      </c>
      <c r="C1947" t="s">
        <v>13</v>
      </c>
      <c r="D1947" t="s">
        <v>1039</v>
      </c>
      <c r="E1947" t="s">
        <v>3655</v>
      </c>
      <c r="F1947" t="s">
        <v>3381</v>
      </c>
      <c r="H1947" t="s">
        <v>17</v>
      </c>
      <c r="I1947" t="s">
        <v>2708</v>
      </c>
    </row>
    <row r="1948" spans="1:9" x14ac:dyDescent="0.3">
      <c r="A1948" t="s">
        <v>3634</v>
      </c>
      <c r="B1948" t="s">
        <v>3364</v>
      </c>
      <c r="C1948" t="s">
        <v>13</v>
      </c>
      <c r="D1948" t="s">
        <v>1043</v>
      </c>
      <c r="E1948" t="s">
        <v>3656</v>
      </c>
      <c r="F1948" t="s">
        <v>2709</v>
      </c>
      <c r="H1948" t="s">
        <v>17</v>
      </c>
      <c r="I1948" t="s">
        <v>3027</v>
      </c>
    </row>
    <row r="1949" spans="1:9" x14ac:dyDescent="0.3">
      <c r="A1949" t="s">
        <v>3634</v>
      </c>
      <c r="B1949" t="s">
        <v>3364</v>
      </c>
      <c r="C1949" t="s">
        <v>13</v>
      </c>
      <c r="D1949" t="s">
        <v>71</v>
      </c>
      <c r="E1949" t="s">
        <v>3657</v>
      </c>
      <c r="F1949" t="s">
        <v>3383</v>
      </c>
      <c r="H1949" t="s">
        <v>17</v>
      </c>
      <c r="I1949" t="s">
        <v>3029</v>
      </c>
    </row>
    <row r="1950" spans="1:9" x14ac:dyDescent="0.3">
      <c r="A1950" t="s">
        <v>3634</v>
      </c>
      <c r="B1950" t="s">
        <v>3364</v>
      </c>
      <c r="C1950" t="s">
        <v>13</v>
      </c>
      <c r="D1950" t="s">
        <v>1050</v>
      </c>
      <c r="E1950" t="s">
        <v>3658</v>
      </c>
      <c r="F1950" t="s">
        <v>2714</v>
      </c>
      <c r="H1950" t="s">
        <v>17</v>
      </c>
      <c r="I1950" t="s">
        <v>3029</v>
      </c>
    </row>
    <row r="1951" spans="1:9" x14ac:dyDescent="0.3">
      <c r="A1951" t="s">
        <v>3634</v>
      </c>
      <c r="B1951" t="s">
        <v>3384</v>
      </c>
      <c r="C1951" t="s">
        <v>13</v>
      </c>
      <c r="D1951" t="s">
        <v>1055</v>
      </c>
      <c r="E1951" t="s">
        <v>3659</v>
      </c>
      <c r="F1951" t="s">
        <v>3385</v>
      </c>
      <c r="H1951" t="s">
        <v>17</v>
      </c>
      <c r="I1951" t="s">
        <v>3386</v>
      </c>
    </row>
    <row r="1952" spans="1:9" x14ac:dyDescent="0.3">
      <c r="A1952" t="s">
        <v>3634</v>
      </c>
      <c r="B1952" t="s">
        <v>3384</v>
      </c>
      <c r="C1952" t="s">
        <v>13</v>
      </c>
      <c r="D1952" t="s">
        <v>80</v>
      </c>
      <c r="E1952" t="s">
        <v>3660</v>
      </c>
      <c r="F1952" t="s">
        <v>3387</v>
      </c>
      <c r="H1952" t="s">
        <v>17</v>
      </c>
      <c r="I1952" t="s">
        <v>3386</v>
      </c>
    </row>
    <row r="1953" spans="1:9" x14ac:dyDescent="0.3">
      <c r="A1953" t="s">
        <v>3634</v>
      </c>
      <c r="B1953" t="s">
        <v>3384</v>
      </c>
      <c r="C1953" t="s">
        <v>13</v>
      </c>
      <c r="D1953" t="s">
        <v>85</v>
      </c>
      <c r="E1953" t="s">
        <v>3661</v>
      </c>
      <c r="F1953" t="s">
        <v>3388</v>
      </c>
      <c r="H1953" t="s">
        <v>17</v>
      </c>
      <c r="I1953" t="s">
        <v>3389</v>
      </c>
    </row>
    <row r="1954" spans="1:9" x14ac:dyDescent="0.3">
      <c r="A1954" t="s">
        <v>3634</v>
      </c>
      <c r="B1954" t="s">
        <v>3046</v>
      </c>
      <c r="C1954" t="s">
        <v>13</v>
      </c>
      <c r="D1954" t="s">
        <v>90</v>
      </c>
      <c r="E1954" t="s">
        <v>3662</v>
      </c>
      <c r="F1954" t="s">
        <v>2723</v>
      </c>
      <c r="H1954" t="s">
        <v>17</v>
      </c>
      <c r="I1954" t="s">
        <v>2724</v>
      </c>
    </row>
    <row r="1955" spans="1:9" x14ac:dyDescent="0.3">
      <c r="A1955" t="s">
        <v>3634</v>
      </c>
      <c r="B1955" t="s">
        <v>3046</v>
      </c>
      <c r="C1955" t="s">
        <v>13</v>
      </c>
      <c r="D1955" t="s">
        <v>95</v>
      </c>
      <c r="E1955" t="s">
        <v>3663</v>
      </c>
      <c r="F1955" t="s">
        <v>2726</v>
      </c>
      <c r="H1955" t="s">
        <v>17</v>
      </c>
      <c r="I1955" t="s">
        <v>2724</v>
      </c>
    </row>
    <row r="1956" spans="1:9" x14ac:dyDescent="0.3">
      <c r="A1956" t="s">
        <v>3634</v>
      </c>
      <c r="B1956" t="s">
        <v>3046</v>
      </c>
      <c r="C1956" t="s">
        <v>13</v>
      </c>
      <c r="D1956" t="s">
        <v>100</v>
      </c>
      <c r="E1956" t="s">
        <v>3664</v>
      </c>
      <c r="F1956" t="s">
        <v>3390</v>
      </c>
      <c r="H1956" t="s">
        <v>17</v>
      </c>
      <c r="I1956" t="s">
        <v>2724</v>
      </c>
    </row>
    <row r="1957" spans="1:9" x14ac:dyDescent="0.3">
      <c r="A1957" t="s">
        <v>3634</v>
      </c>
      <c r="B1957" t="s">
        <v>3046</v>
      </c>
      <c r="C1957" t="s">
        <v>13</v>
      </c>
      <c r="D1957" t="s">
        <v>106</v>
      </c>
      <c r="E1957" t="s">
        <v>3665</v>
      </c>
      <c r="F1957" t="s">
        <v>2730</v>
      </c>
      <c r="H1957" t="s">
        <v>17</v>
      </c>
      <c r="I1957" t="s">
        <v>2724</v>
      </c>
    </row>
    <row r="1958" spans="1:9" x14ac:dyDescent="0.3">
      <c r="A1958" t="s">
        <v>3634</v>
      </c>
      <c r="B1958" t="s">
        <v>3046</v>
      </c>
      <c r="C1958" t="s">
        <v>13</v>
      </c>
      <c r="D1958" t="s">
        <v>111</v>
      </c>
      <c r="E1958" t="s">
        <v>3666</v>
      </c>
      <c r="F1958" t="s">
        <v>2728</v>
      </c>
      <c r="H1958" t="s">
        <v>17</v>
      </c>
      <c r="I1958" t="s">
        <v>2724</v>
      </c>
    </row>
    <row r="1959" spans="1:9" x14ac:dyDescent="0.3">
      <c r="A1959" t="s">
        <v>3634</v>
      </c>
      <c r="B1959" t="s">
        <v>3046</v>
      </c>
      <c r="C1959" t="s">
        <v>13</v>
      </c>
      <c r="D1959" t="s">
        <v>114</v>
      </c>
      <c r="E1959" t="s">
        <v>3667</v>
      </c>
      <c r="F1959" t="s">
        <v>3391</v>
      </c>
      <c r="H1959" t="s">
        <v>17</v>
      </c>
      <c r="I1959" t="s">
        <v>2724</v>
      </c>
    </row>
    <row r="1960" spans="1:9" x14ac:dyDescent="0.3">
      <c r="A1960" t="s">
        <v>3634</v>
      </c>
      <c r="B1960" t="s">
        <v>3046</v>
      </c>
      <c r="C1960" t="s">
        <v>13</v>
      </c>
      <c r="D1960" t="s">
        <v>117</v>
      </c>
      <c r="E1960" t="s">
        <v>3668</v>
      </c>
      <c r="F1960" t="s">
        <v>3392</v>
      </c>
      <c r="H1960" t="s">
        <v>17</v>
      </c>
      <c r="I1960" t="s">
        <v>2724</v>
      </c>
    </row>
    <row r="1961" spans="1:9" x14ac:dyDescent="0.3">
      <c r="A1961" t="s">
        <v>3634</v>
      </c>
      <c r="B1961" t="s">
        <v>3046</v>
      </c>
      <c r="C1961" t="s">
        <v>13</v>
      </c>
      <c r="D1961" t="s">
        <v>121</v>
      </c>
      <c r="E1961" t="s">
        <v>3669</v>
      </c>
      <c r="F1961" t="s">
        <v>2732</v>
      </c>
      <c r="H1961" t="s">
        <v>17</v>
      </c>
      <c r="I1961" t="s">
        <v>3670</v>
      </c>
    </row>
    <row r="1962" spans="1:9" x14ac:dyDescent="0.3">
      <c r="A1962" t="s">
        <v>3634</v>
      </c>
      <c r="B1962" t="s">
        <v>3046</v>
      </c>
      <c r="C1962" t="s">
        <v>13</v>
      </c>
      <c r="D1962" t="s">
        <v>126</v>
      </c>
      <c r="E1962" t="s">
        <v>3671</v>
      </c>
      <c r="F1962" t="s">
        <v>3394</v>
      </c>
      <c r="H1962" t="s">
        <v>17</v>
      </c>
      <c r="I1962" t="s">
        <v>3395</v>
      </c>
    </row>
    <row r="1963" spans="1:9" x14ac:dyDescent="0.3">
      <c r="A1963" t="s">
        <v>3634</v>
      </c>
      <c r="B1963" t="s">
        <v>3046</v>
      </c>
      <c r="C1963" t="s">
        <v>13</v>
      </c>
      <c r="D1963" t="s">
        <v>129</v>
      </c>
      <c r="E1963" t="s">
        <v>3672</v>
      </c>
      <c r="F1963" t="s">
        <v>2734</v>
      </c>
      <c r="H1963" t="s">
        <v>17</v>
      </c>
      <c r="I1963" t="s">
        <v>3396</v>
      </c>
    </row>
    <row r="1964" spans="1:9" x14ac:dyDescent="0.3">
      <c r="A1964" t="s">
        <v>3634</v>
      </c>
      <c r="B1964" t="s">
        <v>3046</v>
      </c>
      <c r="C1964" t="s">
        <v>13</v>
      </c>
      <c r="D1964" t="s">
        <v>132</v>
      </c>
      <c r="E1964" t="s">
        <v>3673</v>
      </c>
      <c r="F1964" t="s">
        <v>3397</v>
      </c>
      <c r="H1964" t="s">
        <v>17</v>
      </c>
      <c r="I1964" t="s">
        <v>3398</v>
      </c>
    </row>
    <row r="1965" spans="1:9" x14ac:dyDescent="0.3">
      <c r="A1965" t="s">
        <v>3634</v>
      </c>
      <c r="B1965" t="s">
        <v>3046</v>
      </c>
      <c r="C1965" t="s">
        <v>13</v>
      </c>
      <c r="D1965" t="s">
        <v>135</v>
      </c>
      <c r="E1965" t="s">
        <v>3674</v>
      </c>
      <c r="F1965" t="s">
        <v>3399</v>
      </c>
      <c r="H1965" t="s">
        <v>17</v>
      </c>
      <c r="I1965" t="s">
        <v>3400</v>
      </c>
    </row>
    <row r="1966" spans="1:9" x14ac:dyDescent="0.3">
      <c r="A1966" t="s">
        <v>3634</v>
      </c>
      <c r="B1966" t="s">
        <v>3046</v>
      </c>
      <c r="C1966" t="s">
        <v>13</v>
      </c>
      <c r="D1966" t="s">
        <v>138</v>
      </c>
      <c r="E1966" t="s">
        <v>3675</v>
      </c>
      <c r="F1966" t="s">
        <v>3401</v>
      </c>
      <c r="H1966" t="s">
        <v>17</v>
      </c>
      <c r="I1966" t="s">
        <v>3402</v>
      </c>
    </row>
    <row r="1967" spans="1:9" x14ac:dyDescent="0.3">
      <c r="A1967" t="s">
        <v>3634</v>
      </c>
      <c r="B1967" t="s">
        <v>3046</v>
      </c>
      <c r="C1967" t="s">
        <v>13</v>
      </c>
      <c r="D1967" t="s">
        <v>141</v>
      </c>
      <c r="E1967" t="s">
        <v>3676</v>
      </c>
      <c r="F1967" t="s">
        <v>3403</v>
      </c>
      <c r="H1967" t="s">
        <v>17</v>
      </c>
      <c r="I1967" t="s">
        <v>3404</v>
      </c>
    </row>
    <row r="1968" spans="1:9" x14ac:dyDescent="0.3">
      <c r="A1968" t="s">
        <v>3634</v>
      </c>
      <c r="B1968" t="s">
        <v>3046</v>
      </c>
      <c r="C1968" t="s">
        <v>13</v>
      </c>
      <c r="D1968" t="s">
        <v>144</v>
      </c>
      <c r="E1968" t="s">
        <v>3677</v>
      </c>
      <c r="F1968" t="s">
        <v>3405</v>
      </c>
      <c r="H1968" t="s">
        <v>17</v>
      </c>
      <c r="I1968" t="s">
        <v>3406</v>
      </c>
    </row>
    <row r="1969" spans="1:9" x14ac:dyDescent="0.3">
      <c r="A1969" t="s">
        <v>3634</v>
      </c>
      <c r="B1969" t="s">
        <v>3046</v>
      </c>
      <c r="C1969" t="s">
        <v>13</v>
      </c>
      <c r="D1969" t="s">
        <v>147</v>
      </c>
      <c r="E1969" t="s">
        <v>3678</v>
      </c>
      <c r="F1969" t="s">
        <v>3407</v>
      </c>
      <c r="H1969" t="s">
        <v>17</v>
      </c>
      <c r="I1969" t="s">
        <v>3019</v>
      </c>
    </row>
    <row r="1970" spans="1:9" x14ac:dyDescent="0.3">
      <c r="A1970" t="s">
        <v>3634</v>
      </c>
      <c r="B1970" t="s">
        <v>3408</v>
      </c>
      <c r="C1970" t="s">
        <v>13</v>
      </c>
      <c r="D1970" t="s">
        <v>152</v>
      </c>
      <c r="E1970" t="s">
        <v>3679</v>
      </c>
      <c r="F1970" t="s">
        <v>3409</v>
      </c>
      <c r="H1970" t="s">
        <v>17</v>
      </c>
      <c r="I1970" t="s">
        <v>3410</v>
      </c>
    </row>
    <row r="1971" spans="1:9" x14ac:dyDescent="0.3">
      <c r="A1971" t="s">
        <v>3634</v>
      </c>
      <c r="B1971" t="s">
        <v>3408</v>
      </c>
      <c r="C1971" t="s">
        <v>13</v>
      </c>
      <c r="D1971" t="s">
        <v>157</v>
      </c>
      <c r="E1971" t="s">
        <v>3680</v>
      </c>
      <c r="F1971" t="s">
        <v>3411</v>
      </c>
      <c r="H1971" t="s">
        <v>17</v>
      </c>
      <c r="I1971" t="s">
        <v>3412</v>
      </c>
    </row>
    <row r="1972" spans="1:9" x14ac:dyDescent="0.3">
      <c r="A1972" t="s">
        <v>3634</v>
      </c>
      <c r="B1972" t="s">
        <v>3408</v>
      </c>
      <c r="C1972" t="s">
        <v>13</v>
      </c>
      <c r="D1972" t="s">
        <v>162</v>
      </c>
      <c r="E1972" t="s">
        <v>3681</v>
      </c>
      <c r="F1972" t="s">
        <v>3413</v>
      </c>
      <c r="H1972" t="s">
        <v>17</v>
      </c>
      <c r="I1972" t="s">
        <v>3412</v>
      </c>
    </row>
    <row r="1973" spans="1:9" x14ac:dyDescent="0.3">
      <c r="A1973" t="s">
        <v>3634</v>
      </c>
      <c r="B1973" t="s">
        <v>3408</v>
      </c>
      <c r="C1973" t="s">
        <v>13</v>
      </c>
      <c r="D1973" t="s">
        <v>167</v>
      </c>
      <c r="E1973" t="s">
        <v>3682</v>
      </c>
      <c r="F1973" t="s">
        <v>3414</v>
      </c>
      <c r="H1973" t="s">
        <v>17</v>
      </c>
      <c r="I1973" t="s">
        <v>3415</v>
      </c>
    </row>
    <row r="1974" spans="1:9" x14ac:dyDescent="0.3">
      <c r="A1974" t="s">
        <v>3634</v>
      </c>
      <c r="B1974" t="s">
        <v>3408</v>
      </c>
      <c r="C1974" t="s">
        <v>13</v>
      </c>
      <c r="D1974" t="s">
        <v>172</v>
      </c>
      <c r="E1974" t="s">
        <v>3683</v>
      </c>
      <c r="F1974" t="s">
        <v>3416</v>
      </c>
      <c r="H1974" t="s">
        <v>17</v>
      </c>
      <c r="I1974" t="s">
        <v>3417</v>
      </c>
    </row>
    <row r="1975" spans="1:9" x14ac:dyDescent="0.3">
      <c r="A1975" t="s">
        <v>3634</v>
      </c>
      <c r="B1975" t="s">
        <v>3408</v>
      </c>
      <c r="C1975" t="s">
        <v>13</v>
      </c>
      <c r="D1975" t="s">
        <v>177</v>
      </c>
      <c r="E1975" t="s">
        <v>3684</v>
      </c>
      <c r="F1975" t="s">
        <v>3418</v>
      </c>
      <c r="H1975" t="s">
        <v>17</v>
      </c>
      <c r="I1975" t="s">
        <v>3417</v>
      </c>
    </row>
    <row r="1976" spans="1:9" x14ac:dyDescent="0.3">
      <c r="A1976" t="s">
        <v>3634</v>
      </c>
      <c r="B1976" t="s">
        <v>3408</v>
      </c>
      <c r="C1976" t="s">
        <v>13</v>
      </c>
      <c r="D1976" t="s">
        <v>182</v>
      </c>
      <c r="E1976" t="s">
        <v>3685</v>
      </c>
      <c r="F1976" t="s">
        <v>3419</v>
      </c>
      <c r="H1976" t="s">
        <v>17</v>
      </c>
      <c r="I1976" t="s">
        <v>3420</v>
      </c>
    </row>
    <row r="1977" spans="1:9" x14ac:dyDescent="0.3">
      <c r="A1977" t="s">
        <v>3634</v>
      </c>
      <c r="B1977" t="s">
        <v>3408</v>
      </c>
      <c r="C1977" t="s">
        <v>13</v>
      </c>
      <c r="D1977" t="s">
        <v>187</v>
      </c>
      <c r="E1977" t="s">
        <v>3686</v>
      </c>
      <c r="F1977" t="s">
        <v>3421</v>
      </c>
      <c r="H1977" t="s">
        <v>17</v>
      </c>
      <c r="I1977" t="s">
        <v>3422</v>
      </c>
    </row>
    <row r="1978" spans="1:9" x14ac:dyDescent="0.3">
      <c r="A1978" t="s">
        <v>3634</v>
      </c>
      <c r="B1978" t="s">
        <v>3408</v>
      </c>
      <c r="C1978" t="s">
        <v>13</v>
      </c>
      <c r="D1978" t="s">
        <v>193</v>
      </c>
      <c r="E1978" t="s">
        <v>3687</v>
      </c>
      <c r="F1978" t="s">
        <v>3423</v>
      </c>
      <c r="H1978" t="s">
        <v>17</v>
      </c>
      <c r="I1978" t="s">
        <v>3424</v>
      </c>
    </row>
    <row r="1979" spans="1:9" x14ac:dyDescent="0.3">
      <c r="A1979" t="s">
        <v>3634</v>
      </c>
      <c r="B1979" t="s">
        <v>3408</v>
      </c>
      <c r="C1979" t="s">
        <v>13</v>
      </c>
      <c r="D1979" t="s">
        <v>198</v>
      </c>
      <c r="E1979" t="s">
        <v>3688</v>
      </c>
      <c r="F1979" t="s">
        <v>3425</v>
      </c>
      <c r="H1979" t="s">
        <v>17</v>
      </c>
      <c r="I1979" t="s">
        <v>3424</v>
      </c>
    </row>
    <row r="1980" spans="1:9" x14ac:dyDescent="0.3">
      <c r="A1980" t="s">
        <v>3634</v>
      </c>
      <c r="B1980" t="s">
        <v>3408</v>
      </c>
      <c r="C1980" t="s">
        <v>13</v>
      </c>
      <c r="D1980" t="s">
        <v>1118</v>
      </c>
      <c r="E1980" t="s">
        <v>3689</v>
      </c>
      <c r="F1980" t="s">
        <v>3426</v>
      </c>
      <c r="H1980" t="s">
        <v>17</v>
      </c>
      <c r="I1980" t="s">
        <v>3690</v>
      </c>
    </row>
    <row r="1981" spans="1:9" x14ac:dyDescent="0.3">
      <c r="A1981" t="s">
        <v>3634</v>
      </c>
      <c r="B1981" t="s">
        <v>3408</v>
      </c>
      <c r="C1981" t="s">
        <v>13</v>
      </c>
      <c r="D1981" t="s">
        <v>210</v>
      </c>
      <c r="E1981" t="s">
        <v>3691</v>
      </c>
      <c r="F1981" t="s">
        <v>3428</v>
      </c>
      <c r="H1981" t="s">
        <v>17</v>
      </c>
      <c r="I1981" t="s">
        <v>3429</v>
      </c>
    </row>
    <row r="1982" spans="1:9" x14ac:dyDescent="0.3">
      <c r="A1982" t="s">
        <v>3634</v>
      </c>
      <c r="B1982" t="s">
        <v>3408</v>
      </c>
      <c r="C1982" t="s">
        <v>13</v>
      </c>
      <c r="D1982" t="s">
        <v>214</v>
      </c>
      <c r="E1982" t="s">
        <v>3692</v>
      </c>
      <c r="F1982" t="s">
        <v>3430</v>
      </c>
      <c r="H1982" t="s">
        <v>17</v>
      </c>
      <c r="I1982" t="s">
        <v>3431</v>
      </c>
    </row>
    <row r="1983" spans="1:9" x14ac:dyDescent="0.3">
      <c r="A1983" t="s">
        <v>3634</v>
      </c>
      <c r="B1983" t="s">
        <v>3408</v>
      </c>
      <c r="C1983" t="s">
        <v>13</v>
      </c>
      <c r="D1983" t="s">
        <v>218</v>
      </c>
      <c r="E1983" t="s">
        <v>3693</v>
      </c>
      <c r="F1983" t="s">
        <v>3432</v>
      </c>
      <c r="H1983" t="s">
        <v>17</v>
      </c>
      <c r="I1983" t="s">
        <v>3433</v>
      </c>
    </row>
    <row r="1984" spans="1:9" x14ac:dyDescent="0.3">
      <c r="A1984" t="s">
        <v>3634</v>
      </c>
      <c r="B1984" t="s">
        <v>3408</v>
      </c>
      <c r="C1984" t="s">
        <v>13</v>
      </c>
      <c r="D1984" t="s">
        <v>223</v>
      </c>
      <c r="E1984" t="s">
        <v>3694</v>
      </c>
      <c r="F1984" t="s">
        <v>3434</v>
      </c>
      <c r="H1984" t="s">
        <v>17</v>
      </c>
      <c r="I1984" t="s">
        <v>3435</v>
      </c>
    </row>
    <row r="1985" spans="1:9" x14ac:dyDescent="0.3">
      <c r="A1985" t="s">
        <v>3634</v>
      </c>
      <c r="B1985" t="s">
        <v>3408</v>
      </c>
      <c r="C1985" t="s">
        <v>13</v>
      </c>
      <c r="D1985" t="s">
        <v>228</v>
      </c>
      <c r="E1985" t="s">
        <v>3695</v>
      </c>
      <c r="F1985" t="s">
        <v>3436</v>
      </c>
      <c r="H1985" t="s">
        <v>17</v>
      </c>
      <c r="I1985" t="s">
        <v>3437</v>
      </c>
    </row>
    <row r="1986" spans="1:9" x14ac:dyDescent="0.3">
      <c r="A1986" t="s">
        <v>3634</v>
      </c>
      <c r="B1986" t="s">
        <v>3408</v>
      </c>
      <c r="C1986" t="s">
        <v>13</v>
      </c>
      <c r="D1986" t="s">
        <v>233</v>
      </c>
      <c r="E1986" t="s">
        <v>3696</v>
      </c>
      <c r="F1986" t="s">
        <v>3438</v>
      </c>
      <c r="H1986" t="s">
        <v>17</v>
      </c>
      <c r="I1986" t="s">
        <v>3439</v>
      </c>
    </row>
    <row r="1987" spans="1:9" x14ac:dyDescent="0.3">
      <c r="A1987" t="s">
        <v>3634</v>
      </c>
      <c r="B1987" t="s">
        <v>3408</v>
      </c>
      <c r="C1987" t="s">
        <v>13</v>
      </c>
      <c r="D1987" t="s">
        <v>236</v>
      </c>
      <c r="E1987" t="s">
        <v>3697</v>
      </c>
      <c r="F1987" t="s">
        <v>3440</v>
      </c>
      <c r="H1987" t="s">
        <v>17</v>
      </c>
      <c r="I1987" t="s">
        <v>3429</v>
      </c>
    </row>
    <row r="1988" spans="1:9" x14ac:dyDescent="0.3">
      <c r="A1988" t="s">
        <v>3634</v>
      </c>
      <c r="B1988" t="s">
        <v>3408</v>
      </c>
      <c r="C1988" t="s">
        <v>13</v>
      </c>
      <c r="D1988" t="s">
        <v>239</v>
      </c>
      <c r="E1988" t="s">
        <v>3698</v>
      </c>
      <c r="F1988" t="s">
        <v>3441</v>
      </c>
      <c r="H1988" t="s">
        <v>17</v>
      </c>
      <c r="I1988" t="s">
        <v>3442</v>
      </c>
    </row>
    <row r="1989" spans="1:9" x14ac:dyDescent="0.3">
      <c r="A1989" t="s">
        <v>3634</v>
      </c>
      <c r="B1989" t="s">
        <v>3408</v>
      </c>
      <c r="C1989" t="s">
        <v>13</v>
      </c>
      <c r="D1989" t="s">
        <v>1881</v>
      </c>
      <c r="E1989" t="s">
        <v>3699</v>
      </c>
      <c r="F1989" t="s">
        <v>3443</v>
      </c>
      <c r="H1989" t="s">
        <v>17</v>
      </c>
      <c r="I1989" t="s">
        <v>3442</v>
      </c>
    </row>
    <row r="1990" spans="1:9" x14ac:dyDescent="0.3">
      <c r="A1990" t="s">
        <v>3634</v>
      </c>
      <c r="B1990" t="s">
        <v>3408</v>
      </c>
      <c r="C1990" t="s">
        <v>13</v>
      </c>
      <c r="D1990" t="s">
        <v>1885</v>
      </c>
      <c r="E1990" t="s">
        <v>3700</v>
      </c>
      <c r="F1990" t="s">
        <v>3444</v>
      </c>
      <c r="H1990" t="s">
        <v>17</v>
      </c>
      <c r="I1990" t="s">
        <v>3445</v>
      </c>
    </row>
    <row r="1991" spans="1:9" x14ac:dyDescent="0.3">
      <c r="A1991" t="s">
        <v>3634</v>
      </c>
      <c r="B1991" t="s">
        <v>3408</v>
      </c>
      <c r="C1991" t="s">
        <v>13</v>
      </c>
      <c r="D1991" t="s">
        <v>1588</v>
      </c>
      <c r="E1991" t="s">
        <v>3701</v>
      </c>
      <c r="F1991" t="s">
        <v>2761</v>
      </c>
      <c r="H1991" t="s">
        <v>17</v>
      </c>
      <c r="I1991" t="s">
        <v>3446</v>
      </c>
    </row>
    <row r="1992" spans="1:9" x14ac:dyDescent="0.3">
      <c r="A1992" t="s">
        <v>3634</v>
      </c>
      <c r="B1992" t="s">
        <v>3408</v>
      </c>
      <c r="C1992" t="s">
        <v>13</v>
      </c>
      <c r="D1992" t="s">
        <v>1892</v>
      </c>
      <c r="E1992" t="s">
        <v>3702</v>
      </c>
      <c r="F1992" t="s">
        <v>2762</v>
      </c>
      <c r="H1992" t="s">
        <v>17</v>
      </c>
      <c r="I1992" t="s">
        <v>3447</v>
      </c>
    </row>
    <row r="1993" spans="1:9" x14ac:dyDescent="0.3">
      <c r="A1993" t="s">
        <v>3634</v>
      </c>
      <c r="B1993" t="s">
        <v>3408</v>
      </c>
      <c r="C1993" t="s">
        <v>13</v>
      </c>
      <c r="D1993" t="s">
        <v>1146</v>
      </c>
      <c r="E1993" t="s">
        <v>3703</v>
      </c>
      <c r="F1993" t="s">
        <v>3448</v>
      </c>
      <c r="H1993" t="s">
        <v>17</v>
      </c>
      <c r="I1993" t="s">
        <v>3447</v>
      </c>
    </row>
    <row r="1994" spans="1:9" x14ac:dyDescent="0.3">
      <c r="A1994" t="s">
        <v>3634</v>
      </c>
      <c r="B1994" t="s">
        <v>3408</v>
      </c>
      <c r="C1994" t="s">
        <v>13</v>
      </c>
      <c r="D1994" t="s">
        <v>1150</v>
      </c>
      <c r="E1994" t="s">
        <v>3704</v>
      </c>
      <c r="F1994" t="s">
        <v>3449</v>
      </c>
      <c r="H1994" t="s">
        <v>17</v>
      </c>
      <c r="I1994" t="s">
        <v>3450</v>
      </c>
    </row>
    <row r="1995" spans="1:9" x14ac:dyDescent="0.3">
      <c r="A1995" t="s">
        <v>3634</v>
      </c>
      <c r="B1995" t="s">
        <v>3408</v>
      </c>
      <c r="C1995" t="s">
        <v>13</v>
      </c>
      <c r="D1995" t="s">
        <v>1154</v>
      </c>
      <c r="E1995" t="s">
        <v>3705</v>
      </c>
      <c r="F1995" t="s">
        <v>3451</v>
      </c>
      <c r="H1995" t="s">
        <v>17</v>
      </c>
      <c r="I1995" t="s">
        <v>2768</v>
      </c>
    </row>
    <row r="1996" spans="1:9" x14ac:dyDescent="0.3">
      <c r="A1996" t="s">
        <v>3634</v>
      </c>
      <c r="B1996" t="s">
        <v>3408</v>
      </c>
      <c r="C1996" t="s">
        <v>13</v>
      </c>
      <c r="D1996" t="s">
        <v>1158</v>
      </c>
      <c r="E1996" t="s">
        <v>3706</v>
      </c>
      <c r="F1996" t="s">
        <v>2769</v>
      </c>
      <c r="H1996" t="s">
        <v>17</v>
      </c>
      <c r="I1996" t="s">
        <v>2770</v>
      </c>
    </row>
    <row r="1997" spans="1:9" x14ac:dyDescent="0.3">
      <c r="A1997" t="s">
        <v>3634</v>
      </c>
      <c r="B1997" t="s">
        <v>3408</v>
      </c>
      <c r="C1997" t="s">
        <v>13</v>
      </c>
      <c r="D1997" t="s">
        <v>1162</v>
      </c>
      <c r="E1997" t="s">
        <v>3707</v>
      </c>
      <c r="F1997" t="s">
        <v>2771</v>
      </c>
      <c r="H1997" t="s">
        <v>17</v>
      </c>
      <c r="I1997" t="s">
        <v>3452</v>
      </c>
    </row>
    <row r="1998" spans="1:9" x14ac:dyDescent="0.3">
      <c r="A1998" t="s">
        <v>3634</v>
      </c>
      <c r="B1998" t="s">
        <v>3408</v>
      </c>
      <c r="C1998" t="s">
        <v>13</v>
      </c>
      <c r="D1998" t="s">
        <v>2937</v>
      </c>
      <c r="E1998" t="s">
        <v>3708</v>
      </c>
      <c r="F1998" t="s">
        <v>3453</v>
      </c>
      <c r="H1998" t="s">
        <v>17</v>
      </c>
      <c r="I1998" t="s">
        <v>3709</v>
      </c>
    </row>
    <row r="1999" spans="1:9" x14ac:dyDescent="0.3">
      <c r="A1999" t="s">
        <v>3634</v>
      </c>
      <c r="B1999" t="s">
        <v>3455</v>
      </c>
      <c r="C1999" t="s">
        <v>13</v>
      </c>
      <c r="D1999" t="s">
        <v>1172</v>
      </c>
      <c r="E1999" t="s">
        <v>3710</v>
      </c>
      <c r="F1999" t="s">
        <v>3456</v>
      </c>
      <c r="H1999" t="s">
        <v>17</v>
      </c>
      <c r="I1999" t="s">
        <v>3457</v>
      </c>
    </row>
    <row r="2000" spans="1:9" x14ac:dyDescent="0.3">
      <c r="A2000" t="s">
        <v>3634</v>
      </c>
      <c r="B2000" t="s">
        <v>3455</v>
      </c>
      <c r="C2000" t="s">
        <v>13</v>
      </c>
      <c r="D2000" t="s">
        <v>1176</v>
      </c>
      <c r="E2000" t="s">
        <v>3711</v>
      </c>
      <c r="F2000" t="s">
        <v>3458</v>
      </c>
      <c r="H2000" t="s">
        <v>17</v>
      </c>
      <c r="I2000" t="s">
        <v>3457</v>
      </c>
    </row>
    <row r="2001" spans="1:9" x14ac:dyDescent="0.3">
      <c r="A2001" t="s">
        <v>3634</v>
      </c>
      <c r="B2001" t="s">
        <v>3455</v>
      </c>
      <c r="C2001" t="s">
        <v>13</v>
      </c>
      <c r="D2001" t="s">
        <v>1179</v>
      </c>
      <c r="E2001" t="s">
        <v>3712</v>
      </c>
      <c r="F2001" t="s">
        <v>3459</v>
      </c>
      <c r="H2001" t="s">
        <v>17</v>
      </c>
      <c r="I2001" t="s">
        <v>3457</v>
      </c>
    </row>
    <row r="2002" spans="1:9" x14ac:dyDescent="0.3">
      <c r="A2002" t="s">
        <v>3634</v>
      </c>
      <c r="B2002" t="s">
        <v>3455</v>
      </c>
      <c r="C2002" t="s">
        <v>13</v>
      </c>
      <c r="D2002" t="s">
        <v>1184</v>
      </c>
      <c r="E2002" t="s">
        <v>3713</v>
      </c>
      <c r="F2002" t="s">
        <v>3460</v>
      </c>
      <c r="H2002" t="s">
        <v>17</v>
      </c>
      <c r="I2002" t="s">
        <v>3457</v>
      </c>
    </row>
    <row r="2003" spans="1:9" x14ac:dyDescent="0.3">
      <c r="A2003" t="s">
        <v>3634</v>
      </c>
      <c r="B2003" t="s">
        <v>3455</v>
      </c>
      <c r="C2003" t="s">
        <v>13</v>
      </c>
      <c r="D2003" t="s">
        <v>1189</v>
      </c>
      <c r="E2003" t="s">
        <v>3714</v>
      </c>
      <c r="F2003" t="s">
        <v>3462</v>
      </c>
      <c r="H2003" t="s">
        <v>17</v>
      </c>
      <c r="I2003" t="s">
        <v>3463</v>
      </c>
    </row>
    <row r="2004" spans="1:9" x14ac:dyDescent="0.3">
      <c r="A2004" t="s">
        <v>3634</v>
      </c>
      <c r="B2004" t="s">
        <v>3464</v>
      </c>
      <c r="C2004" t="s">
        <v>13</v>
      </c>
      <c r="D2004" t="s">
        <v>1193</v>
      </c>
      <c r="E2004" t="s">
        <v>3715</v>
      </c>
      <c r="F2004" t="s">
        <v>3466</v>
      </c>
      <c r="H2004" t="s">
        <v>17</v>
      </c>
      <c r="I2004" t="s">
        <v>3467</v>
      </c>
    </row>
    <row r="2005" spans="1:9" x14ac:dyDescent="0.3">
      <c r="A2005" t="s">
        <v>3634</v>
      </c>
      <c r="B2005" t="s">
        <v>3464</v>
      </c>
      <c r="C2005" t="s">
        <v>13</v>
      </c>
      <c r="D2005" t="s">
        <v>1197</v>
      </c>
      <c r="E2005" t="s">
        <v>3716</v>
      </c>
      <c r="F2005" t="s">
        <v>3468</v>
      </c>
      <c r="H2005" t="s">
        <v>17</v>
      </c>
      <c r="I2005" t="s">
        <v>3467</v>
      </c>
    </row>
    <row r="2006" spans="1:9" x14ac:dyDescent="0.3">
      <c r="A2006" t="s">
        <v>3634</v>
      </c>
      <c r="B2006" t="s">
        <v>3464</v>
      </c>
      <c r="C2006" t="s">
        <v>13</v>
      </c>
      <c r="D2006" t="s">
        <v>1201</v>
      </c>
      <c r="E2006" t="s">
        <v>3717</v>
      </c>
      <c r="F2006" t="s">
        <v>3469</v>
      </c>
      <c r="H2006" t="s">
        <v>17</v>
      </c>
      <c r="I2006" t="s">
        <v>3467</v>
      </c>
    </row>
    <row r="2007" spans="1:9" x14ac:dyDescent="0.3">
      <c r="A2007" t="s">
        <v>3634</v>
      </c>
      <c r="B2007" t="s">
        <v>3464</v>
      </c>
      <c r="C2007" t="s">
        <v>13</v>
      </c>
      <c r="D2007" t="s">
        <v>1205</v>
      </c>
      <c r="E2007" t="s">
        <v>3718</v>
      </c>
      <c r="F2007" t="s">
        <v>3470</v>
      </c>
      <c r="H2007" t="s">
        <v>17</v>
      </c>
      <c r="I2007" t="s">
        <v>3467</v>
      </c>
    </row>
    <row r="2008" spans="1:9" x14ac:dyDescent="0.3">
      <c r="A2008" t="s">
        <v>3634</v>
      </c>
      <c r="B2008" t="s">
        <v>3464</v>
      </c>
      <c r="C2008" t="s">
        <v>13</v>
      </c>
      <c r="D2008" t="s">
        <v>1209</v>
      </c>
      <c r="E2008" t="s">
        <v>3719</v>
      </c>
      <c r="F2008" t="s">
        <v>3472</v>
      </c>
      <c r="H2008" t="s">
        <v>17</v>
      </c>
      <c r="I2008" t="s">
        <v>3467</v>
      </c>
    </row>
    <row r="2009" spans="1:9" x14ac:dyDescent="0.3">
      <c r="A2009" t="s">
        <v>3634</v>
      </c>
      <c r="B2009" t="s">
        <v>3473</v>
      </c>
      <c r="C2009" t="s">
        <v>13</v>
      </c>
      <c r="D2009" t="s">
        <v>1213</v>
      </c>
      <c r="E2009" t="s">
        <v>3720</v>
      </c>
      <c r="F2009" t="s">
        <v>3475</v>
      </c>
      <c r="H2009" t="s">
        <v>17</v>
      </c>
      <c r="I2009" t="s">
        <v>3457</v>
      </c>
    </row>
    <row r="2010" spans="1:9" x14ac:dyDescent="0.3">
      <c r="A2010" t="s">
        <v>3634</v>
      </c>
      <c r="B2010" t="s">
        <v>3473</v>
      </c>
      <c r="C2010" t="s">
        <v>13</v>
      </c>
      <c r="D2010" t="s">
        <v>1219</v>
      </c>
      <c r="E2010" t="s">
        <v>3721</v>
      </c>
      <c r="F2010" t="s">
        <v>3476</v>
      </c>
      <c r="H2010" t="s">
        <v>17</v>
      </c>
      <c r="I2010" t="s">
        <v>3457</v>
      </c>
    </row>
    <row r="2011" spans="1:9" x14ac:dyDescent="0.3">
      <c r="A2011" t="s">
        <v>3634</v>
      </c>
      <c r="B2011" t="s">
        <v>3473</v>
      </c>
      <c r="C2011" t="s">
        <v>13</v>
      </c>
      <c r="D2011" t="s">
        <v>1224</v>
      </c>
      <c r="E2011" t="s">
        <v>3722</v>
      </c>
      <c r="F2011" t="s">
        <v>3478</v>
      </c>
      <c r="H2011" t="s">
        <v>17</v>
      </c>
      <c r="I2011" t="s">
        <v>3457</v>
      </c>
    </row>
    <row r="2012" spans="1:9" x14ac:dyDescent="0.3">
      <c r="A2012" t="s">
        <v>3634</v>
      </c>
      <c r="B2012" t="s">
        <v>3473</v>
      </c>
      <c r="C2012" t="s">
        <v>13</v>
      </c>
      <c r="D2012" t="s">
        <v>1228</v>
      </c>
      <c r="E2012" t="s">
        <v>3723</v>
      </c>
      <c r="F2012" t="s">
        <v>3479</v>
      </c>
      <c r="H2012" t="s">
        <v>17</v>
      </c>
      <c r="I2012" t="s">
        <v>3457</v>
      </c>
    </row>
    <row r="2013" spans="1:9" x14ac:dyDescent="0.3">
      <c r="A2013" t="s">
        <v>3634</v>
      </c>
      <c r="B2013" t="s">
        <v>3473</v>
      </c>
      <c r="C2013" t="s">
        <v>13</v>
      </c>
      <c r="D2013" t="s">
        <v>1232</v>
      </c>
      <c r="E2013" t="s">
        <v>3724</v>
      </c>
      <c r="F2013" t="s">
        <v>3481</v>
      </c>
      <c r="H2013" t="s">
        <v>17</v>
      </c>
      <c r="I2013" t="s">
        <v>3457</v>
      </c>
    </row>
    <row r="2014" spans="1:9" x14ac:dyDescent="0.3">
      <c r="A2014" t="s">
        <v>3634</v>
      </c>
      <c r="B2014" t="s">
        <v>3482</v>
      </c>
      <c r="C2014" t="s">
        <v>13</v>
      </c>
      <c r="D2014" t="s">
        <v>1236</v>
      </c>
      <c r="E2014" t="s">
        <v>3725</v>
      </c>
      <c r="F2014" t="s">
        <v>3484</v>
      </c>
      <c r="H2014" t="s">
        <v>17</v>
      </c>
      <c r="I2014" t="s">
        <v>3485</v>
      </c>
    </row>
    <row r="2015" spans="1:9" x14ac:dyDescent="0.3">
      <c r="A2015" t="s">
        <v>3634</v>
      </c>
      <c r="B2015" t="s">
        <v>3482</v>
      </c>
      <c r="C2015" t="s">
        <v>13</v>
      </c>
      <c r="D2015" t="s">
        <v>1240</v>
      </c>
      <c r="E2015" t="s">
        <v>3726</v>
      </c>
      <c r="F2015" t="s">
        <v>3487</v>
      </c>
      <c r="H2015" t="s">
        <v>17</v>
      </c>
      <c r="I2015" t="s">
        <v>3485</v>
      </c>
    </row>
    <row r="2016" spans="1:9" x14ac:dyDescent="0.3">
      <c r="A2016" t="s">
        <v>3634</v>
      </c>
      <c r="B2016" t="s">
        <v>3482</v>
      </c>
      <c r="C2016" t="s">
        <v>13</v>
      </c>
      <c r="D2016" t="s">
        <v>1244</v>
      </c>
      <c r="E2016" t="s">
        <v>3727</v>
      </c>
      <c r="F2016" t="s">
        <v>3489</v>
      </c>
      <c r="H2016" t="s">
        <v>17</v>
      </c>
      <c r="I2016" t="s">
        <v>3485</v>
      </c>
    </row>
    <row r="2017" spans="1:9" x14ac:dyDescent="0.3">
      <c r="A2017" t="s">
        <v>3634</v>
      </c>
      <c r="B2017" t="s">
        <v>3482</v>
      </c>
      <c r="C2017" t="s">
        <v>13</v>
      </c>
      <c r="D2017" t="s">
        <v>1248</v>
      </c>
      <c r="E2017" t="s">
        <v>3728</v>
      </c>
      <c r="F2017" t="s">
        <v>3491</v>
      </c>
      <c r="H2017" t="s">
        <v>17</v>
      </c>
      <c r="I2017" t="s">
        <v>3485</v>
      </c>
    </row>
    <row r="2018" spans="1:9" x14ac:dyDescent="0.3">
      <c r="A2018" t="s">
        <v>3634</v>
      </c>
      <c r="B2018" t="s">
        <v>3482</v>
      </c>
      <c r="C2018" t="s">
        <v>13</v>
      </c>
      <c r="D2018" t="s">
        <v>1252</v>
      </c>
      <c r="E2018" t="s">
        <v>3729</v>
      </c>
      <c r="F2018" t="s">
        <v>3493</v>
      </c>
      <c r="H2018" t="s">
        <v>17</v>
      </c>
      <c r="I2018" t="s">
        <v>3485</v>
      </c>
    </row>
    <row r="2019" spans="1:9" x14ac:dyDescent="0.3">
      <c r="A2019" t="s">
        <v>3634</v>
      </c>
      <c r="B2019" t="s">
        <v>3482</v>
      </c>
      <c r="C2019" t="s">
        <v>13</v>
      </c>
      <c r="D2019" t="s">
        <v>1256</v>
      </c>
      <c r="E2019" t="s">
        <v>3730</v>
      </c>
      <c r="F2019" t="s">
        <v>3495</v>
      </c>
      <c r="H2019" t="s">
        <v>17</v>
      </c>
      <c r="I2019" t="s">
        <v>3485</v>
      </c>
    </row>
    <row r="2020" spans="1:9" x14ac:dyDescent="0.3">
      <c r="A2020" t="s">
        <v>3634</v>
      </c>
      <c r="B2020" t="s">
        <v>3482</v>
      </c>
      <c r="C2020" t="s">
        <v>13</v>
      </c>
      <c r="D2020" t="s">
        <v>1261</v>
      </c>
      <c r="E2020" t="s">
        <v>3731</v>
      </c>
      <c r="F2020" t="s">
        <v>3497</v>
      </c>
      <c r="H2020" t="s">
        <v>17</v>
      </c>
      <c r="I2020" t="s">
        <v>3485</v>
      </c>
    </row>
    <row r="2021" spans="1:9" x14ac:dyDescent="0.3">
      <c r="A2021" t="s">
        <v>3634</v>
      </c>
      <c r="B2021" t="s">
        <v>3482</v>
      </c>
      <c r="C2021" t="s">
        <v>13</v>
      </c>
      <c r="D2021" t="s">
        <v>1265</v>
      </c>
      <c r="E2021" t="s">
        <v>3732</v>
      </c>
      <c r="F2021" t="s">
        <v>3499</v>
      </c>
      <c r="H2021" t="s">
        <v>17</v>
      </c>
      <c r="I2021" t="s">
        <v>3485</v>
      </c>
    </row>
    <row r="2022" spans="1:9" x14ac:dyDescent="0.3">
      <c r="A2022" t="s">
        <v>3634</v>
      </c>
      <c r="B2022" t="s">
        <v>3482</v>
      </c>
      <c r="C2022" t="s">
        <v>13</v>
      </c>
      <c r="D2022" t="s">
        <v>1270</v>
      </c>
      <c r="E2022" t="s">
        <v>3733</v>
      </c>
      <c r="F2022" t="s">
        <v>3501</v>
      </c>
      <c r="H2022" t="s">
        <v>17</v>
      </c>
      <c r="I2022" t="s">
        <v>3485</v>
      </c>
    </row>
    <row r="2023" spans="1:9" x14ac:dyDescent="0.3">
      <c r="A2023" t="s">
        <v>3634</v>
      </c>
      <c r="B2023" t="s">
        <v>3482</v>
      </c>
      <c r="C2023" t="s">
        <v>13</v>
      </c>
      <c r="D2023" t="s">
        <v>1276</v>
      </c>
      <c r="E2023" t="s">
        <v>3734</v>
      </c>
      <c r="F2023" t="s">
        <v>3503</v>
      </c>
      <c r="H2023" t="s">
        <v>17</v>
      </c>
      <c r="I2023" t="s">
        <v>3485</v>
      </c>
    </row>
    <row r="2024" spans="1:9" x14ac:dyDescent="0.3">
      <c r="A2024" t="s">
        <v>3634</v>
      </c>
      <c r="B2024" t="s">
        <v>3482</v>
      </c>
      <c r="C2024" t="s">
        <v>13</v>
      </c>
      <c r="D2024" t="s">
        <v>303</v>
      </c>
      <c r="E2024" t="s">
        <v>3735</v>
      </c>
      <c r="F2024" t="s">
        <v>3505</v>
      </c>
      <c r="H2024" t="s">
        <v>17</v>
      </c>
      <c r="I2024" t="s">
        <v>3485</v>
      </c>
    </row>
    <row r="2025" spans="1:9" x14ac:dyDescent="0.3">
      <c r="A2025" t="s">
        <v>3634</v>
      </c>
      <c r="B2025" t="s">
        <v>3482</v>
      </c>
      <c r="C2025" t="s">
        <v>13</v>
      </c>
      <c r="D2025" t="s">
        <v>308</v>
      </c>
      <c r="E2025" t="s">
        <v>3736</v>
      </c>
      <c r="F2025" t="s">
        <v>3507</v>
      </c>
      <c r="H2025" t="s">
        <v>17</v>
      </c>
      <c r="I2025" t="s">
        <v>3485</v>
      </c>
    </row>
    <row r="2026" spans="1:9" x14ac:dyDescent="0.3">
      <c r="A2026" t="s">
        <v>3634</v>
      </c>
      <c r="B2026" t="s">
        <v>3482</v>
      </c>
      <c r="C2026" t="s">
        <v>13</v>
      </c>
      <c r="D2026" t="s">
        <v>312</v>
      </c>
      <c r="E2026" t="s">
        <v>3737</v>
      </c>
      <c r="F2026" t="s">
        <v>3509</v>
      </c>
      <c r="H2026" t="s">
        <v>17</v>
      </c>
      <c r="I2026" t="s">
        <v>3485</v>
      </c>
    </row>
    <row r="2027" spans="1:9" x14ac:dyDescent="0.3">
      <c r="A2027" t="s">
        <v>3634</v>
      </c>
      <c r="B2027" t="s">
        <v>3482</v>
      </c>
      <c r="C2027" t="s">
        <v>13</v>
      </c>
      <c r="D2027" t="s">
        <v>316</v>
      </c>
      <c r="E2027" t="s">
        <v>3738</v>
      </c>
      <c r="F2027" t="s">
        <v>3511</v>
      </c>
      <c r="H2027" t="s">
        <v>17</v>
      </c>
      <c r="I2027" t="s">
        <v>3485</v>
      </c>
    </row>
    <row r="2028" spans="1:9" x14ac:dyDescent="0.3">
      <c r="A2028" t="s">
        <v>3634</v>
      </c>
      <c r="B2028" t="s">
        <v>3482</v>
      </c>
      <c r="C2028" t="s">
        <v>13</v>
      </c>
      <c r="D2028" t="s">
        <v>319</v>
      </c>
      <c r="E2028" t="s">
        <v>3739</v>
      </c>
      <c r="F2028" t="s">
        <v>3513</v>
      </c>
      <c r="H2028" t="s">
        <v>17</v>
      </c>
      <c r="I2028" t="s">
        <v>3485</v>
      </c>
    </row>
    <row r="2029" spans="1:9" x14ac:dyDescent="0.3">
      <c r="A2029" t="s">
        <v>3634</v>
      </c>
      <c r="B2029" t="s">
        <v>3514</v>
      </c>
      <c r="C2029" t="s">
        <v>13</v>
      </c>
      <c r="D2029" t="s">
        <v>323</v>
      </c>
      <c r="E2029" t="s">
        <v>3740</v>
      </c>
      <c r="F2029" t="s">
        <v>3516</v>
      </c>
      <c r="H2029" t="s">
        <v>17</v>
      </c>
      <c r="I2029" t="s">
        <v>3517</v>
      </c>
    </row>
    <row r="2030" spans="1:9" x14ac:dyDescent="0.3">
      <c r="A2030" t="s">
        <v>3634</v>
      </c>
      <c r="B2030" t="s">
        <v>3514</v>
      </c>
      <c r="C2030" t="s">
        <v>13</v>
      </c>
      <c r="D2030" t="s">
        <v>327</v>
      </c>
      <c r="E2030" t="s">
        <v>3741</v>
      </c>
      <c r="F2030" t="s">
        <v>3519</v>
      </c>
      <c r="H2030" t="s">
        <v>17</v>
      </c>
      <c r="I2030" t="s">
        <v>3517</v>
      </c>
    </row>
    <row r="2031" spans="1:9" x14ac:dyDescent="0.3">
      <c r="A2031" t="s">
        <v>3634</v>
      </c>
      <c r="B2031" t="s">
        <v>3514</v>
      </c>
      <c r="C2031" t="s">
        <v>13</v>
      </c>
      <c r="D2031" t="s">
        <v>332</v>
      </c>
      <c r="E2031" t="s">
        <v>3742</v>
      </c>
      <c r="F2031" t="s">
        <v>3521</v>
      </c>
      <c r="H2031" t="s">
        <v>17</v>
      </c>
      <c r="I2031" t="s">
        <v>3517</v>
      </c>
    </row>
    <row r="2032" spans="1:9" x14ac:dyDescent="0.3">
      <c r="A2032" t="s">
        <v>3634</v>
      </c>
      <c r="B2032" t="s">
        <v>3514</v>
      </c>
      <c r="C2032" t="s">
        <v>13</v>
      </c>
      <c r="D2032" t="s">
        <v>335</v>
      </c>
      <c r="E2032" t="s">
        <v>3743</v>
      </c>
      <c r="F2032" t="s">
        <v>2821</v>
      </c>
      <c r="H2032" t="s">
        <v>17</v>
      </c>
      <c r="I2032" t="s">
        <v>3517</v>
      </c>
    </row>
    <row r="2033" spans="1:9" x14ac:dyDescent="0.3">
      <c r="A2033" t="s">
        <v>3634</v>
      </c>
      <c r="B2033" t="s">
        <v>3514</v>
      </c>
      <c r="C2033" t="s">
        <v>13</v>
      </c>
      <c r="D2033" t="s">
        <v>338</v>
      </c>
      <c r="E2033" t="s">
        <v>3744</v>
      </c>
      <c r="F2033" t="s">
        <v>2827</v>
      </c>
      <c r="H2033" t="s">
        <v>17</v>
      </c>
      <c r="I2033" t="s">
        <v>3517</v>
      </c>
    </row>
    <row r="2034" spans="1:9" x14ac:dyDescent="0.3">
      <c r="A2034" t="s">
        <v>3634</v>
      </c>
      <c r="B2034" t="s">
        <v>3514</v>
      </c>
      <c r="C2034" t="s">
        <v>13</v>
      </c>
      <c r="D2034" t="s">
        <v>341</v>
      </c>
      <c r="E2034" t="s">
        <v>3745</v>
      </c>
      <c r="F2034" t="s">
        <v>3525</v>
      </c>
      <c r="H2034" t="s">
        <v>17</v>
      </c>
      <c r="I2034" t="s">
        <v>3517</v>
      </c>
    </row>
    <row r="2035" spans="1:9" x14ac:dyDescent="0.3">
      <c r="A2035" t="s">
        <v>3634</v>
      </c>
      <c r="B2035" t="s">
        <v>3514</v>
      </c>
      <c r="C2035" t="s">
        <v>13</v>
      </c>
      <c r="D2035" t="s">
        <v>344</v>
      </c>
      <c r="E2035" t="s">
        <v>3746</v>
      </c>
      <c r="F2035" t="s">
        <v>3527</v>
      </c>
      <c r="H2035" t="s">
        <v>17</v>
      </c>
      <c r="I2035" t="s">
        <v>3517</v>
      </c>
    </row>
    <row r="2036" spans="1:9" x14ac:dyDescent="0.3">
      <c r="A2036" t="s">
        <v>3634</v>
      </c>
      <c r="B2036" t="s">
        <v>3514</v>
      </c>
      <c r="C2036" t="s">
        <v>13</v>
      </c>
      <c r="D2036" t="s">
        <v>347</v>
      </c>
      <c r="E2036" t="s">
        <v>3747</v>
      </c>
      <c r="F2036" t="s">
        <v>3529</v>
      </c>
      <c r="H2036" t="s">
        <v>17</v>
      </c>
      <c r="I2036" t="s">
        <v>3517</v>
      </c>
    </row>
    <row r="2037" spans="1:9" x14ac:dyDescent="0.3">
      <c r="A2037" t="s">
        <v>3634</v>
      </c>
      <c r="B2037" t="s">
        <v>3514</v>
      </c>
      <c r="C2037" t="s">
        <v>13</v>
      </c>
      <c r="D2037" t="s">
        <v>353</v>
      </c>
      <c r="E2037" t="s">
        <v>3748</v>
      </c>
      <c r="F2037" t="s">
        <v>3531</v>
      </c>
      <c r="H2037" t="s">
        <v>17</v>
      </c>
      <c r="I2037" t="s">
        <v>3517</v>
      </c>
    </row>
    <row r="2038" spans="1:9" x14ac:dyDescent="0.3">
      <c r="A2038" t="s">
        <v>3634</v>
      </c>
      <c r="B2038" t="s">
        <v>3514</v>
      </c>
      <c r="C2038" t="s">
        <v>13</v>
      </c>
      <c r="D2038" t="s">
        <v>358</v>
      </c>
      <c r="E2038" t="s">
        <v>3749</v>
      </c>
      <c r="F2038" t="s">
        <v>3533</v>
      </c>
      <c r="H2038" t="s">
        <v>17</v>
      </c>
      <c r="I2038" t="s">
        <v>3517</v>
      </c>
    </row>
    <row r="2039" spans="1:9" x14ac:dyDescent="0.3">
      <c r="A2039" t="s">
        <v>3634</v>
      </c>
      <c r="B2039" t="s">
        <v>3514</v>
      </c>
      <c r="C2039" t="s">
        <v>13</v>
      </c>
      <c r="D2039" t="s">
        <v>361</v>
      </c>
      <c r="E2039" t="s">
        <v>3750</v>
      </c>
      <c r="F2039" t="s">
        <v>3535</v>
      </c>
      <c r="H2039" t="s">
        <v>17</v>
      </c>
      <c r="I2039" t="s">
        <v>3517</v>
      </c>
    </row>
    <row r="2040" spans="1:9" x14ac:dyDescent="0.3">
      <c r="A2040" t="s">
        <v>3634</v>
      </c>
      <c r="B2040" t="s">
        <v>3514</v>
      </c>
      <c r="C2040" t="s">
        <v>13</v>
      </c>
      <c r="D2040" t="s">
        <v>364</v>
      </c>
      <c r="E2040" t="s">
        <v>3751</v>
      </c>
      <c r="F2040" t="s">
        <v>2823</v>
      </c>
      <c r="H2040" t="s">
        <v>17</v>
      </c>
      <c r="I2040" t="s">
        <v>3517</v>
      </c>
    </row>
    <row r="2041" spans="1:9" x14ac:dyDescent="0.3">
      <c r="A2041" t="s">
        <v>3634</v>
      </c>
      <c r="B2041" t="s">
        <v>3514</v>
      </c>
      <c r="C2041" t="s">
        <v>13</v>
      </c>
      <c r="D2041" t="s">
        <v>367</v>
      </c>
      <c r="E2041" t="s">
        <v>3752</v>
      </c>
      <c r="F2041" t="s">
        <v>3538</v>
      </c>
      <c r="H2041" t="s">
        <v>17</v>
      </c>
      <c r="I2041" t="s">
        <v>3517</v>
      </c>
    </row>
    <row r="2042" spans="1:9" x14ac:dyDescent="0.3">
      <c r="A2042" t="s">
        <v>3634</v>
      </c>
      <c r="B2042" t="s">
        <v>3514</v>
      </c>
      <c r="C2042" t="s">
        <v>13</v>
      </c>
      <c r="D2042" t="s">
        <v>370</v>
      </c>
      <c r="E2042" t="s">
        <v>3753</v>
      </c>
      <c r="F2042" t="s">
        <v>3470</v>
      </c>
      <c r="H2042" t="s">
        <v>17</v>
      </c>
      <c r="I2042" t="s">
        <v>3517</v>
      </c>
    </row>
    <row r="2043" spans="1:9" x14ac:dyDescent="0.3">
      <c r="A2043" t="s">
        <v>3634</v>
      </c>
      <c r="B2043" t="s">
        <v>3514</v>
      </c>
      <c r="C2043" t="s">
        <v>13</v>
      </c>
      <c r="D2043" t="s">
        <v>373</v>
      </c>
      <c r="E2043" t="s">
        <v>3754</v>
      </c>
      <c r="F2043" t="s">
        <v>3472</v>
      </c>
      <c r="H2043" t="s">
        <v>17</v>
      </c>
      <c r="I2043" t="s">
        <v>3517</v>
      </c>
    </row>
    <row r="2044" spans="1:9" x14ac:dyDescent="0.3">
      <c r="A2044" t="s">
        <v>3634</v>
      </c>
      <c r="B2044" t="s">
        <v>3514</v>
      </c>
      <c r="C2044" t="s">
        <v>13</v>
      </c>
      <c r="D2044" t="s">
        <v>376</v>
      </c>
      <c r="E2044" t="s">
        <v>3755</v>
      </c>
      <c r="F2044" t="s">
        <v>3542</v>
      </c>
      <c r="H2044" t="s">
        <v>17</v>
      </c>
      <c r="I2044" t="s">
        <v>3517</v>
      </c>
    </row>
    <row r="2045" spans="1:9" x14ac:dyDescent="0.3">
      <c r="A2045" t="s">
        <v>3634</v>
      </c>
      <c r="B2045" t="s">
        <v>3514</v>
      </c>
      <c r="C2045" t="s">
        <v>13</v>
      </c>
      <c r="D2045" t="s">
        <v>1675</v>
      </c>
      <c r="E2045" t="s">
        <v>3756</v>
      </c>
      <c r="F2045" t="s">
        <v>3544</v>
      </c>
      <c r="H2045" t="s">
        <v>17</v>
      </c>
      <c r="I2045" t="s">
        <v>548</v>
      </c>
    </row>
    <row r="2046" spans="1:9" x14ac:dyDescent="0.3">
      <c r="A2046" t="s">
        <v>3634</v>
      </c>
      <c r="B2046" t="s">
        <v>3545</v>
      </c>
      <c r="C2046" t="s">
        <v>13</v>
      </c>
      <c r="D2046" t="s">
        <v>1678</v>
      </c>
      <c r="E2046" t="s">
        <v>3757</v>
      </c>
      <c r="F2046" t="s">
        <v>3547</v>
      </c>
      <c r="H2046" t="s">
        <v>17</v>
      </c>
      <c r="I2046" t="s">
        <v>3457</v>
      </c>
    </row>
    <row r="2047" spans="1:9" x14ac:dyDescent="0.3">
      <c r="A2047" t="s">
        <v>3634</v>
      </c>
      <c r="B2047" t="s">
        <v>3545</v>
      </c>
      <c r="C2047" t="s">
        <v>13</v>
      </c>
      <c r="D2047" t="s">
        <v>1681</v>
      </c>
      <c r="E2047" t="s">
        <v>3758</v>
      </c>
      <c r="F2047" t="s">
        <v>3548</v>
      </c>
      <c r="H2047" t="s">
        <v>17</v>
      </c>
      <c r="I2047" t="s">
        <v>3457</v>
      </c>
    </row>
    <row r="2048" spans="1:9" x14ac:dyDescent="0.3">
      <c r="A2048" t="s">
        <v>3634</v>
      </c>
      <c r="B2048" t="s">
        <v>3545</v>
      </c>
      <c r="C2048" t="s">
        <v>13</v>
      </c>
      <c r="D2048" t="s">
        <v>1683</v>
      </c>
      <c r="E2048" t="s">
        <v>3759</v>
      </c>
      <c r="F2048" t="s">
        <v>3549</v>
      </c>
      <c r="H2048" t="s">
        <v>17</v>
      </c>
      <c r="I2048" t="s">
        <v>3457</v>
      </c>
    </row>
    <row r="2049" spans="1:9" x14ac:dyDescent="0.3">
      <c r="A2049" t="s">
        <v>3634</v>
      </c>
      <c r="B2049" t="s">
        <v>3545</v>
      </c>
      <c r="C2049" t="s">
        <v>13</v>
      </c>
      <c r="D2049" t="s">
        <v>1685</v>
      </c>
      <c r="E2049" t="s">
        <v>3760</v>
      </c>
      <c r="F2049" t="s">
        <v>3550</v>
      </c>
      <c r="H2049" t="s">
        <v>17</v>
      </c>
      <c r="I2049" t="s">
        <v>3457</v>
      </c>
    </row>
    <row r="2050" spans="1:9" x14ac:dyDescent="0.3">
      <c r="A2050" t="s">
        <v>3634</v>
      </c>
      <c r="B2050" t="s">
        <v>3545</v>
      </c>
      <c r="C2050" t="s">
        <v>13</v>
      </c>
      <c r="D2050" t="s">
        <v>2859</v>
      </c>
      <c r="E2050" t="s">
        <v>3761</v>
      </c>
      <c r="F2050" t="s">
        <v>3551</v>
      </c>
      <c r="H2050" t="s">
        <v>17</v>
      </c>
      <c r="I2050" t="s">
        <v>3457</v>
      </c>
    </row>
    <row r="2051" spans="1:9" x14ac:dyDescent="0.3">
      <c r="A2051" t="s">
        <v>3634</v>
      </c>
      <c r="B2051" t="s">
        <v>3545</v>
      </c>
      <c r="C2051" t="s">
        <v>13</v>
      </c>
      <c r="D2051" t="s">
        <v>2413</v>
      </c>
      <c r="E2051" t="s">
        <v>3762</v>
      </c>
      <c r="F2051" t="s">
        <v>3552</v>
      </c>
      <c r="H2051" t="s">
        <v>17</v>
      </c>
      <c r="I2051" t="s">
        <v>3457</v>
      </c>
    </row>
    <row r="2052" spans="1:9" x14ac:dyDescent="0.3">
      <c r="A2052" t="s">
        <v>3634</v>
      </c>
      <c r="B2052" t="s">
        <v>3545</v>
      </c>
      <c r="C2052" t="s">
        <v>13</v>
      </c>
      <c r="D2052" t="s">
        <v>2417</v>
      </c>
      <c r="E2052" t="s">
        <v>3763</v>
      </c>
      <c r="F2052" t="s">
        <v>3553</v>
      </c>
      <c r="H2052" t="s">
        <v>17</v>
      </c>
      <c r="I2052" t="s">
        <v>3457</v>
      </c>
    </row>
    <row r="2053" spans="1:9" x14ac:dyDescent="0.3">
      <c r="A2053" t="s">
        <v>3634</v>
      </c>
      <c r="B2053" t="s">
        <v>3545</v>
      </c>
      <c r="C2053" t="s">
        <v>13</v>
      </c>
      <c r="D2053" t="s">
        <v>2421</v>
      </c>
      <c r="E2053" t="s">
        <v>3764</v>
      </c>
      <c r="F2053" t="s">
        <v>3554</v>
      </c>
      <c r="H2053" t="s">
        <v>17</v>
      </c>
      <c r="I2053" t="s">
        <v>3457</v>
      </c>
    </row>
    <row r="2054" spans="1:9" x14ac:dyDescent="0.3">
      <c r="A2054" t="s">
        <v>3634</v>
      </c>
      <c r="B2054" t="s">
        <v>3545</v>
      </c>
      <c r="C2054" t="s">
        <v>13</v>
      </c>
      <c r="D2054" t="s">
        <v>1690</v>
      </c>
      <c r="E2054" t="s">
        <v>3765</v>
      </c>
      <c r="F2054" t="s">
        <v>3555</v>
      </c>
      <c r="H2054" t="s">
        <v>17</v>
      </c>
      <c r="I2054" t="s">
        <v>2794</v>
      </c>
    </row>
    <row r="2055" spans="1:9" x14ac:dyDescent="0.3">
      <c r="A2055" t="s">
        <v>3634</v>
      </c>
      <c r="B2055" t="s">
        <v>3545</v>
      </c>
      <c r="C2055" t="s">
        <v>13</v>
      </c>
      <c r="D2055" t="s">
        <v>2428</v>
      </c>
      <c r="E2055" t="s">
        <v>3766</v>
      </c>
      <c r="F2055" t="s">
        <v>3556</v>
      </c>
      <c r="H2055" t="s">
        <v>17</v>
      </c>
      <c r="I2055" t="s">
        <v>3557</v>
      </c>
    </row>
    <row r="2056" spans="1:9" x14ac:dyDescent="0.3">
      <c r="A2056" t="s">
        <v>3634</v>
      </c>
      <c r="B2056" t="s">
        <v>3545</v>
      </c>
      <c r="C2056" t="s">
        <v>13</v>
      </c>
      <c r="D2056" t="s">
        <v>2431</v>
      </c>
      <c r="E2056" t="s">
        <v>3767</v>
      </c>
      <c r="F2056" t="s">
        <v>3558</v>
      </c>
      <c r="H2056" t="s">
        <v>17</v>
      </c>
      <c r="I2056" t="s">
        <v>3557</v>
      </c>
    </row>
    <row r="2057" spans="1:9" x14ac:dyDescent="0.3">
      <c r="A2057" t="s">
        <v>3634</v>
      </c>
      <c r="B2057" t="s">
        <v>3545</v>
      </c>
      <c r="C2057" t="s">
        <v>13</v>
      </c>
      <c r="D2057" t="s">
        <v>1693</v>
      </c>
      <c r="E2057" t="s">
        <v>3768</v>
      </c>
      <c r="F2057" t="s">
        <v>3559</v>
      </c>
      <c r="H2057" t="s">
        <v>17</v>
      </c>
      <c r="I2057" t="s">
        <v>3769</v>
      </c>
    </row>
    <row r="2058" spans="1:9" x14ac:dyDescent="0.3">
      <c r="A2058" t="s">
        <v>3634</v>
      </c>
      <c r="B2058" t="s">
        <v>3545</v>
      </c>
      <c r="C2058" t="s">
        <v>13</v>
      </c>
      <c r="D2058" t="s">
        <v>3770</v>
      </c>
      <c r="E2058" t="s">
        <v>3771</v>
      </c>
      <c r="F2058" t="s">
        <v>3561</v>
      </c>
      <c r="H2058" t="s">
        <v>17</v>
      </c>
      <c r="I2058" t="s">
        <v>3772</v>
      </c>
    </row>
    <row r="2059" spans="1:9" x14ac:dyDescent="0.3">
      <c r="A2059" t="s">
        <v>3634</v>
      </c>
      <c r="B2059" t="s">
        <v>3545</v>
      </c>
      <c r="C2059" t="s">
        <v>13</v>
      </c>
      <c r="D2059" t="s">
        <v>3773</v>
      </c>
      <c r="E2059" t="s">
        <v>3774</v>
      </c>
      <c r="F2059" t="s">
        <v>3563</v>
      </c>
      <c r="H2059" t="s">
        <v>17</v>
      </c>
      <c r="I2059" t="s">
        <v>3775</v>
      </c>
    </row>
    <row r="2060" spans="1:9" x14ac:dyDescent="0.3">
      <c r="A2060" t="s">
        <v>3634</v>
      </c>
      <c r="B2060" t="s">
        <v>3545</v>
      </c>
      <c r="C2060" t="s">
        <v>13</v>
      </c>
      <c r="D2060" t="s">
        <v>3776</v>
      </c>
      <c r="E2060" t="s">
        <v>3777</v>
      </c>
      <c r="F2060" t="s">
        <v>3566</v>
      </c>
      <c r="H2060" t="s">
        <v>17</v>
      </c>
      <c r="I2060" t="s">
        <v>3778</v>
      </c>
    </row>
    <row r="2061" spans="1:9" x14ac:dyDescent="0.3">
      <c r="A2061" t="s">
        <v>3634</v>
      </c>
      <c r="B2061" t="s">
        <v>3545</v>
      </c>
      <c r="C2061" t="s">
        <v>13</v>
      </c>
      <c r="D2061" t="s">
        <v>3779</v>
      </c>
      <c r="E2061" t="s">
        <v>3780</v>
      </c>
      <c r="F2061" t="s">
        <v>3569</v>
      </c>
      <c r="H2061" t="s">
        <v>17</v>
      </c>
      <c r="I2061" t="s">
        <v>3781</v>
      </c>
    </row>
    <row r="2062" spans="1:9" x14ac:dyDescent="0.3">
      <c r="A2062" t="s">
        <v>3634</v>
      </c>
      <c r="B2062" t="s">
        <v>3571</v>
      </c>
      <c r="C2062" t="s">
        <v>13</v>
      </c>
      <c r="D2062" t="s">
        <v>3782</v>
      </c>
      <c r="E2062" t="s">
        <v>3783</v>
      </c>
      <c r="F2062" t="s">
        <v>3573</v>
      </c>
      <c r="H2062" t="s">
        <v>17</v>
      </c>
      <c r="I2062" t="s">
        <v>3781</v>
      </c>
    </row>
    <row r="2063" spans="1:9" x14ac:dyDescent="0.3">
      <c r="A2063" t="s">
        <v>3634</v>
      </c>
      <c r="B2063" t="s">
        <v>3571</v>
      </c>
      <c r="C2063" t="s">
        <v>13</v>
      </c>
      <c r="D2063" t="s">
        <v>3784</v>
      </c>
      <c r="E2063" t="s">
        <v>3785</v>
      </c>
      <c r="F2063" t="s">
        <v>3575</v>
      </c>
      <c r="H2063" t="s">
        <v>17</v>
      </c>
      <c r="I2063" t="s">
        <v>3781</v>
      </c>
    </row>
    <row r="2064" spans="1:9" x14ac:dyDescent="0.3">
      <c r="A2064" t="s">
        <v>3634</v>
      </c>
      <c r="B2064" t="s">
        <v>3571</v>
      </c>
      <c r="C2064" t="s">
        <v>13</v>
      </c>
      <c r="D2064" t="s">
        <v>3786</v>
      </c>
      <c r="E2064" t="s">
        <v>3787</v>
      </c>
      <c r="F2064" t="s">
        <v>3576</v>
      </c>
      <c r="H2064" t="s">
        <v>17</v>
      </c>
      <c r="I2064" t="s">
        <v>3788</v>
      </c>
    </row>
    <row r="2065" spans="1:9" x14ac:dyDescent="0.3">
      <c r="A2065" t="s">
        <v>3634</v>
      </c>
      <c r="B2065" t="s">
        <v>3571</v>
      </c>
      <c r="C2065" t="s">
        <v>13</v>
      </c>
      <c r="D2065" t="s">
        <v>3789</v>
      </c>
      <c r="E2065" t="s">
        <v>3790</v>
      </c>
      <c r="F2065" t="s">
        <v>3578</v>
      </c>
      <c r="H2065" t="s">
        <v>17</v>
      </c>
      <c r="I2065" t="s">
        <v>3781</v>
      </c>
    </row>
    <row r="2066" spans="1:9" x14ac:dyDescent="0.3">
      <c r="A2066" t="s">
        <v>3634</v>
      </c>
      <c r="B2066" t="s">
        <v>3571</v>
      </c>
      <c r="C2066" t="s">
        <v>13</v>
      </c>
      <c r="D2066" t="s">
        <v>457</v>
      </c>
      <c r="E2066" t="s">
        <v>3791</v>
      </c>
      <c r="F2066" t="s">
        <v>2926</v>
      </c>
      <c r="H2066" t="s">
        <v>17</v>
      </c>
      <c r="I2066" t="s">
        <v>3579</v>
      </c>
    </row>
    <row r="2067" spans="1:9" x14ac:dyDescent="0.3">
      <c r="A2067" t="s">
        <v>3634</v>
      </c>
      <c r="B2067" t="s">
        <v>3571</v>
      </c>
      <c r="C2067" t="s">
        <v>13</v>
      </c>
      <c r="D2067" t="s">
        <v>1370</v>
      </c>
      <c r="E2067" t="s">
        <v>3792</v>
      </c>
      <c r="F2067" t="s">
        <v>3580</v>
      </c>
      <c r="H2067" t="s">
        <v>17</v>
      </c>
      <c r="I2067" t="s">
        <v>3781</v>
      </c>
    </row>
    <row r="2068" spans="1:9" x14ac:dyDescent="0.3">
      <c r="A2068" t="s">
        <v>3634</v>
      </c>
      <c r="B2068" t="s">
        <v>3571</v>
      </c>
      <c r="C2068" t="s">
        <v>13</v>
      </c>
      <c r="D2068" t="s">
        <v>468</v>
      </c>
      <c r="E2068" t="s">
        <v>3793</v>
      </c>
      <c r="F2068" t="s">
        <v>3581</v>
      </c>
      <c r="H2068" t="s">
        <v>17</v>
      </c>
      <c r="I2068" t="s">
        <v>3582</v>
      </c>
    </row>
    <row r="2069" spans="1:9" x14ac:dyDescent="0.3">
      <c r="A2069" t="s">
        <v>3634</v>
      </c>
      <c r="B2069" t="s">
        <v>3571</v>
      </c>
      <c r="C2069" t="s">
        <v>13</v>
      </c>
      <c r="D2069" t="s">
        <v>3794</v>
      </c>
      <c r="E2069" t="s">
        <v>3795</v>
      </c>
      <c r="F2069" t="s">
        <v>3584</v>
      </c>
      <c r="H2069" t="s">
        <v>17</v>
      </c>
      <c r="I2069" t="s">
        <v>3796</v>
      </c>
    </row>
    <row r="2070" spans="1:9" x14ac:dyDescent="0.3">
      <c r="A2070" t="s">
        <v>3634</v>
      </c>
      <c r="B2070" t="s">
        <v>3571</v>
      </c>
      <c r="C2070" t="s">
        <v>13</v>
      </c>
      <c r="D2070" t="s">
        <v>3797</v>
      </c>
      <c r="E2070" t="s">
        <v>3798</v>
      </c>
      <c r="F2070" t="s">
        <v>3587</v>
      </c>
      <c r="H2070" t="s">
        <v>17</v>
      </c>
    </row>
    <row r="2071" spans="1:9" x14ac:dyDescent="0.3">
      <c r="A2071" t="s">
        <v>3634</v>
      </c>
      <c r="B2071" t="s">
        <v>3571</v>
      </c>
      <c r="C2071" t="s">
        <v>13</v>
      </c>
      <c r="D2071" t="s">
        <v>485</v>
      </c>
      <c r="E2071" t="s">
        <v>3799</v>
      </c>
      <c r="F2071" t="s">
        <v>3588</v>
      </c>
      <c r="H2071" t="s">
        <v>17</v>
      </c>
      <c r="I2071" t="s">
        <v>3589</v>
      </c>
    </row>
    <row r="2072" spans="1:9" x14ac:dyDescent="0.3">
      <c r="A2072" t="s">
        <v>3634</v>
      </c>
      <c r="B2072" t="s">
        <v>3571</v>
      </c>
      <c r="C2072" t="s">
        <v>13</v>
      </c>
      <c r="D2072" t="s">
        <v>3800</v>
      </c>
      <c r="E2072" t="s">
        <v>3801</v>
      </c>
      <c r="F2072" t="s">
        <v>3590</v>
      </c>
      <c r="H2072" t="s">
        <v>17</v>
      </c>
      <c r="I2072" t="s">
        <v>3796</v>
      </c>
    </row>
    <row r="2073" spans="1:9" x14ac:dyDescent="0.3">
      <c r="A2073" t="s">
        <v>3634</v>
      </c>
      <c r="B2073" t="s">
        <v>3571</v>
      </c>
      <c r="C2073" t="s">
        <v>13</v>
      </c>
      <c r="D2073" t="s">
        <v>3802</v>
      </c>
      <c r="E2073" t="s">
        <v>3803</v>
      </c>
      <c r="F2073" t="s">
        <v>3587</v>
      </c>
      <c r="H2073" t="s">
        <v>17</v>
      </c>
    </row>
    <row r="2074" spans="1:9" x14ac:dyDescent="0.3">
      <c r="A2074" t="s">
        <v>3634</v>
      </c>
      <c r="B2074" t="s">
        <v>3571</v>
      </c>
      <c r="C2074" t="s">
        <v>13</v>
      </c>
      <c r="D2074" t="s">
        <v>504</v>
      </c>
      <c r="E2074" t="s">
        <v>3804</v>
      </c>
      <c r="F2074" t="s">
        <v>3591</v>
      </c>
      <c r="H2074" t="s">
        <v>17</v>
      </c>
      <c r="I2074" t="s">
        <v>3592</v>
      </c>
    </row>
    <row r="2075" spans="1:9" x14ac:dyDescent="0.3">
      <c r="A2075" t="s">
        <v>3634</v>
      </c>
      <c r="B2075" t="s">
        <v>3571</v>
      </c>
      <c r="C2075" t="s">
        <v>13</v>
      </c>
      <c r="D2075" t="s">
        <v>3805</v>
      </c>
      <c r="E2075" t="s">
        <v>3806</v>
      </c>
      <c r="F2075" t="s">
        <v>3594</v>
      </c>
      <c r="H2075" t="s">
        <v>17</v>
      </c>
      <c r="I2075" t="s">
        <v>3796</v>
      </c>
    </row>
    <row r="2076" spans="1:9" x14ac:dyDescent="0.3">
      <c r="A2076" t="s">
        <v>3634</v>
      </c>
      <c r="B2076" t="s">
        <v>3571</v>
      </c>
      <c r="C2076" t="s">
        <v>13</v>
      </c>
      <c r="D2076" t="s">
        <v>3807</v>
      </c>
      <c r="E2076" t="s">
        <v>3808</v>
      </c>
      <c r="F2076" t="s">
        <v>3587</v>
      </c>
      <c r="H2076" t="s">
        <v>17</v>
      </c>
    </row>
    <row r="2077" spans="1:9" x14ac:dyDescent="0.3">
      <c r="A2077" t="s">
        <v>3634</v>
      </c>
      <c r="B2077" t="s">
        <v>3571</v>
      </c>
      <c r="C2077" t="s">
        <v>13</v>
      </c>
      <c r="D2077" t="s">
        <v>521</v>
      </c>
      <c r="E2077" t="s">
        <v>3809</v>
      </c>
      <c r="F2077" t="s">
        <v>3596</v>
      </c>
      <c r="H2077" t="s">
        <v>17</v>
      </c>
      <c r="I2077" t="s">
        <v>3582</v>
      </c>
    </row>
    <row r="2078" spans="1:9" x14ac:dyDescent="0.3">
      <c r="A2078" t="s">
        <v>3634</v>
      </c>
      <c r="B2078" t="s">
        <v>3571</v>
      </c>
      <c r="C2078" t="s">
        <v>13</v>
      </c>
      <c r="D2078" t="s">
        <v>3810</v>
      </c>
      <c r="E2078" t="s">
        <v>3811</v>
      </c>
      <c r="F2078" t="s">
        <v>3597</v>
      </c>
      <c r="H2078" t="s">
        <v>17</v>
      </c>
      <c r="I2078" t="s">
        <v>3796</v>
      </c>
    </row>
    <row r="2079" spans="1:9" x14ac:dyDescent="0.3">
      <c r="A2079" t="s">
        <v>3634</v>
      </c>
      <c r="B2079" t="s">
        <v>3571</v>
      </c>
      <c r="C2079" t="s">
        <v>13</v>
      </c>
      <c r="D2079" t="s">
        <v>3812</v>
      </c>
      <c r="E2079" t="s">
        <v>3813</v>
      </c>
      <c r="F2079" t="s">
        <v>3587</v>
      </c>
      <c r="H2079" t="s">
        <v>17</v>
      </c>
    </row>
    <row r="2080" spans="1:9" x14ac:dyDescent="0.3">
      <c r="A2080" t="s">
        <v>3634</v>
      </c>
      <c r="B2080" t="s">
        <v>3571</v>
      </c>
      <c r="C2080" t="s">
        <v>13</v>
      </c>
      <c r="D2080" t="s">
        <v>540</v>
      </c>
      <c r="E2080" t="s">
        <v>3814</v>
      </c>
      <c r="F2080" t="s">
        <v>3598</v>
      </c>
      <c r="H2080" t="s">
        <v>17</v>
      </c>
      <c r="I2080" t="s">
        <v>3599</v>
      </c>
    </row>
    <row r="2081" spans="1:9" x14ac:dyDescent="0.3">
      <c r="A2081" t="s">
        <v>3634</v>
      </c>
      <c r="B2081" t="s">
        <v>3571</v>
      </c>
      <c r="C2081" t="s">
        <v>13</v>
      </c>
      <c r="D2081" t="s">
        <v>3815</v>
      </c>
      <c r="E2081" t="s">
        <v>3816</v>
      </c>
      <c r="F2081" t="s">
        <v>3600</v>
      </c>
      <c r="H2081" t="s">
        <v>17</v>
      </c>
      <c r="I2081" t="s">
        <v>3796</v>
      </c>
    </row>
    <row r="2082" spans="1:9" x14ac:dyDescent="0.3">
      <c r="A2082" t="s">
        <v>3634</v>
      </c>
      <c r="B2082" t="s">
        <v>3571</v>
      </c>
      <c r="C2082" t="s">
        <v>13</v>
      </c>
      <c r="D2082" t="s">
        <v>555</v>
      </c>
      <c r="E2082" t="s">
        <v>3817</v>
      </c>
      <c r="F2082" t="s">
        <v>3587</v>
      </c>
      <c r="H2082" t="s">
        <v>17</v>
      </c>
    </row>
    <row r="2083" spans="1:9" x14ac:dyDescent="0.3">
      <c r="A2083" t="s">
        <v>3634</v>
      </c>
      <c r="B2083" t="s">
        <v>3601</v>
      </c>
      <c r="C2083" t="s">
        <v>13</v>
      </c>
      <c r="D2083" t="s">
        <v>559</v>
      </c>
      <c r="E2083" t="s">
        <v>3818</v>
      </c>
      <c r="F2083" t="s">
        <v>3602</v>
      </c>
      <c r="H2083" t="s">
        <v>17</v>
      </c>
      <c r="I2083" t="s">
        <v>3603</v>
      </c>
    </row>
    <row r="2084" spans="1:9" x14ac:dyDescent="0.3">
      <c r="A2084" t="s">
        <v>3634</v>
      </c>
      <c r="B2084" t="s">
        <v>3601</v>
      </c>
      <c r="C2084" t="s">
        <v>13</v>
      </c>
      <c r="D2084" t="s">
        <v>1422</v>
      </c>
      <c r="E2084" t="s">
        <v>3819</v>
      </c>
      <c r="F2084" t="s">
        <v>3604</v>
      </c>
      <c r="H2084" t="s">
        <v>17</v>
      </c>
      <c r="I2084" t="s">
        <v>3603</v>
      </c>
    </row>
    <row r="2085" spans="1:9" x14ac:dyDescent="0.3">
      <c r="A2085" t="s">
        <v>3634</v>
      </c>
      <c r="B2085" t="s">
        <v>3601</v>
      </c>
      <c r="C2085" t="s">
        <v>13</v>
      </c>
      <c r="D2085" t="s">
        <v>2539</v>
      </c>
      <c r="E2085" t="s">
        <v>3820</v>
      </c>
      <c r="F2085" t="s">
        <v>3605</v>
      </c>
      <c r="H2085" t="s">
        <v>17</v>
      </c>
      <c r="I2085" t="s">
        <v>3603</v>
      </c>
    </row>
    <row r="2086" spans="1:9" x14ac:dyDescent="0.3">
      <c r="A2086" t="s">
        <v>3634</v>
      </c>
      <c r="B2086" t="s">
        <v>3601</v>
      </c>
      <c r="C2086" t="s">
        <v>13</v>
      </c>
      <c r="D2086" t="s">
        <v>569</v>
      </c>
      <c r="E2086" t="s">
        <v>3821</v>
      </c>
      <c r="F2086" t="s">
        <v>3606</v>
      </c>
      <c r="H2086" t="s">
        <v>17</v>
      </c>
      <c r="I2086" t="s">
        <v>3603</v>
      </c>
    </row>
    <row r="2087" spans="1:9" x14ac:dyDescent="0.3">
      <c r="A2087" t="s">
        <v>3634</v>
      </c>
      <c r="B2087" t="s">
        <v>3601</v>
      </c>
      <c r="C2087" t="s">
        <v>13</v>
      </c>
      <c r="D2087" t="s">
        <v>574</v>
      </c>
      <c r="E2087" t="s">
        <v>3822</v>
      </c>
      <c r="F2087" t="s">
        <v>3607</v>
      </c>
      <c r="H2087" t="s">
        <v>17</v>
      </c>
      <c r="I2087" t="s">
        <v>3608</v>
      </c>
    </row>
    <row r="2088" spans="1:9" x14ac:dyDescent="0.3">
      <c r="A2088" t="s">
        <v>3634</v>
      </c>
      <c r="B2088" t="s">
        <v>3601</v>
      </c>
      <c r="C2088" t="s">
        <v>13</v>
      </c>
      <c r="D2088" t="s">
        <v>579</v>
      </c>
      <c r="E2088" t="s">
        <v>3823</v>
      </c>
      <c r="F2088" t="s">
        <v>3609</v>
      </c>
      <c r="H2088" t="s">
        <v>17</v>
      </c>
      <c r="I2088" t="s">
        <v>3610</v>
      </c>
    </row>
    <row r="2089" spans="1:9" x14ac:dyDescent="0.3">
      <c r="A2089" t="s">
        <v>3634</v>
      </c>
      <c r="B2089" t="s">
        <v>3601</v>
      </c>
      <c r="C2089" t="s">
        <v>13</v>
      </c>
      <c r="D2089" t="s">
        <v>1440</v>
      </c>
      <c r="E2089" t="s">
        <v>3824</v>
      </c>
      <c r="F2089" t="s">
        <v>1449</v>
      </c>
      <c r="H2089" t="s">
        <v>17</v>
      </c>
      <c r="I2089" t="s">
        <v>3825</v>
      </c>
    </row>
    <row r="2090" spans="1:9" x14ac:dyDescent="0.3">
      <c r="A2090" t="s">
        <v>3634</v>
      </c>
      <c r="B2090" t="s">
        <v>3601</v>
      </c>
      <c r="C2090" t="s">
        <v>13</v>
      </c>
      <c r="D2090" t="s">
        <v>1443</v>
      </c>
      <c r="E2090" t="s">
        <v>3826</v>
      </c>
      <c r="F2090" t="s">
        <v>3612</v>
      </c>
      <c r="H2090" t="s">
        <v>17</v>
      </c>
      <c r="I2090" t="s">
        <v>3613</v>
      </c>
    </row>
    <row r="2091" spans="1:9" x14ac:dyDescent="0.3">
      <c r="A2091" t="s">
        <v>3634</v>
      </c>
      <c r="B2091" t="s">
        <v>3601</v>
      </c>
      <c r="C2091" t="s">
        <v>13</v>
      </c>
      <c r="D2091" t="s">
        <v>3827</v>
      </c>
      <c r="E2091" t="s">
        <v>3828</v>
      </c>
      <c r="F2091" t="s">
        <v>3614</v>
      </c>
      <c r="H2091" t="s">
        <v>17</v>
      </c>
      <c r="I2091" t="s">
        <v>3615</v>
      </c>
    </row>
    <row r="2092" spans="1:9" x14ac:dyDescent="0.3">
      <c r="A2092" t="s">
        <v>3634</v>
      </c>
      <c r="B2092" t="s">
        <v>3601</v>
      </c>
      <c r="C2092" t="s">
        <v>13</v>
      </c>
      <c r="D2092" t="s">
        <v>3829</v>
      </c>
      <c r="E2092" t="s">
        <v>3830</v>
      </c>
      <c r="F2092" t="s">
        <v>3616</v>
      </c>
      <c r="H2092" t="s">
        <v>17</v>
      </c>
      <c r="I2092" t="s">
        <v>3617</v>
      </c>
    </row>
    <row r="2093" spans="1:9" x14ac:dyDescent="0.3">
      <c r="A2093" t="s">
        <v>3634</v>
      </c>
      <c r="B2093" t="s">
        <v>3601</v>
      </c>
      <c r="C2093" t="s">
        <v>13</v>
      </c>
      <c r="D2093" t="s">
        <v>3831</v>
      </c>
      <c r="E2093" t="s">
        <v>3832</v>
      </c>
      <c r="F2093" t="s">
        <v>2931</v>
      </c>
      <c r="H2093" t="s">
        <v>17</v>
      </c>
      <c r="I2093" t="s">
        <v>414</v>
      </c>
    </row>
    <row r="2094" spans="1:9" x14ac:dyDescent="0.3">
      <c r="A2094" t="s">
        <v>3634</v>
      </c>
      <c r="B2094" t="s">
        <v>3601</v>
      </c>
      <c r="C2094" t="s">
        <v>13</v>
      </c>
      <c r="D2094" t="s">
        <v>3833</v>
      </c>
      <c r="E2094" t="s">
        <v>3834</v>
      </c>
      <c r="F2094" t="s">
        <v>3350</v>
      </c>
      <c r="H2094" t="s">
        <v>17</v>
      </c>
      <c r="I2094" t="s">
        <v>3618</v>
      </c>
    </row>
    <row r="2095" spans="1:9" x14ac:dyDescent="0.3">
      <c r="A2095" t="s">
        <v>3634</v>
      </c>
      <c r="B2095" t="s">
        <v>3601</v>
      </c>
      <c r="C2095" t="s">
        <v>13</v>
      </c>
      <c r="D2095" t="s">
        <v>1455</v>
      </c>
      <c r="E2095" t="s">
        <v>3835</v>
      </c>
      <c r="F2095" t="s">
        <v>3619</v>
      </c>
      <c r="H2095" t="s">
        <v>17</v>
      </c>
      <c r="I2095" t="s">
        <v>3620</v>
      </c>
    </row>
    <row r="2096" spans="1:9" x14ac:dyDescent="0.3">
      <c r="A2096" t="s">
        <v>3634</v>
      </c>
      <c r="B2096" t="s">
        <v>3601</v>
      </c>
      <c r="C2096" t="s">
        <v>13</v>
      </c>
      <c r="D2096" t="s">
        <v>2563</v>
      </c>
      <c r="E2096" t="s">
        <v>3836</v>
      </c>
      <c r="F2096" t="s">
        <v>3622</v>
      </c>
      <c r="H2096" t="s">
        <v>17</v>
      </c>
      <c r="I2096" t="s">
        <v>414</v>
      </c>
    </row>
    <row r="2097" spans="1:9" x14ac:dyDescent="0.3">
      <c r="A2097" t="s">
        <v>3634</v>
      </c>
      <c r="B2097" t="s">
        <v>3601</v>
      </c>
      <c r="C2097" t="s">
        <v>13</v>
      </c>
      <c r="D2097" t="s">
        <v>3837</v>
      </c>
      <c r="E2097" t="s">
        <v>3838</v>
      </c>
      <c r="F2097" t="s">
        <v>3623</v>
      </c>
      <c r="H2097" t="s">
        <v>17</v>
      </c>
      <c r="I2097" t="s">
        <v>414</v>
      </c>
    </row>
    <row r="2098" spans="1:9" x14ac:dyDescent="0.3">
      <c r="A2098" t="s">
        <v>3634</v>
      </c>
      <c r="B2098" t="s">
        <v>3601</v>
      </c>
      <c r="C2098" t="s">
        <v>13</v>
      </c>
      <c r="D2098" t="s">
        <v>3839</v>
      </c>
      <c r="E2098" t="s">
        <v>3840</v>
      </c>
      <c r="F2098" t="s">
        <v>747</v>
      </c>
      <c r="H2098" t="s">
        <v>17</v>
      </c>
    </row>
    <row r="2099" spans="1:9" x14ac:dyDescent="0.3">
      <c r="A2099" t="s">
        <v>3634</v>
      </c>
      <c r="B2099" t="s">
        <v>3601</v>
      </c>
      <c r="C2099" t="s">
        <v>13</v>
      </c>
      <c r="D2099" t="s">
        <v>3841</v>
      </c>
      <c r="E2099" t="s">
        <v>3842</v>
      </c>
      <c r="F2099" t="s">
        <v>797</v>
      </c>
      <c r="H2099" t="s">
        <v>17</v>
      </c>
    </row>
    <row r="2100" spans="1:9" x14ac:dyDescent="0.3">
      <c r="A2100" t="s">
        <v>3634</v>
      </c>
      <c r="B2100" t="s">
        <v>3601</v>
      </c>
      <c r="C2100" t="s">
        <v>13</v>
      </c>
      <c r="D2100" t="s">
        <v>1475</v>
      </c>
      <c r="E2100" t="s">
        <v>3843</v>
      </c>
      <c r="F2100" t="s">
        <v>3626</v>
      </c>
      <c r="H2100" t="s">
        <v>17</v>
      </c>
      <c r="I2100" t="s">
        <v>3627</v>
      </c>
    </row>
    <row r="2101" spans="1:9" x14ac:dyDescent="0.3">
      <c r="A2101" t="s">
        <v>3634</v>
      </c>
      <c r="B2101" t="s">
        <v>3601</v>
      </c>
      <c r="C2101" t="s">
        <v>13</v>
      </c>
      <c r="D2101" t="s">
        <v>1478</v>
      </c>
      <c r="E2101" t="s">
        <v>3844</v>
      </c>
      <c r="F2101" t="s">
        <v>3628</v>
      </c>
      <c r="H2101" t="s">
        <v>17</v>
      </c>
    </row>
    <row r="2102" spans="1:9" x14ac:dyDescent="0.3">
      <c r="A2102" t="s">
        <v>3634</v>
      </c>
      <c r="B2102" t="s">
        <v>3601</v>
      </c>
      <c r="C2102" t="s">
        <v>13</v>
      </c>
      <c r="D2102" t="s">
        <v>1482</v>
      </c>
      <c r="E2102" t="s">
        <v>3845</v>
      </c>
      <c r="F2102" t="s">
        <v>3629</v>
      </c>
      <c r="H2102" t="s">
        <v>17</v>
      </c>
    </row>
    <row r="2103" spans="1:9" x14ac:dyDescent="0.3">
      <c r="A2103" t="s">
        <v>3634</v>
      </c>
      <c r="B2103" t="s">
        <v>3601</v>
      </c>
      <c r="C2103" t="s">
        <v>13</v>
      </c>
      <c r="D2103" t="s">
        <v>1487</v>
      </c>
      <c r="E2103" t="s">
        <v>3846</v>
      </c>
      <c r="F2103" t="s">
        <v>2192</v>
      </c>
      <c r="H2103" t="s">
        <v>17</v>
      </c>
      <c r="I2103" t="s">
        <v>3630</v>
      </c>
    </row>
    <row r="2104" spans="1:9" x14ac:dyDescent="0.3">
      <c r="A2104" t="s">
        <v>3634</v>
      </c>
      <c r="B2104" t="s">
        <v>3601</v>
      </c>
      <c r="C2104" t="s">
        <v>13</v>
      </c>
      <c r="D2104" t="s">
        <v>1491</v>
      </c>
      <c r="E2104" t="s">
        <v>3847</v>
      </c>
      <c r="F2104" t="s">
        <v>2196</v>
      </c>
      <c r="H2104" t="s">
        <v>17</v>
      </c>
      <c r="I2104" t="s">
        <v>3631</v>
      </c>
    </row>
    <row r="2105" spans="1:9" x14ac:dyDescent="0.3">
      <c r="A2105" t="s">
        <v>3634</v>
      </c>
      <c r="B2105" t="s">
        <v>3601</v>
      </c>
      <c r="C2105" t="s">
        <v>13</v>
      </c>
      <c r="D2105" t="s">
        <v>3848</v>
      </c>
      <c r="E2105" t="s">
        <v>3849</v>
      </c>
      <c r="F2105" t="s">
        <v>1703</v>
      </c>
      <c r="H2105" t="s">
        <v>17</v>
      </c>
    </row>
    <row r="2106" spans="1:9" x14ac:dyDescent="0.3">
      <c r="A2106" t="s">
        <v>3634</v>
      </c>
      <c r="B2106" t="s">
        <v>3601</v>
      </c>
      <c r="C2106" t="s">
        <v>13</v>
      </c>
      <c r="D2106" t="s">
        <v>3850</v>
      </c>
      <c r="E2106" t="s">
        <v>3851</v>
      </c>
      <c r="F2106" t="s">
        <v>2945</v>
      </c>
      <c r="H2106" t="s">
        <v>17</v>
      </c>
    </row>
    <row r="2107" spans="1:9" x14ac:dyDescent="0.3">
      <c r="A2107" t="s">
        <v>3634</v>
      </c>
      <c r="B2107" t="s">
        <v>3601</v>
      </c>
      <c r="C2107" t="s">
        <v>13</v>
      </c>
      <c r="D2107" t="s">
        <v>2592</v>
      </c>
      <c r="E2107" t="s">
        <v>3852</v>
      </c>
      <c r="F2107" t="s">
        <v>1706</v>
      </c>
      <c r="H2107" t="s">
        <v>17</v>
      </c>
    </row>
    <row r="2108" spans="1:9" x14ac:dyDescent="0.3">
      <c r="A2108" t="s">
        <v>3634</v>
      </c>
      <c r="B2108" t="s">
        <v>3601</v>
      </c>
      <c r="C2108" t="s">
        <v>13</v>
      </c>
      <c r="D2108" t="s">
        <v>3853</v>
      </c>
      <c r="E2108" t="s">
        <v>3854</v>
      </c>
      <c r="F2108" t="s">
        <v>3633</v>
      </c>
      <c r="H2108" t="s">
        <v>17</v>
      </c>
    </row>
    <row r="2109" spans="1:9" x14ac:dyDescent="0.3">
      <c r="A2109" t="s">
        <v>3634</v>
      </c>
      <c r="B2109" t="s">
        <v>3601</v>
      </c>
      <c r="C2109" t="s">
        <v>13</v>
      </c>
      <c r="D2109" t="s">
        <v>1508</v>
      </c>
      <c r="E2109" t="s">
        <v>3855</v>
      </c>
      <c r="F2109" t="s">
        <v>843</v>
      </c>
      <c r="H2109" t="s">
        <v>17</v>
      </c>
      <c r="I2109" t="s">
        <v>2209</v>
      </c>
    </row>
    <row r="2110" spans="1:9" x14ac:dyDescent="0.3">
      <c r="A2110" t="s">
        <v>3634</v>
      </c>
      <c r="B2110" t="s">
        <v>3601</v>
      </c>
      <c r="C2110" t="s">
        <v>13</v>
      </c>
      <c r="D2110" t="s">
        <v>1511</v>
      </c>
      <c r="E2110" t="s">
        <v>3856</v>
      </c>
      <c r="F2110" t="s">
        <v>3857</v>
      </c>
      <c r="H2110" t="s">
        <v>17</v>
      </c>
      <c r="I2110" t="s">
        <v>3858</v>
      </c>
    </row>
    <row r="2111" spans="1:9" x14ac:dyDescent="0.3">
      <c r="A2111" t="s">
        <v>3859</v>
      </c>
      <c r="E2111" t="s">
        <v>10</v>
      </c>
      <c r="F2111" t="s">
        <v>3860</v>
      </c>
    </row>
    <row r="2112" spans="1:9" x14ac:dyDescent="0.3">
      <c r="A2112" t="s">
        <v>3859</v>
      </c>
      <c r="C2112" t="s">
        <v>13</v>
      </c>
      <c r="D2112" t="s">
        <v>2948</v>
      </c>
      <c r="E2112" t="s">
        <v>1742</v>
      </c>
      <c r="F2112" t="s">
        <v>3861</v>
      </c>
      <c r="H2112" t="s">
        <v>17</v>
      </c>
    </row>
    <row r="2113" spans="1:9" x14ac:dyDescent="0.3">
      <c r="A2113" t="s">
        <v>3859</v>
      </c>
      <c r="C2113" t="s">
        <v>13</v>
      </c>
      <c r="D2113" t="s">
        <v>996</v>
      </c>
      <c r="E2113" t="s">
        <v>1744</v>
      </c>
      <c r="F2113" t="s">
        <v>2672</v>
      </c>
      <c r="H2113" t="s">
        <v>17</v>
      </c>
      <c r="I2113" t="s">
        <v>2673</v>
      </c>
    </row>
    <row r="2114" spans="1:9" x14ac:dyDescent="0.3">
      <c r="A2114" t="s">
        <v>3859</v>
      </c>
      <c r="C2114" t="s">
        <v>13</v>
      </c>
      <c r="D2114" t="s">
        <v>1001</v>
      </c>
      <c r="E2114" t="s">
        <v>1747</v>
      </c>
      <c r="F2114" t="s">
        <v>3862</v>
      </c>
      <c r="H2114" t="s">
        <v>17</v>
      </c>
      <c r="I2114" t="s">
        <v>3863</v>
      </c>
    </row>
    <row r="2115" spans="1:9" x14ac:dyDescent="0.3">
      <c r="A2115" t="s">
        <v>3859</v>
      </c>
      <c r="C2115" t="s">
        <v>13</v>
      </c>
      <c r="D2115" t="s">
        <v>1942</v>
      </c>
      <c r="E2115" t="s">
        <v>1750</v>
      </c>
      <c r="F2115" t="s">
        <v>2682</v>
      </c>
      <c r="H2115" t="s">
        <v>17</v>
      </c>
      <c r="I2115" t="s">
        <v>3864</v>
      </c>
    </row>
    <row r="2116" spans="1:9" x14ac:dyDescent="0.3">
      <c r="A2116" t="s">
        <v>3859</v>
      </c>
      <c r="C2116" t="s">
        <v>13</v>
      </c>
      <c r="D2116" t="s">
        <v>22</v>
      </c>
      <c r="E2116" t="s">
        <v>1752</v>
      </c>
      <c r="F2116" t="s">
        <v>3865</v>
      </c>
      <c r="H2116" t="s">
        <v>17</v>
      </c>
      <c r="I2116" t="s">
        <v>3866</v>
      </c>
    </row>
    <row r="2117" spans="1:9" x14ac:dyDescent="0.3">
      <c r="A2117" t="s">
        <v>3859</v>
      </c>
      <c r="C2117" t="s">
        <v>13</v>
      </c>
      <c r="D2117" t="s">
        <v>3867</v>
      </c>
      <c r="E2117" t="s">
        <v>1754</v>
      </c>
      <c r="F2117" t="s">
        <v>3868</v>
      </c>
      <c r="H2117" t="s">
        <v>17</v>
      </c>
      <c r="I2117" t="s">
        <v>3869</v>
      </c>
    </row>
    <row r="2118" spans="1:9" x14ac:dyDescent="0.3">
      <c r="A2118" t="s">
        <v>3859</v>
      </c>
      <c r="C2118" t="s">
        <v>13</v>
      </c>
      <c r="D2118" t="s">
        <v>36</v>
      </c>
      <c r="E2118" t="s">
        <v>1760</v>
      </c>
      <c r="F2118" t="s">
        <v>3870</v>
      </c>
      <c r="H2118" t="s">
        <v>17</v>
      </c>
      <c r="I2118" t="s">
        <v>3871</v>
      </c>
    </row>
    <row r="2119" spans="1:9" x14ac:dyDescent="0.3">
      <c r="A2119" t="s">
        <v>3859</v>
      </c>
      <c r="C2119" t="s">
        <v>13</v>
      </c>
      <c r="D2119" t="s">
        <v>41</v>
      </c>
      <c r="E2119" t="s">
        <v>1763</v>
      </c>
      <c r="F2119" t="s">
        <v>3872</v>
      </c>
      <c r="H2119" t="s">
        <v>17</v>
      </c>
      <c r="I2119" t="s">
        <v>3873</v>
      </c>
    </row>
    <row r="2120" spans="1:9" x14ac:dyDescent="0.3">
      <c r="A2120" t="s">
        <v>3859</v>
      </c>
      <c r="C2120" t="s">
        <v>13</v>
      </c>
      <c r="D2120" t="s">
        <v>45</v>
      </c>
      <c r="E2120" t="s">
        <v>1765</v>
      </c>
      <c r="F2120" t="s">
        <v>3874</v>
      </c>
      <c r="H2120" t="s">
        <v>17</v>
      </c>
      <c r="I2120" t="s">
        <v>3875</v>
      </c>
    </row>
    <row r="2121" spans="1:9" x14ac:dyDescent="0.3">
      <c r="A2121" t="s">
        <v>3859</v>
      </c>
      <c r="C2121" t="s">
        <v>13</v>
      </c>
      <c r="D2121" t="s">
        <v>50</v>
      </c>
      <c r="E2121" t="s">
        <v>1768</v>
      </c>
      <c r="F2121" t="s">
        <v>3876</v>
      </c>
      <c r="H2121" t="s">
        <v>17</v>
      </c>
      <c r="I2121" t="s">
        <v>3877</v>
      </c>
    </row>
    <row r="2122" spans="1:9" x14ac:dyDescent="0.3">
      <c r="A2122" t="s">
        <v>3859</v>
      </c>
      <c r="C2122" t="s">
        <v>13</v>
      </c>
      <c r="D2122" t="s">
        <v>53</v>
      </c>
      <c r="E2122" t="s">
        <v>1771</v>
      </c>
      <c r="F2122" t="s">
        <v>3878</v>
      </c>
      <c r="H2122" t="s">
        <v>17</v>
      </c>
      <c r="I2122" t="s">
        <v>3866</v>
      </c>
    </row>
    <row r="2123" spans="1:9" x14ac:dyDescent="0.3">
      <c r="A2123" t="s">
        <v>3859</v>
      </c>
      <c r="C2123" t="s">
        <v>13</v>
      </c>
      <c r="D2123" t="s">
        <v>56</v>
      </c>
      <c r="E2123" t="s">
        <v>1775</v>
      </c>
      <c r="F2123" t="s">
        <v>3879</v>
      </c>
      <c r="H2123" t="s">
        <v>17</v>
      </c>
      <c r="I2123" t="s">
        <v>3880</v>
      </c>
    </row>
    <row r="2124" spans="1:9" x14ac:dyDescent="0.3">
      <c r="A2124" t="s">
        <v>3859</v>
      </c>
      <c r="C2124" t="s">
        <v>13</v>
      </c>
      <c r="D2124" t="s">
        <v>61</v>
      </c>
      <c r="E2124" t="s">
        <v>1777</v>
      </c>
      <c r="F2124" t="s">
        <v>3881</v>
      </c>
      <c r="H2124" t="s">
        <v>17</v>
      </c>
      <c r="I2124" t="s">
        <v>3880</v>
      </c>
    </row>
    <row r="2125" spans="1:9" x14ac:dyDescent="0.3">
      <c r="A2125" t="s">
        <v>3859</v>
      </c>
      <c r="C2125" t="s">
        <v>13</v>
      </c>
      <c r="D2125" t="s">
        <v>66</v>
      </c>
      <c r="E2125" t="s">
        <v>1779</v>
      </c>
      <c r="F2125" t="s">
        <v>3882</v>
      </c>
      <c r="H2125" t="s">
        <v>17</v>
      </c>
      <c r="I2125" t="s">
        <v>3869</v>
      </c>
    </row>
    <row r="2126" spans="1:9" x14ac:dyDescent="0.3">
      <c r="A2126" t="s">
        <v>3859</v>
      </c>
      <c r="C2126" t="s">
        <v>13</v>
      </c>
      <c r="D2126" t="s">
        <v>71</v>
      </c>
      <c r="E2126" t="s">
        <v>1781</v>
      </c>
      <c r="F2126" t="s">
        <v>3883</v>
      </c>
      <c r="H2126" t="s">
        <v>17</v>
      </c>
      <c r="I2126" t="s">
        <v>3884</v>
      </c>
    </row>
    <row r="2127" spans="1:9" x14ac:dyDescent="0.3">
      <c r="A2127" t="s">
        <v>3859</v>
      </c>
      <c r="C2127" t="s">
        <v>13</v>
      </c>
      <c r="D2127" t="s">
        <v>1050</v>
      </c>
      <c r="E2127" t="s">
        <v>1784</v>
      </c>
      <c r="F2127" t="s">
        <v>3885</v>
      </c>
      <c r="H2127" t="s">
        <v>17</v>
      </c>
      <c r="I2127" t="s">
        <v>3880</v>
      </c>
    </row>
    <row r="2128" spans="1:9" x14ac:dyDescent="0.3">
      <c r="A2128" t="s">
        <v>3859</v>
      </c>
      <c r="C2128" t="s">
        <v>13</v>
      </c>
      <c r="D2128" t="s">
        <v>1055</v>
      </c>
      <c r="E2128" t="s">
        <v>1787</v>
      </c>
      <c r="F2128" t="s">
        <v>3886</v>
      </c>
      <c r="H2128" t="s">
        <v>17</v>
      </c>
      <c r="I2128" t="s">
        <v>3880</v>
      </c>
    </row>
    <row r="2129" spans="1:9" x14ac:dyDescent="0.3">
      <c r="A2129" t="s">
        <v>3859</v>
      </c>
      <c r="C2129" t="s">
        <v>13</v>
      </c>
      <c r="D2129" t="s">
        <v>80</v>
      </c>
      <c r="E2129" t="s">
        <v>1789</v>
      </c>
      <c r="F2129" t="s">
        <v>3887</v>
      </c>
      <c r="H2129" t="s">
        <v>17</v>
      </c>
      <c r="I2129" t="s">
        <v>3866</v>
      </c>
    </row>
    <row r="2130" spans="1:9" x14ac:dyDescent="0.3">
      <c r="A2130" t="s">
        <v>3859</v>
      </c>
      <c r="C2130" t="s">
        <v>13</v>
      </c>
      <c r="D2130" t="s">
        <v>3572</v>
      </c>
      <c r="E2130" t="s">
        <v>1793</v>
      </c>
      <c r="F2130" t="s">
        <v>3888</v>
      </c>
      <c r="H2130" t="s">
        <v>17</v>
      </c>
      <c r="I2130" t="s">
        <v>3869</v>
      </c>
    </row>
    <row r="2131" spans="1:9" x14ac:dyDescent="0.3">
      <c r="A2131" t="s">
        <v>3859</v>
      </c>
      <c r="C2131" t="s">
        <v>13</v>
      </c>
      <c r="D2131" t="s">
        <v>95</v>
      </c>
      <c r="E2131" t="s">
        <v>1795</v>
      </c>
      <c r="F2131" t="s">
        <v>3889</v>
      </c>
      <c r="H2131" t="s">
        <v>17</v>
      </c>
      <c r="I2131" t="s">
        <v>3890</v>
      </c>
    </row>
    <row r="2132" spans="1:9" x14ac:dyDescent="0.3">
      <c r="A2132" t="s">
        <v>3859</v>
      </c>
      <c r="C2132" t="s">
        <v>13</v>
      </c>
      <c r="D2132" t="s">
        <v>100</v>
      </c>
      <c r="E2132" t="s">
        <v>1798</v>
      </c>
      <c r="F2132" t="s">
        <v>3891</v>
      </c>
      <c r="H2132" t="s">
        <v>17</v>
      </c>
      <c r="I2132" t="s">
        <v>3890</v>
      </c>
    </row>
    <row r="2133" spans="1:9" x14ac:dyDescent="0.3">
      <c r="A2133" t="s">
        <v>3859</v>
      </c>
      <c r="C2133" t="s">
        <v>13</v>
      </c>
      <c r="D2133" t="s">
        <v>106</v>
      </c>
      <c r="E2133" t="s">
        <v>1801</v>
      </c>
      <c r="F2133" t="s">
        <v>3892</v>
      </c>
      <c r="H2133" t="s">
        <v>17</v>
      </c>
      <c r="I2133" t="s">
        <v>3893</v>
      </c>
    </row>
    <row r="2134" spans="1:9" x14ac:dyDescent="0.3">
      <c r="A2134" t="s">
        <v>3859</v>
      </c>
      <c r="C2134" t="s">
        <v>13</v>
      </c>
      <c r="D2134" t="s">
        <v>111</v>
      </c>
      <c r="E2134" t="s">
        <v>1803</v>
      </c>
      <c r="F2134" t="s">
        <v>3894</v>
      </c>
      <c r="H2134" t="s">
        <v>17</v>
      </c>
      <c r="I2134" t="s">
        <v>3893</v>
      </c>
    </row>
    <row r="2135" spans="1:9" x14ac:dyDescent="0.3">
      <c r="A2135" t="s">
        <v>3859</v>
      </c>
      <c r="C2135" t="s">
        <v>13</v>
      </c>
      <c r="D2135" t="s">
        <v>114</v>
      </c>
      <c r="E2135" t="s">
        <v>1806</v>
      </c>
      <c r="F2135" t="s">
        <v>3895</v>
      </c>
      <c r="H2135" t="s">
        <v>17</v>
      </c>
      <c r="I2135" t="s">
        <v>3893</v>
      </c>
    </row>
    <row r="2136" spans="1:9" x14ac:dyDescent="0.3">
      <c r="A2136" t="s">
        <v>3859</v>
      </c>
      <c r="C2136" t="s">
        <v>13</v>
      </c>
      <c r="D2136" t="s">
        <v>117</v>
      </c>
      <c r="E2136" t="s">
        <v>1808</v>
      </c>
      <c r="F2136" t="s">
        <v>3896</v>
      </c>
      <c r="H2136" t="s">
        <v>17</v>
      </c>
      <c r="I2136" t="s">
        <v>3897</v>
      </c>
    </row>
    <row r="2137" spans="1:9" x14ac:dyDescent="0.3">
      <c r="A2137" t="s">
        <v>3859</v>
      </c>
      <c r="C2137" t="s">
        <v>13</v>
      </c>
      <c r="D2137" t="s">
        <v>121</v>
      </c>
      <c r="E2137" t="s">
        <v>1811</v>
      </c>
      <c r="F2137" t="s">
        <v>3898</v>
      </c>
      <c r="H2137" t="s">
        <v>17</v>
      </c>
      <c r="I2137" t="s">
        <v>3899</v>
      </c>
    </row>
    <row r="2138" spans="1:9" x14ac:dyDescent="0.3">
      <c r="A2138" t="s">
        <v>3859</v>
      </c>
      <c r="B2138" t="s">
        <v>3900</v>
      </c>
      <c r="C2138" t="s">
        <v>13</v>
      </c>
      <c r="D2138" t="s">
        <v>126</v>
      </c>
      <c r="E2138" t="s">
        <v>1818</v>
      </c>
      <c r="F2138" t="s">
        <v>3901</v>
      </c>
      <c r="H2138" t="s">
        <v>17</v>
      </c>
      <c r="I2138" t="s">
        <v>3902</v>
      </c>
    </row>
    <row r="2139" spans="1:9" x14ac:dyDescent="0.3">
      <c r="A2139" t="s">
        <v>3859</v>
      </c>
      <c r="B2139" t="s">
        <v>3900</v>
      </c>
      <c r="C2139" t="s">
        <v>13</v>
      </c>
      <c r="D2139" t="s">
        <v>129</v>
      </c>
      <c r="E2139" t="s">
        <v>1820</v>
      </c>
      <c r="F2139" t="s">
        <v>3903</v>
      </c>
      <c r="H2139" t="s">
        <v>17</v>
      </c>
      <c r="I2139" t="s">
        <v>3902</v>
      </c>
    </row>
    <row r="2140" spans="1:9" x14ac:dyDescent="0.3">
      <c r="A2140" t="s">
        <v>3859</v>
      </c>
      <c r="B2140" t="s">
        <v>3900</v>
      </c>
      <c r="C2140" t="s">
        <v>13</v>
      </c>
      <c r="D2140" t="s">
        <v>132</v>
      </c>
      <c r="E2140" t="s">
        <v>1822</v>
      </c>
      <c r="F2140" t="s">
        <v>3904</v>
      </c>
      <c r="H2140" t="s">
        <v>17</v>
      </c>
      <c r="I2140" t="s">
        <v>3902</v>
      </c>
    </row>
    <row r="2141" spans="1:9" x14ac:dyDescent="0.3">
      <c r="A2141" t="s">
        <v>3859</v>
      </c>
      <c r="B2141" t="s">
        <v>3900</v>
      </c>
      <c r="C2141" t="s">
        <v>13</v>
      </c>
      <c r="D2141" t="s">
        <v>135</v>
      </c>
      <c r="E2141" t="s">
        <v>1824</v>
      </c>
      <c r="F2141" t="s">
        <v>3905</v>
      </c>
      <c r="H2141" t="s">
        <v>17</v>
      </c>
      <c r="I2141" t="s">
        <v>3902</v>
      </c>
    </row>
    <row r="2142" spans="1:9" x14ac:dyDescent="0.3">
      <c r="A2142" t="s">
        <v>3859</v>
      </c>
      <c r="B2142" t="s">
        <v>3900</v>
      </c>
      <c r="C2142" t="s">
        <v>13</v>
      </c>
      <c r="D2142" t="s">
        <v>138</v>
      </c>
      <c r="E2142" t="s">
        <v>1826</v>
      </c>
      <c r="F2142" t="s">
        <v>3906</v>
      </c>
      <c r="H2142" t="s">
        <v>17</v>
      </c>
      <c r="I2142" t="s">
        <v>3902</v>
      </c>
    </row>
    <row r="2143" spans="1:9" x14ac:dyDescent="0.3">
      <c r="A2143" t="s">
        <v>3859</v>
      </c>
      <c r="B2143" t="s">
        <v>3900</v>
      </c>
      <c r="C2143" t="s">
        <v>13</v>
      </c>
      <c r="D2143" t="s">
        <v>141</v>
      </c>
      <c r="E2143" t="s">
        <v>1828</v>
      </c>
      <c r="F2143" t="s">
        <v>3907</v>
      </c>
      <c r="H2143" t="s">
        <v>17</v>
      </c>
      <c r="I2143" t="s">
        <v>3902</v>
      </c>
    </row>
    <row r="2144" spans="1:9" x14ac:dyDescent="0.3">
      <c r="A2144" t="s">
        <v>3859</v>
      </c>
      <c r="B2144" t="s">
        <v>3900</v>
      </c>
      <c r="C2144" t="s">
        <v>13</v>
      </c>
      <c r="D2144" t="s">
        <v>144</v>
      </c>
      <c r="E2144" t="s">
        <v>1831</v>
      </c>
      <c r="F2144" t="s">
        <v>3908</v>
      </c>
      <c r="H2144" t="s">
        <v>17</v>
      </c>
      <c r="I2144" t="s">
        <v>3902</v>
      </c>
    </row>
    <row r="2145" spans="1:9" x14ac:dyDescent="0.3">
      <c r="A2145" t="s">
        <v>3859</v>
      </c>
      <c r="B2145" t="s">
        <v>3900</v>
      </c>
      <c r="C2145" t="s">
        <v>13</v>
      </c>
      <c r="D2145" t="s">
        <v>147</v>
      </c>
      <c r="E2145" t="s">
        <v>1833</v>
      </c>
      <c r="F2145" t="s">
        <v>3909</v>
      </c>
      <c r="H2145" t="s">
        <v>17</v>
      </c>
      <c r="I2145" t="s">
        <v>3910</v>
      </c>
    </row>
    <row r="2146" spans="1:9" x14ac:dyDescent="0.3">
      <c r="A2146" t="s">
        <v>3859</v>
      </c>
      <c r="B2146" t="s">
        <v>3900</v>
      </c>
      <c r="C2146" t="s">
        <v>13</v>
      </c>
      <c r="D2146" t="s">
        <v>152</v>
      </c>
      <c r="E2146" t="s">
        <v>1836</v>
      </c>
      <c r="F2146" t="s">
        <v>3911</v>
      </c>
      <c r="H2146" t="s">
        <v>17</v>
      </c>
      <c r="I2146" t="s">
        <v>3912</v>
      </c>
    </row>
    <row r="2147" spans="1:9" x14ac:dyDescent="0.3">
      <c r="A2147" t="s">
        <v>3859</v>
      </c>
      <c r="B2147" t="s">
        <v>3900</v>
      </c>
      <c r="C2147" t="s">
        <v>13</v>
      </c>
      <c r="D2147" t="s">
        <v>157</v>
      </c>
      <c r="E2147" t="s">
        <v>1838</v>
      </c>
      <c r="F2147" t="s">
        <v>3913</v>
      </c>
      <c r="H2147" t="s">
        <v>17</v>
      </c>
      <c r="I2147" t="s">
        <v>3912</v>
      </c>
    </row>
    <row r="2148" spans="1:9" x14ac:dyDescent="0.3">
      <c r="A2148" t="s">
        <v>3859</v>
      </c>
      <c r="B2148" t="s">
        <v>3900</v>
      </c>
      <c r="C2148" t="s">
        <v>13</v>
      </c>
      <c r="D2148" t="s">
        <v>162</v>
      </c>
      <c r="E2148" t="s">
        <v>1840</v>
      </c>
      <c r="F2148" t="s">
        <v>3914</v>
      </c>
      <c r="H2148" t="s">
        <v>17</v>
      </c>
      <c r="I2148" t="s">
        <v>3912</v>
      </c>
    </row>
    <row r="2149" spans="1:9" x14ac:dyDescent="0.3">
      <c r="A2149" t="s">
        <v>3859</v>
      </c>
      <c r="B2149" t="s">
        <v>3900</v>
      </c>
      <c r="C2149" t="s">
        <v>13</v>
      </c>
      <c r="D2149" t="s">
        <v>167</v>
      </c>
      <c r="E2149" t="s">
        <v>1843</v>
      </c>
      <c r="F2149" t="s">
        <v>3915</v>
      </c>
      <c r="H2149" t="s">
        <v>17</v>
      </c>
      <c r="I2149" t="s">
        <v>3880</v>
      </c>
    </row>
    <row r="2150" spans="1:9" x14ac:dyDescent="0.3">
      <c r="A2150" t="s">
        <v>3859</v>
      </c>
      <c r="B2150" t="s">
        <v>3900</v>
      </c>
      <c r="C2150" t="s">
        <v>13</v>
      </c>
      <c r="D2150" t="s">
        <v>172</v>
      </c>
      <c r="E2150" t="s">
        <v>1847</v>
      </c>
      <c r="F2150" t="s">
        <v>3916</v>
      </c>
      <c r="H2150" t="s">
        <v>17</v>
      </c>
      <c r="I2150" t="s">
        <v>3917</v>
      </c>
    </row>
    <row r="2151" spans="1:9" x14ac:dyDescent="0.3">
      <c r="A2151" t="s">
        <v>3859</v>
      </c>
      <c r="B2151" t="s">
        <v>3918</v>
      </c>
      <c r="C2151" t="s">
        <v>13</v>
      </c>
      <c r="D2151" t="s">
        <v>177</v>
      </c>
      <c r="E2151" t="s">
        <v>1851</v>
      </c>
      <c r="F2151" t="s">
        <v>3919</v>
      </c>
      <c r="H2151" t="s">
        <v>17</v>
      </c>
      <c r="I2151" t="s">
        <v>2836</v>
      </c>
    </row>
    <row r="2152" spans="1:9" x14ac:dyDescent="0.3">
      <c r="A2152" t="s">
        <v>3859</v>
      </c>
      <c r="B2152" t="s">
        <v>3918</v>
      </c>
      <c r="C2152" t="s">
        <v>13</v>
      </c>
      <c r="D2152" t="s">
        <v>182</v>
      </c>
      <c r="E2152" t="s">
        <v>1853</v>
      </c>
      <c r="F2152" t="s">
        <v>3920</v>
      </c>
      <c r="H2152" t="s">
        <v>17</v>
      </c>
      <c r="I2152" t="s">
        <v>2836</v>
      </c>
    </row>
    <row r="2153" spans="1:9" x14ac:dyDescent="0.3">
      <c r="A2153" t="s">
        <v>3859</v>
      </c>
      <c r="B2153" t="s">
        <v>3918</v>
      </c>
      <c r="C2153" t="s">
        <v>13</v>
      </c>
      <c r="D2153" t="s">
        <v>187</v>
      </c>
      <c r="E2153" t="s">
        <v>1855</v>
      </c>
      <c r="F2153" t="s">
        <v>3921</v>
      </c>
      <c r="H2153" t="s">
        <v>17</v>
      </c>
      <c r="I2153" t="s">
        <v>2836</v>
      </c>
    </row>
    <row r="2154" spans="1:9" x14ac:dyDescent="0.3">
      <c r="A2154" t="s">
        <v>3859</v>
      </c>
      <c r="B2154" t="s">
        <v>3922</v>
      </c>
      <c r="C2154" t="s">
        <v>13</v>
      </c>
      <c r="D2154" t="s">
        <v>193</v>
      </c>
      <c r="E2154" t="s">
        <v>1859</v>
      </c>
      <c r="F2154" t="s">
        <v>3923</v>
      </c>
      <c r="H2154" t="s">
        <v>17</v>
      </c>
      <c r="I2154" t="s">
        <v>3924</v>
      </c>
    </row>
    <row r="2155" spans="1:9" x14ac:dyDescent="0.3">
      <c r="A2155" t="s">
        <v>3859</v>
      </c>
      <c r="B2155" t="s">
        <v>3922</v>
      </c>
      <c r="C2155" t="s">
        <v>13</v>
      </c>
      <c r="D2155" t="s">
        <v>198</v>
      </c>
      <c r="E2155" t="s">
        <v>1861</v>
      </c>
      <c r="F2155" t="s">
        <v>3923</v>
      </c>
      <c r="H2155" t="s">
        <v>17</v>
      </c>
      <c r="I2155" t="s">
        <v>3925</v>
      </c>
    </row>
    <row r="2156" spans="1:9" x14ac:dyDescent="0.3">
      <c r="A2156" t="s">
        <v>3859</v>
      </c>
      <c r="B2156" t="s">
        <v>3922</v>
      </c>
      <c r="C2156" t="s">
        <v>13</v>
      </c>
      <c r="D2156" t="s">
        <v>202</v>
      </c>
      <c r="E2156" t="s">
        <v>1863</v>
      </c>
      <c r="F2156" t="s">
        <v>3923</v>
      </c>
      <c r="H2156" t="s">
        <v>17</v>
      </c>
      <c r="I2156" t="s">
        <v>3926</v>
      </c>
    </row>
    <row r="2157" spans="1:9" x14ac:dyDescent="0.3">
      <c r="A2157" t="s">
        <v>3859</v>
      </c>
      <c r="B2157" t="s">
        <v>3922</v>
      </c>
      <c r="C2157" t="s">
        <v>13</v>
      </c>
      <c r="D2157" t="s">
        <v>206</v>
      </c>
      <c r="E2157" t="s">
        <v>1865</v>
      </c>
      <c r="F2157" t="s">
        <v>3923</v>
      </c>
      <c r="H2157" t="s">
        <v>17</v>
      </c>
      <c r="I2157" t="s">
        <v>3927</v>
      </c>
    </row>
    <row r="2158" spans="1:9" x14ac:dyDescent="0.3">
      <c r="A2158" t="s">
        <v>3859</v>
      </c>
      <c r="B2158" t="s">
        <v>3922</v>
      </c>
      <c r="C2158" t="s">
        <v>13</v>
      </c>
      <c r="D2158" t="s">
        <v>210</v>
      </c>
      <c r="E2158" t="s">
        <v>1867</v>
      </c>
      <c r="F2158" t="s">
        <v>3923</v>
      </c>
      <c r="H2158" t="s">
        <v>17</v>
      </c>
      <c r="I2158" t="s">
        <v>3928</v>
      </c>
    </row>
    <row r="2159" spans="1:9" x14ac:dyDescent="0.3">
      <c r="A2159" t="s">
        <v>3859</v>
      </c>
      <c r="B2159" t="s">
        <v>3922</v>
      </c>
      <c r="C2159" t="s">
        <v>13</v>
      </c>
      <c r="D2159" t="s">
        <v>214</v>
      </c>
      <c r="E2159" t="s">
        <v>1869</v>
      </c>
      <c r="F2159" t="s">
        <v>3923</v>
      </c>
      <c r="H2159" t="s">
        <v>17</v>
      </c>
      <c r="I2159" t="s">
        <v>3929</v>
      </c>
    </row>
    <row r="2160" spans="1:9" x14ac:dyDescent="0.3">
      <c r="A2160" t="s">
        <v>3859</v>
      </c>
      <c r="B2160" t="s">
        <v>3922</v>
      </c>
      <c r="C2160" t="s">
        <v>13</v>
      </c>
      <c r="D2160" t="s">
        <v>218</v>
      </c>
      <c r="E2160" t="s">
        <v>1871</v>
      </c>
      <c r="F2160" t="s">
        <v>3923</v>
      </c>
      <c r="H2160" t="s">
        <v>17</v>
      </c>
      <c r="I2160" t="s">
        <v>3930</v>
      </c>
    </row>
    <row r="2161" spans="1:9" x14ac:dyDescent="0.3">
      <c r="A2161" t="s">
        <v>3859</v>
      </c>
      <c r="B2161" t="s">
        <v>3922</v>
      </c>
      <c r="C2161" t="s">
        <v>13</v>
      </c>
      <c r="D2161" t="s">
        <v>223</v>
      </c>
      <c r="E2161" t="s">
        <v>1873</v>
      </c>
      <c r="F2161" t="s">
        <v>3923</v>
      </c>
      <c r="H2161" t="s">
        <v>17</v>
      </c>
      <c r="I2161" t="s">
        <v>3931</v>
      </c>
    </row>
    <row r="2162" spans="1:9" x14ac:dyDescent="0.3">
      <c r="A2162" t="s">
        <v>3859</v>
      </c>
      <c r="B2162" t="s">
        <v>3922</v>
      </c>
      <c r="C2162" t="s">
        <v>13</v>
      </c>
      <c r="D2162" t="s">
        <v>228</v>
      </c>
      <c r="E2162" t="s">
        <v>1875</v>
      </c>
      <c r="F2162" t="s">
        <v>3923</v>
      </c>
      <c r="H2162" t="s">
        <v>17</v>
      </c>
      <c r="I2162" t="s">
        <v>3932</v>
      </c>
    </row>
    <row r="2163" spans="1:9" x14ac:dyDescent="0.3">
      <c r="A2163" t="s">
        <v>3859</v>
      </c>
      <c r="B2163" t="s">
        <v>3933</v>
      </c>
      <c r="C2163" t="s">
        <v>13</v>
      </c>
      <c r="D2163" t="s">
        <v>233</v>
      </c>
      <c r="E2163" t="s">
        <v>1882</v>
      </c>
      <c r="F2163" t="s">
        <v>3934</v>
      </c>
      <c r="H2163" t="s">
        <v>17</v>
      </c>
      <c r="I2163" t="s">
        <v>3924</v>
      </c>
    </row>
    <row r="2164" spans="1:9" x14ac:dyDescent="0.3">
      <c r="A2164" t="s">
        <v>3859</v>
      </c>
      <c r="B2164" t="s">
        <v>3933</v>
      </c>
      <c r="C2164" t="s">
        <v>13</v>
      </c>
      <c r="D2164" t="s">
        <v>236</v>
      </c>
      <c r="E2164" t="s">
        <v>1886</v>
      </c>
      <c r="F2164" t="s">
        <v>3934</v>
      </c>
      <c r="H2164" t="s">
        <v>17</v>
      </c>
      <c r="I2164" t="s">
        <v>3925</v>
      </c>
    </row>
    <row r="2165" spans="1:9" x14ac:dyDescent="0.3">
      <c r="A2165" t="s">
        <v>3859</v>
      </c>
      <c r="B2165" t="s">
        <v>3933</v>
      </c>
      <c r="C2165" t="s">
        <v>13</v>
      </c>
      <c r="D2165" t="s">
        <v>239</v>
      </c>
      <c r="E2165" t="s">
        <v>1889</v>
      </c>
      <c r="F2165" t="s">
        <v>3934</v>
      </c>
      <c r="H2165" t="s">
        <v>17</v>
      </c>
      <c r="I2165" t="s">
        <v>3926</v>
      </c>
    </row>
    <row r="2166" spans="1:9" x14ac:dyDescent="0.3">
      <c r="A2166" t="s">
        <v>3859</v>
      </c>
      <c r="B2166" t="s">
        <v>3933</v>
      </c>
      <c r="C2166" t="s">
        <v>13</v>
      </c>
      <c r="D2166" t="s">
        <v>1881</v>
      </c>
      <c r="E2166" t="s">
        <v>1893</v>
      </c>
      <c r="F2166" t="s">
        <v>3934</v>
      </c>
      <c r="H2166" t="s">
        <v>17</v>
      </c>
      <c r="I2166" t="s">
        <v>3927</v>
      </c>
    </row>
    <row r="2167" spans="1:9" x14ac:dyDescent="0.3">
      <c r="A2167" t="s">
        <v>3859</v>
      </c>
      <c r="B2167" t="s">
        <v>3933</v>
      </c>
      <c r="C2167" t="s">
        <v>13</v>
      </c>
      <c r="D2167" t="s">
        <v>1885</v>
      </c>
      <c r="E2167" t="s">
        <v>1896</v>
      </c>
      <c r="F2167" t="s">
        <v>3934</v>
      </c>
      <c r="H2167" t="s">
        <v>17</v>
      </c>
      <c r="I2167" t="s">
        <v>3928</v>
      </c>
    </row>
    <row r="2168" spans="1:9" x14ac:dyDescent="0.3">
      <c r="A2168" t="s">
        <v>3859</v>
      </c>
      <c r="B2168" t="s">
        <v>3933</v>
      </c>
      <c r="C2168" t="s">
        <v>13</v>
      </c>
      <c r="D2168" t="s">
        <v>1588</v>
      </c>
      <c r="E2168" t="s">
        <v>1898</v>
      </c>
      <c r="F2168" t="s">
        <v>3934</v>
      </c>
      <c r="H2168" t="s">
        <v>17</v>
      </c>
      <c r="I2168" t="s">
        <v>3929</v>
      </c>
    </row>
    <row r="2169" spans="1:9" x14ac:dyDescent="0.3">
      <c r="A2169" t="s">
        <v>3859</v>
      </c>
      <c r="B2169" t="s">
        <v>3933</v>
      </c>
      <c r="C2169" t="s">
        <v>13</v>
      </c>
      <c r="D2169" t="s">
        <v>1892</v>
      </c>
      <c r="E2169" t="s">
        <v>1901</v>
      </c>
      <c r="F2169" t="s">
        <v>3934</v>
      </c>
      <c r="H2169" t="s">
        <v>17</v>
      </c>
      <c r="I2169" t="s">
        <v>3930</v>
      </c>
    </row>
    <row r="2170" spans="1:9" x14ac:dyDescent="0.3">
      <c r="A2170" t="s">
        <v>3859</v>
      </c>
      <c r="B2170" t="s">
        <v>3933</v>
      </c>
      <c r="C2170" t="s">
        <v>13</v>
      </c>
      <c r="D2170" t="s">
        <v>1146</v>
      </c>
      <c r="E2170" t="s">
        <v>1903</v>
      </c>
      <c r="F2170" t="s">
        <v>3934</v>
      </c>
      <c r="H2170" t="s">
        <v>17</v>
      </c>
      <c r="I2170" t="s">
        <v>3935</v>
      </c>
    </row>
    <row r="2171" spans="1:9" x14ac:dyDescent="0.3">
      <c r="A2171" t="s">
        <v>3859</v>
      </c>
      <c r="B2171" t="s">
        <v>3933</v>
      </c>
      <c r="C2171" t="s">
        <v>13</v>
      </c>
      <c r="D2171" t="s">
        <v>1150</v>
      </c>
      <c r="E2171" t="s">
        <v>1905</v>
      </c>
      <c r="F2171" t="s">
        <v>3934</v>
      </c>
      <c r="H2171" t="s">
        <v>17</v>
      </c>
      <c r="I2171" t="s">
        <v>3931</v>
      </c>
    </row>
    <row r="2172" spans="1:9" x14ac:dyDescent="0.3">
      <c r="A2172" t="s">
        <v>3859</v>
      </c>
      <c r="B2172" t="s">
        <v>3933</v>
      </c>
      <c r="C2172" t="s">
        <v>13</v>
      </c>
      <c r="D2172" t="s">
        <v>1154</v>
      </c>
      <c r="E2172" t="s">
        <v>1907</v>
      </c>
      <c r="F2172" t="s">
        <v>3934</v>
      </c>
      <c r="H2172" t="s">
        <v>17</v>
      </c>
      <c r="I2172" t="s">
        <v>3936</v>
      </c>
    </row>
    <row r="2173" spans="1:9" x14ac:dyDescent="0.3">
      <c r="A2173" t="s">
        <v>3859</v>
      </c>
      <c r="B2173" t="s">
        <v>3933</v>
      </c>
      <c r="C2173" t="s">
        <v>13</v>
      </c>
      <c r="D2173" t="s">
        <v>1158</v>
      </c>
      <c r="E2173" t="s">
        <v>1909</v>
      </c>
      <c r="F2173" t="s">
        <v>3934</v>
      </c>
      <c r="H2173" t="s">
        <v>17</v>
      </c>
      <c r="I2173" t="s">
        <v>3932</v>
      </c>
    </row>
    <row r="2174" spans="1:9" x14ac:dyDescent="0.3">
      <c r="A2174" t="s">
        <v>3859</v>
      </c>
      <c r="B2174" t="s">
        <v>3937</v>
      </c>
      <c r="C2174" t="s">
        <v>13</v>
      </c>
      <c r="D2174" t="s">
        <v>1162</v>
      </c>
      <c r="E2174" t="s">
        <v>1914</v>
      </c>
      <c r="F2174" t="s">
        <v>3938</v>
      </c>
      <c r="H2174" t="s">
        <v>17</v>
      </c>
      <c r="I2174" t="s">
        <v>3924</v>
      </c>
    </row>
    <row r="2175" spans="1:9" x14ac:dyDescent="0.3">
      <c r="A2175" t="s">
        <v>3859</v>
      </c>
      <c r="B2175" t="s">
        <v>3937</v>
      </c>
      <c r="C2175" t="s">
        <v>13</v>
      </c>
      <c r="D2175" t="s">
        <v>1165</v>
      </c>
      <c r="E2175" t="s">
        <v>1917</v>
      </c>
      <c r="F2175" t="s">
        <v>3938</v>
      </c>
      <c r="H2175" t="s">
        <v>17</v>
      </c>
      <c r="I2175" t="s">
        <v>3925</v>
      </c>
    </row>
    <row r="2176" spans="1:9" x14ac:dyDescent="0.3">
      <c r="A2176" t="s">
        <v>3859</v>
      </c>
      <c r="B2176" t="s">
        <v>3937</v>
      </c>
      <c r="C2176" t="s">
        <v>13</v>
      </c>
      <c r="D2176" t="s">
        <v>1168</v>
      </c>
      <c r="E2176" t="s">
        <v>1919</v>
      </c>
      <c r="F2176" t="s">
        <v>3938</v>
      </c>
      <c r="H2176" t="s">
        <v>17</v>
      </c>
      <c r="I2176" t="s">
        <v>3926</v>
      </c>
    </row>
    <row r="2177" spans="1:9" x14ac:dyDescent="0.3">
      <c r="A2177" t="s">
        <v>3859</v>
      </c>
      <c r="B2177" t="s">
        <v>3937</v>
      </c>
      <c r="C2177" t="s">
        <v>13</v>
      </c>
      <c r="D2177" t="s">
        <v>1172</v>
      </c>
      <c r="E2177" t="s">
        <v>1921</v>
      </c>
      <c r="F2177" t="s">
        <v>3938</v>
      </c>
      <c r="H2177" t="s">
        <v>17</v>
      </c>
      <c r="I2177" t="s">
        <v>3927</v>
      </c>
    </row>
    <row r="2178" spans="1:9" x14ac:dyDescent="0.3">
      <c r="A2178" t="s">
        <v>3859</v>
      </c>
      <c r="B2178" t="s">
        <v>3937</v>
      </c>
      <c r="C2178" t="s">
        <v>13</v>
      </c>
      <c r="D2178" t="s">
        <v>1176</v>
      </c>
      <c r="E2178" t="s">
        <v>1923</v>
      </c>
      <c r="F2178" t="s">
        <v>3938</v>
      </c>
      <c r="H2178" t="s">
        <v>17</v>
      </c>
      <c r="I2178" t="s">
        <v>3928</v>
      </c>
    </row>
    <row r="2179" spans="1:9" x14ac:dyDescent="0.3">
      <c r="A2179" t="s">
        <v>3859</v>
      </c>
      <c r="B2179" t="s">
        <v>3937</v>
      </c>
      <c r="C2179" t="s">
        <v>13</v>
      </c>
      <c r="D2179" t="s">
        <v>1179</v>
      </c>
      <c r="E2179" t="s">
        <v>1925</v>
      </c>
      <c r="F2179" t="s">
        <v>3938</v>
      </c>
      <c r="H2179" t="s">
        <v>17</v>
      </c>
      <c r="I2179" t="s">
        <v>3929</v>
      </c>
    </row>
    <row r="2180" spans="1:9" x14ac:dyDescent="0.3">
      <c r="A2180" t="s">
        <v>3859</v>
      </c>
      <c r="B2180" t="s">
        <v>3937</v>
      </c>
      <c r="C2180" t="s">
        <v>13</v>
      </c>
      <c r="D2180" t="s">
        <v>1184</v>
      </c>
      <c r="E2180" t="s">
        <v>1927</v>
      </c>
      <c r="F2180" t="s">
        <v>3938</v>
      </c>
      <c r="H2180" t="s">
        <v>17</v>
      </c>
      <c r="I2180" t="s">
        <v>3930</v>
      </c>
    </row>
    <row r="2181" spans="1:9" x14ac:dyDescent="0.3">
      <c r="A2181" t="s">
        <v>3859</v>
      </c>
      <c r="B2181" t="s">
        <v>3937</v>
      </c>
      <c r="C2181" t="s">
        <v>13</v>
      </c>
      <c r="D2181" t="s">
        <v>1189</v>
      </c>
      <c r="E2181" t="s">
        <v>1929</v>
      </c>
      <c r="F2181" t="s">
        <v>3938</v>
      </c>
      <c r="H2181" t="s">
        <v>17</v>
      </c>
      <c r="I2181" t="s">
        <v>3935</v>
      </c>
    </row>
    <row r="2182" spans="1:9" x14ac:dyDescent="0.3">
      <c r="A2182" t="s">
        <v>3859</v>
      </c>
      <c r="B2182" t="s">
        <v>3937</v>
      </c>
      <c r="C2182" t="s">
        <v>13</v>
      </c>
      <c r="D2182" t="s">
        <v>1193</v>
      </c>
      <c r="E2182" t="s">
        <v>1931</v>
      </c>
      <c r="F2182" t="s">
        <v>3938</v>
      </c>
      <c r="H2182" t="s">
        <v>17</v>
      </c>
      <c r="I2182" t="s">
        <v>3931</v>
      </c>
    </row>
    <row r="2183" spans="1:9" x14ac:dyDescent="0.3">
      <c r="A2183" t="s">
        <v>3859</v>
      </c>
      <c r="B2183" t="s">
        <v>3937</v>
      </c>
      <c r="C2183" t="s">
        <v>13</v>
      </c>
      <c r="D2183" t="s">
        <v>1197</v>
      </c>
      <c r="E2183" t="s">
        <v>1933</v>
      </c>
      <c r="F2183" t="s">
        <v>3938</v>
      </c>
      <c r="H2183" t="s">
        <v>17</v>
      </c>
      <c r="I2183" t="s">
        <v>3936</v>
      </c>
    </row>
    <row r="2184" spans="1:9" x14ac:dyDescent="0.3">
      <c r="A2184" t="s">
        <v>3859</v>
      </c>
      <c r="B2184" t="s">
        <v>3937</v>
      </c>
      <c r="C2184" t="s">
        <v>1936</v>
      </c>
      <c r="D2184" t="s">
        <v>996</v>
      </c>
      <c r="E2184" t="s">
        <v>2671</v>
      </c>
      <c r="F2184" t="s">
        <v>3938</v>
      </c>
      <c r="H2184" t="s">
        <v>17</v>
      </c>
      <c r="I2184" t="s">
        <v>3932</v>
      </c>
    </row>
    <row r="2185" spans="1:9" x14ac:dyDescent="0.3">
      <c r="A2185" t="s">
        <v>3859</v>
      </c>
      <c r="B2185" t="s">
        <v>3939</v>
      </c>
      <c r="C2185" t="s">
        <v>1936</v>
      </c>
      <c r="D2185" t="s">
        <v>1001</v>
      </c>
      <c r="E2185" t="s">
        <v>2676</v>
      </c>
      <c r="F2185" t="s">
        <v>3940</v>
      </c>
      <c r="H2185" t="s">
        <v>17</v>
      </c>
      <c r="I2185" t="s">
        <v>3941</v>
      </c>
    </row>
    <row r="2186" spans="1:9" x14ac:dyDescent="0.3">
      <c r="A2186" t="s">
        <v>3859</v>
      </c>
      <c r="B2186" t="s">
        <v>3939</v>
      </c>
      <c r="C2186" t="s">
        <v>1936</v>
      </c>
      <c r="D2186" t="s">
        <v>1942</v>
      </c>
      <c r="E2186" t="s">
        <v>2679</v>
      </c>
      <c r="F2186" t="s">
        <v>3942</v>
      </c>
      <c r="H2186" t="s">
        <v>17</v>
      </c>
      <c r="I2186" t="s">
        <v>3941</v>
      </c>
    </row>
    <row r="2187" spans="1:9" x14ac:dyDescent="0.3">
      <c r="A2187" t="s">
        <v>3859</v>
      </c>
      <c r="B2187" t="s">
        <v>3939</v>
      </c>
      <c r="C2187" t="s">
        <v>1936</v>
      </c>
      <c r="D2187" t="s">
        <v>22</v>
      </c>
      <c r="E2187" t="s">
        <v>23</v>
      </c>
      <c r="F2187" t="s">
        <v>3943</v>
      </c>
      <c r="H2187" t="s">
        <v>17</v>
      </c>
      <c r="I2187" t="s">
        <v>3941</v>
      </c>
    </row>
    <row r="2188" spans="1:9" x14ac:dyDescent="0.3">
      <c r="A2188" t="s">
        <v>3859</v>
      </c>
      <c r="B2188" t="s">
        <v>3939</v>
      </c>
      <c r="C2188" t="s">
        <v>1936</v>
      </c>
      <c r="D2188" t="s">
        <v>27</v>
      </c>
      <c r="E2188" t="s">
        <v>28</v>
      </c>
      <c r="F2188" t="s">
        <v>3944</v>
      </c>
      <c r="H2188" t="s">
        <v>17</v>
      </c>
      <c r="I2188" t="s">
        <v>3941</v>
      </c>
    </row>
    <row r="2189" spans="1:9" x14ac:dyDescent="0.3">
      <c r="A2189" t="s">
        <v>3859</v>
      </c>
      <c r="B2189" t="s">
        <v>3939</v>
      </c>
      <c r="C2189" t="s">
        <v>1936</v>
      </c>
      <c r="D2189" t="s">
        <v>1014</v>
      </c>
      <c r="E2189" t="s">
        <v>33</v>
      </c>
      <c r="F2189" t="s">
        <v>3945</v>
      </c>
      <c r="H2189" t="s">
        <v>17</v>
      </c>
      <c r="I2189" t="s">
        <v>3941</v>
      </c>
    </row>
    <row r="2190" spans="1:9" x14ac:dyDescent="0.3">
      <c r="A2190" t="s">
        <v>3859</v>
      </c>
      <c r="B2190" t="s">
        <v>3939</v>
      </c>
      <c r="C2190" t="s">
        <v>1936</v>
      </c>
      <c r="D2190" t="s">
        <v>1017</v>
      </c>
      <c r="E2190" t="s">
        <v>2687</v>
      </c>
      <c r="F2190" t="s">
        <v>3946</v>
      </c>
      <c r="H2190" t="s">
        <v>17</v>
      </c>
      <c r="I2190" t="s">
        <v>3941</v>
      </c>
    </row>
    <row r="2191" spans="1:9" x14ac:dyDescent="0.3">
      <c r="A2191" t="s">
        <v>3859</v>
      </c>
      <c r="B2191" t="s">
        <v>3939</v>
      </c>
      <c r="C2191" t="s">
        <v>1936</v>
      </c>
      <c r="D2191" t="s">
        <v>36</v>
      </c>
      <c r="E2191" t="s">
        <v>37</v>
      </c>
      <c r="F2191" t="s">
        <v>3947</v>
      </c>
      <c r="H2191" t="s">
        <v>17</v>
      </c>
      <c r="I2191" t="s">
        <v>3941</v>
      </c>
    </row>
    <row r="2192" spans="1:9" x14ac:dyDescent="0.3">
      <c r="A2192" t="s">
        <v>3859</v>
      </c>
      <c r="B2192" t="s">
        <v>3939</v>
      </c>
      <c r="C2192" t="s">
        <v>1936</v>
      </c>
      <c r="D2192" t="s">
        <v>41</v>
      </c>
      <c r="E2192" t="s">
        <v>42</v>
      </c>
      <c r="F2192" t="s">
        <v>3948</v>
      </c>
      <c r="H2192" t="s">
        <v>17</v>
      </c>
      <c r="I2192" t="s">
        <v>3941</v>
      </c>
    </row>
    <row r="2193" spans="1:9" x14ac:dyDescent="0.3">
      <c r="A2193" t="s">
        <v>3859</v>
      </c>
      <c r="B2193" t="s">
        <v>3939</v>
      </c>
      <c r="C2193" t="s">
        <v>1936</v>
      </c>
      <c r="D2193" t="s">
        <v>45</v>
      </c>
      <c r="E2193" t="s">
        <v>46</v>
      </c>
      <c r="F2193" t="s">
        <v>3949</v>
      </c>
      <c r="H2193" t="s">
        <v>17</v>
      </c>
      <c r="I2193" t="s">
        <v>3941</v>
      </c>
    </row>
    <row r="2194" spans="1:9" x14ac:dyDescent="0.3">
      <c r="A2194" t="s">
        <v>3859</v>
      </c>
      <c r="B2194" t="s">
        <v>3939</v>
      </c>
      <c r="C2194" t="s">
        <v>1936</v>
      </c>
      <c r="D2194" t="s">
        <v>50</v>
      </c>
      <c r="E2194" t="s">
        <v>51</v>
      </c>
      <c r="F2194" t="s">
        <v>3950</v>
      </c>
      <c r="H2194" t="s">
        <v>17</v>
      </c>
      <c r="I2194" t="s">
        <v>3941</v>
      </c>
    </row>
    <row r="2195" spans="1:9" x14ac:dyDescent="0.3">
      <c r="A2195" t="s">
        <v>3859</v>
      </c>
      <c r="B2195" t="s">
        <v>3939</v>
      </c>
      <c r="C2195" t="s">
        <v>1936</v>
      </c>
      <c r="D2195" t="s">
        <v>53</v>
      </c>
      <c r="E2195" t="s">
        <v>54</v>
      </c>
      <c r="F2195" t="s">
        <v>3951</v>
      </c>
      <c r="H2195" t="s">
        <v>17</v>
      </c>
      <c r="I2195" t="s">
        <v>3941</v>
      </c>
    </row>
    <row r="2196" spans="1:9" x14ac:dyDescent="0.3">
      <c r="A2196" t="s">
        <v>3859</v>
      </c>
      <c r="B2196" t="s">
        <v>3939</v>
      </c>
      <c r="C2196" t="s">
        <v>1936</v>
      </c>
      <c r="D2196" t="s">
        <v>56</v>
      </c>
      <c r="E2196" t="s">
        <v>57</v>
      </c>
      <c r="F2196" t="s">
        <v>3952</v>
      </c>
      <c r="H2196" t="s">
        <v>17</v>
      </c>
      <c r="I2196" t="s">
        <v>3941</v>
      </c>
    </row>
    <row r="2197" spans="1:9" x14ac:dyDescent="0.3">
      <c r="A2197" t="s">
        <v>3859</v>
      </c>
      <c r="B2197" t="s">
        <v>3939</v>
      </c>
      <c r="C2197" t="s">
        <v>1936</v>
      </c>
      <c r="D2197" t="s">
        <v>61</v>
      </c>
      <c r="E2197" t="s">
        <v>62</v>
      </c>
      <c r="F2197" t="s">
        <v>3953</v>
      </c>
      <c r="H2197" t="s">
        <v>17</v>
      </c>
      <c r="I2197" t="s">
        <v>3954</v>
      </c>
    </row>
    <row r="2198" spans="1:9" x14ac:dyDescent="0.3">
      <c r="A2198" t="s">
        <v>3859</v>
      </c>
      <c r="B2198" t="s">
        <v>3939</v>
      </c>
      <c r="C2198" t="s">
        <v>1936</v>
      </c>
      <c r="D2198" t="s">
        <v>1039</v>
      </c>
      <c r="E2198" t="s">
        <v>67</v>
      </c>
      <c r="F2198" t="s">
        <v>3955</v>
      </c>
      <c r="H2198" t="s">
        <v>17</v>
      </c>
      <c r="I2198" t="s">
        <v>3956</v>
      </c>
    </row>
    <row r="2199" spans="1:9" x14ac:dyDescent="0.3">
      <c r="A2199" t="s">
        <v>3859</v>
      </c>
      <c r="B2199" t="s">
        <v>3939</v>
      </c>
      <c r="C2199" t="s">
        <v>1936</v>
      </c>
      <c r="D2199" t="s">
        <v>1043</v>
      </c>
      <c r="E2199" t="s">
        <v>77</v>
      </c>
      <c r="F2199" t="s">
        <v>3957</v>
      </c>
      <c r="H2199" t="s">
        <v>17</v>
      </c>
      <c r="I2199" t="s">
        <v>3893</v>
      </c>
    </row>
    <row r="2200" spans="1:9" x14ac:dyDescent="0.3">
      <c r="A2200" t="s">
        <v>3859</v>
      </c>
      <c r="B2200" t="s">
        <v>3939</v>
      </c>
      <c r="C2200" t="s">
        <v>1936</v>
      </c>
      <c r="D2200" t="s">
        <v>71</v>
      </c>
      <c r="E2200" t="s">
        <v>81</v>
      </c>
      <c r="F2200" t="s">
        <v>3958</v>
      </c>
      <c r="H2200" t="s">
        <v>17</v>
      </c>
      <c r="I2200" t="s">
        <v>3893</v>
      </c>
    </row>
    <row r="2201" spans="1:9" x14ac:dyDescent="0.3">
      <c r="A2201" t="s">
        <v>3859</v>
      </c>
      <c r="B2201" t="s">
        <v>3939</v>
      </c>
      <c r="C2201" t="s">
        <v>1936</v>
      </c>
      <c r="D2201" t="s">
        <v>1050</v>
      </c>
      <c r="E2201" t="s">
        <v>86</v>
      </c>
      <c r="F2201" t="s">
        <v>3959</v>
      </c>
      <c r="H2201" t="s">
        <v>17</v>
      </c>
      <c r="I2201" t="s">
        <v>3893</v>
      </c>
    </row>
    <row r="2202" spans="1:9" x14ac:dyDescent="0.3">
      <c r="A2202" t="s">
        <v>3859</v>
      </c>
      <c r="B2202" t="s">
        <v>3939</v>
      </c>
      <c r="C2202" t="s">
        <v>1936</v>
      </c>
      <c r="D2202" t="s">
        <v>1055</v>
      </c>
      <c r="E2202" t="s">
        <v>91</v>
      </c>
      <c r="F2202" t="s">
        <v>3960</v>
      </c>
      <c r="H2202" t="s">
        <v>17</v>
      </c>
      <c r="I2202" t="s">
        <v>3893</v>
      </c>
    </row>
    <row r="2203" spans="1:9" x14ac:dyDescent="0.3">
      <c r="A2203" t="s">
        <v>3859</v>
      </c>
      <c r="B2203" t="s">
        <v>3939</v>
      </c>
      <c r="C2203" t="s">
        <v>1936</v>
      </c>
      <c r="D2203" t="s">
        <v>80</v>
      </c>
      <c r="E2203" t="s">
        <v>96</v>
      </c>
      <c r="F2203" t="s">
        <v>3961</v>
      </c>
      <c r="H2203" t="s">
        <v>17</v>
      </c>
      <c r="I2203" t="s">
        <v>3893</v>
      </c>
    </row>
    <row r="2204" spans="1:9" x14ac:dyDescent="0.3">
      <c r="A2204" t="s">
        <v>3859</v>
      </c>
      <c r="B2204" t="s">
        <v>3939</v>
      </c>
      <c r="C2204" t="s">
        <v>1936</v>
      </c>
      <c r="D2204" t="s">
        <v>85</v>
      </c>
      <c r="E2204" t="s">
        <v>101</v>
      </c>
      <c r="F2204" t="s">
        <v>3962</v>
      </c>
      <c r="H2204" t="s">
        <v>17</v>
      </c>
      <c r="I2204" t="s">
        <v>3893</v>
      </c>
    </row>
    <row r="2205" spans="1:9" x14ac:dyDescent="0.3">
      <c r="A2205" t="s">
        <v>3859</v>
      </c>
      <c r="B2205" t="s">
        <v>3963</v>
      </c>
      <c r="C2205" t="s">
        <v>1936</v>
      </c>
      <c r="D2205" t="s">
        <v>90</v>
      </c>
      <c r="E2205" t="s">
        <v>112</v>
      </c>
      <c r="F2205" t="s">
        <v>3964</v>
      </c>
      <c r="H2205" t="s">
        <v>17</v>
      </c>
      <c r="I2205" t="s">
        <v>3965</v>
      </c>
    </row>
    <row r="2206" spans="1:9" x14ac:dyDescent="0.3">
      <c r="A2206" t="s">
        <v>3859</v>
      </c>
      <c r="B2206" t="s">
        <v>3963</v>
      </c>
      <c r="C2206" t="s">
        <v>1936</v>
      </c>
      <c r="D2206" t="s">
        <v>95</v>
      </c>
      <c r="E2206" t="s">
        <v>115</v>
      </c>
      <c r="F2206" t="s">
        <v>3519</v>
      </c>
      <c r="H2206" t="s">
        <v>17</v>
      </c>
      <c r="I2206" t="s">
        <v>3965</v>
      </c>
    </row>
    <row r="2207" spans="1:9" x14ac:dyDescent="0.3">
      <c r="A2207" t="s">
        <v>3859</v>
      </c>
      <c r="B2207" t="s">
        <v>3963</v>
      </c>
      <c r="C2207" t="s">
        <v>1936</v>
      </c>
      <c r="D2207" t="s">
        <v>100</v>
      </c>
      <c r="E2207" t="s">
        <v>118</v>
      </c>
      <c r="F2207" t="s">
        <v>2825</v>
      </c>
      <c r="H2207" t="s">
        <v>17</v>
      </c>
      <c r="I2207" t="s">
        <v>3965</v>
      </c>
    </row>
    <row r="2208" spans="1:9" x14ac:dyDescent="0.3">
      <c r="A2208" t="s">
        <v>3859</v>
      </c>
      <c r="B2208" t="s">
        <v>3963</v>
      </c>
      <c r="C2208" t="s">
        <v>1936</v>
      </c>
      <c r="D2208" t="s">
        <v>106</v>
      </c>
      <c r="E2208" t="s">
        <v>122</v>
      </c>
      <c r="F2208" t="s">
        <v>2821</v>
      </c>
      <c r="H2208" t="s">
        <v>17</v>
      </c>
      <c r="I2208" t="s">
        <v>3965</v>
      </c>
    </row>
    <row r="2209" spans="1:9" x14ac:dyDescent="0.3">
      <c r="A2209" t="s">
        <v>3859</v>
      </c>
      <c r="B2209" t="s">
        <v>3963</v>
      </c>
      <c r="C2209" t="s">
        <v>1936</v>
      </c>
      <c r="D2209" t="s">
        <v>111</v>
      </c>
      <c r="E2209" t="s">
        <v>127</v>
      </c>
      <c r="F2209" t="s">
        <v>2827</v>
      </c>
      <c r="H2209" t="s">
        <v>17</v>
      </c>
      <c r="I2209" t="s">
        <v>3965</v>
      </c>
    </row>
    <row r="2210" spans="1:9" x14ac:dyDescent="0.3">
      <c r="A2210" t="s">
        <v>3859</v>
      </c>
      <c r="B2210" t="s">
        <v>3963</v>
      </c>
      <c r="C2210" t="s">
        <v>1936</v>
      </c>
      <c r="D2210" t="s">
        <v>114</v>
      </c>
      <c r="E2210" t="s">
        <v>130</v>
      </c>
      <c r="F2210" t="s">
        <v>3525</v>
      </c>
      <c r="H2210" t="s">
        <v>17</v>
      </c>
      <c r="I2210" t="s">
        <v>3965</v>
      </c>
    </row>
    <row r="2211" spans="1:9" x14ac:dyDescent="0.3">
      <c r="A2211" t="s">
        <v>3859</v>
      </c>
      <c r="B2211" t="s">
        <v>3963</v>
      </c>
      <c r="C2211" t="s">
        <v>1936</v>
      </c>
      <c r="D2211" t="s">
        <v>117</v>
      </c>
      <c r="E2211" t="s">
        <v>133</v>
      </c>
      <c r="F2211" t="s">
        <v>3966</v>
      </c>
      <c r="H2211" t="s">
        <v>17</v>
      </c>
      <c r="I2211" t="s">
        <v>3965</v>
      </c>
    </row>
    <row r="2212" spans="1:9" x14ac:dyDescent="0.3">
      <c r="A2212" t="s">
        <v>3859</v>
      </c>
      <c r="B2212" t="s">
        <v>3963</v>
      </c>
      <c r="C2212" t="s">
        <v>1936</v>
      </c>
      <c r="D2212" t="s">
        <v>121</v>
      </c>
      <c r="E2212" t="s">
        <v>136</v>
      </c>
      <c r="F2212" t="s">
        <v>3967</v>
      </c>
      <c r="H2212" t="s">
        <v>17</v>
      </c>
      <c r="I2212" t="s">
        <v>3965</v>
      </c>
    </row>
    <row r="2213" spans="1:9" x14ac:dyDescent="0.3">
      <c r="A2213" t="s">
        <v>3859</v>
      </c>
      <c r="B2213" t="s">
        <v>3963</v>
      </c>
      <c r="C2213" t="s">
        <v>1936</v>
      </c>
      <c r="D2213" t="s">
        <v>126</v>
      </c>
      <c r="E2213" t="s">
        <v>139</v>
      </c>
      <c r="F2213" t="s">
        <v>3968</v>
      </c>
      <c r="H2213" t="s">
        <v>17</v>
      </c>
      <c r="I2213" t="s">
        <v>3965</v>
      </c>
    </row>
    <row r="2214" spans="1:9" x14ac:dyDescent="0.3">
      <c r="A2214" t="s">
        <v>3859</v>
      </c>
      <c r="B2214" t="s">
        <v>3963</v>
      </c>
      <c r="C2214" t="s">
        <v>1936</v>
      </c>
      <c r="D2214" t="s">
        <v>129</v>
      </c>
      <c r="E2214" t="s">
        <v>142</v>
      </c>
      <c r="F2214" t="s">
        <v>3533</v>
      </c>
      <c r="H2214" t="s">
        <v>17</v>
      </c>
      <c r="I2214" t="s">
        <v>3965</v>
      </c>
    </row>
    <row r="2215" spans="1:9" x14ac:dyDescent="0.3">
      <c r="A2215" t="s">
        <v>3859</v>
      </c>
      <c r="B2215" t="s">
        <v>3963</v>
      </c>
      <c r="C2215" t="s">
        <v>1936</v>
      </c>
      <c r="D2215" t="s">
        <v>132</v>
      </c>
      <c r="E2215" t="s">
        <v>145</v>
      </c>
      <c r="F2215" t="s">
        <v>3969</v>
      </c>
      <c r="H2215" t="s">
        <v>17</v>
      </c>
      <c r="I2215" t="s">
        <v>3965</v>
      </c>
    </row>
    <row r="2216" spans="1:9" x14ac:dyDescent="0.3">
      <c r="A2216" t="s">
        <v>3859</v>
      </c>
      <c r="B2216" t="s">
        <v>3963</v>
      </c>
      <c r="C2216" t="s">
        <v>1936</v>
      </c>
      <c r="D2216" t="s">
        <v>135</v>
      </c>
      <c r="E2216" t="s">
        <v>148</v>
      </c>
      <c r="F2216" t="s">
        <v>2823</v>
      </c>
      <c r="H2216" t="s">
        <v>17</v>
      </c>
      <c r="I2216" t="s">
        <v>3965</v>
      </c>
    </row>
    <row r="2217" spans="1:9" x14ac:dyDescent="0.3">
      <c r="A2217" t="s">
        <v>3859</v>
      </c>
      <c r="B2217" t="s">
        <v>3963</v>
      </c>
      <c r="C2217" t="s">
        <v>1936</v>
      </c>
      <c r="D2217" t="s">
        <v>138</v>
      </c>
      <c r="E2217" t="s">
        <v>153</v>
      </c>
      <c r="F2217" t="s">
        <v>3970</v>
      </c>
      <c r="H2217" t="s">
        <v>17</v>
      </c>
      <c r="I2217" t="s">
        <v>3965</v>
      </c>
    </row>
    <row r="2218" spans="1:9" x14ac:dyDescent="0.3">
      <c r="A2218" t="s">
        <v>3859</v>
      </c>
      <c r="B2218" t="s">
        <v>3963</v>
      </c>
      <c r="C2218" t="s">
        <v>1936</v>
      </c>
      <c r="D2218" t="s">
        <v>141</v>
      </c>
      <c r="E2218" t="s">
        <v>158</v>
      </c>
      <c r="F2218" t="s">
        <v>3470</v>
      </c>
      <c r="H2218" t="s">
        <v>17</v>
      </c>
      <c r="I2218" t="s">
        <v>3965</v>
      </c>
    </row>
    <row r="2219" spans="1:9" x14ac:dyDescent="0.3">
      <c r="A2219" t="s">
        <v>3859</v>
      </c>
      <c r="B2219" t="s">
        <v>3963</v>
      </c>
      <c r="C2219" t="s">
        <v>1936</v>
      </c>
      <c r="D2219" t="s">
        <v>144</v>
      </c>
      <c r="E2219" t="s">
        <v>163</v>
      </c>
      <c r="F2219" t="s">
        <v>3971</v>
      </c>
      <c r="H2219" t="s">
        <v>17</v>
      </c>
      <c r="I2219" t="s">
        <v>3965</v>
      </c>
    </row>
    <row r="2220" spans="1:9" x14ac:dyDescent="0.3">
      <c r="A2220" t="s">
        <v>3859</v>
      </c>
      <c r="B2220" t="s">
        <v>3963</v>
      </c>
      <c r="C2220" t="s">
        <v>1936</v>
      </c>
      <c r="D2220" t="s">
        <v>2902</v>
      </c>
      <c r="E2220" t="s">
        <v>168</v>
      </c>
      <c r="F2220" t="s">
        <v>3972</v>
      </c>
      <c r="H2220" t="s">
        <v>17</v>
      </c>
      <c r="I2220" t="s">
        <v>3973</v>
      </c>
    </row>
    <row r="2221" spans="1:9" x14ac:dyDescent="0.3">
      <c r="A2221" t="s">
        <v>3859</v>
      </c>
      <c r="B2221" t="s">
        <v>3963</v>
      </c>
      <c r="C2221" t="s">
        <v>1936</v>
      </c>
      <c r="D2221" t="s">
        <v>157</v>
      </c>
      <c r="E2221" t="s">
        <v>173</v>
      </c>
      <c r="F2221" t="s">
        <v>3974</v>
      </c>
      <c r="H2221" t="s">
        <v>17</v>
      </c>
      <c r="I2221" t="s">
        <v>3975</v>
      </c>
    </row>
    <row r="2222" spans="1:9" x14ac:dyDescent="0.3">
      <c r="A2222" t="s">
        <v>3859</v>
      </c>
      <c r="B2222" t="s">
        <v>3963</v>
      </c>
      <c r="C2222" t="s">
        <v>1936</v>
      </c>
      <c r="D2222" t="s">
        <v>1100</v>
      </c>
      <c r="E2222" t="s">
        <v>178</v>
      </c>
      <c r="F2222" t="s">
        <v>3976</v>
      </c>
      <c r="H2222" t="s">
        <v>17</v>
      </c>
      <c r="I2222" t="s">
        <v>3973</v>
      </c>
    </row>
    <row r="2223" spans="1:9" x14ac:dyDescent="0.3">
      <c r="A2223" t="s">
        <v>3859</v>
      </c>
      <c r="B2223" t="s">
        <v>3963</v>
      </c>
      <c r="C2223" t="s">
        <v>1936</v>
      </c>
      <c r="D2223" t="s">
        <v>1109</v>
      </c>
      <c r="E2223" t="s">
        <v>183</v>
      </c>
      <c r="F2223" t="s">
        <v>3977</v>
      </c>
      <c r="H2223" t="s">
        <v>17</v>
      </c>
      <c r="I2223" t="s">
        <v>3973</v>
      </c>
    </row>
    <row r="2224" spans="1:9" x14ac:dyDescent="0.3">
      <c r="A2224" t="s">
        <v>3859</v>
      </c>
      <c r="B2224" t="s">
        <v>3963</v>
      </c>
      <c r="C2224" t="s">
        <v>1936</v>
      </c>
      <c r="D2224" t="s">
        <v>1114</v>
      </c>
      <c r="E2224" t="s">
        <v>188</v>
      </c>
      <c r="F2224" t="s">
        <v>3978</v>
      </c>
      <c r="H2224" t="s">
        <v>17</v>
      </c>
      <c r="I2224" t="s">
        <v>3979</v>
      </c>
    </row>
    <row r="2225" spans="1:9" x14ac:dyDescent="0.3">
      <c r="A2225" t="s">
        <v>3859</v>
      </c>
      <c r="B2225" t="s">
        <v>3963</v>
      </c>
      <c r="C2225" t="s">
        <v>1936</v>
      </c>
      <c r="D2225" t="s">
        <v>1118</v>
      </c>
      <c r="E2225" t="s">
        <v>194</v>
      </c>
      <c r="F2225" t="s">
        <v>3980</v>
      </c>
      <c r="H2225" t="s">
        <v>17</v>
      </c>
      <c r="I2225" t="s">
        <v>3981</v>
      </c>
    </row>
    <row r="2226" spans="1:9" x14ac:dyDescent="0.3">
      <c r="A2226" t="s">
        <v>3859</v>
      </c>
      <c r="B2226" t="s">
        <v>3963</v>
      </c>
      <c r="C2226" t="s">
        <v>1936</v>
      </c>
      <c r="D2226" t="s">
        <v>210</v>
      </c>
      <c r="E2226" t="s">
        <v>199</v>
      </c>
      <c r="F2226" t="s">
        <v>3982</v>
      </c>
      <c r="H2226" t="s">
        <v>17</v>
      </c>
      <c r="I2226" t="s">
        <v>2589</v>
      </c>
    </row>
    <row r="2227" spans="1:9" x14ac:dyDescent="0.3">
      <c r="A2227" t="s">
        <v>3859</v>
      </c>
      <c r="B2227" t="s">
        <v>3963</v>
      </c>
      <c r="C2227" t="s">
        <v>1936</v>
      </c>
      <c r="D2227" t="s">
        <v>214</v>
      </c>
      <c r="E2227" t="s">
        <v>203</v>
      </c>
      <c r="F2227" t="s">
        <v>2918</v>
      </c>
      <c r="H2227" t="s">
        <v>17</v>
      </c>
      <c r="I2227" t="s">
        <v>3983</v>
      </c>
    </row>
    <row r="2228" spans="1:9" x14ac:dyDescent="0.3">
      <c r="A2228" t="s">
        <v>3859</v>
      </c>
      <c r="B2228" t="s">
        <v>3963</v>
      </c>
      <c r="C2228" t="s">
        <v>1936</v>
      </c>
      <c r="D2228" t="s">
        <v>218</v>
      </c>
      <c r="E2228" t="s">
        <v>207</v>
      </c>
      <c r="F2228" t="s">
        <v>3984</v>
      </c>
      <c r="H2228" t="s">
        <v>17</v>
      </c>
      <c r="I2228" t="s">
        <v>3985</v>
      </c>
    </row>
    <row r="2229" spans="1:9" x14ac:dyDescent="0.3">
      <c r="A2229" t="s">
        <v>3859</v>
      </c>
      <c r="B2229" t="s">
        <v>3963</v>
      </c>
      <c r="C2229" t="s">
        <v>1936</v>
      </c>
      <c r="D2229" t="s">
        <v>223</v>
      </c>
      <c r="E2229" t="s">
        <v>211</v>
      </c>
      <c r="F2229" t="s">
        <v>3986</v>
      </c>
      <c r="H2229" t="s">
        <v>17</v>
      </c>
      <c r="I2229" t="s">
        <v>3987</v>
      </c>
    </row>
    <row r="2230" spans="1:9" x14ac:dyDescent="0.3">
      <c r="A2230" t="s">
        <v>3859</v>
      </c>
      <c r="B2230" t="s">
        <v>3963</v>
      </c>
      <c r="C2230" t="s">
        <v>1936</v>
      </c>
      <c r="D2230" t="s">
        <v>228</v>
      </c>
      <c r="E2230" t="s">
        <v>215</v>
      </c>
      <c r="F2230" t="s">
        <v>3988</v>
      </c>
      <c r="H2230" t="s">
        <v>17</v>
      </c>
      <c r="I2230" t="s">
        <v>3989</v>
      </c>
    </row>
    <row r="2231" spans="1:9" x14ac:dyDescent="0.3">
      <c r="A2231" t="s">
        <v>3859</v>
      </c>
      <c r="B2231" t="s">
        <v>3963</v>
      </c>
      <c r="C2231" t="s">
        <v>1936</v>
      </c>
      <c r="D2231" t="s">
        <v>233</v>
      </c>
      <c r="E2231" t="s">
        <v>1584</v>
      </c>
      <c r="F2231" t="s">
        <v>3990</v>
      </c>
      <c r="H2231" t="s">
        <v>17</v>
      </c>
      <c r="I2231" t="s">
        <v>3991</v>
      </c>
    </row>
    <row r="2232" spans="1:9" x14ac:dyDescent="0.3">
      <c r="A2232" t="s">
        <v>3859</v>
      </c>
      <c r="B2232" t="s">
        <v>3963</v>
      </c>
      <c r="C2232" t="s">
        <v>1936</v>
      </c>
      <c r="D2232" t="s">
        <v>236</v>
      </c>
      <c r="E2232" t="s">
        <v>219</v>
      </c>
      <c r="F2232" t="s">
        <v>797</v>
      </c>
      <c r="H2232" t="s">
        <v>17</v>
      </c>
      <c r="I2232" t="s">
        <v>3992</v>
      </c>
    </row>
    <row r="2233" spans="1:9" x14ac:dyDescent="0.3">
      <c r="A2233" t="s">
        <v>3859</v>
      </c>
      <c r="B2233" t="s">
        <v>3963</v>
      </c>
      <c r="C2233" t="s">
        <v>1936</v>
      </c>
      <c r="D2233" t="s">
        <v>3267</v>
      </c>
      <c r="E2233" t="s">
        <v>224</v>
      </c>
      <c r="F2233" t="s">
        <v>747</v>
      </c>
      <c r="H2233" t="s">
        <v>17</v>
      </c>
    </row>
    <row r="2234" spans="1:9" x14ac:dyDescent="0.3">
      <c r="A2234" t="s">
        <v>3859</v>
      </c>
      <c r="B2234" t="s">
        <v>3963</v>
      </c>
      <c r="C2234" t="s">
        <v>1936</v>
      </c>
      <c r="D2234" t="s">
        <v>1885</v>
      </c>
      <c r="E2234" t="s">
        <v>229</v>
      </c>
      <c r="F2234" t="s">
        <v>3993</v>
      </c>
      <c r="H2234" t="s">
        <v>17</v>
      </c>
      <c r="I2234" t="s">
        <v>3994</v>
      </c>
    </row>
    <row r="2235" spans="1:9" x14ac:dyDescent="0.3">
      <c r="A2235" t="s">
        <v>3859</v>
      </c>
      <c r="B2235" t="s">
        <v>3963</v>
      </c>
      <c r="C2235" t="s">
        <v>1936</v>
      </c>
      <c r="D2235" t="s">
        <v>1588</v>
      </c>
      <c r="E2235" t="s">
        <v>234</v>
      </c>
      <c r="F2235" t="s">
        <v>2621</v>
      </c>
      <c r="H2235" t="s">
        <v>17</v>
      </c>
      <c r="I2235" t="s">
        <v>3995</v>
      </c>
    </row>
    <row r="2236" spans="1:9" x14ac:dyDescent="0.3">
      <c r="A2236" t="s">
        <v>3859</v>
      </c>
      <c r="B2236" t="s">
        <v>3963</v>
      </c>
      <c r="C2236" t="s">
        <v>1936</v>
      </c>
      <c r="D2236" t="s">
        <v>1892</v>
      </c>
      <c r="E2236" t="s">
        <v>237</v>
      </c>
      <c r="F2236" t="s">
        <v>3996</v>
      </c>
      <c r="H2236" t="s">
        <v>17</v>
      </c>
    </row>
    <row r="2237" spans="1:9" x14ac:dyDescent="0.3">
      <c r="A2237" t="s">
        <v>3859</v>
      </c>
      <c r="B2237" t="s">
        <v>3963</v>
      </c>
      <c r="C2237" t="s">
        <v>1936</v>
      </c>
      <c r="D2237" t="s">
        <v>1146</v>
      </c>
      <c r="E2237" t="s">
        <v>240</v>
      </c>
      <c r="F2237" t="s">
        <v>843</v>
      </c>
      <c r="H2237" t="s">
        <v>17</v>
      </c>
      <c r="I2237" t="s">
        <v>2209</v>
      </c>
    </row>
    <row r="2238" spans="1:9" x14ac:dyDescent="0.3">
      <c r="A2238" t="s">
        <v>3859</v>
      </c>
      <c r="B2238" t="s">
        <v>3963</v>
      </c>
      <c r="C2238" t="s">
        <v>1936</v>
      </c>
      <c r="D2238" t="s">
        <v>1150</v>
      </c>
      <c r="E2238" t="s">
        <v>246</v>
      </c>
      <c r="F2238" t="s">
        <v>3997</v>
      </c>
      <c r="H2238" t="s">
        <v>17</v>
      </c>
      <c r="I2238" t="s">
        <v>3998</v>
      </c>
    </row>
    <row r="2239" spans="1:9" x14ac:dyDescent="0.3">
      <c r="A2239" t="s">
        <v>3859</v>
      </c>
      <c r="B2239" t="s">
        <v>3963</v>
      </c>
      <c r="C2239" t="s">
        <v>1936</v>
      </c>
      <c r="D2239" t="s">
        <v>1154</v>
      </c>
      <c r="E2239" t="s">
        <v>251</v>
      </c>
      <c r="F2239" t="s">
        <v>3999</v>
      </c>
      <c r="H2239" t="s">
        <v>17</v>
      </c>
    </row>
    <row r="2240" spans="1:9" x14ac:dyDescent="0.3">
      <c r="A2240" t="s">
        <v>3859</v>
      </c>
      <c r="B2240" t="s">
        <v>3963</v>
      </c>
      <c r="C2240" t="s">
        <v>1936</v>
      </c>
      <c r="D2240" t="s">
        <v>1158</v>
      </c>
      <c r="E2240" t="s">
        <v>254</v>
      </c>
      <c r="F2240" t="s">
        <v>4000</v>
      </c>
      <c r="H2240" t="s">
        <v>17</v>
      </c>
      <c r="I2240" t="s">
        <v>4001</v>
      </c>
    </row>
    <row r="2241" spans="1:9" x14ac:dyDescent="0.3">
      <c r="A2241" t="s">
        <v>3859</v>
      </c>
      <c r="B2241" t="s">
        <v>3963</v>
      </c>
      <c r="C2241" t="s">
        <v>1936</v>
      </c>
      <c r="D2241" t="s">
        <v>1162</v>
      </c>
      <c r="E2241" t="s">
        <v>257</v>
      </c>
      <c r="F2241" t="s">
        <v>4002</v>
      </c>
      <c r="H2241" t="s">
        <v>17</v>
      </c>
      <c r="I2241" t="s">
        <v>4003</v>
      </c>
    </row>
    <row r="2242" spans="1:9" x14ac:dyDescent="0.3">
      <c r="A2242" t="s">
        <v>3859</v>
      </c>
      <c r="B2242" t="s">
        <v>3963</v>
      </c>
      <c r="C2242" t="s">
        <v>1936</v>
      </c>
      <c r="D2242" t="s">
        <v>1165</v>
      </c>
      <c r="E2242" t="s">
        <v>260</v>
      </c>
      <c r="F2242" t="s">
        <v>4004</v>
      </c>
      <c r="H2242" t="s">
        <v>17</v>
      </c>
      <c r="I2242" t="s">
        <v>4005</v>
      </c>
    </row>
    <row r="2243" spans="1:9" x14ac:dyDescent="0.3">
      <c r="A2243" t="s">
        <v>3859</v>
      </c>
      <c r="B2243" t="s">
        <v>3963</v>
      </c>
      <c r="C2243" t="s">
        <v>1936</v>
      </c>
      <c r="D2243" t="s">
        <v>1168</v>
      </c>
      <c r="E2243" t="s">
        <v>263</v>
      </c>
      <c r="F2243" t="s">
        <v>4006</v>
      </c>
      <c r="H2243" t="s">
        <v>17</v>
      </c>
      <c r="I2243" t="s">
        <v>4001</v>
      </c>
    </row>
    <row r="2244" spans="1:9" x14ac:dyDescent="0.3">
      <c r="A2244" t="s">
        <v>3859</v>
      </c>
      <c r="B2244" t="s">
        <v>3963</v>
      </c>
      <c r="C2244" t="s">
        <v>1936</v>
      </c>
      <c r="D2244" t="s">
        <v>2939</v>
      </c>
      <c r="E2244" t="s">
        <v>266</v>
      </c>
      <c r="F2244" t="s">
        <v>2944</v>
      </c>
      <c r="H2244" t="s">
        <v>17</v>
      </c>
      <c r="I2244" t="s">
        <v>4007</v>
      </c>
    </row>
    <row r="2245" spans="1:9" x14ac:dyDescent="0.3">
      <c r="A2245" t="s">
        <v>4008</v>
      </c>
      <c r="E2245" t="s">
        <v>10</v>
      </c>
      <c r="F2245" t="s">
        <v>4009</v>
      </c>
    </row>
    <row r="2246" spans="1:9" x14ac:dyDescent="0.3">
      <c r="A2246" t="s">
        <v>4008</v>
      </c>
      <c r="C2246" t="s">
        <v>13</v>
      </c>
      <c r="D2246" t="s">
        <v>14</v>
      </c>
      <c r="E2246" t="s">
        <v>1742</v>
      </c>
      <c r="F2246" t="s">
        <v>3861</v>
      </c>
      <c r="H2246" t="s">
        <v>17</v>
      </c>
    </row>
    <row r="2247" spans="1:9" x14ac:dyDescent="0.3">
      <c r="A2247" t="s">
        <v>4008</v>
      </c>
      <c r="C2247" t="s">
        <v>13</v>
      </c>
      <c r="D2247" t="s">
        <v>1743</v>
      </c>
      <c r="E2247" t="s">
        <v>1744</v>
      </c>
      <c r="F2247" t="s">
        <v>2672</v>
      </c>
      <c r="H2247" t="s">
        <v>17</v>
      </c>
      <c r="I2247" t="s">
        <v>4010</v>
      </c>
    </row>
    <row r="2248" spans="1:9" x14ac:dyDescent="0.3">
      <c r="A2248" t="s">
        <v>4008</v>
      </c>
      <c r="C2248" t="s">
        <v>13</v>
      </c>
      <c r="D2248" t="s">
        <v>996</v>
      </c>
      <c r="E2248" t="s">
        <v>1747</v>
      </c>
      <c r="F2248" t="s">
        <v>4011</v>
      </c>
      <c r="H2248" t="s">
        <v>17</v>
      </c>
      <c r="I2248" t="s">
        <v>3363</v>
      </c>
    </row>
    <row r="2249" spans="1:9" x14ac:dyDescent="0.3">
      <c r="A2249" t="s">
        <v>4008</v>
      </c>
      <c r="C2249" t="s">
        <v>13</v>
      </c>
      <c r="D2249" t="s">
        <v>1001</v>
      </c>
      <c r="E2249" t="s">
        <v>1750</v>
      </c>
      <c r="F2249" t="s">
        <v>4012</v>
      </c>
      <c r="H2249" t="s">
        <v>17</v>
      </c>
      <c r="I2249" t="s">
        <v>4013</v>
      </c>
    </row>
    <row r="2250" spans="1:9" x14ac:dyDescent="0.3">
      <c r="A2250" t="s">
        <v>4008</v>
      </c>
      <c r="C2250" t="s">
        <v>13</v>
      </c>
      <c r="D2250" t="s">
        <v>1942</v>
      </c>
      <c r="E2250" t="s">
        <v>1752</v>
      </c>
      <c r="F2250" t="s">
        <v>4014</v>
      </c>
      <c r="H2250" t="s">
        <v>17</v>
      </c>
      <c r="I2250" t="s">
        <v>4015</v>
      </c>
    </row>
    <row r="2251" spans="1:9" x14ac:dyDescent="0.3">
      <c r="A2251" t="s">
        <v>4008</v>
      </c>
      <c r="C2251" t="s">
        <v>13</v>
      </c>
      <c r="D2251" t="s">
        <v>22</v>
      </c>
      <c r="E2251" t="s">
        <v>1754</v>
      </c>
      <c r="F2251" t="s">
        <v>4016</v>
      </c>
      <c r="H2251" t="s">
        <v>807</v>
      </c>
      <c r="I2251" t="s">
        <v>4017</v>
      </c>
    </row>
    <row r="2252" spans="1:9" x14ac:dyDescent="0.3">
      <c r="A2252" t="s">
        <v>4008</v>
      </c>
      <c r="C2252" t="s">
        <v>13</v>
      </c>
      <c r="D2252" t="s">
        <v>27</v>
      </c>
      <c r="E2252" t="s">
        <v>1757</v>
      </c>
      <c r="F2252" t="s">
        <v>4018</v>
      </c>
      <c r="H2252" t="s">
        <v>17</v>
      </c>
      <c r="I2252" t="s">
        <v>4019</v>
      </c>
    </row>
    <row r="2253" spans="1:9" x14ac:dyDescent="0.3">
      <c r="A2253" t="s">
        <v>4008</v>
      </c>
      <c r="C2253" t="s">
        <v>13</v>
      </c>
      <c r="D2253" t="s">
        <v>1014</v>
      </c>
      <c r="E2253" t="s">
        <v>1760</v>
      </c>
      <c r="F2253" t="s">
        <v>4020</v>
      </c>
      <c r="H2253" t="s">
        <v>17</v>
      </c>
      <c r="I2253" t="s">
        <v>4021</v>
      </c>
    </row>
    <row r="2254" spans="1:9" x14ac:dyDescent="0.3">
      <c r="A2254" t="s">
        <v>4008</v>
      </c>
      <c r="C2254" t="s">
        <v>13</v>
      </c>
      <c r="D2254" t="s">
        <v>1017</v>
      </c>
      <c r="E2254" t="s">
        <v>1763</v>
      </c>
      <c r="F2254" t="s">
        <v>4022</v>
      </c>
      <c r="H2254" t="s">
        <v>17</v>
      </c>
      <c r="I2254" t="s">
        <v>4023</v>
      </c>
    </row>
    <row r="2255" spans="1:9" x14ac:dyDescent="0.3">
      <c r="A2255" t="s">
        <v>4008</v>
      </c>
      <c r="C2255" t="s">
        <v>13</v>
      </c>
      <c r="D2255" t="s">
        <v>36</v>
      </c>
      <c r="E2255" t="s">
        <v>1765</v>
      </c>
      <c r="F2255" t="s">
        <v>4024</v>
      </c>
      <c r="H2255" t="s">
        <v>17</v>
      </c>
      <c r="I2255" t="s">
        <v>3880</v>
      </c>
    </row>
    <row r="2256" spans="1:9" x14ac:dyDescent="0.3">
      <c r="A2256" t="s">
        <v>4008</v>
      </c>
      <c r="C2256" t="s">
        <v>13</v>
      </c>
      <c r="D2256" t="s">
        <v>45</v>
      </c>
      <c r="E2256" t="s">
        <v>1768</v>
      </c>
      <c r="F2256" t="s">
        <v>4025</v>
      </c>
      <c r="H2256" t="s">
        <v>807</v>
      </c>
      <c r="I2256" t="s">
        <v>4026</v>
      </c>
    </row>
    <row r="2257" spans="1:9" x14ac:dyDescent="0.3">
      <c r="A2257" t="s">
        <v>4008</v>
      </c>
      <c r="C2257" t="s">
        <v>13</v>
      </c>
      <c r="D2257" t="s">
        <v>50</v>
      </c>
      <c r="E2257" t="s">
        <v>1771</v>
      </c>
      <c r="F2257" t="s">
        <v>4027</v>
      </c>
      <c r="H2257" t="s">
        <v>17</v>
      </c>
      <c r="I2257" t="s">
        <v>4028</v>
      </c>
    </row>
    <row r="2258" spans="1:9" x14ac:dyDescent="0.3">
      <c r="A2258" t="s">
        <v>4008</v>
      </c>
      <c r="C2258" t="s">
        <v>13</v>
      </c>
      <c r="D2258" t="s">
        <v>53</v>
      </c>
      <c r="E2258" t="s">
        <v>1775</v>
      </c>
      <c r="F2258" t="s">
        <v>4029</v>
      </c>
      <c r="H2258" t="s">
        <v>17</v>
      </c>
      <c r="I2258" t="s">
        <v>3880</v>
      </c>
    </row>
    <row r="2259" spans="1:9" x14ac:dyDescent="0.3">
      <c r="A2259" t="s">
        <v>4008</v>
      </c>
      <c r="C2259" t="s">
        <v>13</v>
      </c>
      <c r="D2259" t="s">
        <v>56</v>
      </c>
      <c r="E2259" t="s">
        <v>1777</v>
      </c>
      <c r="F2259" t="s">
        <v>4030</v>
      </c>
      <c r="H2259" t="s">
        <v>17</v>
      </c>
      <c r="I2259" t="s">
        <v>3880</v>
      </c>
    </row>
    <row r="2260" spans="1:9" x14ac:dyDescent="0.3">
      <c r="A2260" t="s">
        <v>4008</v>
      </c>
      <c r="C2260" t="s">
        <v>13</v>
      </c>
      <c r="D2260" t="s">
        <v>61</v>
      </c>
      <c r="E2260" t="s">
        <v>1779</v>
      </c>
      <c r="F2260" t="s">
        <v>4031</v>
      </c>
      <c r="H2260" t="s">
        <v>17</v>
      </c>
      <c r="I2260" t="s">
        <v>4023</v>
      </c>
    </row>
    <row r="2261" spans="1:9" x14ac:dyDescent="0.3">
      <c r="A2261" t="s">
        <v>4008</v>
      </c>
      <c r="C2261" t="s">
        <v>13</v>
      </c>
      <c r="D2261" t="s">
        <v>1039</v>
      </c>
      <c r="E2261" t="s">
        <v>1781</v>
      </c>
      <c r="F2261" t="s">
        <v>4032</v>
      </c>
      <c r="H2261" t="s">
        <v>807</v>
      </c>
      <c r="I2261" t="s">
        <v>4033</v>
      </c>
    </row>
    <row r="2262" spans="1:9" x14ac:dyDescent="0.3">
      <c r="A2262" t="s">
        <v>4008</v>
      </c>
      <c r="C2262" t="s">
        <v>13</v>
      </c>
      <c r="D2262" t="s">
        <v>1043</v>
      </c>
      <c r="E2262" t="s">
        <v>1784</v>
      </c>
      <c r="F2262" t="s">
        <v>4034</v>
      </c>
      <c r="H2262" t="s">
        <v>17</v>
      </c>
      <c r="I2262" t="s">
        <v>4035</v>
      </c>
    </row>
    <row r="2263" spans="1:9" x14ac:dyDescent="0.3">
      <c r="A2263" t="s">
        <v>4008</v>
      </c>
      <c r="C2263" t="s">
        <v>13</v>
      </c>
      <c r="D2263" t="s">
        <v>71</v>
      </c>
      <c r="E2263" t="s">
        <v>1787</v>
      </c>
      <c r="F2263" t="s">
        <v>4036</v>
      </c>
      <c r="H2263" t="s">
        <v>17</v>
      </c>
      <c r="I2263" t="s">
        <v>4035</v>
      </c>
    </row>
    <row r="2264" spans="1:9" x14ac:dyDescent="0.3">
      <c r="A2264" t="s">
        <v>4008</v>
      </c>
      <c r="C2264" t="s">
        <v>13</v>
      </c>
      <c r="D2264" t="s">
        <v>1050</v>
      </c>
      <c r="E2264" t="s">
        <v>1789</v>
      </c>
      <c r="F2264" t="s">
        <v>4037</v>
      </c>
      <c r="H2264" t="s">
        <v>17</v>
      </c>
      <c r="I2264" t="s">
        <v>3880</v>
      </c>
    </row>
    <row r="2265" spans="1:9" x14ac:dyDescent="0.3">
      <c r="A2265" t="s">
        <v>4008</v>
      </c>
      <c r="C2265" t="s">
        <v>13</v>
      </c>
      <c r="D2265" t="s">
        <v>1055</v>
      </c>
      <c r="E2265" t="s">
        <v>1793</v>
      </c>
      <c r="F2265" t="s">
        <v>4038</v>
      </c>
      <c r="H2265" t="s">
        <v>17</v>
      </c>
      <c r="I2265" t="s">
        <v>3880</v>
      </c>
    </row>
    <row r="2266" spans="1:9" x14ac:dyDescent="0.3">
      <c r="A2266" t="s">
        <v>4008</v>
      </c>
      <c r="C2266" t="s">
        <v>13</v>
      </c>
      <c r="D2266" t="s">
        <v>80</v>
      </c>
      <c r="E2266" t="s">
        <v>1795</v>
      </c>
      <c r="F2266" t="s">
        <v>4039</v>
      </c>
      <c r="H2266" t="s">
        <v>17</v>
      </c>
      <c r="I2266" t="s">
        <v>3880</v>
      </c>
    </row>
    <row r="2267" spans="1:9" x14ac:dyDescent="0.3">
      <c r="A2267" t="s">
        <v>4008</v>
      </c>
      <c r="C2267" t="s">
        <v>13</v>
      </c>
      <c r="D2267" t="s">
        <v>85</v>
      </c>
      <c r="E2267" t="s">
        <v>1798</v>
      </c>
      <c r="F2267" t="s">
        <v>4040</v>
      </c>
      <c r="H2267" t="s">
        <v>17</v>
      </c>
      <c r="I2267" t="s">
        <v>3880</v>
      </c>
    </row>
    <row r="2268" spans="1:9" x14ac:dyDescent="0.3">
      <c r="A2268" t="s">
        <v>4008</v>
      </c>
      <c r="C2268" t="s">
        <v>13</v>
      </c>
      <c r="D2268" t="s">
        <v>90</v>
      </c>
      <c r="E2268" t="s">
        <v>1801</v>
      </c>
      <c r="F2268" t="s">
        <v>4041</v>
      </c>
      <c r="H2268" t="s">
        <v>17</v>
      </c>
      <c r="I2268" t="s">
        <v>3880</v>
      </c>
    </row>
    <row r="2269" spans="1:9" x14ac:dyDescent="0.3">
      <c r="A2269" t="s">
        <v>4008</v>
      </c>
      <c r="B2269" t="s">
        <v>4042</v>
      </c>
      <c r="C2269" t="s">
        <v>13</v>
      </c>
      <c r="D2269" t="s">
        <v>95</v>
      </c>
      <c r="E2269" t="s">
        <v>1806</v>
      </c>
      <c r="F2269" t="s">
        <v>4043</v>
      </c>
      <c r="H2269" t="s">
        <v>17</v>
      </c>
      <c r="I2269" t="s">
        <v>4044</v>
      </c>
    </row>
    <row r="2270" spans="1:9" x14ac:dyDescent="0.3">
      <c r="A2270" t="s">
        <v>4008</v>
      </c>
      <c r="B2270" t="s">
        <v>4042</v>
      </c>
      <c r="C2270" t="s">
        <v>13</v>
      </c>
      <c r="D2270" t="s">
        <v>100</v>
      </c>
      <c r="E2270" t="s">
        <v>1808</v>
      </c>
      <c r="F2270" t="s">
        <v>4045</v>
      </c>
      <c r="H2270" t="s">
        <v>17</v>
      </c>
      <c r="I2270" t="s">
        <v>4044</v>
      </c>
    </row>
    <row r="2271" spans="1:9" x14ac:dyDescent="0.3">
      <c r="A2271" t="s">
        <v>4008</v>
      </c>
      <c r="B2271" t="s">
        <v>4042</v>
      </c>
      <c r="C2271" t="s">
        <v>13</v>
      </c>
      <c r="D2271" t="s">
        <v>106</v>
      </c>
      <c r="E2271" t="s">
        <v>1811</v>
      </c>
      <c r="F2271" t="s">
        <v>4046</v>
      </c>
      <c r="H2271" t="s">
        <v>17</v>
      </c>
      <c r="I2271" t="s">
        <v>4044</v>
      </c>
    </row>
    <row r="2272" spans="1:9" x14ac:dyDescent="0.3">
      <c r="A2272" t="s">
        <v>4008</v>
      </c>
      <c r="B2272" t="s">
        <v>4047</v>
      </c>
      <c r="C2272" t="s">
        <v>13</v>
      </c>
      <c r="D2272" t="s">
        <v>111</v>
      </c>
      <c r="E2272" t="s">
        <v>1818</v>
      </c>
      <c r="F2272" t="s">
        <v>4048</v>
      </c>
      <c r="H2272" t="s">
        <v>17</v>
      </c>
      <c r="I2272" t="s">
        <v>4044</v>
      </c>
    </row>
    <row r="2273" spans="1:9" x14ac:dyDescent="0.3">
      <c r="A2273" t="s">
        <v>4008</v>
      </c>
      <c r="B2273" t="s">
        <v>4047</v>
      </c>
      <c r="C2273" t="s">
        <v>13</v>
      </c>
      <c r="D2273" t="s">
        <v>114</v>
      </c>
      <c r="E2273" t="s">
        <v>1820</v>
      </c>
      <c r="F2273" t="s">
        <v>4049</v>
      </c>
      <c r="H2273" t="s">
        <v>17</v>
      </c>
      <c r="I2273" t="s">
        <v>4044</v>
      </c>
    </row>
    <row r="2274" spans="1:9" x14ac:dyDescent="0.3">
      <c r="A2274" t="s">
        <v>4008</v>
      </c>
      <c r="B2274" t="s">
        <v>4047</v>
      </c>
      <c r="C2274" t="s">
        <v>13</v>
      </c>
      <c r="D2274" t="s">
        <v>117</v>
      </c>
      <c r="E2274" t="s">
        <v>1822</v>
      </c>
      <c r="F2274" t="s">
        <v>4050</v>
      </c>
      <c r="H2274" t="s">
        <v>17</v>
      </c>
      <c r="I2274" t="s">
        <v>4044</v>
      </c>
    </row>
    <row r="2275" spans="1:9" x14ac:dyDescent="0.3">
      <c r="A2275" t="s">
        <v>4008</v>
      </c>
      <c r="B2275" t="s">
        <v>4051</v>
      </c>
      <c r="C2275" t="s">
        <v>13</v>
      </c>
      <c r="D2275" t="s">
        <v>121</v>
      </c>
      <c r="E2275" t="s">
        <v>1826</v>
      </c>
      <c r="F2275" t="s">
        <v>4052</v>
      </c>
      <c r="H2275" t="s">
        <v>17</v>
      </c>
      <c r="I2275" t="s">
        <v>4044</v>
      </c>
    </row>
    <row r="2276" spans="1:9" x14ac:dyDescent="0.3">
      <c r="A2276" t="s">
        <v>4008</v>
      </c>
      <c r="B2276" t="s">
        <v>4051</v>
      </c>
      <c r="C2276" t="s">
        <v>13</v>
      </c>
      <c r="D2276" t="s">
        <v>126</v>
      </c>
      <c r="E2276" t="s">
        <v>1828</v>
      </c>
      <c r="F2276" t="s">
        <v>4053</v>
      </c>
      <c r="H2276" t="s">
        <v>17</v>
      </c>
      <c r="I2276" t="s">
        <v>4044</v>
      </c>
    </row>
    <row r="2277" spans="1:9" x14ac:dyDescent="0.3">
      <c r="A2277" t="s">
        <v>4008</v>
      </c>
      <c r="B2277" t="s">
        <v>4051</v>
      </c>
      <c r="C2277" t="s">
        <v>13</v>
      </c>
      <c r="D2277" t="s">
        <v>129</v>
      </c>
      <c r="E2277" t="s">
        <v>1831</v>
      </c>
      <c r="F2277" t="s">
        <v>4054</v>
      </c>
      <c r="H2277" t="s">
        <v>17</v>
      </c>
      <c r="I2277" t="s">
        <v>4044</v>
      </c>
    </row>
    <row r="2278" spans="1:9" x14ac:dyDescent="0.3">
      <c r="A2278" t="s">
        <v>4008</v>
      </c>
      <c r="B2278" t="s">
        <v>4051</v>
      </c>
      <c r="C2278" t="s">
        <v>13</v>
      </c>
      <c r="D2278" t="s">
        <v>132</v>
      </c>
      <c r="E2278" t="s">
        <v>1833</v>
      </c>
      <c r="F2278" t="s">
        <v>4055</v>
      </c>
      <c r="H2278" t="s">
        <v>807</v>
      </c>
      <c r="I2278" t="s">
        <v>4056</v>
      </c>
    </row>
    <row r="2279" spans="1:9" x14ac:dyDescent="0.3">
      <c r="A2279" t="s">
        <v>4008</v>
      </c>
      <c r="B2279" t="s">
        <v>4051</v>
      </c>
      <c r="C2279" t="s">
        <v>13</v>
      </c>
      <c r="D2279" t="s">
        <v>135</v>
      </c>
      <c r="E2279" t="s">
        <v>1836</v>
      </c>
      <c r="F2279" t="s">
        <v>4057</v>
      </c>
      <c r="H2279" t="s">
        <v>807</v>
      </c>
      <c r="I2279" t="s">
        <v>4058</v>
      </c>
    </row>
    <row r="2280" spans="1:9" x14ac:dyDescent="0.3">
      <c r="A2280" t="s">
        <v>4008</v>
      </c>
      <c r="B2280" t="s">
        <v>4051</v>
      </c>
      <c r="C2280" t="s">
        <v>13</v>
      </c>
      <c r="D2280" t="s">
        <v>138</v>
      </c>
      <c r="E2280" t="s">
        <v>1838</v>
      </c>
      <c r="F2280" t="s">
        <v>4059</v>
      </c>
      <c r="H2280" t="s">
        <v>17</v>
      </c>
      <c r="I2280" t="s">
        <v>4060</v>
      </c>
    </row>
    <row r="2281" spans="1:9" x14ac:dyDescent="0.3">
      <c r="A2281" t="s">
        <v>4008</v>
      </c>
      <c r="B2281" t="s">
        <v>4061</v>
      </c>
      <c r="C2281" t="s">
        <v>13</v>
      </c>
      <c r="D2281" t="s">
        <v>141</v>
      </c>
      <c r="E2281" t="s">
        <v>1843</v>
      </c>
      <c r="F2281" t="s">
        <v>4062</v>
      </c>
      <c r="H2281" t="s">
        <v>17</v>
      </c>
      <c r="I2281" t="s">
        <v>3880</v>
      </c>
    </row>
    <row r="2282" spans="1:9" x14ac:dyDescent="0.3">
      <c r="A2282" t="s">
        <v>4008</v>
      </c>
      <c r="B2282" t="s">
        <v>4061</v>
      </c>
      <c r="C2282" t="s">
        <v>13</v>
      </c>
      <c r="D2282" t="s">
        <v>144</v>
      </c>
      <c r="E2282" t="s">
        <v>1847</v>
      </c>
      <c r="F2282" t="s">
        <v>4063</v>
      </c>
      <c r="H2282" t="s">
        <v>17</v>
      </c>
      <c r="I2282" t="s">
        <v>3880</v>
      </c>
    </row>
    <row r="2283" spans="1:9" x14ac:dyDescent="0.3">
      <c r="A2283" t="s">
        <v>4008</v>
      </c>
      <c r="B2283" t="s">
        <v>4061</v>
      </c>
      <c r="C2283" t="s">
        <v>13</v>
      </c>
      <c r="D2283" t="s">
        <v>147</v>
      </c>
      <c r="E2283" t="s">
        <v>1849</v>
      </c>
      <c r="F2283" t="s">
        <v>4064</v>
      </c>
      <c r="H2283" t="s">
        <v>17</v>
      </c>
      <c r="I2283" t="s">
        <v>3880</v>
      </c>
    </row>
    <row r="2284" spans="1:9" x14ac:dyDescent="0.3">
      <c r="A2284" t="s">
        <v>4008</v>
      </c>
      <c r="B2284" t="s">
        <v>4061</v>
      </c>
      <c r="C2284" t="s">
        <v>13</v>
      </c>
      <c r="D2284" t="s">
        <v>152</v>
      </c>
      <c r="E2284" t="s">
        <v>1851</v>
      </c>
      <c r="F2284" t="s">
        <v>4065</v>
      </c>
      <c r="H2284" t="s">
        <v>17</v>
      </c>
      <c r="I2284" t="s">
        <v>3880</v>
      </c>
    </row>
    <row r="2285" spans="1:9" x14ac:dyDescent="0.3">
      <c r="A2285" t="s">
        <v>4008</v>
      </c>
      <c r="B2285" t="s">
        <v>4061</v>
      </c>
      <c r="C2285" t="s">
        <v>13</v>
      </c>
      <c r="D2285" t="s">
        <v>157</v>
      </c>
      <c r="E2285" t="s">
        <v>1853</v>
      </c>
      <c r="F2285" t="s">
        <v>4066</v>
      </c>
      <c r="H2285" t="s">
        <v>17</v>
      </c>
      <c r="I2285" t="s">
        <v>3880</v>
      </c>
    </row>
    <row r="2286" spans="1:9" x14ac:dyDescent="0.3">
      <c r="A2286" t="s">
        <v>4008</v>
      </c>
      <c r="B2286" t="s">
        <v>4061</v>
      </c>
      <c r="C2286" t="s">
        <v>13</v>
      </c>
      <c r="D2286" t="s">
        <v>162</v>
      </c>
      <c r="E2286" t="s">
        <v>1855</v>
      </c>
      <c r="F2286" t="s">
        <v>4067</v>
      </c>
      <c r="H2286" t="s">
        <v>17</v>
      </c>
      <c r="I2286" t="s">
        <v>3880</v>
      </c>
    </row>
    <row r="2287" spans="1:9" x14ac:dyDescent="0.3">
      <c r="A2287" t="s">
        <v>4008</v>
      </c>
      <c r="B2287" t="s">
        <v>4061</v>
      </c>
      <c r="C2287" t="s">
        <v>13</v>
      </c>
      <c r="D2287" t="s">
        <v>167</v>
      </c>
      <c r="E2287" t="s">
        <v>1857</v>
      </c>
      <c r="F2287" t="s">
        <v>4068</v>
      </c>
      <c r="H2287" t="s">
        <v>17</v>
      </c>
      <c r="I2287" t="s">
        <v>3880</v>
      </c>
    </row>
    <row r="2288" spans="1:9" x14ac:dyDescent="0.3">
      <c r="A2288" t="s">
        <v>4008</v>
      </c>
      <c r="B2288" t="s">
        <v>4061</v>
      </c>
      <c r="C2288" t="s">
        <v>13</v>
      </c>
      <c r="D2288" t="s">
        <v>172</v>
      </c>
      <c r="E2288" t="s">
        <v>1859</v>
      </c>
      <c r="F2288" t="s">
        <v>4069</v>
      </c>
      <c r="H2288" t="s">
        <v>17</v>
      </c>
      <c r="I2288" t="s">
        <v>3880</v>
      </c>
    </row>
    <row r="2289" spans="1:9" x14ac:dyDescent="0.3">
      <c r="A2289" t="s">
        <v>4008</v>
      </c>
      <c r="B2289" t="s">
        <v>4061</v>
      </c>
      <c r="C2289" t="s">
        <v>13</v>
      </c>
      <c r="D2289" t="s">
        <v>177</v>
      </c>
      <c r="E2289" t="s">
        <v>1861</v>
      </c>
      <c r="F2289" t="s">
        <v>4070</v>
      </c>
      <c r="H2289" t="s">
        <v>17</v>
      </c>
      <c r="I2289" t="s">
        <v>3880</v>
      </c>
    </row>
    <row r="2290" spans="1:9" x14ac:dyDescent="0.3">
      <c r="A2290" t="s">
        <v>4008</v>
      </c>
      <c r="B2290" t="s">
        <v>4061</v>
      </c>
      <c r="C2290" t="s">
        <v>13</v>
      </c>
      <c r="D2290" t="s">
        <v>182</v>
      </c>
      <c r="E2290" t="s">
        <v>1863</v>
      </c>
      <c r="F2290" t="s">
        <v>4071</v>
      </c>
      <c r="H2290" t="s">
        <v>17</v>
      </c>
      <c r="I2290" t="s">
        <v>3880</v>
      </c>
    </row>
    <row r="2291" spans="1:9" x14ac:dyDescent="0.3">
      <c r="A2291" t="s">
        <v>4008</v>
      </c>
      <c r="B2291" t="s">
        <v>4072</v>
      </c>
      <c r="C2291" t="s">
        <v>13</v>
      </c>
      <c r="D2291" t="s">
        <v>187</v>
      </c>
      <c r="E2291" t="s">
        <v>1867</v>
      </c>
      <c r="F2291" t="s">
        <v>4073</v>
      </c>
      <c r="H2291" t="s">
        <v>17</v>
      </c>
      <c r="I2291" t="s">
        <v>3880</v>
      </c>
    </row>
    <row r="2292" spans="1:9" x14ac:dyDescent="0.3">
      <c r="A2292" t="s">
        <v>4008</v>
      </c>
      <c r="B2292" t="s">
        <v>4072</v>
      </c>
      <c r="C2292" t="s">
        <v>13</v>
      </c>
      <c r="D2292" t="s">
        <v>193</v>
      </c>
      <c r="E2292" t="s">
        <v>1869</v>
      </c>
      <c r="F2292" t="s">
        <v>4074</v>
      </c>
      <c r="H2292" t="s">
        <v>17</v>
      </c>
      <c r="I2292" t="s">
        <v>3880</v>
      </c>
    </row>
    <row r="2293" spans="1:9" x14ac:dyDescent="0.3">
      <c r="A2293" t="s">
        <v>4008</v>
      </c>
      <c r="B2293" t="s">
        <v>4072</v>
      </c>
      <c r="C2293" t="s">
        <v>13</v>
      </c>
      <c r="D2293" t="s">
        <v>198</v>
      </c>
      <c r="E2293" t="s">
        <v>1871</v>
      </c>
      <c r="F2293" t="s">
        <v>4075</v>
      </c>
      <c r="H2293" t="s">
        <v>17</v>
      </c>
      <c r="I2293" t="s">
        <v>3880</v>
      </c>
    </row>
    <row r="2294" spans="1:9" x14ac:dyDescent="0.3">
      <c r="A2294" t="s">
        <v>4008</v>
      </c>
      <c r="B2294" t="s">
        <v>4072</v>
      </c>
      <c r="C2294" t="s">
        <v>13</v>
      </c>
      <c r="D2294" t="s">
        <v>202</v>
      </c>
      <c r="E2294" t="s">
        <v>1873</v>
      </c>
      <c r="F2294" t="s">
        <v>4076</v>
      </c>
      <c r="H2294" t="s">
        <v>17</v>
      </c>
      <c r="I2294" t="s">
        <v>3880</v>
      </c>
    </row>
    <row r="2295" spans="1:9" x14ac:dyDescent="0.3">
      <c r="A2295" t="s">
        <v>4008</v>
      </c>
      <c r="B2295" t="s">
        <v>4072</v>
      </c>
      <c r="C2295" t="s">
        <v>13</v>
      </c>
      <c r="D2295" t="s">
        <v>206</v>
      </c>
      <c r="E2295" t="s">
        <v>1875</v>
      </c>
      <c r="F2295" t="s">
        <v>4077</v>
      </c>
      <c r="H2295" t="s">
        <v>17</v>
      </c>
      <c r="I2295" t="s">
        <v>3880</v>
      </c>
    </row>
    <row r="2296" spans="1:9" x14ac:dyDescent="0.3">
      <c r="A2296" t="s">
        <v>4008</v>
      </c>
      <c r="B2296" t="s">
        <v>4072</v>
      </c>
      <c r="C2296" t="s">
        <v>13</v>
      </c>
      <c r="D2296" t="s">
        <v>210</v>
      </c>
      <c r="E2296" t="s">
        <v>1878</v>
      </c>
      <c r="F2296" t="s">
        <v>4078</v>
      </c>
      <c r="H2296" t="s">
        <v>17</v>
      </c>
      <c r="I2296" t="s">
        <v>3880</v>
      </c>
    </row>
    <row r="2297" spans="1:9" x14ac:dyDescent="0.3">
      <c r="A2297" t="s">
        <v>4008</v>
      </c>
      <c r="B2297" t="s">
        <v>4072</v>
      </c>
      <c r="C2297" t="s">
        <v>13</v>
      </c>
      <c r="D2297" t="s">
        <v>214</v>
      </c>
      <c r="E2297" t="s">
        <v>1882</v>
      </c>
      <c r="F2297" t="s">
        <v>4079</v>
      </c>
      <c r="H2297" t="s">
        <v>17</v>
      </c>
      <c r="I2297" t="s">
        <v>3880</v>
      </c>
    </row>
    <row r="2298" spans="1:9" x14ac:dyDescent="0.3">
      <c r="A2298" t="s">
        <v>4008</v>
      </c>
      <c r="B2298" t="s">
        <v>4072</v>
      </c>
      <c r="C2298" t="s">
        <v>13</v>
      </c>
      <c r="D2298" t="s">
        <v>218</v>
      </c>
      <c r="E2298" t="s">
        <v>1886</v>
      </c>
      <c r="F2298" t="s">
        <v>4080</v>
      </c>
      <c r="H2298" t="s">
        <v>17</v>
      </c>
      <c r="I2298" t="s">
        <v>3880</v>
      </c>
    </row>
    <row r="2299" spans="1:9" x14ac:dyDescent="0.3">
      <c r="A2299" t="s">
        <v>4008</v>
      </c>
      <c r="B2299" t="s">
        <v>4072</v>
      </c>
      <c r="C2299" t="s">
        <v>13</v>
      </c>
      <c r="D2299" t="s">
        <v>223</v>
      </c>
      <c r="E2299" t="s">
        <v>1889</v>
      </c>
      <c r="F2299" t="s">
        <v>4081</v>
      </c>
      <c r="H2299" t="s">
        <v>17</v>
      </c>
      <c r="I2299" t="s">
        <v>3880</v>
      </c>
    </row>
    <row r="2300" spans="1:9" x14ac:dyDescent="0.3">
      <c r="A2300" t="s">
        <v>4008</v>
      </c>
      <c r="B2300" t="s">
        <v>4072</v>
      </c>
      <c r="C2300" t="s">
        <v>13</v>
      </c>
      <c r="D2300" t="s">
        <v>228</v>
      </c>
      <c r="E2300" t="s">
        <v>1893</v>
      </c>
      <c r="F2300" t="s">
        <v>4082</v>
      </c>
      <c r="H2300" t="s">
        <v>17</v>
      </c>
      <c r="I2300" t="s">
        <v>3880</v>
      </c>
    </row>
    <row r="2301" spans="1:9" x14ac:dyDescent="0.3">
      <c r="A2301" t="s">
        <v>4008</v>
      </c>
      <c r="B2301" t="s">
        <v>4083</v>
      </c>
      <c r="C2301" t="s">
        <v>13</v>
      </c>
      <c r="D2301" t="s">
        <v>233</v>
      </c>
      <c r="E2301" t="s">
        <v>1898</v>
      </c>
      <c r="F2301" t="s">
        <v>4084</v>
      </c>
      <c r="H2301" t="s">
        <v>17</v>
      </c>
      <c r="I2301" t="s">
        <v>3880</v>
      </c>
    </row>
    <row r="2302" spans="1:9" x14ac:dyDescent="0.3">
      <c r="A2302" t="s">
        <v>4008</v>
      </c>
      <c r="B2302" t="s">
        <v>4083</v>
      </c>
      <c r="C2302" t="s">
        <v>13</v>
      </c>
      <c r="D2302" t="s">
        <v>236</v>
      </c>
      <c r="E2302" t="s">
        <v>1901</v>
      </c>
      <c r="F2302" t="s">
        <v>4085</v>
      </c>
      <c r="H2302" t="s">
        <v>17</v>
      </c>
      <c r="I2302" t="s">
        <v>3880</v>
      </c>
    </row>
    <row r="2303" spans="1:9" x14ac:dyDescent="0.3">
      <c r="A2303" t="s">
        <v>4008</v>
      </c>
      <c r="B2303" t="s">
        <v>4083</v>
      </c>
      <c r="C2303" t="s">
        <v>13</v>
      </c>
      <c r="D2303" t="s">
        <v>239</v>
      </c>
      <c r="E2303" t="s">
        <v>1903</v>
      </c>
      <c r="F2303" t="s">
        <v>4086</v>
      </c>
      <c r="H2303" t="s">
        <v>17</v>
      </c>
      <c r="I2303" t="s">
        <v>3880</v>
      </c>
    </row>
    <row r="2304" spans="1:9" x14ac:dyDescent="0.3">
      <c r="A2304" t="s">
        <v>4008</v>
      </c>
      <c r="B2304" t="s">
        <v>4083</v>
      </c>
      <c r="C2304" t="s">
        <v>13</v>
      </c>
      <c r="D2304" t="s">
        <v>1881</v>
      </c>
      <c r="E2304" t="s">
        <v>1905</v>
      </c>
      <c r="F2304" t="s">
        <v>4087</v>
      </c>
      <c r="H2304" t="s">
        <v>17</v>
      </c>
      <c r="I2304" t="s">
        <v>3880</v>
      </c>
    </row>
    <row r="2305" spans="1:9" x14ac:dyDescent="0.3">
      <c r="A2305" t="s">
        <v>4008</v>
      </c>
      <c r="B2305" t="s">
        <v>4083</v>
      </c>
      <c r="C2305" t="s">
        <v>13</v>
      </c>
      <c r="D2305" t="s">
        <v>1885</v>
      </c>
      <c r="E2305" t="s">
        <v>1907</v>
      </c>
      <c r="F2305" t="s">
        <v>4088</v>
      </c>
      <c r="H2305" t="s">
        <v>17</v>
      </c>
      <c r="I2305" t="s">
        <v>3880</v>
      </c>
    </row>
    <row r="2306" spans="1:9" x14ac:dyDescent="0.3">
      <c r="A2306" t="s">
        <v>4008</v>
      </c>
      <c r="B2306" t="s">
        <v>4083</v>
      </c>
      <c r="C2306" t="s">
        <v>13</v>
      </c>
      <c r="D2306" t="s">
        <v>1588</v>
      </c>
      <c r="E2306" t="s">
        <v>1909</v>
      </c>
      <c r="F2306" t="s">
        <v>4089</v>
      </c>
      <c r="H2306" t="s">
        <v>17</v>
      </c>
      <c r="I2306" t="s">
        <v>3880</v>
      </c>
    </row>
    <row r="2307" spans="1:9" x14ac:dyDescent="0.3">
      <c r="A2307" t="s">
        <v>4008</v>
      </c>
      <c r="B2307" t="s">
        <v>4083</v>
      </c>
      <c r="C2307" t="s">
        <v>13</v>
      </c>
      <c r="D2307" t="s">
        <v>1892</v>
      </c>
      <c r="E2307" t="s">
        <v>1911</v>
      </c>
      <c r="F2307" t="s">
        <v>4090</v>
      </c>
      <c r="H2307" t="s">
        <v>17</v>
      </c>
      <c r="I2307" t="s">
        <v>3880</v>
      </c>
    </row>
    <row r="2308" spans="1:9" x14ac:dyDescent="0.3">
      <c r="A2308" t="s">
        <v>4008</v>
      </c>
      <c r="B2308" t="s">
        <v>4083</v>
      </c>
      <c r="C2308" t="s">
        <v>13</v>
      </c>
      <c r="D2308" t="s">
        <v>1146</v>
      </c>
      <c r="E2308" t="s">
        <v>1914</v>
      </c>
      <c r="F2308" t="s">
        <v>4091</v>
      </c>
      <c r="H2308" t="s">
        <v>17</v>
      </c>
      <c r="I2308" t="s">
        <v>3880</v>
      </c>
    </row>
    <row r="2309" spans="1:9" x14ac:dyDescent="0.3">
      <c r="A2309" t="s">
        <v>4008</v>
      </c>
      <c r="B2309" t="s">
        <v>4083</v>
      </c>
      <c r="C2309" t="s">
        <v>13</v>
      </c>
      <c r="D2309" t="s">
        <v>1150</v>
      </c>
      <c r="E2309" t="s">
        <v>1917</v>
      </c>
      <c r="F2309" t="s">
        <v>3915</v>
      </c>
      <c r="H2309" t="s">
        <v>17</v>
      </c>
      <c r="I2309" t="s">
        <v>3880</v>
      </c>
    </row>
    <row r="2310" spans="1:9" x14ac:dyDescent="0.3">
      <c r="A2310" t="s">
        <v>4008</v>
      </c>
      <c r="B2310" t="s">
        <v>4083</v>
      </c>
      <c r="C2310" t="s">
        <v>13</v>
      </c>
      <c r="D2310" t="s">
        <v>1154</v>
      </c>
      <c r="E2310" t="s">
        <v>1919</v>
      </c>
      <c r="F2310" t="s">
        <v>4092</v>
      </c>
      <c r="H2310" t="s">
        <v>17</v>
      </c>
      <c r="I2310" t="s">
        <v>3880</v>
      </c>
    </row>
    <row r="2311" spans="1:9" x14ac:dyDescent="0.3">
      <c r="A2311" t="s">
        <v>4008</v>
      </c>
      <c r="B2311" t="s">
        <v>4083</v>
      </c>
      <c r="C2311" t="s">
        <v>13</v>
      </c>
      <c r="D2311" t="s">
        <v>1158</v>
      </c>
      <c r="E2311" t="s">
        <v>1921</v>
      </c>
      <c r="F2311" t="s">
        <v>4093</v>
      </c>
      <c r="H2311" t="s">
        <v>17</v>
      </c>
      <c r="I2311" t="s">
        <v>4094</v>
      </c>
    </row>
    <row r="2312" spans="1:9" x14ac:dyDescent="0.3">
      <c r="A2312" t="s">
        <v>4008</v>
      </c>
      <c r="B2312" t="s">
        <v>4083</v>
      </c>
      <c r="C2312" t="s">
        <v>13</v>
      </c>
      <c r="D2312" t="s">
        <v>1162</v>
      </c>
      <c r="E2312" t="s">
        <v>1923</v>
      </c>
      <c r="F2312" t="s">
        <v>3990</v>
      </c>
      <c r="H2312" t="s">
        <v>17</v>
      </c>
      <c r="I2312" t="s">
        <v>4095</v>
      </c>
    </row>
    <row r="2313" spans="1:9" x14ac:dyDescent="0.3">
      <c r="A2313" t="s">
        <v>4008</v>
      </c>
      <c r="B2313" t="s">
        <v>4096</v>
      </c>
      <c r="C2313" t="s">
        <v>13</v>
      </c>
      <c r="D2313" t="s">
        <v>1165</v>
      </c>
      <c r="E2313" t="s">
        <v>1927</v>
      </c>
      <c r="F2313" t="s">
        <v>2825</v>
      </c>
      <c r="H2313" t="s">
        <v>17</v>
      </c>
      <c r="I2313" t="s">
        <v>4097</v>
      </c>
    </row>
    <row r="2314" spans="1:9" x14ac:dyDescent="0.3">
      <c r="A2314" t="s">
        <v>4008</v>
      </c>
      <c r="B2314" t="s">
        <v>4096</v>
      </c>
      <c r="C2314" t="s">
        <v>13</v>
      </c>
      <c r="D2314" t="s">
        <v>1168</v>
      </c>
      <c r="E2314" t="s">
        <v>1929</v>
      </c>
      <c r="F2314" t="s">
        <v>2825</v>
      </c>
      <c r="H2314" t="s">
        <v>17</v>
      </c>
      <c r="I2314" t="s">
        <v>4098</v>
      </c>
    </row>
    <row r="2315" spans="1:9" x14ac:dyDescent="0.3">
      <c r="A2315" t="s">
        <v>4008</v>
      </c>
      <c r="B2315" t="s">
        <v>4096</v>
      </c>
      <c r="C2315" t="s">
        <v>13</v>
      </c>
      <c r="D2315" t="s">
        <v>1172</v>
      </c>
      <c r="E2315" t="s">
        <v>1931</v>
      </c>
      <c r="F2315" t="s">
        <v>2825</v>
      </c>
      <c r="H2315" t="s">
        <v>17</v>
      </c>
      <c r="I2315" t="s">
        <v>4099</v>
      </c>
    </row>
    <row r="2316" spans="1:9" x14ac:dyDescent="0.3">
      <c r="A2316" t="s">
        <v>4008</v>
      </c>
      <c r="B2316" t="s">
        <v>4096</v>
      </c>
      <c r="C2316" t="s">
        <v>13</v>
      </c>
      <c r="D2316" t="s">
        <v>1176</v>
      </c>
      <c r="E2316" t="s">
        <v>1933</v>
      </c>
      <c r="F2316" t="s">
        <v>2825</v>
      </c>
      <c r="H2316" t="s">
        <v>17</v>
      </c>
      <c r="I2316" t="s">
        <v>4100</v>
      </c>
    </row>
    <row r="2317" spans="1:9" x14ac:dyDescent="0.3">
      <c r="A2317" t="s">
        <v>4008</v>
      </c>
      <c r="B2317" t="s">
        <v>4096</v>
      </c>
      <c r="C2317" t="s">
        <v>13</v>
      </c>
      <c r="D2317" t="s">
        <v>1179</v>
      </c>
      <c r="E2317" t="s">
        <v>3044</v>
      </c>
      <c r="F2317" t="s">
        <v>2825</v>
      </c>
      <c r="H2317" t="s">
        <v>17</v>
      </c>
      <c r="I2317" t="s">
        <v>4101</v>
      </c>
    </row>
    <row r="2318" spans="1:9" x14ac:dyDescent="0.3">
      <c r="A2318" t="s">
        <v>4008</v>
      </c>
      <c r="B2318" t="s">
        <v>4102</v>
      </c>
      <c r="C2318" t="s">
        <v>13</v>
      </c>
      <c r="D2318" t="s">
        <v>1205</v>
      </c>
      <c r="E2318" t="s">
        <v>3047</v>
      </c>
      <c r="F2318" t="s">
        <v>3970</v>
      </c>
      <c r="H2318" t="s">
        <v>17</v>
      </c>
      <c r="I2318" t="s">
        <v>4097</v>
      </c>
    </row>
    <row r="2319" spans="1:9" x14ac:dyDescent="0.3">
      <c r="A2319" t="s">
        <v>4008</v>
      </c>
      <c r="B2319" t="s">
        <v>4102</v>
      </c>
      <c r="C2319" t="s">
        <v>13</v>
      </c>
      <c r="D2319" t="s">
        <v>1209</v>
      </c>
      <c r="E2319" t="s">
        <v>3049</v>
      </c>
      <c r="F2319" t="s">
        <v>3970</v>
      </c>
      <c r="H2319" t="s">
        <v>17</v>
      </c>
      <c r="I2319" t="s">
        <v>4098</v>
      </c>
    </row>
    <row r="2320" spans="1:9" x14ac:dyDescent="0.3">
      <c r="A2320" t="s">
        <v>4008</v>
      </c>
      <c r="B2320" t="s">
        <v>4102</v>
      </c>
      <c r="C2320" t="s">
        <v>13</v>
      </c>
      <c r="D2320" t="s">
        <v>1213</v>
      </c>
      <c r="E2320" t="s">
        <v>3051</v>
      </c>
      <c r="F2320" t="s">
        <v>3970</v>
      </c>
      <c r="H2320" t="s">
        <v>17</v>
      </c>
      <c r="I2320" t="s">
        <v>4099</v>
      </c>
    </row>
    <row r="2321" spans="1:9" x14ac:dyDescent="0.3">
      <c r="A2321" t="s">
        <v>4008</v>
      </c>
      <c r="B2321" t="s">
        <v>4102</v>
      </c>
      <c r="C2321" t="s">
        <v>13</v>
      </c>
      <c r="D2321" t="s">
        <v>1219</v>
      </c>
      <c r="E2321" t="s">
        <v>3053</v>
      </c>
      <c r="F2321" t="s">
        <v>3970</v>
      </c>
      <c r="H2321" t="s">
        <v>17</v>
      </c>
      <c r="I2321" t="s">
        <v>4100</v>
      </c>
    </row>
    <row r="2322" spans="1:9" x14ac:dyDescent="0.3">
      <c r="A2322" t="s">
        <v>4008</v>
      </c>
      <c r="B2322" t="s">
        <v>4102</v>
      </c>
      <c r="C2322" t="s">
        <v>13</v>
      </c>
      <c r="D2322" t="s">
        <v>1224</v>
      </c>
      <c r="E2322" t="s">
        <v>3055</v>
      </c>
      <c r="F2322" t="s">
        <v>3970</v>
      </c>
      <c r="H2322" t="s">
        <v>17</v>
      </c>
      <c r="I2322" t="s">
        <v>4101</v>
      </c>
    </row>
    <row r="2323" spans="1:9" x14ac:dyDescent="0.3">
      <c r="A2323" t="s">
        <v>4008</v>
      </c>
      <c r="B2323" t="s">
        <v>4103</v>
      </c>
      <c r="C2323" t="s">
        <v>13</v>
      </c>
      <c r="D2323" t="s">
        <v>1228</v>
      </c>
      <c r="E2323" t="s">
        <v>3059</v>
      </c>
      <c r="F2323" t="s">
        <v>4104</v>
      </c>
      <c r="H2323" t="s">
        <v>17</v>
      </c>
      <c r="I2323" t="s">
        <v>4097</v>
      </c>
    </row>
    <row r="2324" spans="1:9" x14ac:dyDescent="0.3">
      <c r="A2324" t="s">
        <v>4008</v>
      </c>
      <c r="B2324" t="s">
        <v>4103</v>
      </c>
      <c r="C2324" t="s">
        <v>13</v>
      </c>
      <c r="D2324" t="s">
        <v>1232</v>
      </c>
      <c r="E2324" t="s">
        <v>3061</v>
      </c>
      <c r="F2324" t="s">
        <v>4104</v>
      </c>
      <c r="H2324" t="s">
        <v>17</v>
      </c>
      <c r="I2324" t="s">
        <v>4098</v>
      </c>
    </row>
    <row r="2325" spans="1:9" x14ac:dyDescent="0.3">
      <c r="A2325" t="s">
        <v>4008</v>
      </c>
      <c r="B2325" t="s">
        <v>4103</v>
      </c>
      <c r="C2325" t="s">
        <v>13</v>
      </c>
      <c r="D2325" t="s">
        <v>1236</v>
      </c>
      <c r="E2325" t="s">
        <v>3064</v>
      </c>
      <c r="F2325" t="s">
        <v>4104</v>
      </c>
      <c r="H2325" t="s">
        <v>17</v>
      </c>
      <c r="I2325" t="s">
        <v>4099</v>
      </c>
    </row>
    <row r="2326" spans="1:9" x14ac:dyDescent="0.3">
      <c r="A2326" t="s">
        <v>4008</v>
      </c>
      <c r="B2326" t="s">
        <v>4103</v>
      </c>
      <c r="C2326" t="s">
        <v>13</v>
      </c>
      <c r="D2326" t="s">
        <v>1240</v>
      </c>
      <c r="E2326" t="s">
        <v>3067</v>
      </c>
      <c r="F2326" t="s">
        <v>4104</v>
      </c>
      <c r="H2326" t="s">
        <v>17</v>
      </c>
      <c r="I2326" t="s">
        <v>4100</v>
      </c>
    </row>
    <row r="2327" spans="1:9" x14ac:dyDescent="0.3">
      <c r="A2327" t="s">
        <v>4008</v>
      </c>
      <c r="B2327" t="s">
        <v>4103</v>
      </c>
      <c r="C2327" t="s">
        <v>13</v>
      </c>
      <c r="D2327" t="s">
        <v>1244</v>
      </c>
      <c r="E2327" t="s">
        <v>3069</v>
      </c>
      <c r="F2327" t="s">
        <v>4104</v>
      </c>
      <c r="H2327" t="s">
        <v>17</v>
      </c>
      <c r="I2327" t="s">
        <v>4101</v>
      </c>
    </row>
    <row r="2328" spans="1:9" x14ac:dyDescent="0.3">
      <c r="A2328" t="s">
        <v>4008</v>
      </c>
      <c r="B2328" t="s">
        <v>4103</v>
      </c>
      <c r="C2328" t="s">
        <v>13</v>
      </c>
      <c r="D2328" t="s">
        <v>1248</v>
      </c>
      <c r="E2328" t="s">
        <v>4105</v>
      </c>
      <c r="F2328" t="s">
        <v>4106</v>
      </c>
      <c r="H2328" t="s">
        <v>17</v>
      </c>
      <c r="I2328" t="s">
        <v>4019</v>
      </c>
    </row>
    <row r="2329" spans="1:9" x14ac:dyDescent="0.3">
      <c r="A2329" t="s">
        <v>4008</v>
      </c>
      <c r="B2329" t="s">
        <v>4103</v>
      </c>
      <c r="C2329" t="s">
        <v>13</v>
      </c>
      <c r="D2329" t="s">
        <v>1252</v>
      </c>
      <c r="E2329" t="s">
        <v>3073</v>
      </c>
      <c r="F2329" t="s">
        <v>4107</v>
      </c>
      <c r="H2329" t="s">
        <v>17</v>
      </c>
      <c r="I2329" t="s">
        <v>4108</v>
      </c>
    </row>
    <row r="2330" spans="1:9" x14ac:dyDescent="0.3">
      <c r="A2330" t="s">
        <v>4008</v>
      </c>
      <c r="B2330" t="s">
        <v>4103</v>
      </c>
      <c r="C2330" t="s">
        <v>13</v>
      </c>
      <c r="D2330" t="s">
        <v>1256</v>
      </c>
      <c r="E2330" t="s">
        <v>3076</v>
      </c>
      <c r="F2330" t="s">
        <v>4109</v>
      </c>
      <c r="H2330" t="s">
        <v>17</v>
      </c>
      <c r="I2330" t="s">
        <v>4110</v>
      </c>
    </row>
    <row r="2331" spans="1:9" x14ac:dyDescent="0.3">
      <c r="A2331" t="s">
        <v>4008</v>
      </c>
      <c r="B2331" t="s">
        <v>4103</v>
      </c>
      <c r="C2331" t="s">
        <v>13</v>
      </c>
      <c r="D2331" t="s">
        <v>1261</v>
      </c>
      <c r="E2331" t="s">
        <v>3078</v>
      </c>
      <c r="F2331" t="s">
        <v>4111</v>
      </c>
      <c r="H2331" t="s">
        <v>17</v>
      </c>
      <c r="I2331" t="s">
        <v>4112</v>
      </c>
    </row>
    <row r="2332" spans="1:9" x14ac:dyDescent="0.3">
      <c r="A2332" t="s">
        <v>4008</v>
      </c>
      <c r="B2332" t="s">
        <v>4103</v>
      </c>
      <c r="C2332" t="s">
        <v>13</v>
      </c>
      <c r="D2332" t="s">
        <v>1265</v>
      </c>
      <c r="E2332" t="s">
        <v>3080</v>
      </c>
      <c r="F2332" t="s">
        <v>4113</v>
      </c>
      <c r="H2332" t="s">
        <v>17</v>
      </c>
      <c r="I2332" t="s">
        <v>4112</v>
      </c>
    </row>
    <row r="2333" spans="1:9" x14ac:dyDescent="0.3">
      <c r="A2333" t="s">
        <v>4008</v>
      </c>
      <c r="B2333" t="s">
        <v>4103</v>
      </c>
      <c r="C2333" t="s">
        <v>13</v>
      </c>
      <c r="D2333" t="s">
        <v>1270</v>
      </c>
      <c r="E2333" t="s">
        <v>3082</v>
      </c>
      <c r="F2333" t="s">
        <v>4114</v>
      </c>
      <c r="H2333" t="s">
        <v>17</v>
      </c>
      <c r="I2333" t="s">
        <v>4115</v>
      </c>
    </row>
    <row r="2334" spans="1:9" x14ac:dyDescent="0.3">
      <c r="A2334" t="s">
        <v>4008</v>
      </c>
      <c r="B2334" t="s">
        <v>4103</v>
      </c>
      <c r="C2334" t="s">
        <v>13</v>
      </c>
      <c r="D2334" t="s">
        <v>1276</v>
      </c>
      <c r="E2334" t="s">
        <v>3084</v>
      </c>
      <c r="F2334" t="s">
        <v>4116</v>
      </c>
      <c r="H2334" t="s">
        <v>17</v>
      </c>
      <c r="I2334" t="s">
        <v>4117</v>
      </c>
    </row>
    <row r="2335" spans="1:9" x14ac:dyDescent="0.3">
      <c r="A2335" t="s">
        <v>4008</v>
      </c>
      <c r="B2335" t="s">
        <v>4103</v>
      </c>
      <c r="C2335" t="s">
        <v>13</v>
      </c>
      <c r="D2335" t="s">
        <v>303</v>
      </c>
      <c r="E2335" t="s">
        <v>3086</v>
      </c>
      <c r="F2335" t="s">
        <v>4118</v>
      </c>
      <c r="H2335" t="s">
        <v>17</v>
      </c>
      <c r="I2335" t="s">
        <v>4119</v>
      </c>
    </row>
    <row r="2336" spans="1:9" x14ac:dyDescent="0.3">
      <c r="A2336" t="s">
        <v>4008</v>
      </c>
      <c r="B2336" t="s">
        <v>4103</v>
      </c>
      <c r="C2336" t="s">
        <v>13</v>
      </c>
      <c r="D2336" t="s">
        <v>308</v>
      </c>
      <c r="E2336" t="s">
        <v>4120</v>
      </c>
      <c r="F2336" t="s">
        <v>4121</v>
      </c>
      <c r="H2336" t="s">
        <v>17</v>
      </c>
      <c r="I2336" t="s">
        <v>4122</v>
      </c>
    </row>
    <row r="2337" spans="1:9" x14ac:dyDescent="0.3">
      <c r="A2337" t="s">
        <v>4008</v>
      </c>
      <c r="B2337" t="s">
        <v>4103</v>
      </c>
      <c r="C2337" t="s">
        <v>13</v>
      </c>
      <c r="D2337" t="s">
        <v>312</v>
      </c>
      <c r="E2337" t="s">
        <v>3092</v>
      </c>
      <c r="F2337" t="s">
        <v>4123</v>
      </c>
      <c r="H2337" t="s">
        <v>17</v>
      </c>
      <c r="I2337" t="s">
        <v>4124</v>
      </c>
    </row>
    <row r="2338" spans="1:9" x14ac:dyDescent="0.3">
      <c r="A2338" t="s">
        <v>4008</v>
      </c>
      <c r="B2338" t="s">
        <v>4103</v>
      </c>
      <c r="C2338" t="s">
        <v>13</v>
      </c>
      <c r="D2338" t="s">
        <v>316</v>
      </c>
      <c r="E2338" t="s">
        <v>3095</v>
      </c>
      <c r="F2338" t="s">
        <v>4125</v>
      </c>
      <c r="H2338" t="s">
        <v>17</v>
      </c>
      <c r="I2338" t="s">
        <v>4126</v>
      </c>
    </row>
    <row r="2339" spans="1:9" x14ac:dyDescent="0.3">
      <c r="A2339" t="s">
        <v>4008</v>
      </c>
      <c r="B2339" t="s">
        <v>4103</v>
      </c>
      <c r="C2339" t="s">
        <v>13</v>
      </c>
      <c r="D2339" t="s">
        <v>319</v>
      </c>
      <c r="E2339" t="s">
        <v>3097</v>
      </c>
      <c r="F2339" t="s">
        <v>4127</v>
      </c>
      <c r="H2339" t="s">
        <v>17</v>
      </c>
      <c r="I2339" t="s">
        <v>4128</v>
      </c>
    </row>
    <row r="2340" spans="1:9" x14ac:dyDescent="0.3">
      <c r="A2340" t="s">
        <v>4008</v>
      </c>
      <c r="B2340" t="s">
        <v>4103</v>
      </c>
      <c r="C2340" t="s">
        <v>13</v>
      </c>
      <c r="D2340" t="s">
        <v>323</v>
      </c>
      <c r="E2340" t="s">
        <v>3099</v>
      </c>
      <c r="F2340" t="s">
        <v>4129</v>
      </c>
      <c r="H2340" t="s">
        <v>17</v>
      </c>
      <c r="I2340" t="s">
        <v>4130</v>
      </c>
    </row>
    <row r="2341" spans="1:9" x14ac:dyDescent="0.3">
      <c r="A2341" t="s">
        <v>4008</v>
      </c>
      <c r="B2341" t="s">
        <v>4103</v>
      </c>
      <c r="C2341" t="s">
        <v>13</v>
      </c>
      <c r="D2341" t="s">
        <v>327</v>
      </c>
      <c r="E2341" t="s">
        <v>3102</v>
      </c>
      <c r="F2341" t="s">
        <v>4131</v>
      </c>
      <c r="H2341" t="s">
        <v>17</v>
      </c>
      <c r="I2341" t="s">
        <v>4132</v>
      </c>
    </row>
    <row r="2342" spans="1:9" x14ac:dyDescent="0.3">
      <c r="A2342" t="s">
        <v>4008</v>
      </c>
      <c r="B2342" t="s">
        <v>4103</v>
      </c>
      <c r="C2342" t="s">
        <v>13</v>
      </c>
      <c r="D2342" t="s">
        <v>332</v>
      </c>
      <c r="E2342" t="s">
        <v>3105</v>
      </c>
      <c r="F2342" t="s">
        <v>4133</v>
      </c>
      <c r="H2342" t="s">
        <v>17</v>
      </c>
      <c r="I2342" t="s">
        <v>4134</v>
      </c>
    </row>
    <row r="2343" spans="1:9" x14ac:dyDescent="0.3">
      <c r="A2343" t="s">
        <v>4008</v>
      </c>
      <c r="B2343" t="s">
        <v>4103</v>
      </c>
      <c r="C2343" t="s">
        <v>13</v>
      </c>
      <c r="D2343" t="s">
        <v>335</v>
      </c>
      <c r="E2343" t="s">
        <v>3108</v>
      </c>
      <c r="F2343" t="s">
        <v>4135</v>
      </c>
      <c r="H2343" t="s">
        <v>17</v>
      </c>
      <c r="I2343" t="s">
        <v>4136</v>
      </c>
    </row>
    <row r="2344" spans="1:9" x14ac:dyDescent="0.3">
      <c r="A2344" t="s">
        <v>4008</v>
      </c>
      <c r="B2344" t="s">
        <v>4103</v>
      </c>
      <c r="C2344" t="s">
        <v>13</v>
      </c>
      <c r="D2344" t="s">
        <v>338</v>
      </c>
      <c r="E2344" t="s">
        <v>3111</v>
      </c>
      <c r="F2344" t="s">
        <v>4137</v>
      </c>
      <c r="H2344" t="s">
        <v>17</v>
      </c>
      <c r="I2344" t="s">
        <v>4138</v>
      </c>
    </row>
    <row r="2345" spans="1:9" x14ac:dyDescent="0.3">
      <c r="A2345" t="s">
        <v>4008</v>
      </c>
      <c r="B2345" t="s">
        <v>4103</v>
      </c>
      <c r="C2345" t="s">
        <v>13</v>
      </c>
      <c r="D2345" t="s">
        <v>341</v>
      </c>
      <c r="E2345" t="s">
        <v>3113</v>
      </c>
      <c r="F2345" t="s">
        <v>4139</v>
      </c>
      <c r="H2345" t="s">
        <v>17</v>
      </c>
      <c r="I2345" t="s">
        <v>3880</v>
      </c>
    </row>
    <row r="2346" spans="1:9" x14ac:dyDescent="0.3">
      <c r="A2346" t="s">
        <v>4008</v>
      </c>
      <c r="B2346" t="s">
        <v>4103</v>
      </c>
      <c r="C2346" t="s">
        <v>13</v>
      </c>
      <c r="D2346" t="s">
        <v>344</v>
      </c>
      <c r="E2346" t="s">
        <v>3116</v>
      </c>
      <c r="F2346" t="s">
        <v>4140</v>
      </c>
      <c r="H2346" t="s">
        <v>17</v>
      </c>
      <c r="I2346" t="s">
        <v>4141</v>
      </c>
    </row>
    <row r="2347" spans="1:9" x14ac:dyDescent="0.3">
      <c r="A2347" t="s">
        <v>4008</v>
      </c>
      <c r="B2347" t="s">
        <v>4103</v>
      </c>
      <c r="C2347" t="s">
        <v>13</v>
      </c>
      <c r="D2347" t="s">
        <v>347</v>
      </c>
      <c r="E2347" t="s">
        <v>3119</v>
      </c>
      <c r="F2347" t="s">
        <v>4142</v>
      </c>
      <c r="H2347" t="s">
        <v>17</v>
      </c>
      <c r="I2347" t="s">
        <v>4143</v>
      </c>
    </row>
    <row r="2348" spans="1:9" x14ac:dyDescent="0.3">
      <c r="A2348" t="s">
        <v>4008</v>
      </c>
      <c r="B2348" t="s">
        <v>4103</v>
      </c>
      <c r="C2348" t="s">
        <v>13</v>
      </c>
      <c r="D2348" t="s">
        <v>353</v>
      </c>
      <c r="E2348" t="s">
        <v>3122</v>
      </c>
      <c r="F2348" t="s">
        <v>4144</v>
      </c>
      <c r="H2348" t="s">
        <v>17</v>
      </c>
      <c r="I2348" t="s">
        <v>4145</v>
      </c>
    </row>
    <row r="2349" spans="1:9" x14ac:dyDescent="0.3">
      <c r="A2349" t="s">
        <v>4008</v>
      </c>
      <c r="B2349" t="s">
        <v>4103</v>
      </c>
      <c r="C2349" t="s">
        <v>13</v>
      </c>
      <c r="D2349" t="s">
        <v>358</v>
      </c>
      <c r="E2349" t="s">
        <v>3125</v>
      </c>
      <c r="F2349" t="s">
        <v>4146</v>
      </c>
      <c r="H2349" t="s">
        <v>17</v>
      </c>
      <c r="I2349" t="s">
        <v>4147</v>
      </c>
    </row>
    <row r="2350" spans="1:9" x14ac:dyDescent="0.3">
      <c r="A2350" t="s">
        <v>4008</v>
      </c>
      <c r="B2350" t="s">
        <v>4103</v>
      </c>
      <c r="C2350" t="s">
        <v>13</v>
      </c>
      <c r="D2350" t="s">
        <v>361</v>
      </c>
      <c r="E2350" t="s">
        <v>3128</v>
      </c>
      <c r="F2350" t="s">
        <v>4148</v>
      </c>
      <c r="H2350" t="s">
        <v>17</v>
      </c>
      <c r="I2350" t="s">
        <v>4149</v>
      </c>
    </row>
    <row r="2351" spans="1:9" x14ac:dyDescent="0.3">
      <c r="A2351" t="s">
        <v>4008</v>
      </c>
      <c r="B2351" t="s">
        <v>4103</v>
      </c>
      <c r="C2351" t="s">
        <v>13</v>
      </c>
      <c r="D2351" t="s">
        <v>364</v>
      </c>
      <c r="E2351" t="s">
        <v>3131</v>
      </c>
      <c r="F2351" t="s">
        <v>4150</v>
      </c>
      <c r="H2351" t="s">
        <v>17</v>
      </c>
      <c r="I2351" t="s">
        <v>4151</v>
      </c>
    </row>
    <row r="2352" spans="1:9" x14ac:dyDescent="0.3">
      <c r="A2352" t="s">
        <v>4008</v>
      </c>
      <c r="B2352" t="s">
        <v>4103</v>
      </c>
      <c r="C2352" t="s">
        <v>13</v>
      </c>
      <c r="D2352" t="s">
        <v>370</v>
      </c>
      <c r="E2352" t="s">
        <v>3134</v>
      </c>
      <c r="F2352" t="s">
        <v>4152</v>
      </c>
      <c r="H2352" t="s">
        <v>17</v>
      </c>
      <c r="I2352" t="s">
        <v>2836</v>
      </c>
    </row>
    <row r="2353" spans="1:9" x14ac:dyDescent="0.3">
      <c r="A2353" t="s">
        <v>4008</v>
      </c>
      <c r="B2353" t="s">
        <v>4103</v>
      </c>
      <c r="C2353" t="s">
        <v>13</v>
      </c>
      <c r="D2353" t="s">
        <v>373</v>
      </c>
      <c r="E2353" t="s">
        <v>3136</v>
      </c>
      <c r="F2353" t="s">
        <v>4153</v>
      </c>
      <c r="H2353" t="s">
        <v>17</v>
      </c>
      <c r="I2353" t="s">
        <v>2836</v>
      </c>
    </row>
    <row r="2354" spans="1:9" x14ac:dyDescent="0.3">
      <c r="A2354" t="s">
        <v>4008</v>
      </c>
      <c r="B2354" t="s">
        <v>4103</v>
      </c>
      <c r="C2354" t="s">
        <v>13</v>
      </c>
      <c r="D2354" t="s">
        <v>376</v>
      </c>
      <c r="E2354" t="s">
        <v>3139</v>
      </c>
      <c r="F2354" t="s">
        <v>4154</v>
      </c>
      <c r="H2354" t="s">
        <v>17</v>
      </c>
      <c r="I2354" t="s">
        <v>2836</v>
      </c>
    </row>
    <row r="2355" spans="1:9" x14ac:dyDescent="0.3">
      <c r="A2355" t="s">
        <v>4008</v>
      </c>
      <c r="B2355" t="s">
        <v>4103</v>
      </c>
      <c r="C2355" t="s">
        <v>13</v>
      </c>
      <c r="D2355" t="s">
        <v>1675</v>
      </c>
      <c r="E2355" t="s">
        <v>3141</v>
      </c>
      <c r="F2355" t="s">
        <v>4155</v>
      </c>
      <c r="H2355" t="s">
        <v>17</v>
      </c>
      <c r="I2355" t="s">
        <v>4156</v>
      </c>
    </row>
    <row r="2356" spans="1:9" x14ac:dyDescent="0.3">
      <c r="A2356" t="s">
        <v>4008</v>
      </c>
      <c r="B2356" t="s">
        <v>4103</v>
      </c>
      <c r="C2356" t="s">
        <v>13</v>
      </c>
      <c r="D2356" t="s">
        <v>1678</v>
      </c>
      <c r="E2356" t="s">
        <v>4157</v>
      </c>
      <c r="F2356" t="s">
        <v>4158</v>
      </c>
      <c r="H2356" t="s">
        <v>807</v>
      </c>
      <c r="I2356" t="s">
        <v>4159</v>
      </c>
    </row>
    <row r="2357" spans="1:9" x14ac:dyDescent="0.3">
      <c r="A2357" t="s">
        <v>4008</v>
      </c>
      <c r="B2357" t="s">
        <v>4103</v>
      </c>
      <c r="C2357" t="s">
        <v>13</v>
      </c>
      <c r="D2357" t="s">
        <v>1681</v>
      </c>
      <c r="E2357" t="s">
        <v>3145</v>
      </c>
      <c r="F2357" t="s">
        <v>4160</v>
      </c>
      <c r="H2357" t="s">
        <v>807</v>
      </c>
      <c r="I2357" t="s">
        <v>4159</v>
      </c>
    </row>
    <row r="2358" spans="1:9" x14ac:dyDescent="0.3">
      <c r="A2358" t="s">
        <v>4008</v>
      </c>
      <c r="B2358" t="s">
        <v>4103</v>
      </c>
      <c r="C2358" t="s">
        <v>13</v>
      </c>
      <c r="D2358" t="s">
        <v>1683</v>
      </c>
      <c r="E2358" t="s">
        <v>3148</v>
      </c>
      <c r="F2358" t="s">
        <v>3972</v>
      </c>
      <c r="H2358" t="s">
        <v>807</v>
      </c>
      <c r="I2358" t="s">
        <v>4161</v>
      </c>
    </row>
    <row r="2359" spans="1:9" x14ac:dyDescent="0.3">
      <c r="A2359" t="s">
        <v>4008</v>
      </c>
      <c r="B2359" t="s">
        <v>4103</v>
      </c>
      <c r="C2359" t="s">
        <v>13</v>
      </c>
      <c r="D2359" t="s">
        <v>1685</v>
      </c>
      <c r="E2359" t="s">
        <v>3150</v>
      </c>
      <c r="F2359" t="s">
        <v>4162</v>
      </c>
      <c r="H2359" t="s">
        <v>17</v>
      </c>
      <c r="I2359" t="s">
        <v>4163</v>
      </c>
    </row>
    <row r="2360" spans="1:9" x14ac:dyDescent="0.3">
      <c r="A2360" t="s">
        <v>4008</v>
      </c>
      <c r="B2360" t="s">
        <v>4103</v>
      </c>
      <c r="C2360" t="s">
        <v>13</v>
      </c>
      <c r="D2360" t="s">
        <v>2859</v>
      </c>
      <c r="E2360" t="s">
        <v>3152</v>
      </c>
      <c r="F2360" t="s">
        <v>4164</v>
      </c>
      <c r="H2360" t="s">
        <v>807</v>
      </c>
      <c r="I2360" t="s">
        <v>4165</v>
      </c>
    </row>
    <row r="2361" spans="1:9" x14ac:dyDescent="0.3">
      <c r="A2361" t="s">
        <v>4008</v>
      </c>
      <c r="B2361" t="s">
        <v>4103</v>
      </c>
      <c r="C2361" t="s">
        <v>13</v>
      </c>
      <c r="D2361" t="s">
        <v>2413</v>
      </c>
      <c r="E2361" t="s">
        <v>3154</v>
      </c>
      <c r="F2361" t="s">
        <v>4166</v>
      </c>
      <c r="H2361" t="s">
        <v>807</v>
      </c>
      <c r="I2361" t="s">
        <v>4167</v>
      </c>
    </row>
    <row r="2362" spans="1:9" x14ac:dyDescent="0.3">
      <c r="A2362" t="s">
        <v>4008</v>
      </c>
      <c r="B2362" t="s">
        <v>4103</v>
      </c>
      <c r="C2362" t="s">
        <v>13</v>
      </c>
      <c r="D2362" t="s">
        <v>2417</v>
      </c>
      <c r="E2362" t="s">
        <v>3156</v>
      </c>
      <c r="F2362" t="s">
        <v>4168</v>
      </c>
      <c r="H2362" t="s">
        <v>807</v>
      </c>
      <c r="I2362" t="s">
        <v>4169</v>
      </c>
    </row>
    <row r="2363" spans="1:9" x14ac:dyDescent="0.3">
      <c r="A2363" t="s">
        <v>4008</v>
      </c>
      <c r="B2363" t="s">
        <v>4103</v>
      </c>
      <c r="C2363" t="s">
        <v>13</v>
      </c>
      <c r="D2363" t="s">
        <v>2421</v>
      </c>
      <c r="E2363" t="s">
        <v>3158</v>
      </c>
      <c r="F2363" t="s">
        <v>4170</v>
      </c>
      <c r="H2363" t="s">
        <v>17</v>
      </c>
      <c r="I2363" t="s">
        <v>4171</v>
      </c>
    </row>
    <row r="2364" spans="1:9" x14ac:dyDescent="0.3">
      <c r="A2364" t="s">
        <v>4008</v>
      </c>
      <c r="B2364" t="s">
        <v>4103</v>
      </c>
      <c r="C2364" t="s">
        <v>13</v>
      </c>
      <c r="D2364" t="s">
        <v>1690</v>
      </c>
      <c r="E2364" t="s">
        <v>3160</v>
      </c>
      <c r="F2364" t="s">
        <v>4172</v>
      </c>
      <c r="H2364" t="s">
        <v>17</v>
      </c>
      <c r="I2364" t="s">
        <v>4173</v>
      </c>
    </row>
    <row r="2365" spans="1:9" x14ac:dyDescent="0.3">
      <c r="A2365" t="s">
        <v>4008</v>
      </c>
      <c r="B2365" t="s">
        <v>4103</v>
      </c>
      <c r="C2365" t="s">
        <v>13</v>
      </c>
      <c r="D2365" t="s">
        <v>2428</v>
      </c>
      <c r="E2365" t="s">
        <v>3162</v>
      </c>
      <c r="F2365" t="s">
        <v>4174</v>
      </c>
      <c r="H2365" t="s">
        <v>17</v>
      </c>
      <c r="I2365" t="s">
        <v>4141</v>
      </c>
    </row>
    <row r="2366" spans="1:9" x14ac:dyDescent="0.3">
      <c r="A2366" t="s">
        <v>4008</v>
      </c>
      <c r="B2366" t="s">
        <v>4103</v>
      </c>
      <c r="C2366" t="s">
        <v>13</v>
      </c>
      <c r="D2366" t="s">
        <v>2431</v>
      </c>
      <c r="E2366" t="s">
        <v>3164</v>
      </c>
      <c r="F2366" t="s">
        <v>4175</v>
      </c>
      <c r="H2366" t="s">
        <v>17</v>
      </c>
      <c r="I2366" t="s">
        <v>414</v>
      </c>
    </row>
    <row r="2367" spans="1:9" x14ac:dyDescent="0.3">
      <c r="A2367" t="s">
        <v>4008</v>
      </c>
      <c r="B2367" t="s">
        <v>4103</v>
      </c>
      <c r="C2367" t="s">
        <v>13</v>
      </c>
      <c r="D2367" t="s">
        <v>1693</v>
      </c>
      <c r="E2367" t="s">
        <v>3167</v>
      </c>
      <c r="F2367" t="s">
        <v>4176</v>
      </c>
      <c r="H2367" t="s">
        <v>807</v>
      </c>
      <c r="I2367" t="s">
        <v>4177</v>
      </c>
    </row>
    <row r="2368" spans="1:9" x14ac:dyDescent="0.3">
      <c r="A2368" t="s">
        <v>4008</v>
      </c>
      <c r="B2368" t="s">
        <v>4103</v>
      </c>
      <c r="C2368" t="s">
        <v>13</v>
      </c>
      <c r="D2368" t="s">
        <v>1694</v>
      </c>
      <c r="E2368" t="s">
        <v>3170</v>
      </c>
      <c r="F2368" t="s">
        <v>4178</v>
      </c>
      <c r="H2368" t="s">
        <v>17</v>
      </c>
      <c r="I2368" t="s">
        <v>4179</v>
      </c>
    </row>
    <row r="2369" spans="1:9" x14ac:dyDescent="0.3">
      <c r="A2369" t="s">
        <v>4008</v>
      </c>
      <c r="B2369" t="s">
        <v>4103</v>
      </c>
      <c r="C2369" t="s">
        <v>13</v>
      </c>
      <c r="D2369" t="s">
        <v>2438</v>
      </c>
      <c r="E2369" t="s">
        <v>4180</v>
      </c>
      <c r="F2369" t="s">
        <v>4181</v>
      </c>
      <c r="H2369" t="s">
        <v>807</v>
      </c>
      <c r="I2369" t="s">
        <v>4182</v>
      </c>
    </row>
    <row r="2370" spans="1:9" x14ac:dyDescent="0.3">
      <c r="A2370" t="s">
        <v>4008</v>
      </c>
      <c r="B2370" t="s">
        <v>4103</v>
      </c>
      <c r="C2370" t="s">
        <v>13</v>
      </c>
      <c r="D2370" t="s">
        <v>3773</v>
      </c>
      <c r="E2370" t="s">
        <v>4183</v>
      </c>
      <c r="F2370" t="s">
        <v>747</v>
      </c>
      <c r="H2370" t="s">
        <v>17</v>
      </c>
    </row>
    <row r="2371" spans="1:9" x14ac:dyDescent="0.3">
      <c r="A2371" t="s">
        <v>4008</v>
      </c>
      <c r="B2371" t="s">
        <v>4103</v>
      </c>
      <c r="C2371" t="s">
        <v>13</v>
      </c>
      <c r="D2371" t="s">
        <v>415</v>
      </c>
      <c r="E2371" t="s">
        <v>4184</v>
      </c>
      <c r="F2371" t="s">
        <v>843</v>
      </c>
      <c r="H2371" t="s">
        <v>17</v>
      </c>
      <c r="I2371" t="s">
        <v>845</v>
      </c>
    </row>
    <row r="2372" spans="1:9" x14ac:dyDescent="0.3">
      <c r="A2372" t="s">
        <v>4008</v>
      </c>
      <c r="B2372" t="s">
        <v>4103</v>
      </c>
      <c r="C2372" t="s">
        <v>13</v>
      </c>
      <c r="D2372" t="s">
        <v>420</v>
      </c>
      <c r="E2372" t="s">
        <v>4185</v>
      </c>
      <c r="F2372" t="s">
        <v>797</v>
      </c>
      <c r="H2372" t="s">
        <v>17</v>
      </c>
      <c r="I2372" t="s">
        <v>4186</v>
      </c>
    </row>
    <row r="2373" spans="1:9" x14ac:dyDescent="0.3">
      <c r="A2373" t="s">
        <v>4008</v>
      </c>
      <c r="B2373" t="s">
        <v>4103</v>
      </c>
      <c r="C2373" t="s">
        <v>13</v>
      </c>
      <c r="D2373" t="s">
        <v>423</v>
      </c>
      <c r="E2373" t="s">
        <v>4187</v>
      </c>
      <c r="F2373" t="s">
        <v>3984</v>
      </c>
      <c r="H2373" t="s">
        <v>17</v>
      </c>
      <c r="I2373" t="s">
        <v>4188</v>
      </c>
    </row>
    <row r="2374" spans="1:9" x14ac:dyDescent="0.3">
      <c r="A2374" t="s">
        <v>4008</v>
      </c>
      <c r="B2374" t="s">
        <v>4103</v>
      </c>
      <c r="C2374" t="s">
        <v>13</v>
      </c>
      <c r="D2374" t="s">
        <v>426</v>
      </c>
      <c r="E2374" t="s">
        <v>4189</v>
      </c>
      <c r="F2374" t="s">
        <v>4190</v>
      </c>
      <c r="H2374" t="s">
        <v>17</v>
      </c>
      <c r="I2374" t="s">
        <v>4191</v>
      </c>
    </row>
    <row r="2375" spans="1:9" x14ac:dyDescent="0.3">
      <c r="A2375" t="s">
        <v>4008</v>
      </c>
      <c r="B2375" t="s">
        <v>4103</v>
      </c>
      <c r="C2375" t="s">
        <v>13</v>
      </c>
      <c r="D2375" t="s">
        <v>429</v>
      </c>
      <c r="E2375" t="s">
        <v>4192</v>
      </c>
      <c r="F2375" t="s">
        <v>2196</v>
      </c>
      <c r="H2375" t="s">
        <v>17</v>
      </c>
      <c r="I2375" t="s">
        <v>4193</v>
      </c>
    </row>
    <row r="2376" spans="1:9" x14ac:dyDescent="0.3">
      <c r="A2376" t="s">
        <v>4008</v>
      </c>
      <c r="B2376" t="s">
        <v>4103</v>
      </c>
      <c r="C2376" t="s">
        <v>13</v>
      </c>
      <c r="D2376" t="s">
        <v>432</v>
      </c>
      <c r="E2376" t="s">
        <v>4194</v>
      </c>
      <c r="F2376" t="s">
        <v>4195</v>
      </c>
      <c r="H2376" t="s">
        <v>17</v>
      </c>
      <c r="I2376" t="s">
        <v>4193</v>
      </c>
    </row>
    <row r="2377" spans="1:9" x14ac:dyDescent="0.3">
      <c r="A2377" t="s">
        <v>4008</v>
      </c>
      <c r="B2377" t="s">
        <v>4103</v>
      </c>
      <c r="C2377" t="s">
        <v>13</v>
      </c>
      <c r="D2377" t="s">
        <v>435</v>
      </c>
      <c r="E2377" t="s">
        <v>4196</v>
      </c>
      <c r="F2377" t="s">
        <v>2621</v>
      </c>
      <c r="H2377" t="s">
        <v>17</v>
      </c>
      <c r="I2377" t="s">
        <v>4197</v>
      </c>
    </row>
    <row r="2378" spans="1:9" x14ac:dyDescent="0.3">
      <c r="A2378" t="s">
        <v>4008</v>
      </c>
      <c r="B2378" t="s">
        <v>4103</v>
      </c>
      <c r="C2378" t="s">
        <v>13</v>
      </c>
      <c r="D2378" t="s">
        <v>438</v>
      </c>
      <c r="E2378" t="s">
        <v>4198</v>
      </c>
      <c r="F2378" t="s">
        <v>2926</v>
      </c>
      <c r="H2378" t="s">
        <v>17</v>
      </c>
      <c r="I2378" t="s">
        <v>4199</v>
      </c>
    </row>
    <row r="2379" spans="1:9" x14ac:dyDescent="0.3">
      <c r="A2379" t="s">
        <v>4008</v>
      </c>
      <c r="B2379" t="s">
        <v>4103</v>
      </c>
      <c r="C2379" t="s">
        <v>13</v>
      </c>
      <c r="D2379" t="s">
        <v>441</v>
      </c>
      <c r="E2379" t="s">
        <v>4200</v>
      </c>
      <c r="F2379" t="s">
        <v>4201</v>
      </c>
      <c r="H2379" t="s">
        <v>17</v>
      </c>
      <c r="I2379" t="s">
        <v>4202</v>
      </c>
    </row>
    <row r="2380" spans="1:9" x14ac:dyDescent="0.3">
      <c r="A2380" t="s">
        <v>4008</v>
      </c>
      <c r="B2380" t="s">
        <v>4103</v>
      </c>
      <c r="C2380" t="s">
        <v>13</v>
      </c>
      <c r="D2380" t="s">
        <v>444</v>
      </c>
      <c r="E2380" t="s">
        <v>4203</v>
      </c>
      <c r="F2380" t="s">
        <v>4204</v>
      </c>
      <c r="H2380" t="s">
        <v>17</v>
      </c>
      <c r="I2380" t="s">
        <v>4205</v>
      </c>
    </row>
    <row r="2381" spans="1:9" x14ac:dyDescent="0.3">
      <c r="A2381" t="s">
        <v>4008</v>
      </c>
      <c r="B2381" t="s">
        <v>4103</v>
      </c>
      <c r="C2381" t="s">
        <v>13</v>
      </c>
      <c r="D2381" t="s">
        <v>448</v>
      </c>
      <c r="E2381" t="s">
        <v>4206</v>
      </c>
      <c r="F2381" t="s">
        <v>824</v>
      </c>
      <c r="H2381" t="s">
        <v>17</v>
      </c>
      <c r="I2381" t="s">
        <v>4207</v>
      </c>
    </row>
    <row r="2382" spans="1:9" x14ac:dyDescent="0.3">
      <c r="A2382" t="s">
        <v>4008</v>
      </c>
      <c r="B2382" t="s">
        <v>4103</v>
      </c>
      <c r="C2382" t="s">
        <v>13</v>
      </c>
      <c r="D2382" t="s">
        <v>453</v>
      </c>
      <c r="E2382" t="s">
        <v>4208</v>
      </c>
      <c r="F2382" t="s">
        <v>4209</v>
      </c>
      <c r="H2382" t="s">
        <v>17</v>
      </c>
      <c r="I2382" t="s">
        <v>4210</v>
      </c>
    </row>
    <row r="2383" spans="1:9" x14ac:dyDescent="0.3">
      <c r="A2383" t="s">
        <v>4008</v>
      </c>
      <c r="B2383" t="s">
        <v>4103</v>
      </c>
      <c r="C2383" t="s">
        <v>13</v>
      </c>
      <c r="D2383" t="s">
        <v>457</v>
      </c>
      <c r="E2383" t="s">
        <v>4211</v>
      </c>
      <c r="F2383" t="s">
        <v>4209</v>
      </c>
      <c r="H2383" t="s">
        <v>17</v>
      </c>
      <c r="I2383" t="s">
        <v>4210</v>
      </c>
    </row>
    <row r="2384" spans="1:9" x14ac:dyDescent="0.3">
      <c r="A2384" t="s">
        <v>4008</v>
      </c>
      <c r="B2384" t="s">
        <v>4103</v>
      </c>
      <c r="C2384" t="s">
        <v>13</v>
      </c>
      <c r="D2384" t="s">
        <v>461</v>
      </c>
      <c r="E2384" t="s">
        <v>4212</v>
      </c>
      <c r="F2384" t="s">
        <v>4209</v>
      </c>
      <c r="H2384" t="s">
        <v>17</v>
      </c>
      <c r="I2384" t="s">
        <v>4210</v>
      </c>
    </row>
    <row r="2385" spans="1:9" x14ac:dyDescent="0.3">
      <c r="A2385" t="s">
        <v>4008</v>
      </c>
      <c r="B2385" t="s">
        <v>4103</v>
      </c>
      <c r="C2385" t="s">
        <v>13</v>
      </c>
      <c r="D2385" t="s">
        <v>464</v>
      </c>
      <c r="E2385" t="s">
        <v>4213</v>
      </c>
      <c r="F2385" t="s">
        <v>4214</v>
      </c>
      <c r="H2385" t="s">
        <v>17</v>
      </c>
      <c r="I2385" t="s">
        <v>4215</v>
      </c>
    </row>
    <row r="2386" spans="1:9" x14ac:dyDescent="0.3">
      <c r="A2386" t="s">
        <v>4008</v>
      </c>
      <c r="B2386" t="s">
        <v>4103</v>
      </c>
      <c r="C2386" t="s">
        <v>13</v>
      </c>
      <c r="D2386" t="s">
        <v>468</v>
      </c>
      <c r="E2386" t="s">
        <v>4216</v>
      </c>
      <c r="F2386" t="s">
        <v>4217</v>
      </c>
      <c r="H2386" t="s">
        <v>17</v>
      </c>
      <c r="I2386" t="s">
        <v>4218</v>
      </c>
    </row>
    <row r="2387" spans="1:9" x14ac:dyDescent="0.3">
      <c r="A2387" t="s">
        <v>4008</v>
      </c>
      <c r="B2387" t="s">
        <v>4103</v>
      </c>
      <c r="C2387" t="s">
        <v>13</v>
      </c>
      <c r="D2387" t="s">
        <v>3794</v>
      </c>
      <c r="E2387" t="s">
        <v>4219</v>
      </c>
      <c r="F2387" t="s">
        <v>4220</v>
      </c>
      <c r="H2387" t="s">
        <v>17</v>
      </c>
      <c r="I2387" t="s">
        <v>4007</v>
      </c>
    </row>
    <row r="2388" spans="1:9" x14ac:dyDescent="0.3">
      <c r="A2388" t="s">
        <v>4008</v>
      </c>
      <c r="B2388" t="s">
        <v>4103</v>
      </c>
      <c r="C2388" t="s">
        <v>13</v>
      </c>
      <c r="D2388" t="s">
        <v>3797</v>
      </c>
      <c r="E2388" t="s">
        <v>4221</v>
      </c>
      <c r="F2388" t="s">
        <v>2945</v>
      </c>
      <c r="H2388" t="s">
        <v>17</v>
      </c>
    </row>
    <row r="2389" spans="1:9" x14ac:dyDescent="0.3">
      <c r="A2389" t="s">
        <v>4222</v>
      </c>
      <c r="E2389" t="s">
        <v>10</v>
      </c>
      <c r="F2389" t="s">
        <v>4223</v>
      </c>
    </row>
    <row r="2390" spans="1:9" x14ac:dyDescent="0.3">
      <c r="A2390" t="s">
        <v>4222</v>
      </c>
      <c r="C2390" t="s">
        <v>13</v>
      </c>
      <c r="D2390" t="s">
        <v>14</v>
      </c>
      <c r="E2390" t="s">
        <v>1742</v>
      </c>
      <c r="F2390" t="s">
        <v>3861</v>
      </c>
      <c r="H2390" t="s">
        <v>17</v>
      </c>
    </row>
    <row r="2391" spans="1:9" x14ac:dyDescent="0.3">
      <c r="A2391" t="s">
        <v>4222</v>
      </c>
      <c r="C2391" t="s">
        <v>13</v>
      </c>
      <c r="D2391" t="s">
        <v>1743</v>
      </c>
      <c r="E2391" t="s">
        <v>3360</v>
      </c>
      <c r="F2391" t="s">
        <v>2672</v>
      </c>
      <c r="H2391" t="s">
        <v>17</v>
      </c>
      <c r="I2391" t="s">
        <v>4224</v>
      </c>
    </row>
    <row r="2392" spans="1:9" x14ac:dyDescent="0.3">
      <c r="A2392" t="s">
        <v>4222</v>
      </c>
      <c r="C2392" t="s">
        <v>13</v>
      </c>
      <c r="D2392" t="s">
        <v>996</v>
      </c>
      <c r="E2392" t="s">
        <v>3361</v>
      </c>
      <c r="F2392" t="s">
        <v>4225</v>
      </c>
      <c r="H2392" t="s">
        <v>17</v>
      </c>
      <c r="I2392" t="s">
        <v>3363</v>
      </c>
    </row>
    <row r="2393" spans="1:9" x14ac:dyDescent="0.3">
      <c r="A2393" t="s">
        <v>4222</v>
      </c>
      <c r="C2393" t="s">
        <v>13</v>
      </c>
      <c r="D2393" t="s">
        <v>1001</v>
      </c>
      <c r="E2393" t="s">
        <v>4226</v>
      </c>
      <c r="F2393" t="s">
        <v>4227</v>
      </c>
      <c r="H2393" t="s">
        <v>17</v>
      </c>
      <c r="I2393" t="s">
        <v>4228</v>
      </c>
    </row>
    <row r="2394" spans="1:9" x14ac:dyDescent="0.3">
      <c r="A2394" t="s">
        <v>4222</v>
      </c>
      <c r="C2394" t="s">
        <v>13</v>
      </c>
      <c r="D2394" t="s">
        <v>1942</v>
      </c>
      <c r="E2394" t="s">
        <v>3365</v>
      </c>
      <c r="F2394" t="s">
        <v>4229</v>
      </c>
      <c r="H2394" t="s">
        <v>17</v>
      </c>
      <c r="I2394" t="s">
        <v>4230</v>
      </c>
    </row>
    <row r="2395" spans="1:9" x14ac:dyDescent="0.3">
      <c r="A2395" t="s">
        <v>4222</v>
      </c>
      <c r="C2395" t="s">
        <v>13</v>
      </c>
      <c r="D2395" t="s">
        <v>22</v>
      </c>
      <c r="E2395" t="s">
        <v>377</v>
      </c>
      <c r="F2395" t="s">
        <v>4231</v>
      </c>
      <c r="H2395" t="s">
        <v>17</v>
      </c>
      <c r="I2395" t="s">
        <v>3864</v>
      </c>
    </row>
    <row r="2396" spans="1:9" x14ac:dyDescent="0.3">
      <c r="A2396" t="s">
        <v>4222</v>
      </c>
      <c r="C2396" t="s">
        <v>13</v>
      </c>
      <c r="D2396" t="s">
        <v>27</v>
      </c>
      <c r="E2396" t="s">
        <v>383</v>
      </c>
      <c r="F2396" t="s">
        <v>4232</v>
      </c>
      <c r="H2396" t="s">
        <v>17</v>
      </c>
      <c r="I2396" t="s">
        <v>4228</v>
      </c>
    </row>
    <row r="2397" spans="1:9" x14ac:dyDescent="0.3">
      <c r="A2397" t="s">
        <v>4222</v>
      </c>
      <c r="C2397" t="s">
        <v>13</v>
      </c>
      <c r="D2397" t="s">
        <v>1014</v>
      </c>
      <c r="E2397" t="s">
        <v>1638</v>
      </c>
      <c r="F2397" t="s">
        <v>4233</v>
      </c>
      <c r="H2397" t="s">
        <v>17</v>
      </c>
      <c r="I2397" t="s">
        <v>4234</v>
      </c>
    </row>
    <row r="2398" spans="1:9" x14ac:dyDescent="0.3">
      <c r="A2398" t="s">
        <v>4222</v>
      </c>
      <c r="C2398" t="s">
        <v>13</v>
      </c>
      <c r="D2398" t="s">
        <v>1017</v>
      </c>
      <c r="E2398" t="s">
        <v>1640</v>
      </c>
      <c r="F2398" t="s">
        <v>4235</v>
      </c>
      <c r="H2398" t="s">
        <v>17</v>
      </c>
      <c r="I2398" t="s">
        <v>4236</v>
      </c>
    </row>
    <row r="2399" spans="1:9" x14ac:dyDescent="0.3">
      <c r="A2399" t="s">
        <v>4222</v>
      </c>
      <c r="C2399" t="s">
        <v>13</v>
      </c>
      <c r="D2399" t="s">
        <v>36</v>
      </c>
      <c r="E2399" t="s">
        <v>1643</v>
      </c>
      <c r="F2399" t="s">
        <v>4237</v>
      </c>
      <c r="H2399" t="s">
        <v>17</v>
      </c>
      <c r="I2399" t="s">
        <v>4238</v>
      </c>
    </row>
    <row r="2400" spans="1:9" x14ac:dyDescent="0.3">
      <c r="A2400" t="s">
        <v>4222</v>
      </c>
      <c r="C2400" t="s">
        <v>13</v>
      </c>
      <c r="D2400" t="s">
        <v>41</v>
      </c>
      <c r="E2400" t="s">
        <v>388</v>
      </c>
      <c r="F2400" t="s">
        <v>4239</v>
      </c>
      <c r="H2400" t="s">
        <v>17</v>
      </c>
      <c r="I2400" t="s">
        <v>3880</v>
      </c>
    </row>
    <row r="2401" spans="1:9" x14ac:dyDescent="0.3">
      <c r="A2401" t="s">
        <v>4222</v>
      </c>
      <c r="C2401" t="s">
        <v>13</v>
      </c>
      <c r="D2401" t="s">
        <v>45</v>
      </c>
      <c r="E2401" t="s">
        <v>1647</v>
      </c>
      <c r="F2401" t="s">
        <v>4240</v>
      </c>
      <c r="H2401" t="s">
        <v>17</v>
      </c>
      <c r="I2401" t="s">
        <v>3880</v>
      </c>
    </row>
    <row r="2402" spans="1:9" x14ac:dyDescent="0.3">
      <c r="A2402" t="s">
        <v>4222</v>
      </c>
      <c r="C2402" t="s">
        <v>13</v>
      </c>
      <c r="D2402" t="s">
        <v>50</v>
      </c>
      <c r="E2402" t="s">
        <v>392</v>
      </c>
      <c r="F2402" t="s">
        <v>4241</v>
      </c>
      <c r="H2402" t="s">
        <v>807</v>
      </c>
      <c r="I2402" t="s">
        <v>4242</v>
      </c>
    </row>
    <row r="2403" spans="1:9" x14ac:dyDescent="0.3">
      <c r="A2403" t="s">
        <v>4222</v>
      </c>
      <c r="C2403" t="s">
        <v>13</v>
      </c>
      <c r="D2403" t="s">
        <v>53</v>
      </c>
      <c r="E2403" t="s">
        <v>1653</v>
      </c>
      <c r="F2403" t="s">
        <v>4243</v>
      </c>
      <c r="H2403" t="s">
        <v>17</v>
      </c>
      <c r="I2403" t="s">
        <v>4244</v>
      </c>
    </row>
    <row r="2404" spans="1:9" x14ac:dyDescent="0.3">
      <c r="A2404" t="s">
        <v>4222</v>
      </c>
      <c r="C2404" t="s">
        <v>13</v>
      </c>
      <c r="D2404" t="s">
        <v>56</v>
      </c>
      <c r="E2404" t="s">
        <v>395</v>
      </c>
      <c r="F2404" t="s">
        <v>3883</v>
      </c>
      <c r="H2404" t="s">
        <v>17</v>
      </c>
      <c r="I2404" t="s">
        <v>4028</v>
      </c>
    </row>
    <row r="2405" spans="1:9" x14ac:dyDescent="0.3">
      <c r="A2405" t="s">
        <v>4222</v>
      </c>
      <c r="C2405" t="s">
        <v>13</v>
      </c>
      <c r="D2405" t="s">
        <v>61</v>
      </c>
      <c r="E2405" t="s">
        <v>1656</v>
      </c>
      <c r="F2405" t="s">
        <v>2008</v>
      </c>
      <c r="H2405" t="s">
        <v>17</v>
      </c>
      <c r="I2405" t="s">
        <v>4228</v>
      </c>
    </row>
    <row r="2406" spans="1:9" x14ac:dyDescent="0.3">
      <c r="A2406" t="s">
        <v>4222</v>
      </c>
      <c r="C2406" t="s">
        <v>13</v>
      </c>
      <c r="D2406" t="s">
        <v>1039</v>
      </c>
      <c r="E2406" t="s">
        <v>398</v>
      </c>
      <c r="F2406" t="s">
        <v>4245</v>
      </c>
      <c r="H2406" t="s">
        <v>807</v>
      </c>
      <c r="I2406" t="s">
        <v>4242</v>
      </c>
    </row>
    <row r="2407" spans="1:9" x14ac:dyDescent="0.3">
      <c r="A2407" t="s">
        <v>4222</v>
      </c>
      <c r="C2407" t="s">
        <v>13</v>
      </c>
      <c r="D2407" t="s">
        <v>1043</v>
      </c>
      <c r="E2407" t="s">
        <v>3378</v>
      </c>
      <c r="F2407" t="s">
        <v>4246</v>
      </c>
      <c r="H2407" t="s">
        <v>17</v>
      </c>
      <c r="I2407" t="s">
        <v>4247</v>
      </c>
    </row>
    <row r="2408" spans="1:9" x14ac:dyDescent="0.3">
      <c r="A2408" t="s">
        <v>4222</v>
      </c>
      <c r="C2408" t="s">
        <v>13</v>
      </c>
      <c r="D2408" t="s">
        <v>71</v>
      </c>
      <c r="E2408" t="s">
        <v>401</v>
      </c>
      <c r="F2408" t="s">
        <v>4248</v>
      </c>
      <c r="H2408" t="s">
        <v>17</v>
      </c>
      <c r="I2408" t="s">
        <v>4249</v>
      </c>
    </row>
    <row r="2409" spans="1:9" x14ac:dyDescent="0.3">
      <c r="A2409" t="s">
        <v>4222</v>
      </c>
      <c r="C2409" t="s">
        <v>13</v>
      </c>
      <c r="D2409" t="s">
        <v>1050</v>
      </c>
      <c r="E2409" t="s">
        <v>1663</v>
      </c>
      <c r="F2409" t="s">
        <v>4250</v>
      </c>
      <c r="H2409" t="s">
        <v>17</v>
      </c>
      <c r="I2409" t="s">
        <v>4249</v>
      </c>
    </row>
    <row r="2410" spans="1:9" x14ac:dyDescent="0.3">
      <c r="A2410" t="s">
        <v>4222</v>
      </c>
      <c r="C2410" t="s">
        <v>13</v>
      </c>
      <c r="D2410" t="s">
        <v>1055</v>
      </c>
      <c r="E2410" t="s">
        <v>404</v>
      </c>
      <c r="F2410" t="s">
        <v>4251</v>
      </c>
      <c r="H2410" t="s">
        <v>17</v>
      </c>
      <c r="I2410" t="s">
        <v>4252</v>
      </c>
    </row>
    <row r="2411" spans="1:9" x14ac:dyDescent="0.3">
      <c r="A2411" t="s">
        <v>4222</v>
      </c>
      <c r="C2411" t="s">
        <v>13</v>
      </c>
      <c r="D2411" t="s">
        <v>80</v>
      </c>
      <c r="E2411" t="s">
        <v>3382</v>
      </c>
      <c r="F2411" t="s">
        <v>4253</v>
      </c>
      <c r="H2411" t="s">
        <v>17</v>
      </c>
      <c r="I2411" t="s">
        <v>4003</v>
      </c>
    </row>
    <row r="2412" spans="1:9" x14ac:dyDescent="0.3">
      <c r="A2412" t="s">
        <v>4222</v>
      </c>
      <c r="C2412" t="s">
        <v>13</v>
      </c>
      <c r="D2412" t="s">
        <v>85</v>
      </c>
      <c r="E2412" t="s">
        <v>407</v>
      </c>
      <c r="F2412" t="s">
        <v>4254</v>
      </c>
      <c r="H2412" t="s">
        <v>17</v>
      </c>
      <c r="I2412" t="s">
        <v>4003</v>
      </c>
    </row>
    <row r="2413" spans="1:9" x14ac:dyDescent="0.3">
      <c r="A2413" t="s">
        <v>4222</v>
      </c>
      <c r="C2413" t="s">
        <v>13</v>
      </c>
      <c r="D2413" t="s">
        <v>90</v>
      </c>
      <c r="E2413" t="s">
        <v>1670</v>
      </c>
      <c r="F2413" t="s">
        <v>4255</v>
      </c>
      <c r="H2413" t="s">
        <v>17</v>
      </c>
      <c r="I2413" t="s">
        <v>4003</v>
      </c>
    </row>
    <row r="2414" spans="1:9" x14ac:dyDescent="0.3">
      <c r="A2414" t="s">
        <v>4222</v>
      </c>
      <c r="C2414" t="s">
        <v>13</v>
      </c>
      <c r="D2414" t="s">
        <v>95</v>
      </c>
      <c r="E2414" t="s">
        <v>411</v>
      </c>
      <c r="F2414" t="s">
        <v>4256</v>
      </c>
      <c r="H2414" t="s">
        <v>17</v>
      </c>
      <c r="I2414" t="s">
        <v>3880</v>
      </c>
    </row>
    <row r="2415" spans="1:9" x14ac:dyDescent="0.3">
      <c r="A2415" t="s">
        <v>4222</v>
      </c>
      <c r="C2415" t="s">
        <v>13</v>
      </c>
      <c r="D2415" t="s">
        <v>100</v>
      </c>
      <c r="E2415" t="s">
        <v>416</v>
      </c>
      <c r="F2415" t="s">
        <v>4257</v>
      </c>
      <c r="H2415" t="s">
        <v>17</v>
      </c>
      <c r="I2415" t="s">
        <v>3880</v>
      </c>
    </row>
    <row r="2416" spans="1:9" x14ac:dyDescent="0.3">
      <c r="A2416" t="s">
        <v>4222</v>
      </c>
      <c r="C2416" t="s">
        <v>13</v>
      </c>
      <c r="D2416" t="s">
        <v>106</v>
      </c>
      <c r="E2416" t="s">
        <v>421</v>
      </c>
      <c r="F2416" t="s">
        <v>4258</v>
      </c>
      <c r="H2416" t="s">
        <v>17</v>
      </c>
      <c r="I2416" t="s">
        <v>4259</v>
      </c>
    </row>
    <row r="2417" spans="1:9" x14ac:dyDescent="0.3">
      <c r="A2417" t="s">
        <v>4222</v>
      </c>
      <c r="C2417" t="s">
        <v>13</v>
      </c>
      <c r="D2417" t="s">
        <v>111</v>
      </c>
      <c r="E2417" t="s">
        <v>424</v>
      </c>
      <c r="F2417" t="s">
        <v>4260</v>
      </c>
      <c r="H2417" t="s">
        <v>17</v>
      </c>
      <c r="I2417" t="s">
        <v>4259</v>
      </c>
    </row>
    <row r="2418" spans="1:9" x14ac:dyDescent="0.3">
      <c r="A2418" t="s">
        <v>4222</v>
      </c>
      <c r="C2418" t="s">
        <v>13</v>
      </c>
      <c r="D2418" t="s">
        <v>114</v>
      </c>
      <c r="E2418" t="s">
        <v>427</v>
      </c>
      <c r="F2418" t="s">
        <v>4261</v>
      </c>
      <c r="H2418" t="s">
        <v>17</v>
      </c>
      <c r="I2418" t="s">
        <v>4262</v>
      </c>
    </row>
    <row r="2419" spans="1:9" x14ac:dyDescent="0.3">
      <c r="A2419" t="s">
        <v>4222</v>
      </c>
      <c r="C2419" t="s">
        <v>13</v>
      </c>
      <c r="D2419" t="s">
        <v>117</v>
      </c>
      <c r="E2419" t="s">
        <v>430</v>
      </c>
      <c r="F2419" t="s">
        <v>3915</v>
      </c>
      <c r="H2419" t="s">
        <v>17</v>
      </c>
      <c r="I2419" t="s">
        <v>4003</v>
      </c>
    </row>
    <row r="2420" spans="1:9" x14ac:dyDescent="0.3">
      <c r="A2420" t="s">
        <v>4222</v>
      </c>
      <c r="B2420" t="s">
        <v>4263</v>
      </c>
      <c r="C2420" t="s">
        <v>13</v>
      </c>
      <c r="D2420" t="s">
        <v>121</v>
      </c>
      <c r="E2420" t="s">
        <v>436</v>
      </c>
      <c r="F2420" t="s">
        <v>4264</v>
      </c>
      <c r="H2420" t="s">
        <v>17</v>
      </c>
      <c r="I2420" t="s">
        <v>4265</v>
      </c>
    </row>
    <row r="2421" spans="1:9" x14ac:dyDescent="0.3">
      <c r="A2421" t="s">
        <v>4222</v>
      </c>
      <c r="B2421" t="s">
        <v>4263</v>
      </c>
      <c r="C2421" t="s">
        <v>13</v>
      </c>
      <c r="D2421" t="s">
        <v>126</v>
      </c>
      <c r="E2421" t="s">
        <v>439</v>
      </c>
      <c r="F2421" t="s">
        <v>4266</v>
      </c>
      <c r="H2421" t="s">
        <v>17</v>
      </c>
      <c r="I2421" t="s">
        <v>4265</v>
      </c>
    </row>
    <row r="2422" spans="1:9" x14ac:dyDescent="0.3">
      <c r="A2422" t="s">
        <v>4222</v>
      </c>
      <c r="B2422" t="s">
        <v>4263</v>
      </c>
      <c r="C2422" t="s">
        <v>13</v>
      </c>
      <c r="D2422" t="s">
        <v>129</v>
      </c>
      <c r="E2422" t="s">
        <v>442</v>
      </c>
      <c r="F2422" t="s">
        <v>4267</v>
      </c>
      <c r="H2422" t="s">
        <v>17</v>
      </c>
      <c r="I2422" t="s">
        <v>4265</v>
      </c>
    </row>
    <row r="2423" spans="1:9" x14ac:dyDescent="0.3">
      <c r="A2423" t="s">
        <v>4222</v>
      </c>
      <c r="B2423" t="s">
        <v>4263</v>
      </c>
      <c r="C2423" t="s">
        <v>13</v>
      </c>
      <c r="D2423" t="s">
        <v>132</v>
      </c>
      <c r="E2423" t="s">
        <v>445</v>
      </c>
      <c r="F2423" t="s">
        <v>4268</v>
      </c>
      <c r="H2423" t="s">
        <v>17</v>
      </c>
      <c r="I2423" t="s">
        <v>4265</v>
      </c>
    </row>
    <row r="2424" spans="1:9" x14ac:dyDescent="0.3">
      <c r="A2424" t="s">
        <v>4222</v>
      </c>
      <c r="B2424" t="s">
        <v>4263</v>
      </c>
      <c r="C2424" t="s">
        <v>13</v>
      </c>
      <c r="D2424" t="s">
        <v>135</v>
      </c>
      <c r="E2424" t="s">
        <v>449</v>
      </c>
      <c r="F2424" t="s">
        <v>4269</v>
      </c>
      <c r="H2424" t="s">
        <v>17</v>
      </c>
      <c r="I2424" t="s">
        <v>4270</v>
      </c>
    </row>
    <row r="2425" spans="1:9" x14ac:dyDescent="0.3">
      <c r="A2425" t="s">
        <v>4222</v>
      </c>
      <c r="B2425" t="s">
        <v>4263</v>
      </c>
      <c r="C2425" t="s">
        <v>13</v>
      </c>
      <c r="D2425" t="s">
        <v>138</v>
      </c>
      <c r="E2425" t="s">
        <v>454</v>
      </c>
      <c r="F2425" t="s">
        <v>4271</v>
      </c>
      <c r="H2425" t="s">
        <v>17</v>
      </c>
      <c r="I2425" t="s">
        <v>4265</v>
      </c>
    </row>
    <row r="2426" spans="1:9" x14ac:dyDescent="0.3">
      <c r="A2426" t="s">
        <v>4222</v>
      </c>
      <c r="B2426" t="s">
        <v>4263</v>
      </c>
      <c r="C2426" t="s">
        <v>13</v>
      </c>
      <c r="D2426" t="s">
        <v>141</v>
      </c>
      <c r="E2426" t="s">
        <v>458</v>
      </c>
      <c r="F2426" t="s">
        <v>4272</v>
      </c>
      <c r="H2426" t="s">
        <v>17</v>
      </c>
      <c r="I2426" t="s">
        <v>4265</v>
      </c>
    </row>
    <row r="2427" spans="1:9" x14ac:dyDescent="0.3">
      <c r="A2427" t="s">
        <v>4222</v>
      </c>
      <c r="B2427" t="s">
        <v>4263</v>
      </c>
      <c r="C2427" t="s">
        <v>13</v>
      </c>
      <c r="D2427" t="s">
        <v>144</v>
      </c>
      <c r="E2427" t="s">
        <v>462</v>
      </c>
      <c r="F2427" t="s">
        <v>4273</v>
      </c>
      <c r="H2427" t="s">
        <v>17</v>
      </c>
      <c r="I2427" t="s">
        <v>4265</v>
      </c>
    </row>
    <row r="2428" spans="1:9" x14ac:dyDescent="0.3">
      <c r="A2428" t="s">
        <v>4222</v>
      </c>
      <c r="B2428" t="s">
        <v>4263</v>
      </c>
      <c r="C2428" t="s">
        <v>13</v>
      </c>
      <c r="D2428" t="s">
        <v>147</v>
      </c>
      <c r="E2428" t="s">
        <v>465</v>
      </c>
      <c r="F2428" t="s">
        <v>3940</v>
      </c>
      <c r="H2428" t="s">
        <v>17</v>
      </c>
      <c r="I2428" t="s">
        <v>4274</v>
      </c>
    </row>
    <row r="2429" spans="1:9" x14ac:dyDescent="0.3">
      <c r="A2429" t="s">
        <v>4222</v>
      </c>
      <c r="B2429" t="s">
        <v>4263</v>
      </c>
      <c r="C2429" t="s">
        <v>13</v>
      </c>
      <c r="D2429" t="s">
        <v>152</v>
      </c>
      <c r="E2429" t="s">
        <v>469</v>
      </c>
      <c r="F2429" t="s">
        <v>4275</v>
      </c>
      <c r="H2429" t="s">
        <v>17</v>
      </c>
      <c r="I2429" t="s">
        <v>4265</v>
      </c>
    </row>
    <row r="2430" spans="1:9" x14ac:dyDescent="0.3">
      <c r="A2430" t="s">
        <v>4222</v>
      </c>
      <c r="B2430" t="s">
        <v>4263</v>
      </c>
      <c r="C2430" t="s">
        <v>13</v>
      </c>
      <c r="D2430" t="s">
        <v>157</v>
      </c>
      <c r="E2430" t="s">
        <v>472</v>
      </c>
      <c r="F2430" t="s">
        <v>4276</v>
      </c>
      <c r="H2430" t="s">
        <v>17</v>
      </c>
      <c r="I2430" t="s">
        <v>4265</v>
      </c>
    </row>
    <row r="2431" spans="1:9" x14ac:dyDescent="0.3">
      <c r="A2431" t="s">
        <v>4222</v>
      </c>
      <c r="B2431" t="s">
        <v>4263</v>
      </c>
      <c r="C2431" t="s">
        <v>13</v>
      </c>
      <c r="D2431" t="s">
        <v>162</v>
      </c>
      <c r="E2431" t="s">
        <v>476</v>
      </c>
      <c r="F2431" t="s">
        <v>4277</v>
      </c>
      <c r="H2431" t="s">
        <v>17</v>
      </c>
      <c r="I2431" t="s">
        <v>4265</v>
      </c>
    </row>
    <row r="2432" spans="1:9" x14ac:dyDescent="0.3">
      <c r="A2432" t="s">
        <v>4222</v>
      </c>
      <c r="B2432" t="s">
        <v>4263</v>
      </c>
      <c r="C2432" t="s">
        <v>13</v>
      </c>
      <c r="D2432" t="s">
        <v>167</v>
      </c>
      <c r="E2432" t="s">
        <v>479</v>
      </c>
      <c r="F2432" t="s">
        <v>4278</v>
      </c>
      <c r="H2432" t="s">
        <v>17</v>
      </c>
      <c r="I2432" t="s">
        <v>4279</v>
      </c>
    </row>
    <row r="2433" spans="1:9" x14ac:dyDescent="0.3">
      <c r="A2433" t="s">
        <v>4222</v>
      </c>
      <c r="B2433" t="s">
        <v>4263</v>
      </c>
      <c r="C2433" t="s">
        <v>13</v>
      </c>
      <c r="D2433" t="s">
        <v>172</v>
      </c>
      <c r="E2433" t="s">
        <v>483</v>
      </c>
      <c r="F2433" t="s">
        <v>4280</v>
      </c>
      <c r="H2433" t="s">
        <v>17</v>
      </c>
      <c r="I2433" t="s">
        <v>4279</v>
      </c>
    </row>
    <row r="2434" spans="1:9" x14ac:dyDescent="0.3">
      <c r="A2434" t="s">
        <v>4222</v>
      </c>
      <c r="B2434" t="s">
        <v>4281</v>
      </c>
      <c r="C2434" t="s">
        <v>13</v>
      </c>
      <c r="D2434" t="s">
        <v>177</v>
      </c>
      <c r="E2434" t="s">
        <v>490</v>
      </c>
      <c r="F2434" t="s">
        <v>3970</v>
      </c>
      <c r="H2434" t="s">
        <v>17</v>
      </c>
      <c r="I2434" t="s">
        <v>4282</v>
      </c>
    </row>
    <row r="2435" spans="1:9" x14ac:dyDescent="0.3">
      <c r="A2435" t="s">
        <v>4222</v>
      </c>
      <c r="B2435" t="s">
        <v>4281</v>
      </c>
      <c r="C2435" t="s">
        <v>13</v>
      </c>
      <c r="D2435" t="s">
        <v>182</v>
      </c>
      <c r="E2435" t="s">
        <v>493</v>
      </c>
      <c r="F2435" t="s">
        <v>3970</v>
      </c>
      <c r="H2435" t="s">
        <v>17</v>
      </c>
      <c r="I2435" t="s">
        <v>4283</v>
      </c>
    </row>
    <row r="2436" spans="1:9" x14ac:dyDescent="0.3">
      <c r="A2436" t="s">
        <v>4222</v>
      </c>
      <c r="B2436" t="s">
        <v>4281</v>
      </c>
      <c r="C2436" t="s">
        <v>13</v>
      </c>
      <c r="D2436" t="s">
        <v>187</v>
      </c>
      <c r="E2436" t="s">
        <v>497</v>
      </c>
      <c r="F2436" t="s">
        <v>3970</v>
      </c>
      <c r="H2436" t="s">
        <v>17</v>
      </c>
      <c r="I2436" t="s">
        <v>4284</v>
      </c>
    </row>
    <row r="2437" spans="1:9" x14ac:dyDescent="0.3">
      <c r="A2437" t="s">
        <v>4222</v>
      </c>
      <c r="B2437" t="s">
        <v>4281</v>
      </c>
      <c r="C2437" t="s">
        <v>13</v>
      </c>
      <c r="D2437" t="s">
        <v>193</v>
      </c>
      <c r="E2437" t="s">
        <v>500</v>
      </c>
      <c r="F2437" t="s">
        <v>3970</v>
      </c>
      <c r="H2437" t="s">
        <v>17</v>
      </c>
      <c r="I2437" t="s">
        <v>4285</v>
      </c>
    </row>
    <row r="2438" spans="1:9" x14ac:dyDescent="0.3">
      <c r="A2438" t="s">
        <v>4222</v>
      </c>
      <c r="B2438" t="s">
        <v>4281</v>
      </c>
      <c r="C2438" t="s">
        <v>13</v>
      </c>
      <c r="D2438" t="s">
        <v>198</v>
      </c>
      <c r="E2438" t="s">
        <v>505</v>
      </c>
      <c r="F2438" t="s">
        <v>3970</v>
      </c>
      <c r="H2438" t="s">
        <v>17</v>
      </c>
      <c r="I2438" t="s">
        <v>4286</v>
      </c>
    </row>
    <row r="2439" spans="1:9" x14ac:dyDescent="0.3">
      <c r="A2439" t="s">
        <v>4222</v>
      </c>
      <c r="B2439" t="s">
        <v>4281</v>
      </c>
      <c r="C2439" t="s">
        <v>13</v>
      </c>
      <c r="D2439" t="s">
        <v>202</v>
      </c>
      <c r="E2439" t="s">
        <v>508</v>
      </c>
      <c r="F2439" t="s">
        <v>3970</v>
      </c>
      <c r="H2439" t="s">
        <v>17</v>
      </c>
      <c r="I2439" t="s">
        <v>4287</v>
      </c>
    </row>
    <row r="2440" spans="1:9" x14ac:dyDescent="0.3">
      <c r="A2440" t="s">
        <v>4222</v>
      </c>
      <c r="B2440" t="s">
        <v>4281</v>
      </c>
      <c r="C2440" t="s">
        <v>13</v>
      </c>
      <c r="D2440" t="s">
        <v>206</v>
      </c>
      <c r="E2440" t="s">
        <v>512</v>
      </c>
      <c r="F2440" t="s">
        <v>3970</v>
      </c>
      <c r="H2440" t="s">
        <v>17</v>
      </c>
      <c r="I2440" t="s">
        <v>4288</v>
      </c>
    </row>
    <row r="2441" spans="1:9" x14ac:dyDescent="0.3">
      <c r="A2441" t="s">
        <v>4222</v>
      </c>
      <c r="B2441" t="s">
        <v>4281</v>
      </c>
      <c r="C2441" t="s">
        <v>13</v>
      </c>
      <c r="D2441" t="s">
        <v>210</v>
      </c>
      <c r="E2441" t="s">
        <v>515</v>
      </c>
      <c r="F2441" t="s">
        <v>3970</v>
      </c>
      <c r="H2441" t="s">
        <v>17</v>
      </c>
      <c r="I2441" t="s">
        <v>4289</v>
      </c>
    </row>
    <row r="2442" spans="1:9" x14ac:dyDescent="0.3">
      <c r="A2442" t="s">
        <v>4222</v>
      </c>
      <c r="B2442" t="s">
        <v>4281</v>
      </c>
      <c r="C2442" t="s">
        <v>13</v>
      </c>
      <c r="D2442" t="s">
        <v>214</v>
      </c>
      <c r="E2442" t="s">
        <v>519</v>
      </c>
      <c r="F2442" t="s">
        <v>3970</v>
      </c>
      <c r="H2442" t="s">
        <v>17</v>
      </c>
      <c r="I2442" t="s">
        <v>4290</v>
      </c>
    </row>
    <row r="2443" spans="1:9" x14ac:dyDescent="0.3">
      <c r="A2443" t="s">
        <v>4222</v>
      </c>
      <c r="B2443" t="s">
        <v>4281</v>
      </c>
      <c r="C2443" t="s">
        <v>13</v>
      </c>
      <c r="D2443" t="s">
        <v>218</v>
      </c>
      <c r="E2443" t="s">
        <v>522</v>
      </c>
      <c r="F2443" t="s">
        <v>3970</v>
      </c>
      <c r="H2443" t="s">
        <v>17</v>
      </c>
      <c r="I2443" t="s">
        <v>4291</v>
      </c>
    </row>
    <row r="2444" spans="1:9" x14ac:dyDescent="0.3">
      <c r="A2444" t="s">
        <v>4222</v>
      </c>
      <c r="B2444" t="s">
        <v>4281</v>
      </c>
      <c r="C2444" t="s">
        <v>13</v>
      </c>
      <c r="D2444" t="s">
        <v>223</v>
      </c>
      <c r="E2444" t="s">
        <v>526</v>
      </c>
      <c r="F2444" t="s">
        <v>4292</v>
      </c>
      <c r="H2444" t="s">
        <v>17</v>
      </c>
      <c r="I2444" t="s">
        <v>4293</v>
      </c>
    </row>
    <row r="2445" spans="1:9" x14ac:dyDescent="0.3">
      <c r="A2445" t="s">
        <v>4222</v>
      </c>
      <c r="B2445" t="s">
        <v>4281</v>
      </c>
      <c r="C2445" t="s">
        <v>13</v>
      </c>
      <c r="D2445" t="s">
        <v>228</v>
      </c>
      <c r="E2445" t="s">
        <v>529</v>
      </c>
      <c r="F2445" t="s">
        <v>4294</v>
      </c>
      <c r="H2445" t="s">
        <v>17</v>
      </c>
      <c r="I2445" t="s">
        <v>4295</v>
      </c>
    </row>
    <row r="2446" spans="1:9" x14ac:dyDescent="0.3">
      <c r="A2446" t="s">
        <v>4222</v>
      </c>
      <c r="B2446" t="s">
        <v>4281</v>
      </c>
      <c r="C2446" t="s">
        <v>13</v>
      </c>
      <c r="D2446" t="s">
        <v>233</v>
      </c>
      <c r="E2446" t="s">
        <v>533</v>
      </c>
      <c r="F2446" t="s">
        <v>4296</v>
      </c>
      <c r="H2446" t="s">
        <v>17</v>
      </c>
      <c r="I2446" t="s">
        <v>4297</v>
      </c>
    </row>
    <row r="2447" spans="1:9" x14ac:dyDescent="0.3">
      <c r="A2447" t="s">
        <v>4222</v>
      </c>
      <c r="B2447" t="s">
        <v>4298</v>
      </c>
      <c r="C2447" t="s">
        <v>13</v>
      </c>
      <c r="D2447" t="s">
        <v>236</v>
      </c>
      <c r="E2447" t="s">
        <v>541</v>
      </c>
      <c r="F2447" t="s">
        <v>4043</v>
      </c>
      <c r="H2447" t="s">
        <v>17</v>
      </c>
      <c r="I2447" t="s">
        <v>4044</v>
      </c>
    </row>
    <row r="2448" spans="1:9" x14ac:dyDescent="0.3">
      <c r="A2448" t="s">
        <v>4222</v>
      </c>
      <c r="B2448" t="s">
        <v>4298</v>
      </c>
      <c r="C2448" t="s">
        <v>13</v>
      </c>
      <c r="D2448" t="s">
        <v>239</v>
      </c>
      <c r="E2448" t="s">
        <v>546</v>
      </c>
      <c r="F2448" t="s">
        <v>4299</v>
      </c>
      <c r="H2448" t="s">
        <v>17</v>
      </c>
      <c r="I2448" t="s">
        <v>4044</v>
      </c>
    </row>
    <row r="2449" spans="1:9" x14ac:dyDescent="0.3">
      <c r="A2449" t="s">
        <v>4222</v>
      </c>
      <c r="B2449" t="s">
        <v>4298</v>
      </c>
      <c r="C2449" t="s">
        <v>13</v>
      </c>
      <c r="D2449" t="s">
        <v>1881</v>
      </c>
      <c r="E2449" t="s">
        <v>551</v>
      </c>
      <c r="F2449" t="s">
        <v>4300</v>
      </c>
      <c r="H2449" t="s">
        <v>17</v>
      </c>
      <c r="I2449" t="s">
        <v>4044</v>
      </c>
    </row>
    <row r="2450" spans="1:9" x14ac:dyDescent="0.3">
      <c r="A2450" t="s">
        <v>4222</v>
      </c>
      <c r="B2450" t="s">
        <v>4301</v>
      </c>
      <c r="C2450" t="s">
        <v>13</v>
      </c>
      <c r="D2450" t="s">
        <v>1885</v>
      </c>
      <c r="E2450" t="s">
        <v>1712</v>
      </c>
      <c r="F2450" t="s">
        <v>4302</v>
      </c>
      <c r="H2450" t="s">
        <v>17</v>
      </c>
      <c r="I2450" t="s">
        <v>4044</v>
      </c>
    </row>
    <row r="2451" spans="1:9" x14ac:dyDescent="0.3">
      <c r="A2451" t="s">
        <v>4222</v>
      </c>
      <c r="B2451" t="s">
        <v>4301</v>
      </c>
      <c r="C2451" t="s">
        <v>13</v>
      </c>
      <c r="D2451" t="s">
        <v>1588</v>
      </c>
      <c r="E2451" t="s">
        <v>560</v>
      </c>
      <c r="F2451" t="s">
        <v>4303</v>
      </c>
      <c r="H2451" t="s">
        <v>17</v>
      </c>
      <c r="I2451" t="s">
        <v>4044</v>
      </c>
    </row>
    <row r="2452" spans="1:9" x14ac:dyDescent="0.3">
      <c r="A2452" t="s">
        <v>4222</v>
      </c>
      <c r="B2452" t="s">
        <v>4301</v>
      </c>
      <c r="C2452" t="s">
        <v>13</v>
      </c>
      <c r="D2452" t="s">
        <v>1892</v>
      </c>
      <c r="E2452" t="s">
        <v>565</v>
      </c>
      <c r="F2452" t="s">
        <v>4304</v>
      </c>
      <c r="H2452" t="s">
        <v>17</v>
      </c>
      <c r="I2452" t="s">
        <v>4044</v>
      </c>
    </row>
    <row r="2453" spans="1:9" x14ac:dyDescent="0.3">
      <c r="A2453" t="s">
        <v>4222</v>
      </c>
      <c r="B2453" t="s">
        <v>4305</v>
      </c>
      <c r="C2453" t="s">
        <v>13</v>
      </c>
      <c r="D2453" t="s">
        <v>1146</v>
      </c>
      <c r="E2453" t="s">
        <v>570</v>
      </c>
      <c r="F2453" t="s">
        <v>4306</v>
      </c>
      <c r="H2453" t="s">
        <v>17</v>
      </c>
      <c r="I2453" t="s">
        <v>4044</v>
      </c>
    </row>
    <row r="2454" spans="1:9" x14ac:dyDescent="0.3">
      <c r="A2454" t="s">
        <v>4222</v>
      </c>
      <c r="B2454" t="s">
        <v>4305</v>
      </c>
      <c r="C2454" t="s">
        <v>13</v>
      </c>
      <c r="D2454" t="s">
        <v>1150</v>
      </c>
      <c r="E2454" t="s">
        <v>575</v>
      </c>
      <c r="F2454" t="s">
        <v>4307</v>
      </c>
      <c r="H2454" t="s">
        <v>17</v>
      </c>
      <c r="I2454" t="s">
        <v>4044</v>
      </c>
    </row>
    <row r="2455" spans="1:9" x14ac:dyDescent="0.3">
      <c r="A2455" t="s">
        <v>4222</v>
      </c>
      <c r="B2455" t="s">
        <v>4305</v>
      </c>
      <c r="C2455" t="s">
        <v>13</v>
      </c>
      <c r="D2455" t="s">
        <v>1154</v>
      </c>
      <c r="E2455" t="s">
        <v>580</v>
      </c>
      <c r="F2455" t="s">
        <v>4308</v>
      </c>
      <c r="H2455" t="s">
        <v>17</v>
      </c>
      <c r="I2455" t="s">
        <v>4044</v>
      </c>
    </row>
    <row r="2456" spans="1:9" x14ac:dyDescent="0.3">
      <c r="A2456" t="s">
        <v>4222</v>
      </c>
      <c r="B2456" t="s">
        <v>4309</v>
      </c>
      <c r="C2456" t="s">
        <v>13</v>
      </c>
      <c r="D2456" t="s">
        <v>1158</v>
      </c>
      <c r="E2456" t="s">
        <v>591</v>
      </c>
      <c r="F2456" t="s">
        <v>4310</v>
      </c>
      <c r="H2456" t="s">
        <v>17</v>
      </c>
      <c r="I2456" t="s">
        <v>4044</v>
      </c>
    </row>
    <row r="2457" spans="1:9" x14ac:dyDescent="0.3">
      <c r="A2457" t="s">
        <v>4222</v>
      </c>
      <c r="B2457" t="s">
        <v>4309</v>
      </c>
      <c r="C2457" t="s">
        <v>13</v>
      </c>
      <c r="D2457" t="s">
        <v>1162</v>
      </c>
      <c r="E2457" t="s">
        <v>1724</v>
      </c>
      <c r="F2457" t="s">
        <v>4311</v>
      </c>
      <c r="H2457" t="s">
        <v>17</v>
      </c>
      <c r="I2457" t="s">
        <v>4044</v>
      </c>
    </row>
    <row r="2458" spans="1:9" x14ac:dyDescent="0.3">
      <c r="A2458" t="s">
        <v>4222</v>
      </c>
      <c r="B2458" t="s">
        <v>4309</v>
      </c>
      <c r="C2458" t="s">
        <v>13</v>
      </c>
      <c r="D2458" t="s">
        <v>1165</v>
      </c>
      <c r="E2458" t="s">
        <v>596</v>
      </c>
      <c r="F2458" t="s">
        <v>4312</v>
      </c>
      <c r="H2458" t="s">
        <v>17</v>
      </c>
      <c r="I2458" t="s">
        <v>4044</v>
      </c>
    </row>
    <row r="2459" spans="1:9" x14ac:dyDescent="0.3">
      <c r="A2459" t="s">
        <v>4222</v>
      </c>
      <c r="B2459" t="s">
        <v>4309</v>
      </c>
      <c r="C2459" t="s">
        <v>13</v>
      </c>
      <c r="D2459" t="s">
        <v>4313</v>
      </c>
      <c r="E2459" t="s">
        <v>1727</v>
      </c>
      <c r="F2459" t="s">
        <v>4314</v>
      </c>
      <c r="H2459" t="s">
        <v>807</v>
      </c>
    </row>
    <row r="2460" spans="1:9" x14ac:dyDescent="0.3">
      <c r="A2460" t="s">
        <v>4222</v>
      </c>
      <c r="B2460" t="s">
        <v>4309</v>
      </c>
      <c r="C2460" t="s">
        <v>13</v>
      </c>
      <c r="D2460" t="s">
        <v>1179</v>
      </c>
      <c r="E2460" t="s">
        <v>1729</v>
      </c>
      <c r="F2460" t="s">
        <v>4315</v>
      </c>
      <c r="H2460" t="s">
        <v>17</v>
      </c>
      <c r="I2460" t="s">
        <v>4316</v>
      </c>
    </row>
    <row r="2461" spans="1:9" x14ac:dyDescent="0.3">
      <c r="A2461" t="s">
        <v>4222</v>
      </c>
      <c r="B2461" t="s">
        <v>4317</v>
      </c>
      <c r="C2461" t="s">
        <v>13</v>
      </c>
      <c r="D2461" t="s">
        <v>1205</v>
      </c>
      <c r="E2461" t="s">
        <v>3461</v>
      </c>
      <c r="F2461" t="s">
        <v>4318</v>
      </c>
      <c r="H2461" t="s">
        <v>17</v>
      </c>
      <c r="I2461" t="s">
        <v>548</v>
      </c>
    </row>
    <row r="2462" spans="1:9" x14ac:dyDescent="0.3">
      <c r="A2462" t="s">
        <v>4222</v>
      </c>
      <c r="B2462" t="s">
        <v>4317</v>
      </c>
      <c r="C2462" t="s">
        <v>13</v>
      </c>
      <c r="D2462" t="s">
        <v>1209</v>
      </c>
      <c r="E2462" t="s">
        <v>604</v>
      </c>
      <c r="F2462" t="s">
        <v>4319</v>
      </c>
      <c r="H2462" t="s">
        <v>17</v>
      </c>
      <c r="I2462" t="s">
        <v>548</v>
      </c>
    </row>
    <row r="2463" spans="1:9" x14ac:dyDescent="0.3">
      <c r="A2463" t="s">
        <v>4222</v>
      </c>
      <c r="B2463" t="s">
        <v>4317</v>
      </c>
      <c r="C2463" t="s">
        <v>13</v>
      </c>
      <c r="D2463" t="s">
        <v>1213</v>
      </c>
      <c r="E2463" t="s">
        <v>3465</v>
      </c>
      <c r="F2463" t="s">
        <v>4320</v>
      </c>
      <c r="H2463" t="s">
        <v>17</v>
      </c>
      <c r="I2463" t="s">
        <v>548</v>
      </c>
    </row>
    <row r="2464" spans="1:9" x14ac:dyDescent="0.3">
      <c r="A2464" t="s">
        <v>4222</v>
      </c>
      <c r="B2464" t="s">
        <v>4317</v>
      </c>
      <c r="C2464" t="s">
        <v>13</v>
      </c>
      <c r="D2464" t="s">
        <v>1219</v>
      </c>
      <c r="E2464" t="s">
        <v>1734</v>
      </c>
      <c r="F2464" t="s">
        <v>4321</v>
      </c>
      <c r="H2464" t="s">
        <v>17</v>
      </c>
      <c r="I2464" t="s">
        <v>548</v>
      </c>
    </row>
    <row r="2465" spans="1:9" x14ac:dyDescent="0.3">
      <c r="A2465" t="s">
        <v>4222</v>
      </c>
      <c r="B2465" t="s">
        <v>4317</v>
      </c>
      <c r="C2465" t="s">
        <v>13</v>
      </c>
      <c r="D2465" t="s">
        <v>1224</v>
      </c>
      <c r="E2465" t="s">
        <v>608</v>
      </c>
      <c r="F2465" t="s">
        <v>4322</v>
      </c>
      <c r="H2465" t="s">
        <v>17</v>
      </c>
      <c r="I2465" t="s">
        <v>4323</v>
      </c>
    </row>
    <row r="2466" spans="1:9" x14ac:dyDescent="0.3">
      <c r="A2466" t="s">
        <v>4222</v>
      </c>
      <c r="B2466" t="s">
        <v>4317</v>
      </c>
      <c r="C2466" t="s">
        <v>13</v>
      </c>
      <c r="D2466" t="s">
        <v>1228</v>
      </c>
      <c r="E2466" t="s">
        <v>1737</v>
      </c>
      <c r="F2466" t="s">
        <v>4324</v>
      </c>
      <c r="H2466" t="s">
        <v>17</v>
      </c>
      <c r="I2466" t="s">
        <v>4325</v>
      </c>
    </row>
    <row r="2467" spans="1:9" x14ac:dyDescent="0.3">
      <c r="A2467" t="s">
        <v>4222</v>
      </c>
      <c r="B2467" t="s">
        <v>4317</v>
      </c>
      <c r="C2467" t="s">
        <v>13</v>
      </c>
      <c r="D2467" t="s">
        <v>1232</v>
      </c>
      <c r="E2467" t="s">
        <v>3471</v>
      </c>
      <c r="F2467" t="s">
        <v>4326</v>
      </c>
      <c r="H2467" t="s">
        <v>17</v>
      </c>
      <c r="I2467" t="s">
        <v>4327</v>
      </c>
    </row>
    <row r="2468" spans="1:9" x14ac:dyDescent="0.3">
      <c r="A2468" t="s">
        <v>4222</v>
      </c>
      <c r="B2468" t="s">
        <v>4317</v>
      </c>
      <c r="C2468" t="s">
        <v>13</v>
      </c>
      <c r="D2468" t="s">
        <v>1236</v>
      </c>
      <c r="E2468" t="s">
        <v>612</v>
      </c>
      <c r="F2468" t="s">
        <v>4328</v>
      </c>
      <c r="H2468" t="s">
        <v>17</v>
      </c>
      <c r="I2468" t="s">
        <v>4327</v>
      </c>
    </row>
    <row r="2469" spans="1:9" x14ac:dyDescent="0.3">
      <c r="A2469" t="s">
        <v>4222</v>
      </c>
      <c r="B2469" t="s">
        <v>4317</v>
      </c>
      <c r="C2469" t="s">
        <v>13</v>
      </c>
      <c r="D2469" t="s">
        <v>1240</v>
      </c>
      <c r="E2469" t="s">
        <v>3474</v>
      </c>
      <c r="F2469" t="s">
        <v>4329</v>
      </c>
      <c r="H2469" t="s">
        <v>17</v>
      </c>
      <c r="I2469" t="s">
        <v>4330</v>
      </c>
    </row>
    <row r="2470" spans="1:9" x14ac:dyDescent="0.3">
      <c r="A2470" t="s">
        <v>4222</v>
      </c>
      <c r="B2470" t="s">
        <v>4317</v>
      </c>
      <c r="C2470" t="s">
        <v>13</v>
      </c>
      <c r="D2470" t="s">
        <v>291</v>
      </c>
      <c r="E2470" t="s">
        <v>616</v>
      </c>
      <c r="F2470" t="s">
        <v>3972</v>
      </c>
      <c r="H2470" t="s">
        <v>17</v>
      </c>
      <c r="I2470" t="s">
        <v>4331</v>
      </c>
    </row>
    <row r="2471" spans="1:9" x14ac:dyDescent="0.3">
      <c r="A2471" t="s">
        <v>4222</v>
      </c>
      <c r="B2471" t="s">
        <v>4317</v>
      </c>
      <c r="C2471" t="s">
        <v>13</v>
      </c>
      <c r="D2471" t="s">
        <v>1252</v>
      </c>
      <c r="E2471" t="s">
        <v>3477</v>
      </c>
      <c r="F2471" t="s">
        <v>4332</v>
      </c>
      <c r="H2471" t="s">
        <v>807</v>
      </c>
      <c r="I2471" t="s">
        <v>4333</v>
      </c>
    </row>
    <row r="2472" spans="1:9" x14ac:dyDescent="0.3">
      <c r="A2472" t="s">
        <v>4222</v>
      </c>
      <c r="B2472" t="s">
        <v>4317</v>
      </c>
      <c r="C2472" t="s">
        <v>13</v>
      </c>
      <c r="D2472" t="s">
        <v>1256</v>
      </c>
      <c r="E2472" t="s">
        <v>620</v>
      </c>
      <c r="F2472" t="s">
        <v>4334</v>
      </c>
      <c r="H2472" t="s">
        <v>17</v>
      </c>
      <c r="I2472" t="s">
        <v>3880</v>
      </c>
    </row>
    <row r="2473" spans="1:9" x14ac:dyDescent="0.3">
      <c r="A2473" t="s">
        <v>4222</v>
      </c>
      <c r="B2473" t="s">
        <v>4317</v>
      </c>
      <c r="C2473" t="s">
        <v>13</v>
      </c>
      <c r="D2473" t="s">
        <v>1261</v>
      </c>
      <c r="E2473" t="s">
        <v>3480</v>
      </c>
      <c r="F2473" t="s">
        <v>4335</v>
      </c>
      <c r="H2473" t="s">
        <v>17</v>
      </c>
      <c r="I2473" t="s">
        <v>4336</v>
      </c>
    </row>
    <row r="2474" spans="1:9" x14ac:dyDescent="0.3">
      <c r="A2474" t="s">
        <v>4222</v>
      </c>
      <c r="B2474" t="s">
        <v>4317</v>
      </c>
      <c r="C2474" t="s">
        <v>13</v>
      </c>
      <c r="D2474" t="s">
        <v>1265</v>
      </c>
      <c r="E2474" t="s">
        <v>624</v>
      </c>
      <c r="F2474" t="s">
        <v>4337</v>
      </c>
      <c r="H2474" t="s">
        <v>17</v>
      </c>
      <c r="I2474" t="s">
        <v>4338</v>
      </c>
    </row>
    <row r="2475" spans="1:9" x14ac:dyDescent="0.3">
      <c r="A2475" t="s">
        <v>4222</v>
      </c>
      <c r="B2475" t="s">
        <v>4317</v>
      </c>
      <c r="C2475" t="s">
        <v>13</v>
      </c>
      <c r="D2475" t="s">
        <v>1270</v>
      </c>
      <c r="E2475" t="s">
        <v>3483</v>
      </c>
      <c r="F2475" t="s">
        <v>4339</v>
      </c>
      <c r="H2475" t="s">
        <v>807</v>
      </c>
      <c r="I2475" t="s">
        <v>4340</v>
      </c>
    </row>
    <row r="2476" spans="1:9" x14ac:dyDescent="0.3">
      <c r="A2476" t="s">
        <v>4222</v>
      </c>
      <c r="B2476" t="s">
        <v>4317</v>
      </c>
      <c r="C2476" t="s">
        <v>13</v>
      </c>
      <c r="D2476" t="s">
        <v>1276</v>
      </c>
      <c r="E2476" t="s">
        <v>3486</v>
      </c>
      <c r="F2476" t="s">
        <v>4341</v>
      </c>
      <c r="H2476" t="s">
        <v>17</v>
      </c>
      <c r="I2476" t="s">
        <v>4342</v>
      </c>
    </row>
    <row r="2477" spans="1:9" x14ac:dyDescent="0.3">
      <c r="A2477" t="s">
        <v>4222</v>
      </c>
      <c r="B2477" t="s">
        <v>4317</v>
      </c>
      <c r="C2477" t="s">
        <v>13</v>
      </c>
      <c r="D2477" t="s">
        <v>303</v>
      </c>
      <c r="E2477" t="s">
        <v>3488</v>
      </c>
      <c r="F2477" t="s">
        <v>4343</v>
      </c>
      <c r="H2477" t="s">
        <v>807</v>
      </c>
      <c r="I2477" t="s">
        <v>4344</v>
      </c>
    </row>
    <row r="2478" spans="1:9" x14ac:dyDescent="0.3">
      <c r="A2478" t="s">
        <v>4222</v>
      </c>
      <c r="B2478" t="s">
        <v>4317</v>
      </c>
      <c r="C2478" t="s">
        <v>13</v>
      </c>
      <c r="D2478" t="s">
        <v>308</v>
      </c>
      <c r="E2478" t="s">
        <v>3490</v>
      </c>
      <c r="F2478" t="s">
        <v>4345</v>
      </c>
      <c r="H2478" t="s">
        <v>807</v>
      </c>
      <c r="I2478" t="s">
        <v>4346</v>
      </c>
    </row>
    <row r="2479" spans="1:9" x14ac:dyDescent="0.3">
      <c r="A2479" t="s">
        <v>4222</v>
      </c>
      <c r="B2479" t="s">
        <v>4317</v>
      </c>
      <c r="C2479" t="s">
        <v>13</v>
      </c>
      <c r="D2479" t="s">
        <v>312</v>
      </c>
      <c r="E2479" t="s">
        <v>3492</v>
      </c>
      <c r="F2479" t="s">
        <v>4347</v>
      </c>
      <c r="H2479" t="s">
        <v>807</v>
      </c>
      <c r="I2479" t="s">
        <v>4348</v>
      </c>
    </row>
    <row r="2480" spans="1:9" x14ac:dyDescent="0.3">
      <c r="A2480" t="s">
        <v>4222</v>
      </c>
      <c r="B2480" t="s">
        <v>4317</v>
      </c>
      <c r="C2480" t="s">
        <v>13</v>
      </c>
      <c r="D2480" t="s">
        <v>316</v>
      </c>
      <c r="E2480" t="s">
        <v>3494</v>
      </c>
      <c r="F2480" t="s">
        <v>4349</v>
      </c>
      <c r="H2480" t="s">
        <v>17</v>
      </c>
      <c r="I2480" t="s">
        <v>4350</v>
      </c>
    </row>
    <row r="2481" spans="1:9" x14ac:dyDescent="0.3">
      <c r="A2481" t="s">
        <v>4222</v>
      </c>
      <c r="B2481" t="s">
        <v>4317</v>
      </c>
      <c r="C2481" t="s">
        <v>13</v>
      </c>
      <c r="D2481" t="s">
        <v>319</v>
      </c>
      <c r="E2481" t="s">
        <v>3496</v>
      </c>
      <c r="F2481" t="s">
        <v>4351</v>
      </c>
      <c r="H2481" t="s">
        <v>17</v>
      </c>
      <c r="I2481" t="s">
        <v>4352</v>
      </c>
    </row>
    <row r="2482" spans="1:9" x14ac:dyDescent="0.3">
      <c r="A2482" t="s">
        <v>4222</v>
      </c>
      <c r="B2482" t="s">
        <v>4317</v>
      </c>
      <c r="C2482" t="s">
        <v>13</v>
      </c>
      <c r="D2482" t="s">
        <v>323</v>
      </c>
      <c r="E2482" t="s">
        <v>3498</v>
      </c>
      <c r="F2482" t="s">
        <v>4353</v>
      </c>
      <c r="H2482" t="s">
        <v>17</v>
      </c>
      <c r="I2482" t="s">
        <v>4354</v>
      </c>
    </row>
    <row r="2483" spans="1:9" x14ac:dyDescent="0.3">
      <c r="A2483" t="s">
        <v>4222</v>
      </c>
      <c r="B2483" t="s">
        <v>4317</v>
      </c>
      <c r="C2483" t="s">
        <v>13</v>
      </c>
      <c r="D2483" t="s">
        <v>327</v>
      </c>
      <c r="E2483" t="s">
        <v>3500</v>
      </c>
      <c r="F2483" t="s">
        <v>4355</v>
      </c>
      <c r="H2483" t="s">
        <v>17</v>
      </c>
      <c r="I2483" t="s">
        <v>4356</v>
      </c>
    </row>
    <row r="2484" spans="1:9" x14ac:dyDescent="0.3">
      <c r="A2484" t="s">
        <v>4222</v>
      </c>
      <c r="B2484" t="s">
        <v>4317</v>
      </c>
      <c r="C2484" t="s">
        <v>13</v>
      </c>
      <c r="D2484" t="s">
        <v>332</v>
      </c>
      <c r="E2484" t="s">
        <v>3502</v>
      </c>
      <c r="F2484" t="s">
        <v>4357</v>
      </c>
      <c r="H2484" t="s">
        <v>17</v>
      </c>
      <c r="I2484" t="s">
        <v>4358</v>
      </c>
    </row>
    <row r="2485" spans="1:9" x14ac:dyDescent="0.3">
      <c r="A2485" t="s">
        <v>4222</v>
      </c>
      <c r="B2485" t="s">
        <v>4317</v>
      </c>
      <c r="C2485" t="s">
        <v>13</v>
      </c>
      <c r="D2485" t="s">
        <v>335</v>
      </c>
      <c r="E2485" t="s">
        <v>3504</v>
      </c>
      <c r="F2485" t="s">
        <v>4359</v>
      </c>
      <c r="H2485" t="s">
        <v>17</v>
      </c>
      <c r="I2485" t="s">
        <v>4360</v>
      </c>
    </row>
    <row r="2486" spans="1:9" x14ac:dyDescent="0.3">
      <c r="A2486" t="s">
        <v>4222</v>
      </c>
      <c r="B2486" t="s">
        <v>4317</v>
      </c>
      <c r="C2486" t="s">
        <v>13</v>
      </c>
      <c r="D2486" t="s">
        <v>338</v>
      </c>
      <c r="E2486" t="s">
        <v>3506</v>
      </c>
      <c r="F2486" t="s">
        <v>4361</v>
      </c>
      <c r="H2486" t="s">
        <v>17</v>
      </c>
      <c r="I2486" t="s">
        <v>4362</v>
      </c>
    </row>
    <row r="2487" spans="1:9" x14ac:dyDescent="0.3">
      <c r="A2487" t="s">
        <v>4222</v>
      </c>
      <c r="B2487" t="s">
        <v>4317</v>
      </c>
      <c r="C2487" t="s">
        <v>13</v>
      </c>
      <c r="D2487" t="s">
        <v>341</v>
      </c>
      <c r="E2487" t="s">
        <v>3508</v>
      </c>
      <c r="F2487" t="s">
        <v>4363</v>
      </c>
      <c r="H2487" t="s">
        <v>17</v>
      </c>
      <c r="I2487" t="s">
        <v>4364</v>
      </c>
    </row>
    <row r="2488" spans="1:9" x14ac:dyDescent="0.3">
      <c r="A2488" t="s">
        <v>4222</v>
      </c>
      <c r="B2488" t="s">
        <v>4317</v>
      </c>
      <c r="C2488" t="s">
        <v>13</v>
      </c>
      <c r="D2488" t="s">
        <v>344</v>
      </c>
      <c r="E2488" t="s">
        <v>3510</v>
      </c>
      <c r="F2488" t="s">
        <v>4365</v>
      </c>
      <c r="H2488" t="s">
        <v>17</v>
      </c>
      <c r="I2488" t="s">
        <v>4366</v>
      </c>
    </row>
    <row r="2489" spans="1:9" x14ac:dyDescent="0.3">
      <c r="A2489" t="s">
        <v>4222</v>
      </c>
      <c r="B2489" t="s">
        <v>4317</v>
      </c>
      <c r="C2489" t="s">
        <v>13</v>
      </c>
      <c r="D2489" t="s">
        <v>347</v>
      </c>
      <c r="E2489" t="s">
        <v>3512</v>
      </c>
      <c r="F2489" t="s">
        <v>4367</v>
      </c>
      <c r="H2489" t="s">
        <v>17</v>
      </c>
      <c r="I2489" t="s">
        <v>4368</v>
      </c>
    </row>
    <row r="2490" spans="1:9" x14ac:dyDescent="0.3">
      <c r="A2490" t="s">
        <v>4222</v>
      </c>
      <c r="B2490" t="s">
        <v>4317</v>
      </c>
      <c r="C2490" t="s">
        <v>13</v>
      </c>
      <c r="D2490" t="s">
        <v>353</v>
      </c>
      <c r="E2490" t="s">
        <v>3515</v>
      </c>
      <c r="F2490" t="s">
        <v>4369</v>
      </c>
      <c r="H2490" t="s">
        <v>17</v>
      </c>
      <c r="I2490" t="s">
        <v>4370</v>
      </c>
    </row>
    <row r="2491" spans="1:9" x14ac:dyDescent="0.3">
      <c r="A2491" t="s">
        <v>4222</v>
      </c>
      <c r="B2491" t="s">
        <v>4317</v>
      </c>
      <c r="C2491" t="s">
        <v>13</v>
      </c>
      <c r="D2491" t="s">
        <v>358</v>
      </c>
      <c r="E2491" t="s">
        <v>3518</v>
      </c>
      <c r="F2491" t="s">
        <v>4369</v>
      </c>
      <c r="H2491" t="s">
        <v>17</v>
      </c>
      <c r="I2491" t="s">
        <v>4371</v>
      </c>
    </row>
    <row r="2492" spans="1:9" x14ac:dyDescent="0.3">
      <c r="A2492" t="s">
        <v>4222</v>
      </c>
      <c r="B2492" t="s">
        <v>4317</v>
      </c>
      <c r="C2492" t="s">
        <v>13</v>
      </c>
      <c r="D2492" t="s">
        <v>361</v>
      </c>
      <c r="E2492" t="s">
        <v>3520</v>
      </c>
      <c r="F2492" t="s">
        <v>4369</v>
      </c>
      <c r="H2492" t="s">
        <v>17</v>
      </c>
      <c r="I2492" t="s">
        <v>4372</v>
      </c>
    </row>
    <row r="2493" spans="1:9" x14ac:dyDescent="0.3">
      <c r="A2493" t="s">
        <v>4222</v>
      </c>
      <c r="B2493" t="s">
        <v>4317</v>
      </c>
      <c r="C2493" t="s">
        <v>13</v>
      </c>
      <c r="D2493" t="s">
        <v>364</v>
      </c>
      <c r="E2493" t="s">
        <v>3522</v>
      </c>
      <c r="F2493" t="s">
        <v>4369</v>
      </c>
      <c r="H2493" t="s">
        <v>17</v>
      </c>
      <c r="I2493" t="s">
        <v>4373</v>
      </c>
    </row>
    <row r="2494" spans="1:9" x14ac:dyDescent="0.3">
      <c r="A2494" t="s">
        <v>4222</v>
      </c>
      <c r="B2494" t="s">
        <v>4317</v>
      </c>
      <c r="C2494" t="s">
        <v>13</v>
      </c>
      <c r="D2494" t="s">
        <v>367</v>
      </c>
      <c r="E2494" t="s">
        <v>3523</v>
      </c>
      <c r="F2494" t="s">
        <v>4369</v>
      </c>
      <c r="H2494" t="s">
        <v>17</v>
      </c>
      <c r="I2494" t="s">
        <v>4374</v>
      </c>
    </row>
    <row r="2495" spans="1:9" x14ac:dyDescent="0.3">
      <c r="A2495" t="s">
        <v>4222</v>
      </c>
      <c r="B2495" t="s">
        <v>4317</v>
      </c>
      <c r="C2495" t="s">
        <v>13</v>
      </c>
      <c r="D2495" t="s">
        <v>370</v>
      </c>
      <c r="E2495" t="s">
        <v>3524</v>
      </c>
      <c r="F2495" t="s">
        <v>4369</v>
      </c>
      <c r="H2495" t="s">
        <v>17</v>
      </c>
      <c r="I2495" t="s">
        <v>4375</v>
      </c>
    </row>
    <row r="2496" spans="1:9" x14ac:dyDescent="0.3">
      <c r="A2496" t="s">
        <v>4222</v>
      </c>
      <c r="B2496" t="s">
        <v>4317</v>
      </c>
      <c r="C2496" t="s">
        <v>13</v>
      </c>
      <c r="D2496" t="s">
        <v>373</v>
      </c>
      <c r="E2496" t="s">
        <v>3526</v>
      </c>
      <c r="F2496" t="s">
        <v>4369</v>
      </c>
      <c r="H2496" t="s">
        <v>17</v>
      </c>
      <c r="I2496" t="s">
        <v>4376</v>
      </c>
    </row>
    <row r="2497" spans="1:9" x14ac:dyDescent="0.3">
      <c r="A2497" t="s">
        <v>4222</v>
      </c>
      <c r="B2497" t="s">
        <v>4317</v>
      </c>
      <c r="C2497" t="s">
        <v>13</v>
      </c>
      <c r="D2497" t="s">
        <v>376</v>
      </c>
      <c r="E2497" t="s">
        <v>3528</v>
      </c>
      <c r="F2497" t="s">
        <v>4369</v>
      </c>
      <c r="H2497" t="s">
        <v>17</v>
      </c>
      <c r="I2497" t="s">
        <v>4377</v>
      </c>
    </row>
    <row r="2498" spans="1:9" x14ac:dyDescent="0.3">
      <c r="A2498" t="s">
        <v>4222</v>
      </c>
      <c r="B2498" t="s">
        <v>4317</v>
      </c>
      <c r="C2498" t="s">
        <v>13</v>
      </c>
      <c r="D2498" t="s">
        <v>1675</v>
      </c>
      <c r="E2498" t="s">
        <v>3530</v>
      </c>
      <c r="F2498" t="s">
        <v>4369</v>
      </c>
      <c r="H2498" t="s">
        <v>17</v>
      </c>
      <c r="I2498" t="s">
        <v>4378</v>
      </c>
    </row>
    <row r="2499" spans="1:9" x14ac:dyDescent="0.3">
      <c r="A2499" t="s">
        <v>4222</v>
      </c>
      <c r="B2499" t="s">
        <v>4317</v>
      </c>
      <c r="C2499" t="s">
        <v>13</v>
      </c>
      <c r="D2499" t="s">
        <v>1678</v>
      </c>
      <c r="E2499" t="s">
        <v>3532</v>
      </c>
      <c r="F2499" t="s">
        <v>4369</v>
      </c>
      <c r="H2499" t="s">
        <v>17</v>
      </c>
      <c r="I2499" t="s">
        <v>4379</v>
      </c>
    </row>
    <row r="2500" spans="1:9" x14ac:dyDescent="0.3">
      <c r="A2500" t="s">
        <v>4222</v>
      </c>
      <c r="B2500" t="s">
        <v>4317</v>
      </c>
      <c r="C2500" t="s">
        <v>13</v>
      </c>
      <c r="D2500" t="s">
        <v>1681</v>
      </c>
      <c r="E2500" t="s">
        <v>3534</v>
      </c>
      <c r="F2500" t="s">
        <v>4369</v>
      </c>
      <c r="H2500" t="s">
        <v>17</v>
      </c>
      <c r="I2500" t="s">
        <v>4380</v>
      </c>
    </row>
    <row r="2501" spans="1:9" x14ac:dyDescent="0.3">
      <c r="A2501" t="s">
        <v>4222</v>
      </c>
      <c r="B2501" t="s">
        <v>4317</v>
      </c>
      <c r="C2501" t="s">
        <v>13</v>
      </c>
      <c r="D2501" t="s">
        <v>1683</v>
      </c>
      <c r="E2501" t="s">
        <v>3536</v>
      </c>
      <c r="F2501" t="s">
        <v>4369</v>
      </c>
      <c r="H2501" t="s">
        <v>17</v>
      </c>
      <c r="I2501" t="s">
        <v>4381</v>
      </c>
    </row>
    <row r="2502" spans="1:9" x14ac:dyDescent="0.3">
      <c r="A2502" t="s">
        <v>4222</v>
      </c>
      <c r="B2502" t="s">
        <v>4317</v>
      </c>
      <c r="C2502" t="s">
        <v>13</v>
      </c>
      <c r="D2502" t="s">
        <v>1685</v>
      </c>
      <c r="E2502" t="s">
        <v>3537</v>
      </c>
      <c r="F2502" t="s">
        <v>4382</v>
      </c>
      <c r="H2502" t="s">
        <v>17</v>
      </c>
      <c r="I2502" t="s">
        <v>4383</v>
      </c>
    </row>
    <row r="2503" spans="1:9" x14ac:dyDescent="0.3">
      <c r="A2503" t="s">
        <v>4222</v>
      </c>
      <c r="B2503" t="s">
        <v>4317</v>
      </c>
      <c r="C2503" t="s">
        <v>13</v>
      </c>
      <c r="D2503" t="s">
        <v>2859</v>
      </c>
      <c r="E2503" t="s">
        <v>3539</v>
      </c>
      <c r="F2503" t="s">
        <v>4384</v>
      </c>
      <c r="H2503" t="s">
        <v>17</v>
      </c>
      <c r="I2503" t="s">
        <v>414</v>
      </c>
    </row>
    <row r="2504" spans="1:9" x14ac:dyDescent="0.3">
      <c r="A2504" t="s">
        <v>4222</v>
      </c>
      <c r="B2504" t="s">
        <v>4317</v>
      </c>
      <c r="C2504" t="s">
        <v>13</v>
      </c>
      <c r="D2504" t="s">
        <v>2413</v>
      </c>
      <c r="E2504" t="s">
        <v>3540</v>
      </c>
      <c r="F2504" t="s">
        <v>4385</v>
      </c>
      <c r="H2504" t="s">
        <v>17</v>
      </c>
      <c r="I2504" t="s">
        <v>4386</v>
      </c>
    </row>
    <row r="2505" spans="1:9" x14ac:dyDescent="0.3">
      <c r="A2505" t="s">
        <v>4222</v>
      </c>
      <c r="B2505" t="s">
        <v>4387</v>
      </c>
      <c r="C2505" t="s">
        <v>13</v>
      </c>
      <c r="D2505" t="s">
        <v>2417</v>
      </c>
      <c r="E2505" t="s">
        <v>3543</v>
      </c>
      <c r="F2505" t="s">
        <v>4388</v>
      </c>
      <c r="H2505" t="s">
        <v>17</v>
      </c>
      <c r="I2505" t="s">
        <v>3925</v>
      </c>
    </row>
    <row r="2506" spans="1:9" x14ac:dyDescent="0.3">
      <c r="A2506" t="s">
        <v>4222</v>
      </c>
      <c r="B2506" t="s">
        <v>4387</v>
      </c>
      <c r="C2506" t="s">
        <v>13</v>
      </c>
      <c r="D2506" t="s">
        <v>2421</v>
      </c>
      <c r="E2506" t="s">
        <v>4389</v>
      </c>
      <c r="F2506" t="s">
        <v>4388</v>
      </c>
      <c r="H2506" t="s">
        <v>17</v>
      </c>
      <c r="I2506" t="s">
        <v>4390</v>
      </c>
    </row>
    <row r="2507" spans="1:9" x14ac:dyDescent="0.3">
      <c r="A2507" t="s">
        <v>4222</v>
      </c>
      <c r="B2507" t="s">
        <v>4387</v>
      </c>
      <c r="C2507" t="s">
        <v>13</v>
      </c>
      <c r="D2507" t="s">
        <v>1690</v>
      </c>
      <c r="E2507" t="s">
        <v>4391</v>
      </c>
      <c r="F2507" t="s">
        <v>4388</v>
      </c>
      <c r="H2507" t="s">
        <v>17</v>
      </c>
      <c r="I2507" t="s">
        <v>4392</v>
      </c>
    </row>
    <row r="2508" spans="1:9" x14ac:dyDescent="0.3">
      <c r="A2508" t="s">
        <v>4222</v>
      </c>
      <c r="B2508" t="s">
        <v>4387</v>
      </c>
      <c r="C2508" t="s">
        <v>13</v>
      </c>
      <c r="D2508" t="s">
        <v>2428</v>
      </c>
      <c r="E2508" t="s">
        <v>4393</v>
      </c>
      <c r="F2508" t="s">
        <v>4388</v>
      </c>
      <c r="H2508" t="s">
        <v>17</v>
      </c>
      <c r="I2508" t="s">
        <v>4394</v>
      </c>
    </row>
    <row r="2509" spans="1:9" x14ac:dyDescent="0.3">
      <c r="A2509" t="s">
        <v>4222</v>
      </c>
      <c r="B2509" t="s">
        <v>4387</v>
      </c>
      <c r="C2509" t="s">
        <v>13</v>
      </c>
      <c r="D2509" t="s">
        <v>2431</v>
      </c>
      <c r="E2509" t="s">
        <v>4395</v>
      </c>
      <c r="F2509" t="s">
        <v>4388</v>
      </c>
      <c r="H2509" t="s">
        <v>17</v>
      </c>
      <c r="I2509" t="s">
        <v>4396</v>
      </c>
    </row>
    <row r="2510" spans="1:9" x14ac:dyDescent="0.3">
      <c r="A2510" t="s">
        <v>4222</v>
      </c>
      <c r="B2510" t="s">
        <v>4387</v>
      </c>
      <c r="C2510" t="s">
        <v>13</v>
      </c>
      <c r="D2510" t="s">
        <v>1693</v>
      </c>
      <c r="E2510" t="s">
        <v>4397</v>
      </c>
      <c r="F2510" t="s">
        <v>4388</v>
      </c>
      <c r="H2510" t="s">
        <v>17</v>
      </c>
      <c r="I2510" t="s">
        <v>4398</v>
      </c>
    </row>
    <row r="2511" spans="1:9" x14ac:dyDescent="0.3">
      <c r="A2511" t="s">
        <v>4222</v>
      </c>
      <c r="B2511" t="s">
        <v>4387</v>
      </c>
      <c r="C2511" t="s">
        <v>13</v>
      </c>
      <c r="D2511" t="s">
        <v>1694</v>
      </c>
      <c r="E2511" t="s">
        <v>4399</v>
      </c>
      <c r="F2511" t="s">
        <v>4388</v>
      </c>
      <c r="H2511" t="s">
        <v>17</v>
      </c>
      <c r="I2511" t="s">
        <v>4400</v>
      </c>
    </row>
    <row r="2512" spans="1:9" x14ac:dyDescent="0.3">
      <c r="A2512" t="s">
        <v>4222</v>
      </c>
      <c r="B2512" t="s">
        <v>4387</v>
      </c>
      <c r="C2512" t="s">
        <v>13</v>
      </c>
      <c r="D2512" t="s">
        <v>2438</v>
      </c>
      <c r="E2512" t="s">
        <v>4401</v>
      </c>
      <c r="F2512" t="s">
        <v>4388</v>
      </c>
      <c r="H2512" t="s">
        <v>17</v>
      </c>
      <c r="I2512" t="s">
        <v>4402</v>
      </c>
    </row>
    <row r="2513" spans="1:9" x14ac:dyDescent="0.3">
      <c r="A2513" t="s">
        <v>4222</v>
      </c>
      <c r="B2513" t="s">
        <v>4387</v>
      </c>
      <c r="C2513" t="s">
        <v>13</v>
      </c>
      <c r="D2513" t="s">
        <v>2441</v>
      </c>
      <c r="E2513" t="s">
        <v>4403</v>
      </c>
      <c r="F2513" t="s">
        <v>4388</v>
      </c>
      <c r="H2513" t="s">
        <v>17</v>
      </c>
      <c r="I2513" t="s">
        <v>4404</v>
      </c>
    </row>
    <row r="2514" spans="1:9" x14ac:dyDescent="0.3">
      <c r="A2514" t="s">
        <v>4222</v>
      </c>
      <c r="B2514" t="s">
        <v>4387</v>
      </c>
      <c r="C2514" t="s">
        <v>13</v>
      </c>
      <c r="D2514" t="s">
        <v>410</v>
      </c>
      <c r="E2514" t="s">
        <v>4405</v>
      </c>
      <c r="F2514" t="s">
        <v>4388</v>
      </c>
      <c r="H2514" t="s">
        <v>17</v>
      </c>
      <c r="I2514" t="s">
        <v>4406</v>
      </c>
    </row>
    <row r="2515" spans="1:9" x14ac:dyDescent="0.3">
      <c r="A2515" t="s">
        <v>4222</v>
      </c>
      <c r="B2515" t="s">
        <v>4387</v>
      </c>
      <c r="C2515" t="s">
        <v>13</v>
      </c>
      <c r="D2515" t="s">
        <v>3784</v>
      </c>
      <c r="E2515" t="s">
        <v>4407</v>
      </c>
      <c r="F2515" t="s">
        <v>747</v>
      </c>
      <c r="H2515" t="s">
        <v>17</v>
      </c>
    </row>
    <row r="2516" spans="1:9" x14ac:dyDescent="0.3">
      <c r="A2516" t="s">
        <v>4222</v>
      </c>
      <c r="B2516" t="s">
        <v>4387</v>
      </c>
      <c r="C2516" t="s">
        <v>13</v>
      </c>
      <c r="D2516" t="s">
        <v>441</v>
      </c>
      <c r="E2516" t="s">
        <v>4408</v>
      </c>
      <c r="F2516" t="s">
        <v>843</v>
      </c>
      <c r="H2516" t="s">
        <v>17</v>
      </c>
      <c r="I2516" t="s">
        <v>845</v>
      </c>
    </row>
    <row r="2517" spans="1:9" x14ac:dyDescent="0.3">
      <c r="A2517" t="s">
        <v>4222</v>
      </c>
      <c r="B2517" t="s">
        <v>4387</v>
      </c>
      <c r="C2517" t="s">
        <v>13</v>
      </c>
      <c r="D2517" t="s">
        <v>444</v>
      </c>
      <c r="E2517" t="s">
        <v>4409</v>
      </c>
      <c r="F2517" t="s">
        <v>797</v>
      </c>
      <c r="H2517" t="s">
        <v>17</v>
      </c>
      <c r="I2517" t="s">
        <v>4410</v>
      </c>
    </row>
    <row r="2518" spans="1:9" x14ac:dyDescent="0.3">
      <c r="A2518" t="s">
        <v>4222</v>
      </c>
      <c r="B2518" t="s">
        <v>4387</v>
      </c>
      <c r="C2518" t="s">
        <v>13</v>
      </c>
      <c r="D2518" t="s">
        <v>448</v>
      </c>
      <c r="E2518" t="s">
        <v>4411</v>
      </c>
      <c r="F2518" t="s">
        <v>4412</v>
      </c>
      <c r="H2518" t="s">
        <v>17</v>
      </c>
      <c r="I2518" t="s">
        <v>4188</v>
      </c>
    </row>
    <row r="2519" spans="1:9" x14ac:dyDescent="0.3">
      <c r="A2519" t="s">
        <v>4222</v>
      </c>
      <c r="B2519" t="s">
        <v>4387</v>
      </c>
      <c r="C2519" t="s">
        <v>13</v>
      </c>
      <c r="D2519" t="s">
        <v>453</v>
      </c>
      <c r="E2519" t="s">
        <v>4413</v>
      </c>
      <c r="F2519" t="s">
        <v>760</v>
      </c>
      <c r="H2519" t="s">
        <v>17</v>
      </c>
      <c r="I2519" t="s">
        <v>3987</v>
      </c>
    </row>
    <row r="2520" spans="1:9" x14ac:dyDescent="0.3">
      <c r="A2520" t="s">
        <v>4222</v>
      </c>
      <c r="B2520" t="s">
        <v>4387</v>
      </c>
      <c r="C2520" t="s">
        <v>13</v>
      </c>
      <c r="D2520" t="s">
        <v>457</v>
      </c>
      <c r="E2520" t="s">
        <v>4414</v>
      </c>
      <c r="F2520" t="s">
        <v>2196</v>
      </c>
      <c r="H2520" t="s">
        <v>17</v>
      </c>
      <c r="I2520" t="s">
        <v>4415</v>
      </c>
    </row>
    <row r="2521" spans="1:9" x14ac:dyDescent="0.3">
      <c r="A2521" t="s">
        <v>4222</v>
      </c>
      <c r="B2521" t="s">
        <v>4387</v>
      </c>
      <c r="C2521" t="s">
        <v>13</v>
      </c>
      <c r="D2521" t="s">
        <v>461</v>
      </c>
      <c r="E2521" t="s">
        <v>4416</v>
      </c>
      <c r="F2521" t="s">
        <v>2621</v>
      </c>
      <c r="H2521" t="s">
        <v>17</v>
      </c>
      <c r="I2521" t="s">
        <v>4417</v>
      </c>
    </row>
    <row r="2522" spans="1:9" x14ac:dyDescent="0.3">
      <c r="A2522" t="s">
        <v>4222</v>
      </c>
      <c r="B2522" t="s">
        <v>4387</v>
      </c>
      <c r="C2522" t="s">
        <v>13</v>
      </c>
      <c r="D2522" t="s">
        <v>464</v>
      </c>
      <c r="E2522" t="s">
        <v>4418</v>
      </c>
      <c r="F2522" t="s">
        <v>2926</v>
      </c>
      <c r="H2522" t="s">
        <v>17</v>
      </c>
      <c r="I2522" t="s">
        <v>4199</v>
      </c>
    </row>
    <row r="2523" spans="1:9" x14ac:dyDescent="0.3">
      <c r="A2523" t="s">
        <v>4222</v>
      </c>
      <c r="B2523" t="s">
        <v>4387</v>
      </c>
      <c r="C2523" t="s">
        <v>13</v>
      </c>
      <c r="D2523" t="s">
        <v>468</v>
      </c>
      <c r="E2523" t="s">
        <v>4419</v>
      </c>
      <c r="F2523" t="s">
        <v>4420</v>
      </c>
      <c r="H2523" t="s">
        <v>17</v>
      </c>
      <c r="I2523" t="s">
        <v>4421</v>
      </c>
    </row>
    <row r="2524" spans="1:9" x14ac:dyDescent="0.3">
      <c r="A2524" t="s">
        <v>4222</v>
      </c>
      <c r="B2524" t="s">
        <v>4387</v>
      </c>
      <c r="C2524" t="s">
        <v>13</v>
      </c>
      <c r="D2524" t="s">
        <v>471</v>
      </c>
      <c r="E2524" t="s">
        <v>4422</v>
      </c>
      <c r="F2524" t="s">
        <v>4423</v>
      </c>
      <c r="H2524" t="s">
        <v>17</v>
      </c>
      <c r="I2524" t="s">
        <v>414</v>
      </c>
    </row>
    <row r="2525" spans="1:9" x14ac:dyDescent="0.3">
      <c r="A2525" t="s">
        <v>4222</v>
      </c>
      <c r="B2525" t="s">
        <v>4387</v>
      </c>
      <c r="C2525" t="s">
        <v>13</v>
      </c>
      <c r="D2525" t="s">
        <v>475</v>
      </c>
      <c r="E2525" t="s">
        <v>4424</v>
      </c>
      <c r="F2525" t="s">
        <v>4425</v>
      </c>
      <c r="H2525" t="s">
        <v>17</v>
      </c>
      <c r="I2525" t="s">
        <v>414</v>
      </c>
    </row>
    <row r="2526" spans="1:9" x14ac:dyDescent="0.3">
      <c r="A2526" t="s">
        <v>4222</v>
      </c>
      <c r="B2526" t="s">
        <v>4387</v>
      </c>
      <c r="C2526" t="s">
        <v>13</v>
      </c>
      <c r="D2526" t="s">
        <v>478</v>
      </c>
      <c r="E2526" t="s">
        <v>4426</v>
      </c>
      <c r="F2526" t="s">
        <v>4427</v>
      </c>
      <c r="H2526" t="s">
        <v>17</v>
      </c>
      <c r="I2526" t="s">
        <v>4428</v>
      </c>
    </row>
    <row r="2527" spans="1:9" x14ac:dyDescent="0.3">
      <c r="A2527" t="s">
        <v>4222</v>
      </c>
      <c r="B2527" t="s">
        <v>4387</v>
      </c>
      <c r="C2527" t="s">
        <v>13</v>
      </c>
      <c r="D2527" t="s">
        <v>482</v>
      </c>
      <c r="E2527" t="s">
        <v>4429</v>
      </c>
      <c r="F2527" t="s">
        <v>4204</v>
      </c>
      <c r="H2527" t="s">
        <v>17</v>
      </c>
      <c r="I2527" t="s">
        <v>4430</v>
      </c>
    </row>
    <row r="2528" spans="1:9" x14ac:dyDescent="0.3">
      <c r="A2528" t="s">
        <v>4222</v>
      </c>
      <c r="B2528" t="s">
        <v>4387</v>
      </c>
      <c r="C2528" t="s">
        <v>13</v>
      </c>
      <c r="D2528" t="s">
        <v>504</v>
      </c>
      <c r="E2528" t="s">
        <v>4431</v>
      </c>
      <c r="F2528" t="s">
        <v>824</v>
      </c>
      <c r="H2528" t="s">
        <v>17</v>
      </c>
      <c r="I2528" t="s">
        <v>4432</v>
      </c>
    </row>
    <row r="2529" spans="1:9" x14ac:dyDescent="0.3">
      <c r="A2529" t="s">
        <v>4222</v>
      </c>
      <c r="B2529" t="s">
        <v>4387</v>
      </c>
      <c r="C2529" t="s">
        <v>13</v>
      </c>
      <c r="D2529" t="s">
        <v>507</v>
      </c>
      <c r="E2529" t="s">
        <v>4433</v>
      </c>
      <c r="F2529" t="s">
        <v>4434</v>
      </c>
      <c r="H2529" t="s">
        <v>17</v>
      </c>
      <c r="I2529" t="s">
        <v>4435</v>
      </c>
    </row>
    <row r="2530" spans="1:9" x14ac:dyDescent="0.3">
      <c r="A2530" t="s">
        <v>4222</v>
      </c>
      <c r="B2530" t="s">
        <v>4387</v>
      </c>
      <c r="C2530" t="s">
        <v>13</v>
      </c>
      <c r="D2530" t="s">
        <v>511</v>
      </c>
      <c r="E2530" t="s">
        <v>4436</v>
      </c>
      <c r="F2530" t="s">
        <v>4434</v>
      </c>
      <c r="H2530" t="s">
        <v>17</v>
      </c>
      <c r="I2530" t="s">
        <v>4435</v>
      </c>
    </row>
    <row r="2531" spans="1:9" x14ac:dyDescent="0.3">
      <c r="A2531" t="s">
        <v>4222</v>
      </c>
      <c r="B2531" t="s">
        <v>4387</v>
      </c>
      <c r="C2531" t="s">
        <v>13</v>
      </c>
      <c r="D2531" t="s">
        <v>514</v>
      </c>
      <c r="E2531" t="s">
        <v>4437</v>
      </c>
      <c r="F2531" t="s">
        <v>4434</v>
      </c>
      <c r="H2531" t="s">
        <v>17</v>
      </c>
      <c r="I2531" t="s">
        <v>4435</v>
      </c>
    </row>
    <row r="2532" spans="1:9" x14ac:dyDescent="0.3">
      <c r="A2532" t="s">
        <v>4222</v>
      </c>
      <c r="B2532" t="s">
        <v>4387</v>
      </c>
      <c r="C2532" t="s">
        <v>13</v>
      </c>
      <c r="D2532" t="s">
        <v>518</v>
      </c>
      <c r="E2532" t="s">
        <v>4438</v>
      </c>
      <c r="F2532" t="s">
        <v>4439</v>
      </c>
      <c r="H2532" t="s">
        <v>17</v>
      </c>
      <c r="I2532" t="s">
        <v>4440</v>
      </c>
    </row>
    <row r="2533" spans="1:9" x14ac:dyDescent="0.3">
      <c r="A2533" t="s">
        <v>4222</v>
      </c>
      <c r="B2533" t="s">
        <v>4387</v>
      </c>
      <c r="C2533" t="s">
        <v>13</v>
      </c>
      <c r="D2533" t="s">
        <v>521</v>
      </c>
      <c r="E2533" t="s">
        <v>4441</v>
      </c>
      <c r="F2533" t="s">
        <v>4442</v>
      </c>
      <c r="H2533" t="s">
        <v>17</v>
      </c>
      <c r="I2533" t="s">
        <v>4443</v>
      </c>
    </row>
    <row r="2534" spans="1:9" x14ac:dyDescent="0.3">
      <c r="A2534" t="s">
        <v>4222</v>
      </c>
      <c r="B2534" t="s">
        <v>4387</v>
      </c>
      <c r="C2534" t="s">
        <v>13</v>
      </c>
      <c r="D2534" t="s">
        <v>525</v>
      </c>
      <c r="E2534" t="s">
        <v>4444</v>
      </c>
      <c r="F2534" t="s">
        <v>3990</v>
      </c>
      <c r="H2534" t="s">
        <v>17</v>
      </c>
      <c r="I2534" t="s">
        <v>4445</v>
      </c>
    </row>
    <row r="2535" spans="1:9" x14ac:dyDescent="0.3">
      <c r="A2535" t="s">
        <v>4222</v>
      </c>
      <c r="B2535" t="s">
        <v>4387</v>
      </c>
      <c r="C2535" t="s">
        <v>13</v>
      </c>
      <c r="D2535" t="s">
        <v>528</v>
      </c>
      <c r="E2535" t="s">
        <v>4446</v>
      </c>
      <c r="F2535" t="s">
        <v>4447</v>
      </c>
      <c r="H2535" t="s">
        <v>17</v>
      </c>
      <c r="I2535" t="s">
        <v>4448</v>
      </c>
    </row>
    <row r="2536" spans="1:9" x14ac:dyDescent="0.3">
      <c r="A2536" t="s">
        <v>4222</v>
      </c>
      <c r="B2536" t="s">
        <v>4387</v>
      </c>
      <c r="C2536" t="s">
        <v>13</v>
      </c>
      <c r="D2536" t="s">
        <v>3812</v>
      </c>
      <c r="E2536" t="s">
        <v>4449</v>
      </c>
      <c r="F2536" t="s">
        <v>2944</v>
      </c>
      <c r="H2536" t="s">
        <v>17</v>
      </c>
      <c r="I2536" t="s">
        <v>4007</v>
      </c>
    </row>
    <row r="2537" spans="1:9" x14ac:dyDescent="0.3">
      <c r="A2537" t="s">
        <v>4222</v>
      </c>
      <c r="B2537" t="s">
        <v>4387</v>
      </c>
      <c r="C2537" t="s">
        <v>13</v>
      </c>
      <c r="D2537" t="s">
        <v>1409</v>
      </c>
      <c r="E2537" t="s">
        <v>4450</v>
      </c>
      <c r="F2537" t="s">
        <v>2945</v>
      </c>
      <c r="H2537" t="s">
        <v>17</v>
      </c>
    </row>
    <row r="2538" spans="1:9" x14ac:dyDescent="0.3">
      <c r="A2538" t="s">
        <v>4451</v>
      </c>
      <c r="E2538" t="s">
        <v>10</v>
      </c>
      <c r="F2538" t="s">
        <v>4452</v>
      </c>
    </row>
    <row r="2539" spans="1:9" x14ac:dyDescent="0.3">
      <c r="A2539" t="s">
        <v>4451</v>
      </c>
      <c r="C2539" t="s">
        <v>13</v>
      </c>
      <c r="D2539" t="s">
        <v>1517</v>
      </c>
      <c r="E2539" t="s">
        <v>1742</v>
      </c>
      <c r="F2539" t="s">
        <v>3861</v>
      </c>
      <c r="H2539" t="s">
        <v>17</v>
      </c>
    </row>
    <row r="2540" spans="1:9" x14ac:dyDescent="0.3">
      <c r="A2540" t="s">
        <v>4451</v>
      </c>
      <c r="C2540" t="s">
        <v>13</v>
      </c>
      <c r="D2540" t="s">
        <v>996</v>
      </c>
      <c r="E2540" t="s">
        <v>1744</v>
      </c>
      <c r="F2540" t="s">
        <v>4453</v>
      </c>
      <c r="H2540" t="s">
        <v>17</v>
      </c>
      <c r="I2540" t="s">
        <v>4454</v>
      </c>
    </row>
    <row r="2541" spans="1:9" x14ac:dyDescent="0.3">
      <c r="A2541" t="s">
        <v>4451</v>
      </c>
      <c r="C2541" t="s">
        <v>13</v>
      </c>
      <c r="D2541" t="s">
        <v>1001</v>
      </c>
      <c r="E2541" t="s">
        <v>1747</v>
      </c>
      <c r="F2541" t="s">
        <v>1706</v>
      </c>
      <c r="H2541" t="s">
        <v>17</v>
      </c>
      <c r="I2541" t="s">
        <v>4455</v>
      </c>
    </row>
    <row r="2542" spans="1:9" x14ac:dyDescent="0.3">
      <c r="A2542" t="s">
        <v>4451</v>
      </c>
      <c r="C2542" t="s">
        <v>13</v>
      </c>
      <c r="D2542" t="s">
        <v>1942</v>
      </c>
      <c r="E2542" t="s">
        <v>1750</v>
      </c>
      <c r="F2542" t="s">
        <v>2672</v>
      </c>
      <c r="H2542" t="s">
        <v>17</v>
      </c>
      <c r="I2542" t="s">
        <v>4456</v>
      </c>
    </row>
    <row r="2543" spans="1:9" x14ac:dyDescent="0.3">
      <c r="A2543" t="s">
        <v>4451</v>
      </c>
      <c r="C2543" t="s">
        <v>13</v>
      </c>
      <c r="D2543" t="s">
        <v>22</v>
      </c>
      <c r="E2543" t="s">
        <v>1752</v>
      </c>
      <c r="F2543" t="s">
        <v>4457</v>
      </c>
      <c r="H2543" t="s">
        <v>17</v>
      </c>
      <c r="I2543" t="s">
        <v>4458</v>
      </c>
    </row>
    <row r="2544" spans="1:9" x14ac:dyDescent="0.3">
      <c r="A2544" t="s">
        <v>4451</v>
      </c>
      <c r="C2544" t="s">
        <v>13</v>
      </c>
      <c r="D2544" t="s">
        <v>27</v>
      </c>
      <c r="E2544" t="s">
        <v>1754</v>
      </c>
      <c r="F2544" t="s">
        <v>4459</v>
      </c>
      <c r="H2544" t="s">
        <v>17</v>
      </c>
      <c r="I2544" t="s">
        <v>4460</v>
      </c>
    </row>
    <row r="2545" spans="1:9" x14ac:dyDescent="0.3">
      <c r="A2545" t="s">
        <v>4451</v>
      </c>
      <c r="C2545" t="s">
        <v>13</v>
      </c>
      <c r="D2545" t="s">
        <v>1014</v>
      </c>
      <c r="E2545" t="s">
        <v>1757</v>
      </c>
      <c r="F2545" t="s">
        <v>4014</v>
      </c>
      <c r="H2545" t="s">
        <v>17</v>
      </c>
      <c r="I2545" t="s">
        <v>4461</v>
      </c>
    </row>
    <row r="2546" spans="1:9" x14ac:dyDescent="0.3">
      <c r="A2546" t="s">
        <v>4451</v>
      </c>
      <c r="C2546" t="s">
        <v>13</v>
      </c>
      <c r="D2546" t="s">
        <v>1017</v>
      </c>
      <c r="E2546" t="s">
        <v>1760</v>
      </c>
      <c r="F2546" t="s">
        <v>4462</v>
      </c>
      <c r="H2546" t="s">
        <v>17</v>
      </c>
      <c r="I2546" t="s">
        <v>4463</v>
      </c>
    </row>
    <row r="2547" spans="1:9" x14ac:dyDescent="0.3">
      <c r="A2547" t="s">
        <v>4451</v>
      </c>
      <c r="C2547" t="s">
        <v>13</v>
      </c>
      <c r="D2547" t="s">
        <v>2684</v>
      </c>
      <c r="E2547" t="s">
        <v>1763</v>
      </c>
      <c r="F2547" t="s">
        <v>4016</v>
      </c>
      <c r="H2547" t="s">
        <v>17</v>
      </c>
      <c r="I2547" t="s">
        <v>4464</v>
      </c>
    </row>
    <row r="2548" spans="1:9" x14ac:dyDescent="0.3">
      <c r="A2548" t="s">
        <v>4451</v>
      </c>
      <c r="C2548" t="s">
        <v>13</v>
      </c>
      <c r="D2548" t="s">
        <v>45</v>
      </c>
      <c r="E2548" t="s">
        <v>1765</v>
      </c>
      <c r="F2548" t="s">
        <v>4465</v>
      </c>
      <c r="H2548" t="s">
        <v>17</v>
      </c>
      <c r="I2548" t="s">
        <v>4466</v>
      </c>
    </row>
    <row r="2549" spans="1:9" x14ac:dyDescent="0.3">
      <c r="A2549" t="s">
        <v>4451</v>
      </c>
      <c r="C2549" t="s">
        <v>13</v>
      </c>
      <c r="D2549" t="s">
        <v>50</v>
      </c>
      <c r="E2549" t="s">
        <v>1768</v>
      </c>
      <c r="F2549" t="s">
        <v>4467</v>
      </c>
      <c r="H2549" t="s">
        <v>17</v>
      </c>
      <c r="I2549" t="s">
        <v>4468</v>
      </c>
    </row>
    <row r="2550" spans="1:9" x14ac:dyDescent="0.3">
      <c r="A2550" t="s">
        <v>4451</v>
      </c>
      <c r="C2550" t="s">
        <v>13</v>
      </c>
      <c r="D2550" t="s">
        <v>53</v>
      </c>
      <c r="E2550" t="s">
        <v>1771</v>
      </c>
      <c r="F2550" t="s">
        <v>4469</v>
      </c>
      <c r="H2550" t="s">
        <v>17</v>
      </c>
      <c r="I2550" t="s">
        <v>4461</v>
      </c>
    </row>
    <row r="2551" spans="1:9" x14ac:dyDescent="0.3">
      <c r="A2551" t="s">
        <v>4451</v>
      </c>
      <c r="C2551" t="s">
        <v>13</v>
      </c>
      <c r="D2551" t="s">
        <v>56</v>
      </c>
      <c r="E2551" t="s">
        <v>1775</v>
      </c>
      <c r="F2551" t="s">
        <v>4462</v>
      </c>
      <c r="H2551" t="s">
        <v>17</v>
      </c>
      <c r="I2551" t="s">
        <v>4470</v>
      </c>
    </row>
    <row r="2552" spans="1:9" x14ac:dyDescent="0.3">
      <c r="A2552" t="s">
        <v>4451</v>
      </c>
      <c r="C2552" t="s">
        <v>13</v>
      </c>
      <c r="D2552" t="s">
        <v>61</v>
      </c>
      <c r="E2552" t="s">
        <v>1777</v>
      </c>
      <c r="F2552" t="s">
        <v>4471</v>
      </c>
      <c r="H2552" t="s">
        <v>17</v>
      </c>
      <c r="I2552" t="s">
        <v>4466</v>
      </c>
    </row>
    <row r="2553" spans="1:9" x14ac:dyDescent="0.3">
      <c r="A2553" t="s">
        <v>4451</v>
      </c>
      <c r="C2553" t="s">
        <v>13</v>
      </c>
      <c r="D2553" t="s">
        <v>1039</v>
      </c>
      <c r="E2553" t="s">
        <v>1779</v>
      </c>
      <c r="F2553" t="s">
        <v>4472</v>
      </c>
      <c r="H2553" t="s">
        <v>17</v>
      </c>
      <c r="I2553" t="s">
        <v>4466</v>
      </c>
    </row>
    <row r="2554" spans="1:9" x14ac:dyDescent="0.3">
      <c r="A2554" t="s">
        <v>4451</v>
      </c>
      <c r="C2554" t="s">
        <v>13</v>
      </c>
      <c r="D2554" t="s">
        <v>2168</v>
      </c>
      <c r="E2554" t="s">
        <v>1781</v>
      </c>
      <c r="F2554" t="s">
        <v>4473</v>
      </c>
      <c r="H2554" t="s">
        <v>17</v>
      </c>
      <c r="I2554" t="s">
        <v>4474</v>
      </c>
    </row>
    <row r="2555" spans="1:9" x14ac:dyDescent="0.3">
      <c r="A2555" t="s">
        <v>4451</v>
      </c>
      <c r="C2555" t="s">
        <v>13</v>
      </c>
      <c r="D2555" t="s">
        <v>1050</v>
      </c>
      <c r="E2555" t="s">
        <v>1784</v>
      </c>
      <c r="F2555" t="s">
        <v>4475</v>
      </c>
      <c r="H2555" t="s">
        <v>17</v>
      </c>
      <c r="I2555" t="s">
        <v>4476</v>
      </c>
    </row>
    <row r="2556" spans="1:9" x14ac:dyDescent="0.3">
      <c r="A2556" t="s">
        <v>4451</v>
      </c>
      <c r="C2556" t="s">
        <v>13</v>
      </c>
      <c r="D2556" t="s">
        <v>1055</v>
      </c>
      <c r="E2556" t="s">
        <v>1787</v>
      </c>
      <c r="F2556" t="s">
        <v>4477</v>
      </c>
      <c r="H2556" t="s">
        <v>17</v>
      </c>
      <c r="I2556" t="s">
        <v>4466</v>
      </c>
    </row>
    <row r="2557" spans="1:9" x14ac:dyDescent="0.3">
      <c r="A2557" t="s">
        <v>4451</v>
      </c>
      <c r="C2557" t="s">
        <v>13</v>
      </c>
      <c r="D2557" t="s">
        <v>80</v>
      </c>
      <c r="E2557" t="s">
        <v>1789</v>
      </c>
      <c r="F2557" t="s">
        <v>4478</v>
      </c>
      <c r="H2557" t="s">
        <v>17</v>
      </c>
      <c r="I2557" t="s">
        <v>4466</v>
      </c>
    </row>
    <row r="2558" spans="1:9" x14ac:dyDescent="0.3">
      <c r="A2558" t="s">
        <v>4451</v>
      </c>
      <c r="C2558" t="s">
        <v>13</v>
      </c>
      <c r="D2558" t="s">
        <v>85</v>
      </c>
      <c r="E2558" t="s">
        <v>1793</v>
      </c>
      <c r="F2558" t="s">
        <v>4479</v>
      </c>
      <c r="H2558" t="s">
        <v>17</v>
      </c>
      <c r="I2558" t="s">
        <v>4480</v>
      </c>
    </row>
    <row r="2559" spans="1:9" x14ac:dyDescent="0.3">
      <c r="A2559" t="s">
        <v>4451</v>
      </c>
      <c r="C2559" t="s">
        <v>13</v>
      </c>
      <c r="D2559" t="s">
        <v>90</v>
      </c>
      <c r="E2559" t="s">
        <v>1795</v>
      </c>
      <c r="F2559" t="s">
        <v>4031</v>
      </c>
      <c r="H2559" t="s">
        <v>17</v>
      </c>
      <c r="I2559" t="s">
        <v>4461</v>
      </c>
    </row>
    <row r="2560" spans="1:9" x14ac:dyDescent="0.3">
      <c r="A2560" t="s">
        <v>4451</v>
      </c>
      <c r="C2560" t="s">
        <v>13</v>
      </c>
      <c r="D2560" t="s">
        <v>95</v>
      </c>
      <c r="E2560" t="s">
        <v>1798</v>
      </c>
      <c r="F2560" t="s">
        <v>4462</v>
      </c>
      <c r="H2560" t="s">
        <v>17</v>
      </c>
      <c r="I2560" t="s">
        <v>4463</v>
      </c>
    </row>
    <row r="2561" spans="1:9" x14ac:dyDescent="0.3">
      <c r="A2561" t="s">
        <v>4451</v>
      </c>
      <c r="C2561" t="s">
        <v>13</v>
      </c>
      <c r="D2561" t="s">
        <v>100</v>
      </c>
      <c r="E2561" t="s">
        <v>1801</v>
      </c>
      <c r="F2561" t="s">
        <v>4481</v>
      </c>
      <c r="H2561" t="s">
        <v>17</v>
      </c>
      <c r="I2561" t="s">
        <v>4466</v>
      </c>
    </row>
    <row r="2562" spans="1:9" x14ac:dyDescent="0.3">
      <c r="A2562" t="s">
        <v>4451</v>
      </c>
      <c r="C2562" t="s">
        <v>13</v>
      </c>
      <c r="D2562" t="s">
        <v>106</v>
      </c>
      <c r="E2562" t="s">
        <v>1803</v>
      </c>
      <c r="F2562" t="s">
        <v>4482</v>
      </c>
      <c r="H2562" t="s">
        <v>17</v>
      </c>
      <c r="I2562" t="s">
        <v>4466</v>
      </c>
    </row>
    <row r="2563" spans="1:9" x14ac:dyDescent="0.3">
      <c r="A2563" t="s">
        <v>4451</v>
      </c>
      <c r="C2563" t="s">
        <v>13</v>
      </c>
      <c r="D2563" t="s">
        <v>1072</v>
      </c>
      <c r="E2563" t="s">
        <v>1806</v>
      </c>
      <c r="F2563" t="s">
        <v>4483</v>
      </c>
      <c r="H2563" t="s">
        <v>17</v>
      </c>
      <c r="I2563" t="s">
        <v>4474</v>
      </c>
    </row>
    <row r="2564" spans="1:9" x14ac:dyDescent="0.3">
      <c r="A2564" t="s">
        <v>4451</v>
      </c>
      <c r="C2564" t="s">
        <v>13</v>
      </c>
      <c r="D2564" t="s">
        <v>117</v>
      </c>
      <c r="E2564" t="s">
        <v>1808</v>
      </c>
      <c r="F2564" t="s">
        <v>4484</v>
      </c>
      <c r="H2564" t="s">
        <v>17</v>
      </c>
      <c r="I2564" t="s">
        <v>4485</v>
      </c>
    </row>
    <row r="2565" spans="1:9" x14ac:dyDescent="0.3">
      <c r="A2565" t="s">
        <v>4451</v>
      </c>
      <c r="C2565" t="s">
        <v>13</v>
      </c>
      <c r="D2565" t="s">
        <v>121</v>
      </c>
      <c r="E2565" t="s">
        <v>1811</v>
      </c>
      <c r="F2565" t="s">
        <v>4486</v>
      </c>
      <c r="H2565" t="s">
        <v>17</v>
      </c>
      <c r="I2565" t="s">
        <v>4487</v>
      </c>
    </row>
    <row r="2566" spans="1:9" x14ac:dyDescent="0.3">
      <c r="A2566" t="s">
        <v>4451</v>
      </c>
      <c r="C2566" t="s">
        <v>13</v>
      </c>
      <c r="D2566" t="s">
        <v>126</v>
      </c>
      <c r="E2566" t="s">
        <v>1814</v>
      </c>
      <c r="F2566" t="s">
        <v>4488</v>
      </c>
      <c r="H2566" t="s">
        <v>17</v>
      </c>
      <c r="I2566" t="s">
        <v>4466</v>
      </c>
    </row>
    <row r="2567" spans="1:9" x14ac:dyDescent="0.3">
      <c r="A2567" t="s">
        <v>4451</v>
      </c>
      <c r="C2567" t="s">
        <v>13</v>
      </c>
      <c r="D2567" t="s">
        <v>129</v>
      </c>
      <c r="E2567" t="s">
        <v>1818</v>
      </c>
      <c r="F2567" t="s">
        <v>4489</v>
      </c>
      <c r="H2567" t="s">
        <v>17</v>
      </c>
      <c r="I2567" t="s">
        <v>4466</v>
      </c>
    </row>
    <row r="2568" spans="1:9" x14ac:dyDescent="0.3">
      <c r="A2568" t="s">
        <v>4451</v>
      </c>
      <c r="C2568" t="s">
        <v>13</v>
      </c>
      <c r="D2568" t="s">
        <v>132</v>
      </c>
      <c r="E2568" t="s">
        <v>1820</v>
      </c>
      <c r="F2568" t="s">
        <v>4490</v>
      </c>
      <c r="H2568" t="s">
        <v>17</v>
      </c>
      <c r="I2568" t="s">
        <v>4491</v>
      </c>
    </row>
    <row r="2569" spans="1:9" x14ac:dyDescent="0.3">
      <c r="A2569" t="s">
        <v>4451</v>
      </c>
      <c r="C2569" t="s">
        <v>13</v>
      </c>
      <c r="D2569" t="s">
        <v>135</v>
      </c>
      <c r="E2569" t="s">
        <v>1822</v>
      </c>
      <c r="F2569" t="s">
        <v>4492</v>
      </c>
      <c r="H2569" t="s">
        <v>17</v>
      </c>
      <c r="I2569" t="s">
        <v>4491</v>
      </c>
    </row>
    <row r="2570" spans="1:9" x14ac:dyDescent="0.3">
      <c r="A2570" t="s">
        <v>4451</v>
      </c>
      <c r="C2570" t="s">
        <v>13</v>
      </c>
      <c r="D2570" t="s">
        <v>138</v>
      </c>
      <c r="E2570" t="s">
        <v>1824</v>
      </c>
      <c r="F2570" t="s">
        <v>4493</v>
      </c>
      <c r="H2570" t="s">
        <v>17</v>
      </c>
      <c r="I2570" t="s">
        <v>4466</v>
      </c>
    </row>
    <row r="2571" spans="1:9" x14ac:dyDescent="0.3">
      <c r="A2571" t="s">
        <v>4451</v>
      </c>
      <c r="C2571" t="s">
        <v>13</v>
      </c>
      <c r="D2571" t="s">
        <v>141</v>
      </c>
      <c r="E2571" t="s">
        <v>1826</v>
      </c>
      <c r="F2571" t="s">
        <v>4494</v>
      </c>
      <c r="H2571" t="s">
        <v>17</v>
      </c>
      <c r="I2571" t="s">
        <v>4466</v>
      </c>
    </row>
    <row r="2572" spans="1:9" x14ac:dyDescent="0.3">
      <c r="A2572" t="s">
        <v>4451</v>
      </c>
      <c r="C2572" t="s">
        <v>13</v>
      </c>
      <c r="D2572" t="s">
        <v>144</v>
      </c>
      <c r="E2572" t="s">
        <v>1828</v>
      </c>
      <c r="F2572" t="s">
        <v>4495</v>
      </c>
      <c r="H2572" t="s">
        <v>17</v>
      </c>
      <c r="I2572" t="s">
        <v>4496</v>
      </c>
    </row>
    <row r="2573" spans="1:9" x14ac:dyDescent="0.3">
      <c r="A2573" t="s">
        <v>4451</v>
      </c>
      <c r="C2573" t="s">
        <v>13</v>
      </c>
      <c r="D2573" t="s">
        <v>147</v>
      </c>
      <c r="E2573" t="s">
        <v>1831</v>
      </c>
      <c r="F2573" t="s">
        <v>4497</v>
      </c>
      <c r="H2573" t="s">
        <v>17</v>
      </c>
      <c r="I2573" t="s">
        <v>4466</v>
      </c>
    </row>
    <row r="2574" spans="1:9" x14ac:dyDescent="0.3">
      <c r="A2574" t="s">
        <v>4451</v>
      </c>
      <c r="C2574" t="s">
        <v>13</v>
      </c>
      <c r="D2574" t="s">
        <v>152</v>
      </c>
      <c r="E2574" t="s">
        <v>1833</v>
      </c>
      <c r="F2574" t="s">
        <v>4498</v>
      </c>
      <c r="H2574" t="s">
        <v>17</v>
      </c>
      <c r="I2574" t="s">
        <v>4499</v>
      </c>
    </row>
    <row r="2575" spans="1:9" x14ac:dyDescent="0.3">
      <c r="A2575" t="s">
        <v>4451</v>
      </c>
      <c r="C2575" t="s">
        <v>13</v>
      </c>
      <c r="D2575" t="s">
        <v>157</v>
      </c>
      <c r="E2575" t="s">
        <v>1836</v>
      </c>
      <c r="F2575" t="s">
        <v>4500</v>
      </c>
      <c r="H2575" t="s">
        <v>17</v>
      </c>
      <c r="I2575" t="s">
        <v>4501</v>
      </c>
    </row>
    <row r="2576" spans="1:9" x14ac:dyDescent="0.3">
      <c r="A2576" t="s">
        <v>4451</v>
      </c>
      <c r="B2576" t="s">
        <v>4502</v>
      </c>
      <c r="C2576" t="s">
        <v>13</v>
      </c>
      <c r="D2576" t="s">
        <v>162</v>
      </c>
      <c r="E2576" t="s">
        <v>1840</v>
      </c>
      <c r="F2576" t="s">
        <v>4503</v>
      </c>
      <c r="H2576" t="s">
        <v>17</v>
      </c>
      <c r="I2576" t="s">
        <v>4466</v>
      </c>
    </row>
    <row r="2577" spans="1:9" x14ac:dyDescent="0.3">
      <c r="A2577" t="s">
        <v>4451</v>
      </c>
      <c r="B2577" t="s">
        <v>4502</v>
      </c>
      <c r="C2577" t="s">
        <v>13</v>
      </c>
      <c r="D2577" t="s">
        <v>167</v>
      </c>
      <c r="E2577" t="s">
        <v>1843</v>
      </c>
      <c r="F2577" t="s">
        <v>4063</v>
      </c>
      <c r="H2577" t="s">
        <v>17</v>
      </c>
      <c r="I2577" t="s">
        <v>4466</v>
      </c>
    </row>
    <row r="2578" spans="1:9" x14ac:dyDescent="0.3">
      <c r="A2578" t="s">
        <v>4451</v>
      </c>
      <c r="B2578" t="s">
        <v>4502</v>
      </c>
      <c r="C2578" t="s">
        <v>13</v>
      </c>
      <c r="D2578" t="s">
        <v>172</v>
      </c>
      <c r="E2578" t="s">
        <v>1847</v>
      </c>
      <c r="F2578" t="s">
        <v>4504</v>
      </c>
      <c r="H2578" t="s">
        <v>17</v>
      </c>
      <c r="I2578" t="s">
        <v>4466</v>
      </c>
    </row>
    <row r="2579" spans="1:9" x14ac:dyDescent="0.3">
      <c r="A2579" t="s">
        <v>4451</v>
      </c>
      <c r="B2579" t="s">
        <v>4502</v>
      </c>
      <c r="C2579" t="s">
        <v>13</v>
      </c>
      <c r="D2579" t="s">
        <v>177</v>
      </c>
      <c r="E2579" t="s">
        <v>1849</v>
      </c>
      <c r="F2579" t="s">
        <v>4064</v>
      </c>
      <c r="H2579" t="s">
        <v>17</v>
      </c>
      <c r="I2579" t="s">
        <v>4466</v>
      </c>
    </row>
    <row r="2580" spans="1:9" x14ac:dyDescent="0.3">
      <c r="A2580" t="s">
        <v>4451</v>
      </c>
      <c r="B2580" t="s">
        <v>4502</v>
      </c>
      <c r="C2580" t="s">
        <v>13</v>
      </c>
      <c r="D2580" t="s">
        <v>182</v>
      </c>
      <c r="E2580" t="s">
        <v>1851</v>
      </c>
      <c r="F2580" t="s">
        <v>4505</v>
      </c>
      <c r="H2580" t="s">
        <v>17</v>
      </c>
      <c r="I2580" t="s">
        <v>4466</v>
      </c>
    </row>
    <row r="2581" spans="1:9" x14ac:dyDescent="0.3">
      <c r="A2581" t="s">
        <v>4451</v>
      </c>
      <c r="B2581" t="s">
        <v>4502</v>
      </c>
      <c r="C2581" t="s">
        <v>13</v>
      </c>
      <c r="D2581" t="s">
        <v>187</v>
      </c>
      <c r="E2581" t="s">
        <v>1853</v>
      </c>
      <c r="F2581" t="s">
        <v>4066</v>
      </c>
      <c r="H2581" t="s">
        <v>17</v>
      </c>
      <c r="I2581" t="s">
        <v>4466</v>
      </c>
    </row>
    <row r="2582" spans="1:9" x14ac:dyDescent="0.3">
      <c r="A2582" t="s">
        <v>4451</v>
      </c>
      <c r="B2582" t="s">
        <v>4502</v>
      </c>
      <c r="C2582" t="s">
        <v>13</v>
      </c>
      <c r="D2582" t="s">
        <v>193</v>
      </c>
      <c r="E2582" t="s">
        <v>1855</v>
      </c>
      <c r="F2582" t="s">
        <v>4506</v>
      </c>
      <c r="H2582" t="s">
        <v>17</v>
      </c>
      <c r="I2582" t="s">
        <v>4466</v>
      </c>
    </row>
    <row r="2583" spans="1:9" x14ac:dyDescent="0.3">
      <c r="A2583" t="s">
        <v>4451</v>
      </c>
      <c r="B2583" t="s">
        <v>4502</v>
      </c>
      <c r="C2583" t="s">
        <v>13</v>
      </c>
      <c r="D2583" t="s">
        <v>198</v>
      </c>
      <c r="E2583" t="s">
        <v>1857</v>
      </c>
      <c r="F2583" t="s">
        <v>4507</v>
      </c>
      <c r="H2583" t="s">
        <v>17</v>
      </c>
      <c r="I2583" t="s">
        <v>4466</v>
      </c>
    </row>
    <row r="2584" spans="1:9" x14ac:dyDescent="0.3">
      <c r="A2584" t="s">
        <v>4451</v>
      </c>
      <c r="B2584" t="s">
        <v>4502</v>
      </c>
      <c r="C2584" t="s">
        <v>13</v>
      </c>
      <c r="D2584" t="s">
        <v>202</v>
      </c>
      <c r="E2584" t="s">
        <v>1859</v>
      </c>
      <c r="F2584" t="s">
        <v>4067</v>
      </c>
      <c r="H2584" t="s">
        <v>17</v>
      </c>
      <c r="I2584" t="s">
        <v>4466</v>
      </c>
    </row>
    <row r="2585" spans="1:9" x14ac:dyDescent="0.3">
      <c r="A2585" t="s">
        <v>4451</v>
      </c>
      <c r="B2585" t="s">
        <v>4502</v>
      </c>
      <c r="C2585" t="s">
        <v>13</v>
      </c>
      <c r="D2585" t="s">
        <v>206</v>
      </c>
      <c r="E2585" t="s">
        <v>1861</v>
      </c>
      <c r="F2585" t="s">
        <v>4068</v>
      </c>
      <c r="H2585" t="s">
        <v>17</v>
      </c>
      <c r="I2585" t="s">
        <v>4466</v>
      </c>
    </row>
    <row r="2586" spans="1:9" x14ac:dyDescent="0.3">
      <c r="A2586" t="s">
        <v>4451</v>
      </c>
      <c r="B2586" t="s">
        <v>4502</v>
      </c>
      <c r="C2586" t="s">
        <v>13</v>
      </c>
      <c r="D2586" t="s">
        <v>210</v>
      </c>
      <c r="E2586" t="s">
        <v>1863</v>
      </c>
      <c r="F2586" t="s">
        <v>4508</v>
      </c>
      <c r="H2586" t="s">
        <v>17</v>
      </c>
      <c r="I2586" t="s">
        <v>4466</v>
      </c>
    </row>
    <row r="2587" spans="1:9" x14ac:dyDescent="0.3">
      <c r="A2587" t="s">
        <v>4451</v>
      </c>
      <c r="B2587" t="s">
        <v>4502</v>
      </c>
      <c r="C2587" t="s">
        <v>13</v>
      </c>
      <c r="D2587" t="s">
        <v>214</v>
      </c>
      <c r="E2587" t="s">
        <v>1865</v>
      </c>
      <c r="F2587" t="s">
        <v>4509</v>
      </c>
      <c r="H2587" t="s">
        <v>17</v>
      </c>
      <c r="I2587" t="s">
        <v>4466</v>
      </c>
    </row>
    <row r="2588" spans="1:9" x14ac:dyDescent="0.3">
      <c r="A2588" t="s">
        <v>4451</v>
      </c>
      <c r="B2588" t="s">
        <v>4502</v>
      </c>
      <c r="C2588" t="s">
        <v>13</v>
      </c>
      <c r="D2588" t="s">
        <v>218</v>
      </c>
      <c r="E2588" t="s">
        <v>1867</v>
      </c>
      <c r="F2588" t="s">
        <v>4510</v>
      </c>
      <c r="H2588" t="s">
        <v>17</v>
      </c>
      <c r="I2588" t="s">
        <v>4466</v>
      </c>
    </row>
    <row r="2589" spans="1:9" x14ac:dyDescent="0.3">
      <c r="A2589" t="s">
        <v>4451</v>
      </c>
      <c r="B2589" t="s">
        <v>4502</v>
      </c>
      <c r="C2589" t="s">
        <v>13</v>
      </c>
      <c r="D2589" t="s">
        <v>223</v>
      </c>
      <c r="E2589" t="s">
        <v>1869</v>
      </c>
      <c r="F2589" t="s">
        <v>4511</v>
      </c>
      <c r="H2589" t="s">
        <v>17</v>
      </c>
      <c r="I2589" t="s">
        <v>4466</v>
      </c>
    </row>
    <row r="2590" spans="1:9" x14ac:dyDescent="0.3">
      <c r="A2590" t="s">
        <v>4451</v>
      </c>
      <c r="B2590" t="s">
        <v>4072</v>
      </c>
      <c r="C2590" t="s">
        <v>13</v>
      </c>
      <c r="D2590" t="s">
        <v>228</v>
      </c>
      <c r="E2590" t="s">
        <v>1873</v>
      </c>
      <c r="F2590" t="s">
        <v>4073</v>
      </c>
      <c r="H2590" t="s">
        <v>17</v>
      </c>
      <c r="I2590" t="s">
        <v>4466</v>
      </c>
    </row>
    <row r="2591" spans="1:9" x14ac:dyDescent="0.3">
      <c r="A2591" t="s">
        <v>4451</v>
      </c>
      <c r="B2591" t="s">
        <v>4072</v>
      </c>
      <c r="C2591" t="s">
        <v>13</v>
      </c>
      <c r="D2591" t="s">
        <v>233</v>
      </c>
      <c r="E2591" t="s">
        <v>1875</v>
      </c>
      <c r="F2591" t="s">
        <v>4074</v>
      </c>
      <c r="H2591" t="s">
        <v>17</v>
      </c>
      <c r="I2591" t="s">
        <v>4512</v>
      </c>
    </row>
    <row r="2592" spans="1:9" x14ac:dyDescent="0.3">
      <c r="A2592" t="s">
        <v>4451</v>
      </c>
      <c r="B2592" t="s">
        <v>4072</v>
      </c>
      <c r="C2592" t="s">
        <v>13</v>
      </c>
      <c r="D2592" t="s">
        <v>236</v>
      </c>
      <c r="E2592" t="s">
        <v>1878</v>
      </c>
      <c r="F2592" t="s">
        <v>4513</v>
      </c>
      <c r="H2592" t="s">
        <v>17</v>
      </c>
      <c r="I2592" t="s">
        <v>4512</v>
      </c>
    </row>
    <row r="2593" spans="1:9" x14ac:dyDescent="0.3">
      <c r="A2593" t="s">
        <v>4451</v>
      </c>
      <c r="B2593" t="s">
        <v>4072</v>
      </c>
      <c r="C2593" t="s">
        <v>13</v>
      </c>
      <c r="D2593" t="s">
        <v>239</v>
      </c>
      <c r="E2593" t="s">
        <v>1882</v>
      </c>
      <c r="F2593" t="s">
        <v>4076</v>
      </c>
      <c r="H2593" t="s">
        <v>17</v>
      </c>
      <c r="I2593" t="s">
        <v>4466</v>
      </c>
    </row>
    <row r="2594" spans="1:9" x14ac:dyDescent="0.3">
      <c r="A2594" t="s">
        <v>4451</v>
      </c>
      <c r="B2594" t="s">
        <v>4072</v>
      </c>
      <c r="C2594" t="s">
        <v>13</v>
      </c>
      <c r="D2594" t="s">
        <v>1881</v>
      </c>
      <c r="E2594" t="s">
        <v>1886</v>
      </c>
      <c r="F2594" t="s">
        <v>4514</v>
      </c>
      <c r="H2594" t="s">
        <v>17</v>
      </c>
      <c r="I2594" t="s">
        <v>4466</v>
      </c>
    </row>
    <row r="2595" spans="1:9" x14ac:dyDescent="0.3">
      <c r="A2595" t="s">
        <v>4451</v>
      </c>
      <c r="B2595" t="s">
        <v>4072</v>
      </c>
      <c r="C2595" t="s">
        <v>13</v>
      </c>
      <c r="D2595" t="s">
        <v>1885</v>
      </c>
      <c r="E2595" t="s">
        <v>1889</v>
      </c>
      <c r="F2595" t="s">
        <v>4515</v>
      </c>
      <c r="H2595" t="s">
        <v>17</v>
      </c>
      <c r="I2595" t="s">
        <v>4466</v>
      </c>
    </row>
    <row r="2596" spans="1:9" x14ac:dyDescent="0.3">
      <c r="A2596" t="s">
        <v>4451</v>
      </c>
      <c r="B2596" t="s">
        <v>4072</v>
      </c>
      <c r="C2596" t="s">
        <v>13</v>
      </c>
      <c r="D2596" t="s">
        <v>1588</v>
      </c>
      <c r="E2596" t="s">
        <v>1893</v>
      </c>
      <c r="F2596" t="s">
        <v>4516</v>
      </c>
      <c r="H2596" t="s">
        <v>17</v>
      </c>
      <c r="I2596" t="s">
        <v>4466</v>
      </c>
    </row>
    <row r="2597" spans="1:9" x14ac:dyDescent="0.3">
      <c r="A2597" t="s">
        <v>4451</v>
      </c>
      <c r="B2597" t="s">
        <v>4072</v>
      </c>
      <c r="C2597" t="s">
        <v>13</v>
      </c>
      <c r="D2597" t="s">
        <v>1892</v>
      </c>
      <c r="E2597" t="s">
        <v>1896</v>
      </c>
      <c r="F2597" t="s">
        <v>4517</v>
      </c>
      <c r="H2597" t="s">
        <v>17</v>
      </c>
      <c r="I2597" t="s">
        <v>4466</v>
      </c>
    </row>
    <row r="2598" spans="1:9" x14ac:dyDescent="0.3">
      <c r="A2598" t="s">
        <v>4451</v>
      </c>
      <c r="B2598" t="s">
        <v>4072</v>
      </c>
      <c r="C2598" t="s">
        <v>13</v>
      </c>
      <c r="D2598" t="s">
        <v>1146</v>
      </c>
      <c r="E2598" t="s">
        <v>1898</v>
      </c>
      <c r="F2598" t="s">
        <v>4518</v>
      </c>
      <c r="H2598" t="s">
        <v>17</v>
      </c>
      <c r="I2598" t="s">
        <v>4466</v>
      </c>
    </row>
    <row r="2599" spans="1:9" x14ac:dyDescent="0.3">
      <c r="A2599" t="s">
        <v>4451</v>
      </c>
      <c r="B2599" t="s">
        <v>4072</v>
      </c>
      <c r="C2599" t="s">
        <v>13</v>
      </c>
      <c r="D2599" t="s">
        <v>1150</v>
      </c>
      <c r="E2599" t="s">
        <v>1901</v>
      </c>
      <c r="F2599" t="s">
        <v>4079</v>
      </c>
      <c r="H2599" t="s">
        <v>17</v>
      </c>
      <c r="I2599" t="s">
        <v>4466</v>
      </c>
    </row>
    <row r="2600" spans="1:9" x14ac:dyDescent="0.3">
      <c r="A2600" t="s">
        <v>4451</v>
      </c>
      <c r="B2600" t="s">
        <v>4072</v>
      </c>
      <c r="C2600" t="s">
        <v>13</v>
      </c>
      <c r="D2600" t="s">
        <v>1154</v>
      </c>
      <c r="E2600" t="s">
        <v>1903</v>
      </c>
      <c r="F2600" t="s">
        <v>4519</v>
      </c>
      <c r="H2600" t="s">
        <v>17</v>
      </c>
      <c r="I2600" t="s">
        <v>4466</v>
      </c>
    </row>
    <row r="2601" spans="1:9" x14ac:dyDescent="0.3">
      <c r="A2601" t="s">
        <v>4451</v>
      </c>
      <c r="B2601" t="s">
        <v>4072</v>
      </c>
      <c r="C2601" t="s">
        <v>13</v>
      </c>
      <c r="D2601" t="s">
        <v>1158</v>
      </c>
      <c r="E2601" t="s">
        <v>1905</v>
      </c>
      <c r="F2601" t="s">
        <v>4520</v>
      </c>
      <c r="H2601" t="s">
        <v>17</v>
      </c>
      <c r="I2601" t="s">
        <v>4466</v>
      </c>
    </row>
    <row r="2602" spans="1:9" x14ac:dyDescent="0.3">
      <c r="A2602" t="s">
        <v>4451</v>
      </c>
      <c r="B2602" t="s">
        <v>4072</v>
      </c>
      <c r="C2602" t="s">
        <v>13</v>
      </c>
      <c r="D2602" t="s">
        <v>1162</v>
      </c>
      <c r="E2602" t="s">
        <v>1907</v>
      </c>
      <c r="F2602" t="s">
        <v>4521</v>
      </c>
      <c r="H2602" t="s">
        <v>17</v>
      </c>
      <c r="I2602" t="s">
        <v>4466</v>
      </c>
    </row>
    <row r="2603" spans="1:9" x14ac:dyDescent="0.3">
      <c r="A2603" t="s">
        <v>4451</v>
      </c>
      <c r="B2603" t="s">
        <v>4072</v>
      </c>
      <c r="C2603" t="s">
        <v>13</v>
      </c>
      <c r="D2603" t="s">
        <v>1165</v>
      </c>
      <c r="E2603" t="s">
        <v>1909</v>
      </c>
      <c r="F2603" t="s">
        <v>4522</v>
      </c>
      <c r="H2603" t="s">
        <v>17</v>
      </c>
      <c r="I2603" t="s">
        <v>4466</v>
      </c>
    </row>
    <row r="2604" spans="1:9" x14ac:dyDescent="0.3">
      <c r="A2604" t="s">
        <v>4451</v>
      </c>
      <c r="B2604" t="s">
        <v>4072</v>
      </c>
      <c r="C2604" t="s">
        <v>13</v>
      </c>
      <c r="D2604" t="s">
        <v>1168</v>
      </c>
      <c r="E2604" t="s">
        <v>1911</v>
      </c>
      <c r="F2604" t="s">
        <v>4523</v>
      </c>
      <c r="H2604" t="s">
        <v>17</v>
      </c>
      <c r="I2604" t="s">
        <v>4466</v>
      </c>
    </row>
    <row r="2605" spans="1:9" x14ac:dyDescent="0.3">
      <c r="A2605" t="s">
        <v>4451</v>
      </c>
      <c r="B2605" t="s">
        <v>4524</v>
      </c>
      <c r="C2605" t="s">
        <v>13</v>
      </c>
      <c r="D2605" t="s">
        <v>1172</v>
      </c>
      <c r="E2605" t="s">
        <v>1917</v>
      </c>
      <c r="F2605" t="s">
        <v>4525</v>
      </c>
      <c r="H2605" t="s">
        <v>17</v>
      </c>
      <c r="I2605" t="s">
        <v>4466</v>
      </c>
    </row>
    <row r="2606" spans="1:9" x14ac:dyDescent="0.3">
      <c r="A2606" t="s">
        <v>4451</v>
      </c>
      <c r="B2606" t="s">
        <v>4524</v>
      </c>
      <c r="C2606" t="s">
        <v>13</v>
      </c>
      <c r="D2606" t="s">
        <v>1176</v>
      </c>
      <c r="E2606" t="s">
        <v>1919</v>
      </c>
      <c r="F2606" t="s">
        <v>4526</v>
      </c>
      <c r="H2606" t="s">
        <v>17</v>
      </c>
      <c r="I2606" t="s">
        <v>4466</v>
      </c>
    </row>
    <row r="2607" spans="1:9" x14ac:dyDescent="0.3">
      <c r="A2607" t="s">
        <v>4451</v>
      </c>
      <c r="B2607" t="s">
        <v>4524</v>
      </c>
      <c r="C2607" t="s">
        <v>13</v>
      </c>
      <c r="D2607" t="s">
        <v>1179</v>
      </c>
      <c r="E2607" t="s">
        <v>1921</v>
      </c>
      <c r="F2607" t="s">
        <v>4527</v>
      </c>
      <c r="H2607" t="s">
        <v>17</v>
      </c>
      <c r="I2607" t="s">
        <v>4466</v>
      </c>
    </row>
    <row r="2608" spans="1:9" x14ac:dyDescent="0.3">
      <c r="A2608" t="s">
        <v>4451</v>
      </c>
      <c r="B2608" t="s">
        <v>4524</v>
      </c>
      <c r="C2608" t="s">
        <v>13</v>
      </c>
      <c r="D2608" t="s">
        <v>1205</v>
      </c>
      <c r="E2608" t="s">
        <v>1925</v>
      </c>
      <c r="F2608" t="s">
        <v>4528</v>
      </c>
      <c r="H2608" t="s">
        <v>17</v>
      </c>
      <c r="I2608" t="s">
        <v>4466</v>
      </c>
    </row>
    <row r="2609" spans="1:9" x14ac:dyDescent="0.3">
      <c r="A2609" t="s">
        <v>4451</v>
      </c>
      <c r="B2609" t="s">
        <v>4524</v>
      </c>
      <c r="C2609" t="s">
        <v>13</v>
      </c>
      <c r="D2609" t="s">
        <v>1209</v>
      </c>
      <c r="E2609" t="s">
        <v>1927</v>
      </c>
      <c r="F2609" t="s">
        <v>4529</v>
      </c>
      <c r="H2609" t="s">
        <v>17</v>
      </c>
      <c r="I2609" t="s">
        <v>4466</v>
      </c>
    </row>
    <row r="2610" spans="1:9" x14ac:dyDescent="0.3">
      <c r="A2610" t="s">
        <v>4451</v>
      </c>
      <c r="B2610" t="s">
        <v>4524</v>
      </c>
      <c r="C2610" t="s">
        <v>13</v>
      </c>
      <c r="D2610" t="s">
        <v>1213</v>
      </c>
      <c r="E2610" t="s">
        <v>1929</v>
      </c>
      <c r="F2610" t="s">
        <v>4530</v>
      </c>
      <c r="H2610" t="s">
        <v>17</v>
      </c>
      <c r="I2610" t="s">
        <v>4466</v>
      </c>
    </row>
    <row r="2611" spans="1:9" x14ac:dyDescent="0.3">
      <c r="A2611" t="s">
        <v>4451</v>
      </c>
      <c r="B2611" t="s">
        <v>4524</v>
      </c>
      <c r="C2611" t="s">
        <v>13</v>
      </c>
      <c r="D2611" t="s">
        <v>1219</v>
      </c>
      <c r="E2611" t="s">
        <v>1931</v>
      </c>
      <c r="F2611" t="s">
        <v>4531</v>
      </c>
      <c r="H2611" t="s">
        <v>17</v>
      </c>
      <c r="I2611" t="s">
        <v>4466</v>
      </c>
    </row>
    <row r="2612" spans="1:9" x14ac:dyDescent="0.3">
      <c r="A2612" t="s">
        <v>4451</v>
      </c>
      <c r="B2612" t="s">
        <v>4524</v>
      </c>
      <c r="C2612" t="s">
        <v>13</v>
      </c>
      <c r="D2612" t="s">
        <v>1224</v>
      </c>
      <c r="E2612" t="s">
        <v>1933</v>
      </c>
      <c r="F2612" t="s">
        <v>4532</v>
      </c>
      <c r="H2612" t="s">
        <v>17</v>
      </c>
      <c r="I2612" t="s">
        <v>4466</v>
      </c>
    </row>
    <row r="2613" spans="1:9" x14ac:dyDescent="0.3">
      <c r="A2613" t="s">
        <v>4451</v>
      </c>
      <c r="B2613" t="s">
        <v>4524</v>
      </c>
      <c r="C2613" t="s">
        <v>13</v>
      </c>
      <c r="D2613" t="s">
        <v>1228</v>
      </c>
      <c r="E2613" t="s">
        <v>3044</v>
      </c>
      <c r="F2613" t="s">
        <v>4533</v>
      </c>
      <c r="H2613" t="s">
        <v>17</v>
      </c>
      <c r="I2613" t="s">
        <v>4466</v>
      </c>
    </row>
    <row r="2614" spans="1:9" x14ac:dyDescent="0.3">
      <c r="A2614" t="s">
        <v>4451</v>
      </c>
      <c r="B2614" t="s">
        <v>4524</v>
      </c>
      <c r="C2614" t="s">
        <v>13</v>
      </c>
      <c r="D2614" t="s">
        <v>1232</v>
      </c>
      <c r="E2614" t="s">
        <v>4534</v>
      </c>
      <c r="F2614" t="s">
        <v>4535</v>
      </c>
      <c r="H2614" t="s">
        <v>17</v>
      </c>
      <c r="I2614" t="s">
        <v>4466</v>
      </c>
    </row>
    <row r="2615" spans="1:9" x14ac:dyDescent="0.3">
      <c r="A2615" t="s">
        <v>4451</v>
      </c>
      <c r="B2615" t="s">
        <v>4524</v>
      </c>
      <c r="C2615" t="s">
        <v>13</v>
      </c>
      <c r="D2615" t="s">
        <v>1236</v>
      </c>
      <c r="E2615" t="s">
        <v>3047</v>
      </c>
      <c r="F2615" t="s">
        <v>4088</v>
      </c>
      <c r="H2615" t="s">
        <v>17</v>
      </c>
      <c r="I2615" t="s">
        <v>4466</v>
      </c>
    </row>
    <row r="2616" spans="1:9" x14ac:dyDescent="0.3">
      <c r="A2616" t="s">
        <v>4451</v>
      </c>
      <c r="B2616" t="s">
        <v>4524</v>
      </c>
      <c r="C2616" t="s">
        <v>13</v>
      </c>
      <c r="D2616" t="s">
        <v>1240</v>
      </c>
      <c r="E2616" t="s">
        <v>3049</v>
      </c>
      <c r="F2616" t="s">
        <v>4536</v>
      </c>
      <c r="H2616" t="s">
        <v>17</v>
      </c>
      <c r="I2616" t="s">
        <v>4466</v>
      </c>
    </row>
    <row r="2617" spans="1:9" x14ac:dyDescent="0.3">
      <c r="A2617" t="s">
        <v>4451</v>
      </c>
      <c r="B2617" t="s">
        <v>4524</v>
      </c>
      <c r="C2617" t="s">
        <v>13</v>
      </c>
      <c r="D2617" t="s">
        <v>1244</v>
      </c>
      <c r="E2617" t="s">
        <v>3051</v>
      </c>
      <c r="F2617" t="s">
        <v>4537</v>
      </c>
      <c r="H2617" t="s">
        <v>17</v>
      </c>
      <c r="I2617" t="s">
        <v>4466</v>
      </c>
    </row>
    <row r="2618" spans="1:9" x14ac:dyDescent="0.3">
      <c r="A2618" t="s">
        <v>4451</v>
      </c>
      <c r="B2618" t="s">
        <v>4524</v>
      </c>
      <c r="C2618" t="s">
        <v>13</v>
      </c>
      <c r="D2618" t="s">
        <v>1248</v>
      </c>
      <c r="E2618" t="s">
        <v>3053</v>
      </c>
      <c r="F2618" t="s">
        <v>4538</v>
      </c>
      <c r="H2618" t="s">
        <v>17</v>
      </c>
      <c r="I2618" t="s">
        <v>4466</v>
      </c>
    </row>
    <row r="2619" spans="1:9" x14ac:dyDescent="0.3">
      <c r="A2619" t="s">
        <v>4451</v>
      </c>
      <c r="B2619" t="s">
        <v>4524</v>
      </c>
      <c r="C2619" t="s">
        <v>13</v>
      </c>
      <c r="D2619" t="s">
        <v>1252</v>
      </c>
      <c r="E2619" t="s">
        <v>3055</v>
      </c>
      <c r="F2619" t="s">
        <v>4539</v>
      </c>
      <c r="H2619" t="s">
        <v>17</v>
      </c>
      <c r="I2619" t="s">
        <v>4466</v>
      </c>
    </row>
    <row r="2620" spans="1:9" x14ac:dyDescent="0.3">
      <c r="A2620" t="s">
        <v>4451</v>
      </c>
      <c r="B2620" t="s">
        <v>4524</v>
      </c>
      <c r="C2620" t="s">
        <v>13</v>
      </c>
      <c r="D2620" t="s">
        <v>1256</v>
      </c>
      <c r="E2620" t="s">
        <v>3057</v>
      </c>
      <c r="F2620" t="s">
        <v>4540</v>
      </c>
      <c r="H2620" t="s">
        <v>17</v>
      </c>
      <c r="I2620" t="s">
        <v>4466</v>
      </c>
    </row>
    <row r="2621" spans="1:9" x14ac:dyDescent="0.3">
      <c r="A2621" t="s">
        <v>4451</v>
      </c>
      <c r="B2621" t="s">
        <v>4524</v>
      </c>
      <c r="C2621" t="s">
        <v>13</v>
      </c>
      <c r="D2621" t="s">
        <v>1261</v>
      </c>
      <c r="E2621" t="s">
        <v>3059</v>
      </c>
      <c r="F2621" t="s">
        <v>4541</v>
      </c>
      <c r="H2621" t="s">
        <v>17</v>
      </c>
      <c r="I2621" t="s">
        <v>4542</v>
      </c>
    </row>
    <row r="2622" spans="1:9" x14ac:dyDescent="0.3">
      <c r="A2622" t="s">
        <v>4451</v>
      </c>
      <c r="B2622" t="s">
        <v>4524</v>
      </c>
      <c r="C2622" t="s">
        <v>13</v>
      </c>
      <c r="D2622" t="s">
        <v>1265</v>
      </c>
      <c r="E2622" t="s">
        <v>3061</v>
      </c>
      <c r="F2622" t="s">
        <v>4543</v>
      </c>
      <c r="H2622" t="s">
        <v>17</v>
      </c>
      <c r="I2622" t="s">
        <v>4544</v>
      </c>
    </row>
    <row r="2623" spans="1:9" x14ac:dyDescent="0.3">
      <c r="A2623" t="s">
        <v>4451</v>
      </c>
      <c r="B2623" t="s">
        <v>4545</v>
      </c>
      <c r="C2623" t="s">
        <v>13</v>
      </c>
      <c r="D2623" t="s">
        <v>303</v>
      </c>
      <c r="E2623" t="s">
        <v>3067</v>
      </c>
      <c r="F2623" t="s">
        <v>4546</v>
      </c>
      <c r="H2623" t="s">
        <v>17</v>
      </c>
      <c r="I2623" t="s">
        <v>4547</v>
      </c>
    </row>
    <row r="2624" spans="1:9" x14ac:dyDescent="0.3">
      <c r="A2624" t="s">
        <v>4451</v>
      </c>
      <c r="B2624" t="s">
        <v>4545</v>
      </c>
      <c r="C2624" t="s">
        <v>13</v>
      </c>
      <c r="D2624" t="s">
        <v>308</v>
      </c>
      <c r="E2624" t="s">
        <v>3069</v>
      </c>
      <c r="F2624" t="s">
        <v>4548</v>
      </c>
      <c r="H2624" t="s">
        <v>17</v>
      </c>
      <c r="I2624" t="s">
        <v>4549</v>
      </c>
    </row>
    <row r="2625" spans="1:9" x14ac:dyDescent="0.3">
      <c r="A2625" t="s">
        <v>4451</v>
      </c>
      <c r="B2625" t="s">
        <v>4545</v>
      </c>
      <c r="C2625" t="s">
        <v>13</v>
      </c>
      <c r="D2625" t="s">
        <v>312</v>
      </c>
      <c r="E2625" t="s">
        <v>4105</v>
      </c>
      <c r="F2625" t="s">
        <v>4550</v>
      </c>
      <c r="H2625" t="s">
        <v>17</v>
      </c>
      <c r="I2625" t="s">
        <v>4466</v>
      </c>
    </row>
    <row r="2626" spans="1:9" x14ac:dyDescent="0.3">
      <c r="A2626" t="s">
        <v>4451</v>
      </c>
      <c r="B2626" t="s">
        <v>4545</v>
      </c>
      <c r="C2626" t="s">
        <v>13</v>
      </c>
      <c r="D2626" t="s">
        <v>316</v>
      </c>
      <c r="E2626" t="s">
        <v>3073</v>
      </c>
      <c r="F2626" t="s">
        <v>4551</v>
      </c>
      <c r="H2626" t="s">
        <v>17</v>
      </c>
      <c r="I2626" t="s">
        <v>4552</v>
      </c>
    </row>
    <row r="2627" spans="1:9" x14ac:dyDescent="0.3">
      <c r="A2627" t="s">
        <v>4451</v>
      </c>
      <c r="B2627" t="s">
        <v>4545</v>
      </c>
      <c r="C2627" t="s">
        <v>13</v>
      </c>
      <c r="D2627" t="s">
        <v>319</v>
      </c>
      <c r="E2627" t="s">
        <v>3076</v>
      </c>
      <c r="F2627" t="s">
        <v>4553</v>
      </c>
      <c r="H2627" t="s">
        <v>17</v>
      </c>
      <c r="I2627" t="s">
        <v>4554</v>
      </c>
    </row>
    <row r="2628" spans="1:9" x14ac:dyDescent="0.3">
      <c r="A2628" t="s">
        <v>4451</v>
      </c>
      <c r="B2628" t="s">
        <v>4545</v>
      </c>
      <c r="C2628" t="s">
        <v>13</v>
      </c>
      <c r="D2628" t="s">
        <v>323</v>
      </c>
      <c r="E2628" t="s">
        <v>3078</v>
      </c>
      <c r="F2628" t="s">
        <v>4555</v>
      </c>
      <c r="H2628" t="s">
        <v>17</v>
      </c>
      <c r="I2628" t="s">
        <v>4556</v>
      </c>
    </row>
    <row r="2629" spans="1:9" x14ac:dyDescent="0.3">
      <c r="A2629" t="s">
        <v>4451</v>
      </c>
      <c r="B2629" t="s">
        <v>4545</v>
      </c>
      <c r="C2629" t="s">
        <v>13</v>
      </c>
      <c r="D2629" t="s">
        <v>327</v>
      </c>
      <c r="E2629" t="s">
        <v>3080</v>
      </c>
      <c r="F2629" t="s">
        <v>4557</v>
      </c>
      <c r="H2629" t="s">
        <v>17</v>
      </c>
      <c r="I2629" t="s">
        <v>4558</v>
      </c>
    </row>
    <row r="2630" spans="1:9" x14ac:dyDescent="0.3">
      <c r="A2630" t="s">
        <v>4451</v>
      </c>
      <c r="B2630" t="s">
        <v>4545</v>
      </c>
      <c r="C2630" t="s">
        <v>13</v>
      </c>
      <c r="D2630" t="s">
        <v>332</v>
      </c>
      <c r="E2630" t="s">
        <v>3082</v>
      </c>
      <c r="F2630" t="s">
        <v>4559</v>
      </c>
      <c r="H2630" t="s">
        <v>17</v>
      </c>
      <c r="I2630" t="s">
        <v>4560</v>
      </c>
    </row>
    <row r="2631" spans="1:9" x14ac:dyDescent="0.3">
      <c r="A2631" t="s">
        <v>4451</v>
      </c>
      <c r="B2631" t="s">
        <v>4545</v>
      </c>
      <c r="C2631" t="s">
        <v>13</v>
      </c>
      <c r="D2631" t="s">
        <v>335</v>
      </c>
      <c r="E2631" t="s">
        <v>3084</v>
      </c>
      <c r="F2631" t="s">
        <v>4561</v>
      </c>
      <c r="H2631" t="s">
        <v>17</v>
      </c>
      <c r="I2631" t="s">
        <v>4466</v>
      </c>
    </row>
    <row r="2632" spans="1:9" x14ac:dyDescent="0.3">
      <c r="A2632" t="s">
        <v>4451</v>
      </c>
      <c r="B2632" t="s">
        <v>4545</v>
      </c>
      <c r="C2632" t="s">
        <v>13</v>
      </c>
      <c r="D2632" t="s">
        <v>338</v>
      </c>
      <c r="E2632" t="s">
        <v>3086</v>
      </c>
      <c r="F2632" t="s">
        <v>4562</v>
      </c>
      <c r="H2632" t="s">
        <v>17</v>
      </c>
      <c r="I2632" t="s">
        <v>4563</v>
      </c>
    </row>
    <row r="2633" spans="1:9" x14ac:dyDescent="0.3">
      <c r="A2633" t="s">
        <v>4451</v>
      </c>
      <c r="B2633" t="s">
        <v>4545</v>
      </c>
      <c r="C2633" t="s">
        <v>13</v>
      </c>
      <c r="D2633" t="s">
        <v>341</v>
      </c>
      <c r="E2633" t="s">
        <v>4120</v>
      </c>
      <c r="F2633" t="s">
        <v>4564</v>
      </c>
      <c r="H2633" t="s">
        <v>17</v>
      </c>
      <c r="I2633" t="s">
        <v>4466</v>
      </c>
    </row>
    <row r="2634" spans="1:9" x14ac:dyDescent="0.3">
      <c r="A2634" t="s">
        <v>4451</v>
      </c>
      <c r="B2634" t="s">
        <v>4545</v>
      </c>
      <c r="C2634" t="s">
        <v>13</v>
      </c>
      <c r="D2634" t="s">
        <v>4565</v>
      </c>
      <c r="E2634" t="s">
        <v>3092</v>
      </c>
      <c r="F2634" t="s">
        <v>4566</v>
      </c>
      <c r="H2634" t="s">
        <v>17</v>
      </c>
      <c r="I2634" t="s">
        <v>4567</v>
      </c>
    </row>
    <row r="2635" spans="1:9" x14ac:dyDescent="0.3">
      <c r="A2635" t="s">
        <v>4451</v>
      </c>
      <c r="B2635" t="s">
        <v>4545</v>
      </c>
      <c r="C2635" t="s">
        <v>13</v>
      </c>
      <c r="D2635" t="s">
        <v>4568</v>
      </c>
      <c r="E2635" t="s">
        <v>3095</v>
      </c>
      <c r="F2635" t="s">
        <v>4569</v>
      </c>
      <c r="H2635" t="s">
        <v>17</v>
      </c>
      <c r="I2635" t="s">
        <v>4570</v>
      </c>
    </row>
    <row r="2636" spans="1:9" x14ac:dyDescent="0.3">
      <c r="A2636" t="s">
        <v>4451</v>
      </c>
      <c r="B2636" t="s">
        <v>4545</v>
      </c>
      <c r="C2636" t="s">
        <v>13</v>
      </c>
      <c r="D2636" t="s">
        <v>361</v>
      </c>
      <c r="E2636" t="s">
        <v>3097</v>
      </c>
      <c r="F2636" t="s">
        <v>4571</v>
      </c>
      <c r="H2636" t="s">
        <v>17</v>
      </c>
      <c r="I2636" t="s">
        <v>4572</v>
      </c>
    </row>
    <row r="2637" spans="1:9" x14ac:dyDescent="0.3">
      <c r="A2637" t="s">
        <v>4451</v>
      </c>
      <c r="B2637" t="s">
        <v>4545</v>
      </c>
      <c r="C2637" t="s">
        <v>13</v>
      </c>
      <c r="D2637" t="s">
        <v>364</v>
      </c>
      <c r="E2637" t="s">
        <v>3099</v>
      </c>
      <c r="F2637" t="s">
        <v>3990</v>
      </c>
      <c r="H2637" t="s">
        <v>17</v>
      </c>
      <c r="I2637" t="s">
        <v>4573</v>
      </c>
    </row>
    <row r="2638" spans="1:9" x14ac:dyDescent="0.3">
      <c r="A2638" t="s">
        <v>4451</v>
      </c>
      <c r="B2638" t="s">
        <v>4545</v>
      </c>
      <c r="C2638" t="s">
        <v>13</v>
      </c>
      <c r="D2638" t="s">
        <v>1669</v>
      </c>
      <c r="E2638" t="s">
        <v>3102</v>
      </c>
      <c r="F2638" t="s">
        <v>4170</v>
      </c>
      <c r="H2638" t="s">
        <v>17</v>
      </c>
      <c r="I2638" t="s">
        <v>4574</v>
      </c>
    </row>
    <row r="2639" spans="1:9" x14ac:dyDescent="0.3">
      <c r="A2639" t="s">
        <v>4451</v>
      </c>
      <c r="B2639" t="s">
        <v>4545</v>
      </c>
      <c r="C2639" t="s">
        <v>13</v>
      </c>
      <c r="D2639" t="s">
        <v>4575</v>
      </c>
      <c r="E2639" t="s">
        <v>3105</v>
      </c>
      <c r="F2639" t="s">
        <v>4576</v>
      </c>
      <c r="H2639" t="s">
        <v>17</v>
      </c>
      <c r="I2639" t="s">
        <v>4577</v>
      </c>
    </row>
    <row r="2640" spans="1:9" x14ac:dyDescent="0.3">
      <c r="A2640" t="s">
        <v>4451</v>
      </c>
      <c r="B2640" t="s">
        <v>4545</v>
      </c>
      <c r="C2640" t="s">
        <v>13</v>
      </c>
      <c r="D2640" t="s">
        <v>382</v>
      </c>
      <c r="E2640" t="s">
        <v>3108</v>
      </c>
      <c r="F2640" t="s">
        <v>4578</v>
      </c>
      <c r="H2640" t="s">
        <v>17</v>
      </c>
      <c r="I2640" t="s">
        <v>4579</v>
      </c>
    </row>
    <row r="2641" spans="1:9" x14ac:dyDescent="0.3">
      <c r="A2641" t="s">
        <v>4451</v>
      </c>
      <c r="B2641" t="s">
        <v>4545</v>
      </c>
      <c r="C2641" t="s">
        <v>13</v>
      </c>
      <c r="D2641" t="s">
        <v>1681</v>
      </c>
      <c r="E2641" t="s">
        <v>3111</v>
      </c>
      <c r="F2641" t="s">
        <v>4580</v>
      </c>
      <c r="H2641" t="s">
        <v>17</v>
      </c>
      <c r="I2641" t="s">
        <v>4581</v>
      </c>
    </row>
    <row r="2642" spans="1:9" x14ac:dyDescent="0.3">
      <c r="A2642" t="s">
        <v>4451</v>
      </c>
      <c r="B2642" t="s">
        <v>4545</v>
      </c>
      <c r="C2642" t="s">
        <v>13</v>
      </c>
      <c r="D2642" t="s">
        <v>1683</v>
      </c>
      <c r="E2642" t="s">
        <v>3113</v>
      </c>
      <c r="F2642" t="s">
        <v>4582</v>
      </c>
      <c r="H2642" t="s">
        <v>17</v>
      </c>
      <c r="I2642" t="s">
        <v>4583</v>
      </c>
    </row>
    <row r="2643" spans="1:9" x14ac:dyDescent="0.3">
      <c r="A2643" t="s">
        <v>4451</v>
      </c>
      <c r="B2643" t="s">
        <v>4545</v>
      </c>
      <c r="C2643" t="s">
        <v>13</v>
      </c>
      <c r="D2643" t="s">
        <v>1685</v>
      </c>
      <c r="E2643" t="s">
        <v>3116</v>
      </c>
      <c r="F2643" t="s">
        <v>4584</v>
      </c>
      <c r="H2643" t="s">
        <v>17</v>
      </c>
      <c r="I2643" t="s">
        <v>4585</v>
      </c>
    </row>
    <row r="2644" spans="1:9" x14ac:dyDescent="0.3">
      <c r="A2644" t="s">
        <v>4451</v>
      </c>
      <c r="B2644" t="s">
        <v>4545</v>
      </c>
      <c r="C2644" t="s">
        <v>13</v>
      </c>
      <c r="D2644" t="s">
        <v>2859</v>
      </c>
      <c r="E2644" t="s">
        <v>3119</v>
      </c>
      <c r="F2644" t="s">
        <v>843</v>
      </c>
      <c r="H2644" t="s">
        <v>17</v>
      </c>
      <c r="I2644" t="s">
        <v>845</v>
      </c>
    </row>
    <row r="2645" spans="1:9" x14ac:dyDescent="0.3">
      <c r="A2645" t="s">
        <v>4451</v>
      </c>
      <c r="B2645" t="s">
        <v>4545</v>
      </c>
      <c r="C2645" t="s">
        <v>13</v>
      </c>
      <c r="D2645" t="s">
        <v>2413</v>
      </c>
      <c r="E2645" t="s">
        <v>3122</v>
      </c>
      <c r="F2645" t="s">
        <v>2775</v>
      </c>
      <c r="H2645" t="s">
        <v>17</v>
      </c>
      <c r="I2645" t="s">
        <v>4586</v>
      </c>
    </row>
    <row r="2646" spans="1:9" x14ac:dyDescent="0.3">
      <c r="A2646" t="s">
        <v>4451</v>
      </c>
      <c r="B2646" t="s">
        <v>4545</v>
      </c>
      <c r="C2646" t="s">
        <v>13</v>
      </c>
      <c r="D2646" t="s">
        <v>2417</v>
      </c>
      <c r="E2646" t="s">
        <v>3125</v>
      </c>
      <c r="F2646" t="s">
        <v>4204</v>
      </c>
      <c r="H2646" t="s">
        <v>17</v>
      </c>
      <c r="I2646" t="s">
        <v>4205</v>
      </c>
    </row>
    <row r="2647" spans="1:9" x14ac:dyDescent="0.3">
      <c r="A2647" t="s">
        <v>4451</v>
      </c>
      <c r="B2647" t="s">
        <v>4545</v>
      </c>
      <c r="C2647" t="s">
        <v>13</v>
      </c>
      <c r="D2647" t="s">
        <v>2421</v>
      </c>
      <c r="E2647" t="s">
        <v>3128</v>
      </c>
      <c r="F2647" t="s">
        <v>824</v>
      </c>
      <c r="H2647" t="s">
        <v>17</v>
      </c>
      <c r="I2647" t="s">
        <v>4587</v>
      </c>
    </row>
    <row r="2648" spans="1:9" x14ac:dyDescent="0.3">
      <c r="A2648" t="s">
        <v>4451</v>
      </c>
      <c r="B2648" t="s">
        <v>4545</v>
      </c>
      <c r="C2648" t="s">
        <v>13</v>
      </c>
      <c r="D2648" t="s">
        <v>1690</v>
      </c>
      <c r="E2648" t="s">
        <v>3131</v>
      </c>
      <c r="F2648" t="s">
        <v>4588</v>
      </c>
      <c r="H2648" t="s">
        <v>17</v>
      </c>
      <c r="I2648" t="s">
        <v>4589</v>
      </c>
    </row>
    <row r="2649" spans="1:9" x14ac:dyDescent="0.3">
      <c r="A2649" t="s">
        <v>4451</v>
      </c>
      <c r="B2649" t="s">
        <v>4545</v>
      </c>
      <c r="C2649" t="s">
        <v>13</v>
      </c>
      <c r="D2649" t="s">
        <v>400</v>
      </c>
      <c r="E2649" t="s">
        <v>3134</v>
      </c>
      <c r="F2649" t="s">
        <v>747</v>
      </c>
      <c r="H2649" t="s">
        <v>17</v>
      </c>
    </row>
    <row r="2650" spans="1:9" x14ac:dyDescent="0.3">
      <c r="A2650" t="s">
        <v>4451</v>
      </c>
      <c r="B2650" t="s">
        <v>4545</v>
      </c>
      <c r="C2650" t="s">
        <v>13</v>
      </c>
      <c r="D2650" t="s">
        <v>1693</v>
      </c>
      <c r="E2650" t="s">
        <v>3136</v>
      </c>
      <c r="F2650" t="s">
        <v>4590</v>
      </c>
      <c r="H2650" t="s">
        <v>17</v>
      </c>
      <c r="I2650" t="s">
        <v>4589</v>
      </c>
    </row>
    <row r="2651" spans="1:9" x14ac:dyDescent="0.3">
      <c r="A2651" t="s">
        <v>4451</v>
      </c>
      <c r="B2651" t="s">
        <v>4545</v>
      </c>
      <c r="C2651" t="s">
        <v>13</v>
      </c>
      <c r="D2651" t="s">
        <v>1694</v>
      </c>
      <c r="E2651" t="s">
        <v>3139</v>
      </c>
      <c r="F2651" t="s">
        <v>4591</v>
      </c>
      <c r="H2651" t="s">
        <v>17</v>
      </c>
      <c r="I2651" t="s">
        <v>4592</v>
      </c>
    </row>
    <row r="2652" spans="1:9" x14ac:dyDescent="0.3">
      <c r="A2652" t="s">
        <v>4451</v>
      </c>
      <c r="B2652" t="s">
        <v>4545</v>
      </c>
      <c r="C2652" t="s">
        <v>13</v>
      </c>
      <c r="D2652" t="s">
        <v>2438</v>
      </c>
      <c r="E2652" t="s">
        <v>3141</v>
      </c>
      <c r="F2652" t="s">
        <v>2926</v>
      </c>
      <c r="H2652" t="s">
        <v>17</v>
      </c>
      <c r="I2652" t="s">
        <v>4199</v>
      </c>
    </row>
    <row r="2653" spans="1:9" x14ac:dyDescent="0.3">
      <c r="A2653" t="s">
        <v>4451</v>
      </c>
      <c r="B2653" t="s">
        <v>4545</v>
      </c>
      <c r="C2653" t="s">
        <v>13</v>
      </c>
      <c r="D2653" t="s">
        <v>2441</v>
      </c>
      <c r="E2653" t="s">
        <v>4157</v>
      </c>
      <c r="F2653" t="s">
        <v>2918</v>
      </c>
      <c r="H2653" t="s">
        <v>17</v>
      </c>
      <c r="I2653" t="s">
        <v>4593</v>
      </c>
    </row>
    <row r="2654" spans="1:9" x14ac:dyDescent="0.3">
      <c r="A2654" t="s">
        <v>4451</v>
      </c>
      <c r="B2654" t="s">
        <v>4545</v>
      </c>
      <c r="C2654" t="s">
        <v>13</v>
      </c>
      <c r="D2654" t="s">
        <v>410</v>
      </c>
      <c r="E2654" t="s">
        <v>3145</v>
      </c>
      <c r="F2654" t="s">
        <v>4594</v>
      </c>
      <c r="H2654" t="s">
        <v>17</v>
      </c>
      <c r="I2654" t="s">
        <v>4595</v>
      </c>
    </row>
    <row r="2655" spans="1:9" x14ac:dyDescent="0.3">
      <c r="A2655" t="s">
        <v>4451</v>
      </c>
      <c r="B2655" t="s">
        <v>4545</v>
      </c>
      <c r="C2655" t="s">
        <v>13</v>
      </c>
      <c r="D2655" t="s">
        <v>415</v>
      </c>
      <c r="E2655" t="s">
        <v>3148</v>
      </c>
      <c r="F2655" t="s">
        <v>4596</v>
      </c>
      <c r="H2655" t="s">
        <v>17</v>
      </c>
      <c r="I2655" t="s">
        <v>4597</v>
      </c>
    </row>
    <row r="2656" spans="1:9" x14ac:dyDescent="0.3">
      <c r="A2656" t="s">
        <v>4451</v>
      </c>
      <c r="B2656" t="s">
        <v>4545</v>
      </c>
      <c r="C2656" t="s">
        <v>13</v>
      </c>
      <c r="D2656" t="s">
        <v>420</v>
      </c>
      <c r="E2656" t="s">
        <v>3150</v>
      </c>
      <c r="F2656" t="s">
        <v>4598</v>
      </c>
      <c r="H2656" t="s">
        <v>17</v>
      </c>
      <c r="I2656" t="s">
        <v>4188</v>
      </c>
    </row>
    <row r="2657" spans="1:9" x14ac:dyDescent="0.3">
      <c r="A2657" t="s">
        <v>4451</v>
      </c>
      <c r="B2657" t="s">
        <v>4545</v>
      </c>
      <c r="C2657" t="s">
        <v>13</v>
      </c>
      <c r="D2657" t="s">
        <v>423</v>
      </c>
      <c r="E2657" t="s">
        <v>3152</v>
      </c>
      <c r="F2657" t="s">
        <v>4599</v>
      </c>
      <c r="H2657" t="s">
        <v>17</v>
      </c>
      <c r="I2657" t="s">
        <v>4600</v>
      </c>
    </row>
    <row r="2658" spans="1:9" x14ac:dyDescent="0.3">
      <c r="A2658" t="s">
        <v>4451</v>
      </c>
      <c r="B2658" t="s">
        <v>4545</v>
      </c>
      <c r="C2658" t="s">
        <v>13</v>
      </c>
      <c r="D2658" t="s">
        <v>426</v>
      </c>
      <c r="E2658" t="s">
        <v>3154</v>
      </c>
      <c r="F2658" t="s">
        <v>4601</v>
      </c>
      <c r="H2658" t="s">
        <v>17</v>
      </c>
      <c r="I2658" t="s">
        <v>4583</v>
      </c>
    </row>
    <row r="2659" spans="1:9" x14ac:dyDescent="0.3">
      <c r="A2659" t="s">
        <v>4602</v>
      </c>
      <c r="E2659" t="s">
        <v>10</v>
      </c>
      <c r="F2659" t="s">
        <v>4603</v>
      </c>
    </row>
    <row r="2660" spans="1:9" x14ac:dyDescent="0.3">
      <c r="A2660" t="s">
        <v>4602</v>
      </c>
      <c r="C2660" t="s">
        <v>13</v>
      </c>
      <c r="D2660" t="s">
        <v>14</v>
      </c>
      <c r="E2660" t="s">
        <v>1742</v>
      </c>
      <c r="F2660" t="s">
        <v>3861</v>
      </c>
      <c r="H2660" t="s">
        <v>17</v>
      </c>
    </row>
    <row r="2661" spans="1:9" x14ac:dyDescent="0.3">
      <c r="A2661" t="s">
        <v>4602</v>
      </c>
      <c r="C2661" t="s">
        <v>13</v>
      </c>
      <c r="D2661" t="s">
        <v>1743</v>
      </c>
      <c r="E2661" t="s">
        <v>2671</v>
      </c>
      <c r="F2661" t="s">
        <v>4604</v>
      </c>
      <c r="H2661" t="s">
        <v>17</v>
      </c>
      <c r="I2661" t="s">
        <v>4605</v>
      </c>
    </row>
    <row r="2662" spans="1:9" x14ac:dyDescent="0.3">
      <c r="A2662" t="s">
        <v>4602</v>
      </c>
      <c r="C2662" t="s">
        <v>13</v>
      </c>
      <c r="D2662" t="s">
        <v>996</v>
      </c>
      <c r="E2662" t="s">
        <v>2674</v>
      </c>
      <c r="F2662" t="s">
        <v>4606</v>
      </c>
      <c r="H2662" t="s">
        <v>17</v>
      </c>
      <c r="I2662" t="s">
        <v>4607</v>
      </c>
    </row>
    <row r="2663" spans="1:9" x14ac:dyDescent="0.3">
      <c r="A2663" t="s">
        <v>4602</v>
      </c>
      <c r="C2663" t="s">
        <v>13</v>
      </c>
      <c r="D2663" t="s">
        <v>1001</v>
      </c>
      <c r="E2663" t="s">
        <v>2676</v>
      </c>
      <c r="F2663" t="s">
        <v>4608</v>
      </c>
      <c r="H2663" t="s">
        <v>17</v>
      </c>
      <c r="I2663" t="s">
        <v>4466</v>
      </c>
    </row>
    <row r="2664" spans="1:9" x14ac:dyDescent="0.3">
      <c r="A2664" t="s">
        <v>4602</v>
      </c>
      <c r="C2664" t="s">
        <v>13</v>
      </c>
      <c r="D2664" t="s">
        <v>1942</v>
      </c>
      <c r="E2664" t="s">
        <v>2679</v>
      </c>
      <c r="F2664" t="s">
        <v>4609</v>
      </c>
      <c r="H2664" t="s">
        <v>17</v>
      </c>
      <c r="I2664" t="s">
        <v>4610</v>
      </c>
    </row>
    <row r="2665" spans="1:9" x14ac:dyDescent="0.3">
      <c r="A2665" t="s">
        <v>4602</v>
      </c>
      <c r="C2665" t="s">
        <v>13</v>
      </c>
      <c r="D2665" t="s">
        <v>22</v>
      </c>
      <c r="E2665" t="s">
        <v>23</v>
      </c>
      <c r="F2665" t="s">
        <v>4611</v>
      </c>
      <c r="H2665" t="s">
        <v>17</v>
      </c>
      <c r="I2665" t="s">
        <v>4612</v>
      </c>
    </row>
    <row r="2666" spans="1:9" x14ac:dyDescent="0.3">
      <c r="A2666" t="s">
        <v>4602</v>
      </c>
      <c r="C2666" t="s">
        <v>13</v>
      </c>
      <c r="D2666" t="s">
        <v>27</v>
      </c>
      <c r="E2666" t="s">
        <v>28</v>
      </c>
      <c r="F2666" t="s">
        <v>4613</v>
      </c>
      <c r="H2666" t="s">
        <v>17</v>
      </c>
      <c r="I2666" t="s">
        <v>4466</v>
      </c>
    </row>
    <row r="2667" spans="1:9" x14ac:dyDescent="0.3">
      <c r="A2667" t="s">
        <v>4602</v>
      </c>
      <c r="C2667" t="s">
        <v>13</v>
      </c>
      <c r="D2667" t="s">
        <v>32</v>
      </c>
      <c r="E2667" t="s">
        <v>33</v>
      </c>
      <c r="F2667" t="s">
        <v>4614</v>
      </c>
      <c r="H2667" t="s">
        <v>17</v>
      </c>
      <c r="I2667" t="s">
        <v>4615</v>
      </c>
    </row>
    <row r="2668" spans="1:9" x14ac:dyDescent="0.3">
      <c r="A2668" t="s">
        <v>4602</v>
      </c>
      <c r="C2668" t="s">
        <v>13</v>
      </c>
      <c r="D2668" t="s">
        <v>2684</v>
      </c>
      <c r="E2668" t="s">
        <v>2687</v>
      </c>
      <c r="F2668" t="s">
        <v>3972</v>
      </c>
      <c r="H2668" t="s">
        <v>17</v>
      </c>
      <c r="I2668" t="s">
        <v>4616</v>
      </c>
    </row>
    <row r="2669" spans="1:9" x14ac:dyDescent="0.3">
      <c r="A2669" t="s">
        <v>4602</v>
      </c>
      <c r="C2669" t="s">
        <v>13</v>
      </c>
      <c r="D2669" t="s">
        <v>45</v>
      </c>
      <c r="E2669" t="s">
        <v>37</v>
      </c>
      <c r="F2669" t="s">
        <v>4617</v>
      </c>
      <c r="H2669" t="s">
        <v>17</v>
      </c>
      <c r="I2669" t="s">
        <v>4618</v>
      </c>
    </row>
    <row r="2670" spans="1:9" x14ac:dyDescent="0.3">
      <c r="A2670" t="s">
        <v>4602</v>
      </c>
      <c r="C2670" t="s">
        <v>13</v>
      </c>
      <c r="D2670" t="s">
        <v>50</v>
      </c>
      <c r="E2670" t="s">
        <v>42</v>
      </c>
      <c r="F2670" t="s">
        <v>4619</v>
      </c>
      <c r="H2670" t="s">
        <v>17</v>
      </c>
      <c r="I2670" t="s">
        <v>4620</v>
      </c>
    </row>
    <row r="2671" spans="1:9" x14ac:dyDescent="0.3">
      <c r="A2671" t="s">
        <v>4602</v>
      </c>
      <c r="C2671" t="s">
        <v>13</v>
      </c>
      <c r="D2671" t="s">
        <v>53</v>
      </c>
      <c r="E2671" t="s">
        <v>46</v>
      </c>
      <c r="F2671" t="s">
        <v>843</v>
      </c>
      <c r="H2671" t="s">
        <v>17</v>
      </c>
      <c r="I2671" t="s">
        <v>845</v>
      </c>
    </row>
    <row r="2672" spans="1:9" x14ac:dyDescent="0.3">
      <c r="A2672" t="s">
        <v>4602</v>
      </c>
      <c r="C2672" t="s">
        <v>13</v>
      </c>
      <c r="D2672" t="s">
        <v>56</v>
      </c>
      <c r="E2672" t="s">
        <v>51</v>
      </c>
      <c r="F2672" t="s">
        <v>2775</v>
      </c>
      <c r="H2672" t="s">
        <v>17</v>
      </c>
      <c r="I2672" t="s">
        <v>4621</v>
      </c>
    </row>
    <row r="2673" spans="1:9" x14ac:dyDescent="0.3">
      <c r="A2673" t="s">
        <v>4602</v>
      </c>
      <c r="C2673" t="s">
        <v>13</v>
      </c>
      <c r="D2673" t="s">
        <v>61</v>
      </c>
      <c r="E2673" t="s">
        <v>54</v>
      </c>
      <c r="F2673" t="s">
        <v>4204</v>
      </c>
      <c r="H2673" t="s">
        <v>17</v>
      </c>
      <c r="I2673" t="s">
        <v>4205</v>
      </c>
    </row>
    <row r="2674" spans="1:9" x14ac:dyDescent="0.3">
      <c r="A2674" t="s">
        <v>4602</v>
      </c>
      <c r="C2674" t="s">
        <v>13</v>
      </c>
      <c r="D2674" t="s">
        <v>1039</v>
      </c>
      <c r="E2674" t="s">
        <v>57</v>
      </c>
      <c r="F2674" t="s">
        <v>824</v>
      </c>
      <c r="H2674" t="s">
        <v>17</v>
      </c>
      <c r="I2674" t="s">
        <v>4207</v>
      </c>
    </row>
    <row r="2675" spans="1:9" x14ac:dyDescent="0.3">
      <c r="A2675" t="s">
        <v>4602</v>
      </c>
      <c r="C2675" t="s">
        <v>13</v>
      </c>
      <c r="D2675" t="s">
        <v>1043</v>
      </c>
      <c r="E2675" t="s">
        <v>62</v>
      </c>
      <c r="F2675" t="s">
        <v>4588</v>
      </c>
      <c r="H2675" t="s">
        <v>17</v>
      </c>
      <c r="I2675" t="s">
        <v>4622</v>
      </c>
    </row>
    <row r="2676" spans="1:9" x14ac:dyDescent="0.3">
      <c r="A2676" t="s">
        <v>4602</v>
      </c>
      <c r="C2676" t="s">
        <v>13</v>
      </c>
      <c r="D2676" t="s">
        <v>71</v>
      </c>
      <c r="E2676" t="s">
        <v>67</v>
      </c>
      <c r="F2676" t="s">
        <v>747</v>
      </c>
      <c r="H2676" t="s">
        <v>17</v>
      </c>
      <c r="I2676" t="s">
        <v>4623</v>
      </c>
    </row>
    <row r="2677" spans="1:9" x14ac:dyDescent="0.3">
      <c r="A2677" t="s">
        <v>4602</v>
      </c>
      <c r="C2677" t="s">
        <v>13</v>
      </c>
      <c r="D2677" t="s">
        <v>1050</v>
      </c>
      <c r="E2677" t="s">
        <v>72</v>
      </c>
      <c r="F2677" t="s">
        <v>4590</v>
      </c>
      <c r="H2677" t="s">
        <v>17</v>
      </c>
      <c r="I2677" t="s">
        <v>4624</v>
      </c>
    </row>
    <row r="2678" spans="1:9" x14ac:dyDescent="0.3">
      <c r="A2678" t="s">
        <v>4602</v>
      </c>
      <c r="C2678" t="s">
        <v>13</v>
      </c>
      <c r="D2678" t="s">
        <v>1055</v>
      </c>
      <c r="E2678" t="s">
        <v>77</v>
      </c>
      <c r="F2678" t="s">
        <v>2918</v>
      </c>
      <c r="H2678" t="s">
        <v>17</v>
      </c>
      <c r="I2678" t="s">
        <v>4593</v>
      </c>
    </row>
    <row r="2679" spans="1:9" x14ac:dyDescent="0.3">
      <c r="A2679" t="s">
        <v>4602</v>
      </c>
      <c r="C2679" t="s">
        <v>13</v>
      </c>
      <c r="D2679" t="s">
        <v>80</v>
      </c>
      <c r="E2679" t="s">
        <v>81</v>
      </c>
      <c r="F2679" t="s">
        <v>4594</v>
      </c>
      <c r="H2679" t="s">
        <v>17</v>
      </c>
      <c r="I2679" t="s">
        <v>4625</v>
      </c>
    </row>
    <row r="2680" spans="1:9" x14ac:dyDescent="0.3">
      <c r="A2680" t="s">
        <v>4602</v>
      </c>
      <c r="C2680" t="s">
        <v>13</v>
      </c>
      <c r="D2680" t="s">
        <v>85</v>
      </c>
      <c r="E2680" t="s">
        <v>86</v>
      </c>
      <c r="F2680" t="s">
        <v>4596</v>
      </c>
      <c r="H2680" t="s">
        <v>17</v>
      </c>
      <c r="I2680" t="s">
        <v>4626</v>
      </c>
    </row>
    <row r="2681" spans="1:9" x14ac:dyDescent="0.3">
      <c r="A2681" t="s">
        <v>4602</v>
      </c>
      <c r="C2681" t="s">
        <v>13</v>
      </c>
      <c r="D2681" t="s">
        <v>90</v>
      </c>
      <c r="E2681" t="s">
        <v>91</v>
      </c>
      <c r="F2681" t="s">
        <v>4627</v>
      </c>
      <c r="H2681" t="s">
        <v>17</v>
      </c>
      <c r="I2681" t="s">
        <v>4188</v>
      </c>
    </row>
    <row r="2682" spans="1:9" x14ac:dyDescent="0.3">
      <c r="A2682" t="s">
        <v>4602</v>
      </c>
      <c r="C2682" t="s">
        <v>13</v>
      </c>
      <c r="D2682" t="s">
        <v>95</v>
      </c>
      <c r="E2682" t="s">
        <v>96</v>
      </c>
      <c r="F2682" t="s">
        <v>4190</v>
      </c>
      <c r="H2682" t="s">
        <v>17</v>
      </c>
      <c r="I2682" t="s">
        <v>4600</v>
      </c>
    </row>
    <row r="2683" spans="1:9" x14ac:dyDescent="0.3">
      <c r="A2683" t="s">
        <v>4628</v>
      </c>
      <c r="E2683" t="s">
        <v>10</v>
      </c>
      <c r="F2683" t="s">
        <v>4629</v>
      </c>
    </row>
    <row r="2684" spans="1:9" x14ac:dyDescent="0.3">
      <c r="A2684" t="s">
        <v>4628</v>
      </c>
      <c r="C2684" t="s">
        <v>13</v>
      </c>
      <c r="D2684" t="s">
        <v>14</v>
      </c>
      <c r="E2684" t="s">
        <v>1742</v>
      </c>
      <c r="F2684" t="s">
        <v>2670</v>
      </c>
      <c r="H2684" t="s">
        <v>17</v>
      </c>
    </row>
    <row r="2685" spans="1:9" x14ac:dyDescent="0.3">
      <c r="A2685" t="s">
        <v>4628</v>
      </c>
      <c r="C2685" t="s">
        <v>13</v>
      </c>
      <c r="D2685" t="s">
        <v>1743</v>
      </c>
      <c r="E2685" t="s">
        <v>3360</v>
      </c>
      <c r="F2685" t="s">
        <v>4630</v>
      </c>
      <c r="H2685" t="s">
        <v>17</v>
      </c>
      <c r="I2685" t="s">
        <v>4605</v>
      </c>
    </row>
    <row r="2686" spans="1:9" x14ac:dyDescent="0.3">
      <c r="A2686" t="s">
        <v>4628</v>
      </c>
      <c r="C2686" t="s">
        <v>13</v>
      </c>
      <c r="D2686" t="s">
        <v>996</v>
      </c>
      <c r="E2686" t="s">
        <v>3361</v>
      </c>
      <c r="F2686" t="s">
        <v>4631</v>
      </c>
      <c r="H2686" t="s">
        <v>17</v>
      </c>
      <c r="I2686" t="s">
        <v>4632</v>
      </c>
    </row>
    <row r="2687" spans="1:9" x14ac:dyDescent="0.3">
      <c r="A2687" t="s">
        <v>4628</v>
      </c>
      <c r="C2687" t="s">
        <v>13</v>
      </c>
      <c r="D2687" t="s">
        <v>1001</v>
      </c>
      <c r="E2687" t="s">
        <v>4226</v>
      </c>
      <c r="F2687" t="s">
        <v>4633</v>
      </c>
      <c r="H2687" t="s">
        <v>17</v>
      </c>
      <c r="I2687" t="s">
        <v>4634</v>
      </c>
    </row>
    <row r="2688" spans="1:9" x14ac:dyDescent="0.3">
      <c r="A2688" t="s">
        <v>4628</v>
      </c>
      <c r="C2688" t="s">
        <v>13</v>
      </c>
      <c r="D2688" t="s">
        <v>1942</v>
      </c>
      <c r="E2688" t="s">
        <v>3365</v>
      </c>
      <c r="F2688" t="s">
        <v>4635</v>
      </c>
      <c r="H2688" t="s">
        <v>17</v>
      </c>
      <c r="I2688" t="s">
        <v>4636</v>
      </c>
    </row>
    <row r="2689" spans="1:9" x14ac:dyDescent="0.3">
      <c r="A2689" t="s">
        <v>4628</v>
      </c>
      <c r="C2689" t="s">
        <v>13</v>
      </c>
      <c r="D2689" t="s">
        <v>4637</v>
      </c>
      <c r="E2689" t="s">
        <v>377</v>
      </c>
      <c r="F2689" t="s">
        <v>4638</v>
      </c>
      <c r="H2689" t="s">
        <v>17</v>
      </c>
      <c r="I2689" t="s">
        <v>4639</v>
      </c>
    </row>
    <row r="2690" spans="1:9" x14ac:dyDescent="0.3">
      <c r="A2690" t="s">
        <v>4628</v>
      </c>
      <c r="C2690" t="s">
        <v>13</v>
      </c>
      <c r="D2690" t="s">
        <v>32</v>
      </c>
      <c r="E2690" t="s">
        <v>383</v>
      </c>
      <c r="F2690" t="s">
        <v>4569</v>
      </c>
      <c r="H2690" t="s">
        <v>17</v>
      </c>
      <c r="I2690" t="s">
        <v>4640</v>
      </c>
    </row>
    <row r="2691" spans="1:9" x14ac:dyDescent="0.3">
      <c r="A2691" t="s">
        <v>4628</v>
      </c>
      <c r="C2691" t="s">
        <v>13</v>
      </c>
      <c r="D2691" t="s">
        <v>36</v>
      </c>
      <c r="E2691" t="s">
        <v>1638</v>
      </c>
      <c r="F2691" t="s">
        <v>4641</v>
      </c>
      <c r="H2691" t="s">
        <v>17</v>
      </c>
      <c r="I2691" t="s">
        <v>4642</v>
      </c>
    </row>
    <row r="2692" spans="1:9" x14ac:dyDescent="0.3">
      <c r="A2692" t="s">
        <v>4628</v>
      </c>
      <c r="C2692" t="s">
        <v>13</v>
      </c>
      <c r="D2692" t="s">
        <v>4643</v>
      </c>
      <c r="E2692" t="s">
        <v>1640</v>
      </c>
      <c r="F2692" t="s">
        <v>4644</v>
      </c>
      <c r="H2692" t="s">
        <v>17</v>
      </c>
      <c r="I2692" t="s">
        <v>4645</v>
      </c>
    </row>
    <row r="2693" spans="1:9" x14ac:dyDescent="0.3">
      <c r="A2693" t="s">
        <v>4628</v>
      </c>
      <c r="C2693" t="s">
        <v>13</v>
      </c>
      <c r="D2693" t="s">
        <v>2238</v>
      </c>
      <c r="E2693" t="s">
        <v>1643</v>
      </c>
      <c r="F2693" t="s">
        <v>3972</v>
      </c>
      <c r="H2693" t="s">
        <v>17</v>
      </c>
      <c r="I2693" t="s">
        <v>4616</v>
      </c>
    </row>
    <row r="2694" spans="1:9" x14ac:dyDescent="0.3">
      <c r="A2694" t="s">
        <v>4628</v>
      </c>
      <c r="C2694" t="s">
        <v>13</v>
      </c>
      <c r="D2694" t="s">
        <v>56</v>
      </c>
      <c r="E2694" t="s">
        <v>388</v>
      </c>
      <c r="F2694" t="s">
        <v>4617</v>
      </c>
      <c r="H2694" t="s">
        <v>17</v>
      </c>
      <c r="I2694" t="s">
        <v>4646</v>
      </c>
    </row>
    <row r="2695" spans="1:9" x14ac:dyDescent="0.3">
      <c r="A2695" t="s">
        <v>4628</v>
      </c>
      <c r="C2695" t="s">
        <v>13</v>
      </c>
      <c r="D2695" t="s">
        <v>61</v>
      </c>
      <c r="E2695" t="s">
        <v>1647</v>
      </c>
      <c r="F2695" t="s">
        <v>843</v>
      </c>
      <c r="H2695" t="s">
        <v>17</v>
      </c>
      <c r="I2695" t="s">
        <v>845</v>
      </c>
    </row>
    <row r="2696" spans="1:9" x14ac:dyDescent="0.3">
      <c r="A2696" t="s">
        <v>4628</v>
      </c>
      <c r="C2696" t="s">
        <v>13</v>
      </c>
      <c r="D2696" t="s">
        <v>1039</v>
      </c>
      <c r="E2696" t="s">
        <v>392</v>
      </c>
      <c r="F2696" t="s">
        <v>2775</v>
      </c>
      <c r="H2696" t="s">
        <v>17</v>
      </c>
      <c r="I2696" t="s">
        <v>4647</v>
      </c>
    </row>
    <row r="2697" spans="1:9" x14ac:dyDescent="0.3">
      <c r="A2697" t="s">
        <v>4628</v>
      </c>
      <c r="C2697" t="s">
        <v>13</v>
      </c>
      <c r="D2697" t="s">
        <v>1043</v>
      </c>
      <c r="E2697" t="s">
        <v>1653</v>
      </c>
      <c r="F2697" t="s">
        <v>4204</v>
      </c>
      <c r="H2697" t="s">
        <v>17</v>
      </c>
      <c r="I2697" t="s">
        <v>4205</v>
      </c>
    </row>
    <row r="2698" spans="1:9" x14ac:dyDescent="0.3">
      <c r="A2698" t="s">
        <v>4628</v>
      </c>
      <c r="C2698" t="s">
        <v>13</v>
      </c>
      <c r="D2698" t="s">
        <v>71</v>
      </c>
      <c r="E2698" t="s">
        <v>395</v>
      </c>
      <c r="F2698" t="s">
        <v>824</v>
      </c>
      <c r="H2698" t="s">
        <v>17</v>
      </c>
      <c r="I2698" t="s">
        <v>4207</v>
      </c>
    </row>
    <row r="2699" spans="1:9" x14ac:dyDescent="0.3">
      <c r="A2699" t="s">
        <v>4628</v>
      </c>
      <c r="C2699" t="s">
        <v>13</v>
      </c>
      <c r="D2699" t="s">
        <v>1050</v>
      </c>
      <c r="E2699" t="s">
        <v>1656</v>
      </c>
      <c r="F2699" t="s">
        <v>4588</v>
      </c>
      <c r="H2699" t="s">
        <v>17</v>
      </c>
      <c r="I2699" t="s">
        <v>4589</v>
      </c>
    </row>
    <row r="2700" spans="1:9" x14ac:dyDescent="0.3">
      <c r="A2700" t="s">
        <v>4628</v>
      </c>
      <c r="C2700" t="s">
        <v>13</v>
      </c>
      <c r="D2700" t="s">
        <v>1055</v>
      </c>
      <c r="E2700" t="s">
        <v>398</v>
      </c>
      <c r="F2700" t="s">
        <v>747</v>
      </c>
      <c r="H2700" t="s">
        <v>17</v>
      </c>
      <c r="I2700" t="s">
        <v>4648</v>
      </c>
    </row>
    <row r="2701" spans="1:9" x14ac:dyDescent="0.3">
      <c r="A2701" t="s">
        <v>4628</v>
      </c>
      <c r="C2701" t="s">
        <v>13</v>
      </c>
      <c r="D2701" t="s">
        <v>80</v>
      </c>
      <c r="E2701" t="s">
        <v>3378</v>
      </c>
      <c r="F2701" t="s">
        <v>4590</v>
      </c>
      <c r="H2701" t="s">
        <v>17</v>
      </c>
      <c r="I2701" t="s">
        <v>4624</v>
      </c>
    </row>
    <row r="2702" spans="1:9" x14ac:dyDescent="0.3">
      <c r="A2702" t="s">
        <v>4628</v>
      </c>
      <c r="C2702" t="s">
        <v>13</v>
      </c>
      <c r="D2702" t="s">
        <v>85</v>
      </c>
      <c r="E2702" t="s">
        <v>401</v>
      </c>
      <c r="F2702" t="s">
        <v>2918</v>
      </c>
      <c r="H2702" t="s">
        <v>17</v>
      </c>
      <c r="I2702" t="s">
        <v>4593</v>
      </c>
    </row>
    <row r="2703" spans="1:9" x14ac:dyDescent="0.3">
      <c r="A2703" t="s">
        <v>4628</v>
      </c>
      <c r="C2703" t="s">
        <v>13</v>
      </c>
      <c r="D2703" t="s">
        <v>90</v>
      </c>
      <c r="E2703" t="s">
        <v>1663</v>
      </c>
      <c r="F2703" t="s">
        <v>4594</v>
      </c>
      <c r="H2703" t="s">
        <v>17</v>
      </c>
      <c r="I2703" t="s">
        <v>4649</v>
      </c>
    </row>
    <row r="2704" spans="1:9" x14ac:dyDescent="0.3">
      <c r="A2704" t="s">
        <v>4628</v>
      </c>
      <c r="C2704" t="s">
        <v>13</v>
      </c>
      <c r="D2704" t="s">
        <v>95</v>
      </c>
      <c r="E2704" t="s">
        <v>404</v>
      </c>
      <c r="F2704" t="s">
        <v>4596</v>
      </c>
      <c r="H2704" t="s">
        <v>17</v>
      </c>
      <c r="I2704" t="s">
        <v>4650</v>
      </c>
    </row>
    <row r="2705" spans="1:9" x14ac:dyDescent="0.3">
      <c r="A2705" t="s">
        <v>4628</v>
      </c>
      <c r="C2705" t="s">
        <v>13</v>
      </c>
      <c r="D2705" t="s">
        <v>100</v>
      </c>
      <c r="E2705" t="s">
        <v>3382</v>
      </c>
      <c r="F2705" t="s">
        <v>4627</v>
      </c>
      <c r="H2705" t="s">
        <v>17</v>
      </c>
      <c r="I2705" t="s">
        <v>4188</v>
      </c>
    </row>
    <row r="2706" spans="1:9" x14ac:dyDescent="0.3">
      <c r="A2706" t="s">
        <v>4628</v>
      </c>
      <c r="C2706" t="s">
        <v>13</v>
      </c>
      <c r="D2706" t="s">
        <v>106</v>
      </c>
      <c r="E2706" t="s">
        <v>407</v>
      </c>
      <c r="F2706" t="s">
        <v>4190</v>
      </c>
      <c r="H2706" t="s">
        <v>17</v>
      </c>
      <c r="I2706" t="s">
        <v>4651</v>
      </c>
    </row>
    <row r="2707" spans="1:9" x14ac:dyDescent="0.3">
      <c r="A2707" t="s">
        <v>4652</v>
      </c>
      <c r="E2707" t="s">
        <v>10</v>
      </c>
      <c r="F2707" t="s">
        <v>4653</v>
      </c>
    </row>
    <row r="2708" spans="1:9" x14ac:dyDescent="0.3">
      <c r="A2708" t="s">
        <v>4652</v>
      </c>
      <c r="C2708" t="s">
        <v>13</v>
      </c>
      <c r="D2708" t="s">
        <v>14</v>
      </c>
      <c r="E2708" t="s">
        <v>1742</v>
      </c>
      <c r="F2708" t="s">
        <v>3861</v>
      </c>
      <c r="H2708" t="s">
        <v>17</v>
      </c>
    </row>
    <row r="2709" spans="1:9" x14ac:dyDescent="0.3">
      <c r="A2709" t="s">
        <v>4652</v>
      </c>
      <c r="C2709" t="s">
        <v>13</v>
      </c>
      <c r="D2709" t="s">
        <v>1743</v>
      </c>
      <c r="E2709" t="s">
        <v>4654</v>
      </c>
      <c r="F2709" t="s">
        <v>4655</v>
      </c>
      <c r="H2709" t="s">
        <v>17</v>
      </c>
      <c r="I2709" t="s">
        <v>4656</v>
      </c>
    </row>
    <row r="2710" spans="1:9" x14ac:dyDescent="0.3">
      <c r="A2710" t="s">
        <v>4652</v>
      </c>
      <c r="C2710" t="s">
        <v>13</v>
      </c>
      <c r="D2710" t="s">
        <v>996</v>
      </c>
      <c r="E2710" t="s">
        <v>2136</v>
      </c>
      <c r="F2710" t="s">
        <v>4657</v>
      </c>
      <c r="H2710" t="s">
        <v>17</v>
      </c>
      <c r="I2710" t="s">
        <v>4658</v>
      </c>
    </row>
    <row r="2711" spans="1:9" x14ac:dyDescent="0.3">
      <c r="A2711" t="s">
        <v>4652</v>
      </c>
      <c r="C2711" t="s">
        <v>13</v>
      </c>
      <c r="D2711" t="s">
        <v>1001</v>
      </c>
      <c r="E2711" t="s">
        <v>2138</v>
      </c>
      <c r="F2711" t="s">
        <v>4659</v>
      </c>
      <c r="H2711" t="s">
        <v>17</v>
      </c>
      <c r="I2711" t="s">
        <v>4658</v>
      </c>
    </row>
    <row r="2712" spans="1:9" x14ac:dyDescent="0.3">
      <c r="A2712" t="s">
        <v>4652</v>
      </c>
      <c r="C2712" t="s">
        <v>13</v>
      </c>
      <c r="D2712" t="s">
        <v>1942</v>
      </c>
      <c r="E2712" t="s">
        <v>2140</v>
      </c>
      <c r="F2712" t="s">
        <v>4660</v>
      </c>
      <c r="H2712" t="s">
        <v>17</v>
      </c>
      <c r="I2712" t="s">
        <v>4661</v>
      </c>
    </row>
    <row r="2713" spans="1:9" x14ac:dyDescent="0.3">
      <c r="A2713" t="s">
        <v>4652</v>
      </c>
      <c r="C2713" t="s">
        <v>13</v>
      </c>
      <c r="D2713" t="s">
        <v>22</v>
      </c>
      <c r="E2713" t="s">
        <v>629</v>
      </c>
      <c r="F2713" t="s">
        <v>4662</v>
      </c>
      <c r="H2713" t="s">
        <v>17</v>
      </c>
      <c r="I2713" t="s">
        <v>4663</v>
      </c>
    </row>
    <row r="2714" spans="1:9" x14ac:dyDescent="0.3">
      <c r="A2714" t="s">
        <v>4652</v>
      </c>
      <c r="C2714" t="s">
        <v>13</v>
      </c>
      <c r="D2714" t="s">
        <v>27</v>
      </c>
      <c r="E2714" t="s">
        <v>2144</v>
      </c>
      <c r="F2714" t="s">
        <v>4664</v>
      </c>
      <c r="H2714" t="s">
        <v>17</v>
      </c>
      <c r="I2714" t="s">
        <v>4665</v>
      </c>
    </row>
    <row r="2715" spans="1:9" x14ac:dyDescent="0.3">
      <c r="A2715" t="s">
        <v>4652</v>
      </c>
      <c r="C2715" t="s">
        <v>13</v>
      </c>
      <c r="D2715" t="s">
        <v>1014</v>
      </c>
      <c r="E2715" t="s">
        <v>2147</v>
      </c>
      <c r="F2715" t="s">
        <v>4666</v>
      </c>
      <c r="H2715" t="s">
        <v>17</v>
      </c>
      <c r="I2715" t="s">
        <v>4667</v>
      </c>
    </row>
    <row r="2716" spans="1:9" x14ac:dyDescent="0.3">
      <c r="A2716" t="s">
        <v>4652</v>
      </c>
      <c r="C2716" t="s">
        <v>13</v>
      </c>
      <c r="D2716" t="s">
        <v>1017</v>
      </c>
      <c r="E2716" t="s">
        <v>633</v>
      </c>
      <c r="F2716" t="s">
        <v>4668</v>
      </c>
      <c r="H2716" t="s">
        <v>17</v>
      </c>
      <c r="I2716" t="s">
        <v>4605</v>
      </c>
    </row>
    <row r="2717" spans="1:9" x14ac:dyDescent="0.3">
      <c r="A2717" t="s">
        <v>4652</v>
      </c>
      <c r="C2717" t="s">
        <v>13</v>
      </c>
      <c r="D2717" t="s">
        <v>36</v>
      </c>
      <c r="E2717" t="s">
        <v>2151</v>
      </c>
      <c r="F2717" t="s">
        <v>4129</v>
      </c>
      <c r="H2717" t="s">
        <v>17</v>
      </c>
      <c r="I2717" t="s">
        <v>4669</v>
      </c>
    </row>
    <row r="2718" spans="1:9" x14ac:dyDescent="0.3">
      <c r="A2718" t="s">
        <v>4652</v>
      </c>
      <c r="C2718" t="s">
        <v>13</v>
      </c>
      <c r="D2718" t="s">
        <v>41</v>
      </c>
      <c r="E2718" t="s">
        <v>2153</v>
      </c>
      <c r="F2718" t="s">
        <v>4670</v>
      </c>
      <c r="H2718" t="s">
        <v>17</v>
      </c>
      <c r="I2718" t="s">
        <v>4466</v>
      </c>
    </row>
    <row r="2719" spans="1:9" x14ac:dyDescent="0.3">
      <c r="A2719" t="s">
        <v>4652</v>
      </c>
      <c r="C2719" t="s">
        <v>13</v>
      </c>
      <c r="D2719" t="s">
        <v>45</v>
      </c>
      <c r="E2719" t="s">
        <v>636</v>
      </c>
      <c r="F2719" t="s">
        <v>4671</v>
      </c>
      <c r="H2719" t="s">
        <v>17</v>
      </c>
      <c r="I2719" t="s">
        <v>4466</v>
      </c>
    </row>
    <row r="2720" spans="1:9" x14ac:dyDescent="0.3">
      <c r="A2720" t="s">
        <v>4652</v>
      </c>
      <c r="C2720" t="s">
        <v>13</v>
      </c>
      <c r="D2720" t="s">
        <v>50</v>
      </c>
      <c r="E2720" t="s">
        <v>2159</v>
      </c>
      <c r="F2720" t="s">
        <v>4672</v>
      </c>
      <c r="H2720" t="s">
        <v>17</v>
      </c>
      <c r="I2720" t="s">
        <v>4572</v>
      </c>
    </row>
    <row r="2721" spans="1:9" x14ac:dyDescent="0.3">
      <c r="A2721" t="s">
        <v>4652</v>
      </c>
      <c r="C2721" t="s">
        <v>13</v>
      </c>
      <c r="D2721" t="s">
        <v>4673</v>
      </c>
      <c r="E2721" t="s">
        <v>2162</v>
      </c>
      <c r="F2721" t="s">
        <v>4614</v>
      </c>
      <c r="H2721" t="s">
        <v>17</v>
      </c>
      <c r="I2721" t="s">
        <v>4615</v>
      </c>
    </row>
    <row r="2722" spans="1:9" x14ac:dyDescent="0.3">
      <c r="A2722" t="s">
        <v>4652</v>
      </c>
      <c r="C2722" t="s">
        <v>13</v>
      </c>
      <c r="D2722" t="s">
        <v>4674</v>
      </c>
      <c r="E2722" t="s">
        <v>639</v>
      </c>
      <c r="F2722" t="s">
        <v>4675</v>
      </c>
      <c r="H2722" t="s">
        <v>17</v>
      </c>
      <c r="I2722" t="s">
        <v>4676</v>
      </c>
    </row>
    <row r="2723" spans="1:9" x14ac:dyDescent="0.3">
      <c r="A2723" t="s">
        <v>4652</v>
      </c>
      <c r="C2723" t="s">
        <v>13</v>
      </c>
      <c r="D2723" t="s">
        <v>2168</v>
      </c>
      <c r="E2723" t="s">
        <v>2165</v>
      </c>
      <c r="F2723" t="s">
        <v>3972</v>
      </c>
      <c r="H2723" t="s">
        <v>17</v>
      </c>
      <c r="I2723" t="s">
        <v>4616</v>
      </c>
    </row>
    <row r="2724" spans="1:9" x14ac:dyDescent="0.3">
      <c r="A2724" t="s">
        <v>4652</v>
      </c>
      <c r="C2724" t="s">
        <v>13</v>
      </c>
      <c r="D2724" t="s">
        <v>76</v>
      </c>
      <c r="E2724" t="s">
        <v>2169</v>
      </c>
      <c r="F2724" t="s">
        <v>4677</v>
      </c>
      <c r="H2724" t="s">
        <v>17</v>
      </c>
      <c r="I2724" t="s">
        <v>4678</v>
      </c>
    </row>
    <row r="2725" spans="1:9" x14ac:dyDescent="0.3">
      <c r="A2725" t="s">
        <v>4652</v>
      </c>
      <c r="C2725" t="s">
        <v>13</v>
      </c>
      <c r="D2725" t="s">
        <v>1792</v>
      </c>
      <c r="E2725" t="s">
        <v>642</v>
      </c>
      <c r="F2725" t="s">
        <v>4679</v>
      </c>
      <c r="H2725" t="s">
        <v>17</v>
      </c>
      <c r="I2725" t="s">
        <v>4680</v>
      </c>
    </row>
    <row r="2726" spans="1:9" x14ac:dyDescent="0.3">
      <c r="A2726" t="s">
        <v>4652</v>
      </c>
      <c r="C2726" t="s">
        <v>13</v>
      </c>
      <c r="D2726" t="s">
        <v>90</v>
      </c>
      <c r="E2726" t="s">
        <v>2174</v>
      </c>
      <c r="F2726" t="s">
        <v>843</v>
      </c>
      <c r="H2726" t="s">
        <v>17</v>
      </c>
      <c r="I2726" t="s">
        <v>845</v>
      </c>
    </row>
    <row r="2727" spans="1:9" x14ac:dyDescent="0.3">
      <c r="A2727" t="s">
        <v>4652</v>
      </c>
      <c r="C2727" t="s">
        <v>13</v>
      </c>
      <c r="D2727" t="s">
        <v>95</v>
      </c>
      <c r="E2727" t="s">
        <v>2176</v>
      </c>
      <c r="F2727" t="s">
        <v>2775</v>
      </c>
      <c r="H2727" t="s">
        <v>17</v>
      </c>
      <c r="I2727" t="s">
        <v>4681</v>
      </c>
    </row>
    <row r="2728" spans="1:9" x14ac:dyDescent="0.3">
      <c r="A2728" t="s">
        <v>4652</v>
      </c>
      <c r="C2728" t="s">
        <v>13</v>
      </c>
      <c r="D2728" t="s">
        <v>100</v>
      </c>
      <c r="E2728" t="s">
        <v>645</v>
      </c>
      <c r="F2728" t="s">
        <v>4682</v>
      </c>
      <c r="H2728" t="s">
        <v>17</v>
      </c>
      <c r="I2728" t="s">
        <v>4205</v>
      </c>
    </row>
    <row r="2729" spans="1:9" x14ac:dyDescent="0.3">
      <c r="A2729" t="s">
        <v>4652</v>
      </c>
      <c r="C2729" t="s">
        <v>13</v>
      </c>
      <c r="D2729" t="s">
        <v>106</v>
      </c>
      <c r="E2729" t="s">
        <v>2179</v>
      </c>
      <c r="F2729" t="s">
        <v>3344</v>
      </c>
      <c r="H2729" t="s">
        <v>17</v>
      </c>
      <c r="I2729" t="s">
        <v>4207</v>
      </c>
    </row>
    <row r="2730" spans="1:9" x14ac:dyDescent="0.3">
      <c r="A2730" t="s">
        <v>4652</v>
      </c>
      <c r="C2730" t="s">
        <v>13</v>
      </c>
      <c r="D2730" t="s">
        <v>111</v>
      </c>
      <c r="E2730" t="s">
        <v>2181</v>
      </c>
      <c r="F2730" t="s">
        <v>4588</v>
      </c>
      <c r="H2730" t="s">
        <v>17</v>
      </c>
      <c r="I2730" t="s">
        <v>4589</v>
      </c>
    </row>
    <row r="2731" spans="1:9" x14ac:dyDescent="0.3">
      <c r="A2731" t="s">
        <v>4652</v>
      </c>
      <c r="C2731" t="s">
        <v>13</v>
      </c>
      <c r="D2731" t="s">
        <v>114</v>
      </c>
      <c r="E2731" t="s">
        <v>648</v>
      </c>
      <c r="F2731" t="s">
        <v>747</v>
      </c>
      <c r="H2731" t="s">
        <v>17</v>
      </c>
      <c r="I2731" t="s">
        <v>4623</v>
      </c>
    </row>
    <row r="2732" spans="1:9" x14ac:dyDescent="0.3">
      <c r="A2732" t="s">
        <v>4652</v>
      </c>
      <c r="C2732" t="s">
        <v>13</v>
      </c>
      <c r="D2732" t="s">
        <v>117</v>
      </c>
      <c r="E2732" t="s">
        <v>2182</v>
      </c>
      <c r="F2732" t="s">
        <v>4590</v>
      </c>
      <c r="H2732" t="s">
        <v>17</v>
      </c>
      <c r="I2732" t="s">
        <v>4624</v>
      </c>
    </row>
    <row r="2733" spans="1:9" x14ac:dyDescent="0.3">
      <c r="A2733" t="s">
        <v>4652</v>
      </c>
      <c r="C2733" t="s">
        <v>13</v>
      </c>
      <c r="D2733" t="s">
        <v>121</v>
      </c>
      <c r="E2733" t="s">
        <v>2184</v>
      </c>
      <c r="F2733" t="s">
        <v>2918</v>
      </c>
      <c r="H2733" t="s">
        <v>17</v>
      </c>
      <c r="I2733" t="s">
        <v>4593</v>
      </c>
    </row>
    <row r="2734" spans="1:9" x14ac:dyDescent="0.3">
      <c r="A2734" t="s">
        <v>4652</v>
      </c>
      <c r="C2734" t="s">
        <v>13</v>
      </c>
      <c r="D2734" t="s">
        <v>126</v>
      </c>
      <c r="E2734" t="s">
        <v>651</v>
      </c>
      <c r="F2734" t="s">
        <v>4594</v>
      </c>
      <c r="H2734" t="s">
        <v>17</v>
      </c>
      <c r="I2734" t="s">
        <v>4683</v>
      </c>
    </row>
    <row r="2735" spans="1:9" x14ac:dyDescent="0.3">
      <c r="A2735" t="s">
        <v>4652</v>
      </c>
      <c r="C2735" t="s">
        <v>13</v>
      </c>
      <c r="D2735" t="s">
        <v>129</v>
      </c>
      <c r="E2735" t="s">
        <v>656</v>
      </c>
      <c r="F2735" t="s">
        <v>4596</v>
      </c>
      <c r="H2735" t="s">
        <v>17</v>
      </c>
      <c r="I2735" t="s">
        <v>4684</v>
      </c>
    </row>
    <row r="2736" spans="1:9" x14ac:dyDescent="0.3">
      <c r="A2736" t="s">
        <v>4652</v>
      </c>
      <c r="C2736" t="s">
        <v>13</v>
      </c>
      <c r="D2736" t="s">
        <v>132</v>
      </c>
      <c r="E2736" t="s">
        <v>659</v>
      </c>
      <c r="F2736" t="s">
        <v>4627</v>
      </c>
      <c r="H2736" t="s">
        <v>17</v>
      </c>
      <c r="I2736" t="s">
        <v>4188</v>
      </c>
    </row>
    <row r="2737" spans="1:9" x14ac:dyDescent="0.3">
      <c r="A2737" t="s">
        <v>4652</v>
      </c>
      <c r="C2737" t="s">
        <v>13</v>
      </c>
      <c r="D2737" t="s">
        <v>135</v>
      </c>
      <c r="E2737" t="s">
        <v>662</v>
      </c>
      <c r="F2737" t="s">
        <v>4190</v>
      </c>
      <c r="H2737" t="s">
        <v>17</v>
      </c>
      <c r="I2737" t="s">
        <v>4651</v>
      </c>
    </row>
    <row r="2738" spans="1:9" x14ac:dyDescent="0.3">
      <c r="A2738" t="s">
        <v>4685</v>
      </c>
      <c r="E2738" t="s">
        <v>10</v>
      </c>
      <c r="F2738" t="s">
        <v>4686</v>
      </c>
    </row>
    <row r="2739" spans="1:9" x14ac:dyDescent="0.3">
      <c r="A2739" t="s">
        <v>4685</v>
      </c>
      <c r="B2739" t="s">
        <v>4687</v>
      </c>
      <c r="C2739" t="s">
        <v>13</v>
      </c>
      <c r="D2739" t="s">
        <v>14</v>
      </c>
      <c r="E2739" t="s">
        <v>1742</v>
      </c>
      <c r="F2739" t="s">
        <v>4688</v>
      </c>
      <c r="H2739" t="s">
        <v>17</v>
      </c>
    </row>
    <row r="2740" spans="1:9" x14ac:dyDescent="0.3">
      <c r="A2740" t="s">
        <v>4685</v>
      </c>
      <c r="B2740" t="s">
        <v>4687</v>
      </c>
      <c r="C2740" t="s">
        <v>13</v>
      </c>
      <c r="D2740" t="s">
        <v>1743</v>
      </c>
      <c r="E2740" t="s">
        <v>1744</v>
      </c>
      <c r="F2740" t="s">
        <v>4689</v>
      </c>
      <c r="H2740" t="s">
        <v>17</v>
      </c>
      <c r="I2740" t="s">
        <v>4690</v>
      </c>
    </row>
    <row r="2741" spans="1:9" x14ac:dyDescent="0.3">
      <c r="A2741" t="s">
        <v>4685</v>
      </c>
      <c r="B2741" t="s">
        <v>4687</v>
      </c>
      <c r="C2741" t="s">
        <v>13</v>
      </c>
      <c r="D2741" t="s">
        <v>996</v>
      </c>
      <c r="E2741" t="s">
        <v>1747</v>
      </c>
      <c r="F2741" t="s">
        <v>4691</v>
      </c>
      <c r="H2741" t="s">
        <v>17</v>
      </c>
      <c r="I2741" t="s">
        <v>4690</v>
      </c>
    </row>
    <row r="2742" spans="1:9" x14ac:dyDescent="0.3">
      <c r="A2742" t="s">
        <v>4685</v>
      </c>
      <c r="B2742" t="s">
        <v>4687</v>
      </c>
      <c r="C2742" t="s">
        <v>13</v>
      </c>
      <c r="D2742" t="s">
        <v>1001</v>
      </c>
      <c r="E2742" t="s">
        <v>1750</v>
      </c>
      <c r="F2742" t="s">
        <v>4692</v>
      </c>
      <c r="H2742" t="s">
        <v>17</v>
      </c>
      <c r="I2742" t="s">
        <v>4466</v>
      </c>
    </row>
    <row r="2743" spans="1:9" x14ac:dyDescent="0.3">
      <c r="A2743" t="s">
        <v>4685</v>
      </c>
      <c r="B2743" t="s">
        <v>4687</v>
      </c>
      <c r="C2743" t="s">
        <v>13</v>
      </c>
      <c r="D2743" t="s">
        <v>1942</v>
      </c>
      <c r="E2743" t="s">
        <v>1752</v>
      </c>
      <c r="F2743" t="s">
        <v>4693</v>
      </c>
      <c r="H2743" t="s">
        <v>17</v>
      </c>
      <c r="I2743" t="s">
        <v>4694</v>
      </c>
    </row>
    <row r="2744" spans="1:9" x14ac:dyDescent="0.3">
      <c r="A2744" t="s">
        <v>4685</v>
      </c>
      <c r="B2744" t="s">
        <v>4687</v>
      </c>
      <c r="C2744" t="s">
        <v>13</v>
      </c>
      <c r="D2744" t="s">
        <v>22</v>
      </c>
      <c r="E2744" t="s">
        <v>1754</v>
      </c>
      <c r="F2744" t="s">
        <v>4695</v>
      </c>
      <c r="H2744" t="s">
        <v>17</v>
      </c>
      <c r="I2744" t="s">
        <v>4696</v>
      </c>
    </row>
    <row r="2745" spans="1:9" x14ac:dyDescent="0.3">
      <c r="A2745" t="s">
        <v>4685</v>
      </c>
      <c r="B2745" t="s">
        <v>4687</v>
      </c>
      <c r="C2745" t="s">
        <v>13</v>
      </c>
      <c r="D2745" t="s">
        <v>27</v>
      </c>
      <c r="E2745" t="s">
        <v>1757</v>
      </c>
      <c r="F2745" t="s">
        <v>4697</v>
      </c>
      <c r="H2745" t="s">
        <v>17</v>
      </c>
      <c r="I2745" t="s">
        <v>4698</v>
      </c>
    </row>
    <row r="2746" spans="1:9" x14ac:dyDescent="0.3">
      <c r="A2746" t="s">
        <v>4685</v>
      </c>
      <c r="B2746" t="s">
        <v>4687</v>
      </c>
      <c r="C2746" t="s">
        <v>13</v>
      </c>
      <c r="D2746" t="s">
        <v>1014</v>
      </c>
      <c r="E2746" t="s">
        <v>1760</v>
      </c>
      <c r="F2746" t="s">
        <v>4699</v>
      </c>
      <c r="H2746" t="s">
        <v>17</v>
      </c>
      <c r="I2746" t="s">
        <v>4466</v>
      </c>
    </row>
    <row r="2747" spans="1:9" x14ac:dyDescent="0.3">
      <c r="A2747" t="s">
        <v>4685</v>
      </c>
      <c r="B2747" t="s">
        <v>4687</v>
      </c>
      <c r="C2747" t="s">
        <v>13</v>
      </c>
      <c r="D2747" t="s">
        <v>1017</v>
      </c>
      <c r="E2747" t="s">
        <v>1763</v>
      </c>
      <c r="F2747" t="s">
        <v>4700</v>
      </c>
      <c r="H2747" t="s">
        <v>17</v>
      </c>
      <c r="I2747" t="s">
        <v>4701</v>
      </c>
    </row>
    <row r="2748" spans="1:9" x14ac:dyDescent="0.3">
      <c r="A2748" t="s">
        <v>4685</v>
      </c>
      <c r="B2748" t="s">
        <v>4687</v>
      </c>
      <c r="C2748" t="s">
        <v>13</v>
      </c>
      <c r="D2748" t="s">
        <v>36</v>
      </c>
      <c r="E2748" t="s">
        <v>1765</v>
      </c>
      <c r="F2748" t="s">
        <v>4702</v>
      </c>
      <c r="H2748" t="s">
        <v>17</v>
      </c>
      <c r="I2748" t="s">
        <v>4703</v>
      </c>
    </row>
    <row r="2749" spans="1:9" x14ac:dyDescent="0.3">
      <c r="A2749" t="s">
        <v>4685</v>
      </c>
      <c r="B2749" t="s">
        <v>4687</v>
      </c>
      <c r="C2749" t="s">
        <v>13</v>
      </c>
      <c r="D2749" t="s">
        <v>41</v>
      </c>
      <c r="E2749" t="s">
        <v>1768</v>
      </c>
      <c r="F2749" t="s">
        <v>4704</v>
      </c>
      <c r="H2749" t="s">
        <v>17</v>
      </c>
      <c r="I2749" t="s">
        <v>4466</v>
      </c>
    </row>
    <row r="2750" spans="1:9" x14ac:dyDescent="0.3">
      <c r="A2750" t="s">
        <v>4685</v>
      </c>
      <c r="B2750" t="s">
        <v>4687</v>
      </c>
      <c r="C2750" t="s">
        <v>13</v>
      </c>
      <c r="D2750" t="s">
        <v>45</v>
      </c>
      <c r="E2750" t="s">
        <v>1771</v>
      </c>
      <c r="F2750" t="s">
        <v>4705</v>
      </c>
      <c r="H2750" t="s">
        <v>17</v>
      </c>
      <c r="I2750" t="s">
        <v>4706</v>
      </c>
    </row>
    <row r="2751" spans="1:9" x14ac:dyDescent="0.3">
      <c r="A2751" t="s">
        <v>4685</v>
      </c>
      <c r="B2751" t="s">
        <v>4687</v>
      </c>
      <c r="C2751" t="s">
        <v>13</v>
      </c>
      <c r="D2751" t="s">
        <v>50</v>
      </c>
      <c r="E2751" t="s">
        <v>1775</v>
      </c>
      <c r="F2751" t="s">
        <v>4707</v>
      </c>
      <c r="H2751" t="s">
        <v>17</v>
      </c>
      <c r="I2751" t="s">
        <v>4708</v>
      </c>
    </row>
    <row r="2752" spans="1:9" x14ac:dyDescent="0.3">
      <c r="A2752" t="s">
        <v>4685</v>
      </c>
      <c r="B2752" t="s">
        <v>4687</v>
      </c>
      <c r="C2752" t="s">
        <v>13</v>
      </c>
      <c r="D2752" t="s">
        <v>53</v>
      </c>
      <c r="E2752" t="s">
        <v>1777</v>
      </c>
      <c r="F2752" t="s">
        <v>4709</v>
      </c>
      <c r="H2752" t="s">
        <v>17</v>
      </c>
      <c r="I2752" t="s">
        <v>4710</v>
      </c>
    </row>
    <row r="2753" spans="1:9" x14ac:dyDescent="0.3">
      <c r="A2753" t="s">
        <v>4685</v>
      </c>
      <c r="B2753" t="s">
        <v>4687</v>
      </c>
      <c r="C2753" t="s">
        <v>13</v>
      </c>
      <c r="D2753" t="s">
        <v>56</v>
      </c>
      <c r="E2753" t="s">
        <v>1779</v>
      </c>
      <c r="F2753" t="s">
        <v>4711</v>
      </c>
      <c r="H2753" t="s">
        <v>17</v>
      </c>
      <c r="I2753" t="s">
        <v>4710</v>
      </c>
    </row>
    <row r="2754" spans="1:9" x14ac:dyDescent="0.3">
      <c r="A2754" t="s">
        <v>4685</v>
      </c>
      <c r="B2754" t="s">
        <v>4687</v>
      </c>
      <c r="C2754" t="s">
        <v>13</v>
      </c>
      <c r="D2754" t="s">
        <v>61</v>
      </c>
      <c r="E2754" t="s">
        <v>1781</v>
      </c>
      <c r="F2754" t="s">
        <v>4712</v>
      </c>
      <c r="H2754" t="s">
        <v>17</v>
      </c>
      <c r="I2754" t="s">
        <v>4713</v>
      </c>
    </row>
    <row r="2755" spans="1:9" x14ac:dyDescent="0.3">
      <c r="A2755" t="s">
        <v>4685</v>
      </c>
      <c r="B2755" t="s">
        <v>4687</v>
      </c>
      <c r="C2755" t="s">
        <v>13</v>
      </c>
      <c r="D2755" t="s">
        <v>66</v>
      </c>
      <c r="E2755" t="s">
        <v>1784</v>
      </c>
      <c r="F2755" t="s">
        <v>4714</v>
      </c>
      <c r="H2755" t="s">
        <v>17</v>
      </c>
      <c r="I2755" t="s">
        <v>4715</v>
      </c>
    </row>
    <row r="2756" spans="1:9" x14ac:dyDescent="0.3">
      <c r="A2756" t="s">
        <v>4685</v>
      </c>
      <c r="B2756" t="s">
        <v>4687</v>
      </c>
      <c r="C2756" t="s">
        <v>13</v>
      </c>
      <c r="D2756" t="s">
        <v>71</v>
      </c>
      <c r="E2756" t="s">
        <v>1787</v>
      </c>
      <c r="F2756" t="s">
        <v>4716</v>
      </c>
      <c r="H2756" t="s">
        <v>17</v>
      </c>
      <c r="I2756" t="s">
        <v>4717</v>
      </c>
    </row>
    <row r="2757" spans="1:9" x14ac:dyDescent="0.3">
      <c r="A2757" t="s">
        <v>4685</v>
      </c>
      <c r="B2757" t="s">
        <v>4687</v>
      </c>
      <c r="C2757" t="s">
        <v>13</v>
      </c>
      <c r="D2757" t="s">
        <v>1050</v>
      </c>
      <c r="E2757" t="s">
        <v>1789</v>
      </c>
      <c r="F2757" t="s">
        <v>4718</v>
      </c>
      <c r="H2757" t="s">
        <v>17</v>
      </c>
      <c r="I2757" t="s">
        <v>4719</v>
      </c>
    </row>
    <row r="2758" spans="1:9" x14ac:dyDescent="0.3">
      <c r="A2758" t="s">
        <v>4685</v>
      </c>
      <c r="B2758" t="s">
        <v>4687</v>
      </c>
      <c r="C2758" t="s">
        <v>13</v>
      </c>
      <c r="D2758" t="s">
        <v>1055</v>
      </c>
      <c r="E2758" t="s">
        <v>1793</v>
      </c>
      <c r="F2758" t="s">
        <v>4720</v>
      </c>
      <c r="H2758" t="s">
        <v>17</v>
      </c>
      <c r="I2758" t="s">
        <v>4721</v>
      </c>
    </row>
    <row r="2759" spans="1:9" x14ac:dyDescent="0.3">
      <c r="A2759" t="s">
        <v>4685</v>
      </c>
      <c r="B2759" t="s">
        <v>4687</v>
      </c>
      <c r="C2759" t="s">
        <v>13</v>
      </c>
      <c r="D2759" t="s">
        <v>80</v>
      </c>
      <c r="E2759" t="s">
        <v>1798</v>
      </c>
      <c r="F2759" t="s">
        <v>4722</v>
      </c>
      <c r="H2759" t="s">
        <v>17</v>
      </c>
      <c r="I2759" t="s">
        <v>3925</v>
      </c>
    </row>
    <row r="2760" spans="1:9" x14ac:dyDescent="0.3">
      <c r="A2760" t="s">
        <v>4685</v>
      </c>
      <c r="B2760" t="s">
        <v>4687</v>
      </c>
      <c r="C2760" t="s">
        <v>13</v>
      </c>
      <c r="D2760" t="s">
        <v>85</v>
      </c>
      <c r="E2760" t="s">
        <v>1801</v>
      </c>
      <c r="F2760" t="s">
        <v>4722</v>
      </c>
      <c r="H2760" t="s">
        <v>17</v>
      </c>
      <c r="I2760" t="s">
        <v>4723</v>
      </c>
    </row>
    <row r="2761" spans="1:9" x14ac:dyDescent="0.3">
      <c r="A2761" t="s">
        <v>4685</v>
      </c>
      <c r="B2761" t="s">
        <v>4687</v>
      </c>
      <c r="C2761" t="s">
        <v>13</v>
      </c>
      <c r="D2761" t="s">
        <v>90</v>
      </c>
      <c r="E2761" t="s">
        <v>1803</v>
      </c>
      <c r="F2761" t="s">
        <v>4722</v>
      </c>
      <c r="H2761" t="s">
        <v>17</v>
      </c>
      <c r="I2761" t="s">
        <v>4724</v>
      </c>
    </row>
    <row r="2762" spans="1:9" x14ac:dyDescent="0.3">
      <c r="A2762" t="s">
        <v>4685</v>
      </c>
      <c r="B2762" t="s">
        <v>4687</v>
      </c>
      <c r="C2762" t="s">
        <v>13</v>
      </c>
      <c r="D2762" t="s">
        <v>95</v>
      </c>
      <c r="E2762" t="s">
        <v>1806</v>
      </c>
      <c r="F2762" t="s">
        <v>4722</v>
      </c>
      <c r="H2762" t="s">
        <v>17</v>
      </c>
      <c r="I2762" t="s">
        <v>4725</v>
      </c>
    </row>
    <row r="2763" spans="1:9" x14ac:dyDescent="0.3">
      <c r="A2763" t="s">
        <v>4685</v>
      </c>
      <c r="B2763" t="s">
        <v>4687</v>
      </c>
      <c r="C2763" t="s">
        <v>13</v>
      </c>
      <c r="D2763" t="s">
        <v>100</v>
      </c>
      <c r="E2763" t="s">
        <v>1808</v>
      </c>
      <c r="F2763" t="s">
        <v>4722</v>
      </c>
      <c r="H2763" t="s">
        <v>17</v>
      </c>
      <c r="I2763" t="s">
        <v>3931</v>
      </c>
    </row>
    <row r="2764" spans="1:9" x14ac:dyDescent="0.3">
      <c r="A2764" t="s">
        <v>4685</v>
      </c>
      <c r="B2764" t="s">
        <v>4687</v>
      </c>
      <c r="C2764" t="s">
        <v>13</v>
      </c>
      <c r="D2764" t="s">
        <v>106</v>
      </c>
      <c r="E2764" t="s">
        <v>1811</v>
      </c>
      <c r="F2764" t="s">
        <v>4726</v>
      </c>
      <c r="H2764" t="s">
        <v>17</v>
      </c>
      <c r="I2764" t="s">
        <v>4727</v>
      </c>
    </row>
    <row r="2765" spans="1:9" x14ac:dyDescent="0.3">
      <c r="A2765" t="s">
        <v>4685</v>
      </c>
      <c r="B2765" t="s">
        <v>4687</v>
      </c>
      <c r="C2765" t="s">
        <v>13</v>
      </c>
      <c r="D2765" t="s">
        <v>111</v>
      </c>
      <c r="E2765" t="s">
        <v>1814</v>
      </c>
      <c r="F2765" t="s">
        <v>4728</v>
      </c>
      <c r="H2765" t="s">
        <v>17</v>
      </c>
      <c r="I2765" t="s">
        <v>4729</v>
      </c>
    </row>
    <row r="2766" spans="1:9" x14ac:dyDescent="0.3">
      <c r="A2766" t="s">
        <v>4685</v>
      </c>
      <c r="B2766" t="s">
        <v>4687</v>
      </c>
      <c r="C2766" t="s">
        <v>13</v>
      </c>
      <c r="D2766" t="s">
        <v>114</v>
      </c>
      <c r="E2766" t="s">
        <v>1818</v>
      </c>
      <c r="F2766" t="s">
        <v>4730</v>
      </c>
      <c r="H2766" t="s">
        <v>17</v>
      </c>
      <c r="I2766" t="s">
        <v>4731</v>
      </c>
    </row>
    <row r="2767" spans="1:9" x14ac:dyDescent="0.3">
      <c r="A2767" t="s">
        <v>4685</v>
      </c>
      <c r="B2767" t="s">
        <v>4687</v>
      </c>
      <c r="C2767" t="s">
        <v>13</v>
      </c>
      <c r="D2767" t="s">
        <v>117</v>
      </c>
      <c r="E2767" t="s">
        <v>1820</v>
      </c>
      <c r="F2767" t="s">
        <v>4732</v>
      </c>
      <c r="H2767" t="s">
        <v>17</v>
      </c>
      <c r="I2767" t="s">
        <v>4733</v>
      </c>
    </row>
    <row r="2768" spans="1:9" x14ac:dyDescent="0.3">
      <c r="A2768" t="s">
        <v>4685</v>
      </c>
      <c r="B2768" t="s">
        <v>4687</v>
      </c>
      <c r="C2768" t="s">
        <v>13</v>
      </c>
      <c r="D2768" t="s">
        <v>121</v>
      </c>
      <c r="E2768" t="s">
        <v>1822</v>
      </c>
      <c r="F2768" t="s">
        <v>4734</v>
      </c>
      <c r="H2768" t="s">
        <v>17</v>
      </c>
      <c r="I2768" t="s">
        <v>4733</v>
      </c>
    </row>
    <row r="2769" spans="1:9" x14ac:dyDescent="0.3">
      <c r="A2769" t="s">
        <v>4685</v>
      </c>
      <c r="B2769" t="s">
        <v>4687</v>
      </c>
      <c r="C2769" t="s">
        <v>13</v>
      </c>
      <c r="D2769" t="s">
        <v>126</v>
      </c>
      <c r="E2769" t="s">
        <v>1824</v>
      </c>
      <c r="F2769" t="s">
        <v>4735</v>
      </c>
      <c r="H2769" t="s">
        <v>17</v>
      </c>
      <c r="I2769" t="s">
        <v>4736</v>
      </c>
    </row>
    <row r="2770" spans="1:9" x14ac:dyDescent="0.3">
      <c r="A2770" t="s">
        <v>4685</v>
      </c>
      <c r="B2770" t="s">
        <v>4687</v>
      </c>
      <c r="C2770" t="s">
        <v>13</v>
      </c>
      <c r="D2770" t="s">
        <v>129</v>
      </c>
      <c r="E2770" t="s">
        <v>1826</v>
      </c>
      <c r="F2770" t="s">
        <v>4737</v>
      </c>
      <c r="H2770" t="s">
        <v>17</v>
      </c>
      <c r="I2770" t="s">
        <v>4738</v>
      </c>
    </row>
    <row r="2771" spans="1:9" x14ac:dyDescent="0.3">
      <c r="A2771" t="s">
        <v>4685</v>
      </c>
      <c r="B2771" t="s">
        <v>4687</v>
      </c>
      <c r="C2771" t="s">
        <v>13</v>
      </c>
      <c r="D2771" t="s">
        <v>132</v>
      </c>
      <c r="E2771" t="s">
        <v>1828</v>
      </c>
      <c r="F2771" t="s">
        <v>4739</v>
      </c>
      <c r="H2771" t="s">
        <v>17</v>
      </c>
      <c r="I2771" t="s">
        <v>4740</v>
      </c>
    </row>
    <row r="2772" spans="1:9" x14ac:dyDescent="0.3">
      <c r="A2772" t="s">
        <v>4685</v>
      </c>
      <c r="B2772" t="s">
        <v>4687</v>
      </c>
      <c r="C2772" t="s">
        <v>13</v>
      </c>
      <c r="D2772" t="s">
        <v>135</v>
      </c>
      <c r="E2772" t="s">
        <v>1831</v>
      </c>
      <c r="F2772" t="s">
        <v>4741</v>
      </c>
      <c r="H2772" t="s">
        <v>17</v>
      </c>
      <c r="I2772" t="s">
        <v>4742</v>
      </c>
    </row>
    <row r="2773" spans="1:9" x14ac:dyDescent="0.3">
      <c r="A2773" t="s">
        <v>4685</v>
      </c>
      <c r="B2773" t="s">
        <v>4687</v>
      </c>
      <c r="C2773" t="s">
        <v>13</v>
      </c>
      <c r="D2773" t="s">
        <v>138</v>
      </c>
      <c r="E2773" t="s">
        <v>1833</v>
      </c>
      <c r="F2773" t="s">
        <v>4743</v>
      </c>
      <c r="H2773" t="s">
        <v>17</v>
      </c>
      <c r="I2773" t="s">
        <v>4466</v>
      </c>
    </row>
    <row r="2774" spans="1:9" x14ac:dyDescent="0.3">
      <c r="A2774" t="s">
        <v>4685</v>
      </c>
      <c r="B2774" t="s">
        <v>4687</v>
      </c>
      <c r="C2774" t="s">
        <v>13</v>
      </c>
      <c r="D2774" t="s">
        <v>141</v>
      </c>
      <c r="E2774" t="s">
        <v>1836</v>
      </c>
      <c r="F2774" t="s">
        <v>4744</v>
      </c>
      <c r="H2774" t="s">
        <v>17</v>
      </c>
      <c r="I2774" t="s">
        <v>4466</v>
      </c>
    </row>
    <row r="2775" spans="1:9" x14ac:dyDescent="0.3">
      <c r="A2775" t="s">
        <v>4685</v>
      </c>
      <c r="B2775" t="s">
        <v>4687</v>
      </c>
      <c r="C2775" t="s">
        <v>13</v>
      </c>
      <c r="D2775" t="s">
        <v>144</v>
      </c>
      <c r="E2775" t="s">
        <v>1838</v>
      </c>
      <c r="F2775" t="s">
        <v>4745</v>
      </c>
      <c r="H2775" t="s">
        <v>17</v>
      </c>
      <c r="I2775" t="s">
        <v>4466</v>
      </c>
    </row>
    <row r="2776" spans="1:9" x14ac:dyDescent="0.3">
      <c r="A2776" t="s">
        <v>4685</v>
      </c>
      <c r="B2776" t="s">
        <v>4687</v>
      </c>
      <c r="C2776" t="s">
        <v>13</v>
      </c>
      <c r="D2776" t="s">
        <v>147</v>
      </c>
      <c r="E2776" t="s">
        <v>1840</v>
      </c>
      <c r="F2776" t="s">
        <v>4746</v>
      </c>
      <c r="H2776" t="s">
        <v>17</v>
      </c>
      <c r="I2776" t="s">
        <v>4466</v>
      </c>
    </row>
    <row r="2777" spans="1:9" x14ac:dyDescent="0.3">
      <c r="A2777" t="s">
        <v>4685</v>
      </c>
      <c r="B2777" t="s">
        <v>4687</v>
      </c>
      <c r="C2777" t="s">
        <v>13</v>
      </c>
      <c r="D2777" t="s">
        <v>152</v>
      </c>
      <c r="E2777" t="s">
        <v>1843</v>
      </c>
      <c r="F2777" t="s">
        <v>4747</v>
      </c>
      <c r="H2777" t="s">
        <v>17</v>
      </c>
      <c r="I2777" t="s">
        <v>4748</v>
      </c>
    </row>
    <row r="2778" spans="1:9" x14ac:dyDescent="0.3">
      <c r="A2778" t="s">
        <v>4685</v>
      </c>
      <c r="B2778" t="s">
        <v>4687</v>
      </c>
      <c r="C2778" t="s">
        <v>13</v>
      </c>
      <c r="D2778" t="s">
        <v>157</v>
      </c>
      <c r="E2778" t="s">
        <v>1847</v>
      </c>
      <c r="F2778" t="s">
        <v>4749</v>
      </c>
      <c r="H2778" t="s">
        <v>17</v>
      </c>
      <c r="I2778" t="s">
        <v>4713</v>
      </c>
    </row>
    <row r="2779" spans="1:9" x14ac:dyDescent="0.3">
      <c r="A2779" t="s">
        <v>4685</v>
      </c>
      <c r="B2779" t="s">
        <v>4687</v>
      </c>
      <c r="C2779" t="s">
        <v>13</v>
      </c>
      <c r="D2779" t="s">
        <v>162</v>
      </c>
      <c r="E2779" t="s">
        <v>1849</v>
      </c>
      <c r="F2779" t="s">
        <v>4750</v>
      </c>
      <c r="H2779" t="s">
        <v>17</v>
      </c>
      <c r="I2779" t="s">
        <v>4466</v>
      </c>
    </row>
    <row r="2780" spans="1:9" x14ac:dyDescent="0.3">
      <c r="A2780" t="s">
        <v>4685</v>
      </c>
      <c r="B2780" t="s">
        <v>4687</v>
      </c>
      <c r="C2780" t="s">
        <v>13</v>
      </c>
      <c r="D2780" t="s">
        <v>167</v>
      </c>
      <c r="E2780" t="s">
        <v>1851</v>
      </c>
      <c r="F2780" t="s">
        <v>4751</v>
      </c>
      <c r="H2780" t="s">
        <v>17</v>
      </c>
      <c r="I2780" t="s">
        <v>4752</v>
      </c>
    </row>
    <row r="2781" spans="1:9" x14ac:dyDescent="0.3">
      <c r="A2781" t="s">
        <v>4685</v>
      </c>
      <c r="B2781" t="s">
        <v>4687</v>
      </c>
      <c r="C2781" t="s">
        <v>13</v>
      </c>
      <c r="D2781" t="s">
        <v>1104</v>
      </c>
      <c r="E2781" t="s">
        <v>1853</v>
      </c>
      <c r="F2781" t="s">
        <v>4753</v>
      </c>
      <c r="H2781" t="s">
        <v>17</v>
      </c>
      <c r="I2781" t="s">
        <v>4754</v>
      </c>
    </row>
    <row r="2782" spans="1:9" x14ac:dyDescent="0.3">
      <c r="A2782" t="s">
        <v>4685</v>
      </c>
      <c r="B2782" t="s">
        <v>4687</v>
      </c>
      <c r="C2782" t="s">
        <v>13</v>
      </c>
      <c r="D2782" t="s">
        <v>1109</v>
      </c>
      <c r="E2782" t="s">
        <v>1855</v>
      </c>
      <c r="F2782" t="s">
        <v>4755</v>
      </c>
      <c r="H2782" t="s">
        <v>17</v>
      </c>
      <c r="I2782" t="s">
        <v>4756</v>
      </c>
    </row>
    <row r="2783" spans="1:9" x14ac:dyDescent="0.3">
      <c r="A2783" t="s">
        <v>4685</v>
      </c>
      <c r="B2783" t="s">
        <v>4687</v>
      </c>
      <c r="C2783" t="s">
        <v>13</v>
      </c>
      <c r="D2783" t="s">
        <v>193</v>
      </c>
      <c r="E2783" t="s">
        <v>1857</v>
      </c>
      <c r="F2783" t="s">
        <v>4757</v>
      </c>
      <c r="H2783" t="s">
        <v>17</v>
      </c>
      <c r="I2783" t="s">
        <v>4758</v>
      </c>
    </row>
    <row r="2784" spans="1:9" x14ac:dyDescent="0.3">
      <c r="A2784" t="s">
        <v>4685</v>
      </c>
      <c r="B2784" t="s">
        <v>4687</v>
      </c>
      <c r="C2784" t="s">
        <v>13</v>
      </c>
      <c r="D2784" t="s">
        <v>198</v>
      </c>
      <c r="E2784" t="s">
        <v>1859</v>
      </c>
      <c r="F2784" t="s">
        <v>4759</v>
      </c>
      <c r="H2784" t="s">
        <v>17</v>
      </c>
      <c r="I2784" t="s">
        <v>4760</v>
      </c>
    </row>
    <row r="2785" spans="1:9" x14ac:dyDescent="0.3">
      <c r="A2785" t="s">
        <v>4685</v>
      </c>
      <c r="B2785" t="s">
        <v>4687</v>
      </c>
      <c r="C2785" t="s">
        <v>13</v>
      </c>
      <c r="D2785" t="s">
        <v>202</v>
      </c>
      <c r="E2785" t="s">
        <v>1861</v>
      </c>
      <c r="F2785" t="s">
        <v>4761</v>
      </c>
      <c r="H2785" t="s">
        <v>17</v>
      </c>
      <c r="I2785" t="s">
        <v>4748</v>
      </c>
    </row>
    <row r="2786" spans="1:9" x14ac:dyDescent="0.3">
      <c r="A2786" t="s">
        <v>4685</v>
      </c>
      <c r="B2786" t="s">
        <v>4687</v>
      </c>
      <c r="C2786" t="s">
        <v>13</v>
      </c>
      <c r="D2786" t="s">
        <v>206</v>
      </c>
      <c r="E2786" t="s">
        <v>1863</v>
      </c>
      <c r="F2786" t="s">
        <v>4762</v>
      </c>
      <c r="H2786" t="s">
        <v>17</v>
      </c>
      <c r="I2786" t="s">
        <v>4763</v>
      </c>
    </row>
    <row r="2787" spans="1:9" x14ac:dyDescent="0.3">
      <c r="A2787" t="s">
        <v>4685</v>
      </c>
      <c r="B2787" t="s">
        <v>4687</v>
      </c>
      <c r="C2787" t="s">
        <v>13</v>
      </c>
      <c r="D2787" t="s">
        <v>210</v>
      </c>
      <c r="E2787" t="s">
        <v>1865</v>
      </c>
      <c r="F2787" t="s">
        <v>4764</v>
      </c>
      <c r="H2787" t="s">
        <v>17</v>
      </c>
      <c r="I2787" t="s">
        <v>4466</v>
      </c>
    </row>
    <row r="2788" spans="1:9" x14ac:dyDescent="0.3">
      <c r="A2788" t="s">
        <v>4685</v>
      </c>
      <c r="B2788" t="s">
        <v>4687</v>
      </c>
      <c r="C2788" t="s">
        <v>13</v>
      </c>
      <c r="D2788" t="s">
        <v>214</v>
      </c>
      <c r="E2788" t="s">
        <v>1867</v>
      </c>
      <c r="F2788" t="s">
        <v>4765</v>
      </c>
      <c r="H2788" t="s">
        <v>17</v>
      </c>
      <c r="I2788" t="s">
        <v>4466</v>
      </c>
    </row>
    <row r="2789" spans="1:9" x14ac:dyDescent="0.3">
      <c r="A2789" t="s">
        <v>4685</v>
      </c>
      <c r="B2789" t="s">
        <v>4687</v>
      </c>
      <c r="C2789" t="s">
        <v>13</v>
      </c>
      <c r="D2789" t="s">
        <v>1127</v>
      </c>
      <c r="E2789" t="s">
        <v>1869</v>
      </c>
      <c r="F2789" t="s">
        <v>4766</v>
      </c>
      <c r="H2789" t="s">
        <v>17</v>
      </c>
      <c r="I2789" t="s">
        <v>4754</v>
      </c>
    </row>
    <row r="2790" spans="1:9" x14ac:dyDescent="0.3">
      <c r="A2790" t="s">
        <v>4685</v>
      </c>
      <c r="B2790" t="s">
        <v>4687</v>
      </c>
      <c r="C2790" t="s">
        <v>13</v>
      </c>
      <c r="D2790" t="s">
        <v>1131</v>
      </c>
      <c r="E2790" t="s">
        <v>1871</v>
      </c>
      <c r="F2790" t="s">
        <v>4767</v>
      </c>
      <c r="H2790" t="s">
        <v>17</v>
      </c>
      <c r="I2790" t="s">
        <v>4768</v>
      </c>
    </row>
    <row r="2791" spans="1:9" x14ac:dyDescent="0.3">
      <c r="A2791" t="s">
        <v>4685</v>
      </c>
      <c r="B2791" t="s">
        <v>4687</v>
      </c>
      <c r="C2791" t="s">
        <v>13</v>
      </c>
      <c r="D2791" t="s">
        <v>236</v>
      </c>
      <c r="E2791" t="s">
        <v>1873</v>
      </c>
      <c r="F2791" t="s">
        <v>4769</v>
      </c>
      <c r="H2791" t="s">
        <v>17</v>
      </c>
      <c r="I2791" t="s">
        <v>4758</v>
      </c>
    </row>
    <row r="2792" spans="1:9" x14ac:dyDescent="0.3">
      <c r="A2792" t="s">
        <v>4685</v>
      </c>
      <c r="B2792" t="s">
        <v>4687</v>
      </c>
      <c r="C2792" t="s">
        <v>13</v>
      </c>
      <c r="D2792" t="s">
        <v>239</v>
      </c>
      <c r="E2792" t="s">
        <v>1875</v>
      </c>
      <c r="F2792" t="s">
        <v>4770</v>
      </c>
      <c r="H2792" t="s">
        <v>17</v>
      </c>
      <c r="I2792" t="s">
        <v>4760</v>
      </c>
    </row>
    <row r="2793" spans="1:9" x14ac:dyDescent="0.3">
      <c r="A2793" t="s">
        <v>4685</v>
      </c>
      <c r="B2793" t="s">
        <v>4771</v>
      </c>
      <c r="C2793" t="s">
        <v>13</v>
      </c>
      <c r="D2793" t="s">
        <v>1881</v>
      </c>
      <c r="E2793" t="s">
        <v>1882</v>
      </c>
      <c r="F2793" t="s">
        <v>4772</v>
      </c>
      <c r="H2793" t="s">
        <v>17</v>
      </c>
      <c r="I2793" t="s">
        <v>3925</v>
      </c>
    </row>
    <row r="2794" spans="1:9" x14ac:dyDescent="0.3">
      <c r="A2794" t="s">
        <v>4685</v>
      </c>
      <c r="B2794" t="s">
        <v>4771</v>
      </c>
      <c r="C2794" t="s">
        <v>13</v>
      </c>
      <c r="D2794" t="s">
        <v>1885</v>
      </c>
      <c r="E2794" t="s">
        <v>1886</v>
      </c>
      <c r="F2794" t="s">
        <v>4772</v>
      </c>
      <c r="H2794" t="s">
        <v>17</v>
      </c>
      <c r="I2794" t="s">
        <v>3924</v>
      </c>
    </row>
    <row r="2795" spans="1:9" x14ac:dyDescent="0.3">
      <c r="A2795" t="s">
        <v>4685</v>
      </c>
      <c r="B2795" t="s">
        <v>4771</v>
      </c>
      <c r="C2795" t="s">
        <v>13</v>
      </c>
      <c r="D2795" t="s">
        <v>1588</v>
      </c>
      <c r="E2795" t="s">
        <v>1889</v>
      </c>
      <c r="F2795" t="s">
        <v>4772</v>
      </c>
      <c r="H2795" t="s">
        <v>17</v>
      </c>
      <c r="I2795" t="s">
        <v>4723</v>
      </c>
    </row>
    <row r="2796" spans="1:9" x14ac:dyDescent="0.3">
      <c r="A2796" t="s">
        <v>4685</v>
      </c>
      <c r="B2796" t="s">
        <v>4771</v>
      </c>
      <c r="C2796" t="s">
        <v>13</v>
      </c>
      <c r="D2796" t="s">
        <v>1892</v>
      </c>
      <c r="E2796" t="s">
        <v>1893</v>
      </c>
      <c r="F2796" t="s">
        <v>4772</v>
      </c>
      <c r="H2796" t="s">
        <v>17</v>
      </c>
      <c r="I2796" t="s">
        <v>4724</v>
      </c>
    </row>
    <row r="2797" spans="1:9" x14ac:dyDescent="0.3">
      <c r="A2797" t="s">
        <v>4685</v>
      </c>
      <c r="B2797" t="s">
        <v>4771</v>
      </c>
      <c r="C2797" t="s">
        <v>13</v>
      </c>
      <c r="D2797" t="s">
        <v>1146</v>
      </c>
      <c r="E2797" t="s">
        <v>1896</v>
      </c>
      <c r="F2797" t="s">
        <v>4772</v>
      </c>
      <c r="H2797" t="s">
        <v>17</v>
      </c>
      <c r="I2797" t="s">
        <v>4773</v>
      </c>
    </row>
    <row r="2798" spans="1:9" x14ac:dyDescent="0.3">
      <c r="A2798" t="s">
        <v>4685</v>
      </c>
      <c r="B2798" t="s">
        <v>4771</v>
      </c>
      <c r="C2798" t="s">
        <v>13</v>
      </c>
      <c r="D2798" t="s">
        <v>1150</v>
      </c>
      <c r="E2798" t="s">
        <v>1898</v>
      </c>
      <c r="F2798" t="s">
        <v>4772</v>
      </c>
      <c r="H2798" t="s">
        <v>17</v>
      </c>
      <c r="I2798" t="s">
        <v>4725</v>
      </c>
    </row>
    <row r="2799" spans="1:9" x14ac:dyDescent="0.3">
      <c r="A2799" t="s">
        <v>4685</v>
      </c>
      <c r="B2799" t="s">
        <v>4771</v>
      </c>
      <c r="C2799" t="s">
        <v>13</v>
      </c>
      <c r="D2799" t="s">
        <v>1154</v>
      </c>
      <c r="E2799" t="s">
        <v>1901</v>
      </c>
      <c r="F2799" t="s">
        <v>4772</v>
      </c>
      <c r="H2799" t="s">
        <v>17</v>
      </c>
      <c r="I2799" t="s">
        <v>4774</v>
      </c>
    </row>
    <row r="2800" spans="1:9" x14ac:dyDescent="0.3">
      <c r="A2800" t="s">
        <v>4685</v>
      </c>
      <c r="B2800" t="s">
        <v>4771</v>
      </c>
      <c r="C2800" t="s">
        <v>13</v>
      </c>
      <c r="D2800" t="s">
        <v>1158</v>
      </c>
      <c r="E2800" t="s">
        <v>1903</v>
      </c>
      <c r="F2800" t="s">
        <v>4772</v>
      </c>
      <c r="H2800" t="s">
        <v>17</v>
      </c>
      <c r="I2800" t="s">
        <v>3931</v>
      </c>
    </row>
    <row r="2801" spans="1:9" x14ac:dyDescent="0.3">
      <c r="A2801" t="s">
        <v>4685</v>
      </c>
      <c r="B2801" t="s">
        <v>4771</v>
      </c>
      <c r="C2801" t="s">
        <v>13</v>
      </c>
      <c r="D2801" t="s">
        <v>1162</v>
      </c>
      <c r="E2801" t="s">
        <v>1905</v>
      </c>
      <c r="F2801" t="s">
        <v>4775</v>
      </c>
      <c r="H2801" t="s">
        <v>17</v>
      </c>
      <c r="I2801" t="s">
        <v>4776</v>
      </c>
    </row>
    <row r="2802" spans="1:9" x14ac:dyDescent="0.3">
      <c r="A2802" t="s">
        <v>4685</v>
      </c>
      <c r="B2802" t="s">
        <v>4771</v>
      </c>
      <c r="C2802" t="s">
        <v>13</v>
      </c>
      <c r="D2802" t="s">
        <v>1165</v>
      </c>
      <c r="E2802" t="s">
        <v>1907</v>
      </c>
      <c r="F2802" t="s">
        <v>4777</v>
      </c>
      <c r="H2802" t="s">
        <v>17</v>
      </c>
      <c r="I2802" t="s">
        <v>4466</v>
      </c>
    </row>
    <row r="2803" spans="1:9" x14ac:dyDescent="0.3">
      <c r="A2803" t="s">
        <v>4685</v>
      </c>
      <c r="B2803" t="s">
        <v>4771</v>
      </c>
      <c r="C2803" t="s">
        <v>13</v>
      </c>
      <c r="D2803" t="s">
        <v>1168</v>
      </c>
      <c r="E2803" t="s">
        <v>1909</v>
      </c>
      <c r="F2803" t="s">
        <v>4778</v>
      </c>
      <c r="H2803" t="s">
        <v>17</v>
      </c>
      <c r="I2803" t="s">
        <v>4466</v>
      </c>
    </row>
    <row r="2804" spans="1:9" x14ac:dyDescent="0.3">
      <c r="A2804" t="s">
        <v>4685</v>
      </c>
      <c r="B2804" t="s">
        <v>4771</v>
      </c>
      <c r="C2804" t="s">
        <v>13</v>
      </c>
      <c r="D2804" t="s">
        <v>1172</v>
      </c>
      <c r="E2804" t="s">
        <v>1911</v>
      </c>
      <c r="F2804" t="s">
        <v>4779</v>
      </c>
      <c r="H2804" t="s">
        <v>17</v>
      </c>
      <c r="I2804" t="s">
        <v>4466</v>
      </c>
    </row>
    <row r="2805" spans="1:9" x14ac:dyDescent="0.3">
      <c r="A2805" t="s">
        <v>4685</v>
      </c>
      <c r="B2805" t="s">
        <v>4771</v>
      </c>
      <c r="C2805" t="s">
        <v>13</v>
      </c>
      <c r="D2805" t="s">
        <v>1176</v>
      </c>
      <c r="E2805" t="s">
        <v>1914</v>
      </c>
      <c r="F2805" t="s">
        <v>3990</v>
      </c>
      <c r="H2805" t="s">
        <v>17</v>
      </c>
      <c r="I2805" t="s">
        <v>4780</v>
      </c>
    </row>
    <row r="2806" spans="1:9" x14ac:dyDescent="0.3">
      <c r="A2806" t="s">
        <v>4685</v>
      </c>
      <c r="B2806" t="s">
        <v>4781</v>
      </c>
      <c r="C2806" t="s">
        <v>13</v>
      </c>
      <c r="D2806" t="s">
        <v>1179</v>
      </c>
      <c r="E2806" t="s">
        <v>1919</v>
      </c>
      <c r="F2806" t="s">
        <v>4782</v>
      </c>
      <c r="H2806" t="s">
        <v>17</v>
      </c>
      <c r="I2806" t="s">
        <v>3925</v>
      </c>
    </row>
    <row r="2807" spans="1:9" x14ac:dyDescent="0.3">
      <c r="A2807" t="s">
        <v>4685</v>
      </c>
      <c r="B2807" t="s">
        <v>4781</v>
      </c>
      <c r="C2807" t="s">
        <v>13</v>
      </c>
      <c r="D2807" t="s">
        <v>1184</v>
      </c>
      <c r="E2807" t="s">
        <v>1921</v>
      </c>
      <c r="F2807" t="s">
        <v>4782</v>
      </c>
      <c r="H2807" t="s">
        <v>17</v>
      </c>
      <c r="I2807" t="s">
        <v>3924</v>
      </c>
    </row>
    <row r="2808" spans="1:9" x14ac:dyDescent="0.3">
      <c r="A2808" t="s">
        <v>4685</v>
      </c>
      <c r="B2808" t="s">
        <v>4781</v>
      </c>
      <c r="C2808" t="s">
        <v>13</v>
      </c>
      <c r="D2808" t="s">
        <v>1189</v>
      </c>
      <c r="E2808" t="s">
        <v>1923</v>
      </c>
      <c r="F2808" t="s">
        <v>4782</v>
      </c>
      <c r="H2808" t="s">
        <v>17</v>
      </c>
      <c r="I2808" t="s">
        <v>4723</v>
      </c>
    </row>
    <row r="2809" spans="1:9" x14ac:dyDescent="0.3">
      <c r="A2809" t="s">
        <v>4685</v>
      </c>
      <c r="B2809" t="s">
        <v>4781</v>
      </c>
      <c r="C2809" t="s">
        <v>13</v>
      </c>
      <c r="D2809" t="s">
        <v>1193</v>
      </c>
      <c r="E2809" t="s">
        <v>1925</v>
      </c>
      <c r="F2809" t="s">
        <v>4782</v>
      </c>
      <c r="H2809" t="s">
        <v>17</v>
      </c>
      <c r="I2809" t="s">
        <v>4724</v>
      </c>
    </row>
    <row r="2810" spans="1:9" x14ac:dyDescent="0.3">
      <c r="A2810" t="s">
        <v>4685</v>
      </c>
      <c r="B2810" t="s">
        <v>4781</v>
      </c>
      <c r="C2810" t="s">
        <v>13</v>
      </c>
      <c r="D2810" t="s">
        <v>1197</v>
      </c>
      <c r="E2810" t="s">
        <v>1927</v>
      </c>
      <c r="F2810" t="s">
        <v>4783</v>
      </c>
      <c r="H2810" t="s">
        <v>17</v>
      </c>
    </row>
    <row r="2811" spans="1:9" x14ac:dyDescent="0.3">
      <c r="A2811" t="s">
        <v>4685</v>
      </c>
      <c r="B2811" t="s">
        <v>4781</v>
      </c>
      <c r="C2811" t="s">
        <v>1936</v>
      </c>
      <c r="D2811" t="s">
        <v>1743</v>
      </c>
      <c r="E2811" t="s">
        <v>3361</v>
      </c>
      <c r="F2811" t="s">
        <v>4782</v>
      </c>
      <c r="H2811" t="s">
        <v>17</v>
      </c>
      <c r="I2811" t="s">
        <v>4784</v>
      </c>
    </row>
    <row r="2812" spans="1:9" x14ac:dyDescent="0.3">
      <c r="A2812" t="s">
        <v>4685</v>
      </c>
      <c r="B2812" t="s">
        <v>4781</v>
      </c>
      <c r="C2812" t="s">
        <v>1936</v>
      </c>
      <c r="D2812" t="s">
        <v>996</v>
      </c>
      <c r="E2812" t="s">
        <v>4226</v>
      </c>
      <c r="F2812" t="s">
        <v>4782</v>
      </c>
      <c r="H2812" t="s">
        <v>17</v>
      </c>
      <c r="I2812" t="s">
        <v>4725</v>
      </c>
    </row>
    <row r="2813" spans="1:9" x14ac:dyDescent="0.3">
      <c r="A2813" t="s">
        <v>4685</v>
      </c>
      <c r="B2813" t="s">
        <v>4781</v>
      </c>
      <c r="C2813" t="s">
        <v>1936</v>
      </c>
      <c r="D2813" t="s">
        <v>1001</v>
      </c>
      <c r="E2813" t="s">
        <v>3365</v>
      </c>
      <c r="F2813" t="s">
        <v>4782</v>
      </c>
      <c r="H2813" t="s">
        <v>17</v>
      </c>
      <c r="I2813" t="s">
        <v>4774</v>
      </c>
    </row>
    <row r="2814" spans="1:9" x14ac:dyDescent="0.3">
      <c r="A2814" t="s">
        <v>4685</v>
      </c>
      <c r="B2814" t="s">
        <v>4781</v>
      </c>
      <c r="C2814" t="s">
        <v>1936</v>
      </c>
      <c r="D2814" t="s">
        <v>1942</v>
      </c>
      <c r="E2814" t="s">
        <v>377</v>
      </c>
      <c r="F2814" t="s">
        <v>4782</v>
      </c>
      <c r="H2814" t="s">
        <v>17</v>
      </c>
      <c r="I2814" t="s">
        <v>3931</v>
      </c>
    </row>
    <row r="2815" spans="1:9" x14ac:dyDescent="0.3">
      <c r="A2815" t="s">
        <v>4685</v>
      </c>
      <c r="B2815" t="s">
        <v>4781</v>
      </c>
      <c r="C2815" t="s">
        <v>1936</v>
      </c>
      <c r="D2815" t="s">
        <v>22</v>
      </c>
      <c r="E2815" t="s">
        <v>383</v>
      </c>
      <c r="F2815" t="s">
        <v>4785</v>
      </c>
      <c r="H2815" t="s">
        <v>17</v>
      </c>
      <c r="I2815" t="s">
        <v>4786</v>
      </c>
    </row>
    <row r="2816" spans="1:9" x14ac:dyDescent="0.3">
      <c r="A2816" t="s">
        <v>4685</v>
      </c>
      <c r="B2816" t="s">
        <v>4781</v>
      </c>
      <c r="C2816" t="s">
        <v>1936</v>
      </c>
      <c r="D2816" t="s">
        <v>27</v>
      </c>
      <c r="E2816" t="s">
        <v>1638</v>
      </c>
      <c r="F2816" t="s">
        <v>4787</v>
      </c>
      <c r="H2816" t="s">
        <v>17</v>
      </c>
      <c r="I2816" t="s">
        <v>4466</v>
      </c>
    </row>
    <row r="2817" spans="1:9" x14ac:dyDescent="0.3">
      <c r="A2817" t="s">
        <v>4685</v>
      </c>
      <c r="B2817" t="s">
        <v>4781</v>
      </c>
      <c r="C2817" t="s">
        <v>1936</v>
      </c>
      <c r="D2817" t="s">
        <v>1014</v>
      </c>
      <c r="E2817" t="s">
        <v>1640</v>
      </c>
      <c r="F2817" t="s">
        <v>4788</v>
      </c>
      <c r="H2817" t="s">
        <v>17</v>
      </c>
      <c r="I2817" t="s">
        <v>4789</v>
      </c>
    </row>
    <row r="2818" spans="1:9" x14ac:dyDescent="0.3">
      <c r="A2818" t="s">
        <v>4685</v>
      </c>
      <c r="B2818" t="s">
        <v>4781</v>
      </c>
      <c r="C2818" t="s">
        <v>1936</v>
      </c>
      <c r="D2818" t="s">
        <v>1017</v>
      </c>
      <c r="E2818" t="s">
        <v>1643</v>
      </c>
      <c r="F2818" t="s">
        <v>4790</v>
      </c>
      <c r="H2818" t="s">
        <v>17</v>
      </c>
      <c r="I2818" t="s">
        <v>4791</v>
      </c>
    </row>
    <row r="2819" spans="1:9" x14ac:dyDescent="0.3">
      <c r="A2819" t="s">
        <v>4685</v>
      </c>
      <c r="B2819" t="s">
        <v>4781</v>
      </c>
      <c r="C2819" t="s">
        <v>1936</v>
      </c>
      <c r="D2819" t="s">
        <v>36</v>
      </c>
      <c r="E2819" t="s">
        <v>388</v>
      </c>
      <c r="F2819" t="s">
        <v>4792</v>
      </c>
      <c r="H2819" t="s">
        <v>17</v>
      </c>
      <c r="I2819" t="s">
        <v>4793</v>
      </c>
    </row>
    <row r="2820" spans="1:9" x14ac:dyDescent="0.3">
      <c r="A2820" t="s">
        <v>4685</v>
      </c>
      <c r="B2820" t="s">
        <v>4781</v>
      </c>
      <c r="C2820" t="s">
        <v>1936</v>
      </c>
      <c r="D2820" t="s">
        <v>41</v>
      </c>
      <c r="E2820" t="s">
        <v>1647</v>
      </c>
      <c r="F2820" t="s">
        <v>4794</v>
      </c>
      <c r="H2820" t="s">
        <v>17</v>
      </c>
      <c r="I2820" t="s">
        <v>4583</v>
      </c>
    </row>
    <row r="2821" spans="1:9" x14ac:dyDescent="0.3">
      <c r="A2821" t="s">
        <v>4685</v>
      </c>
      <c r="B2821" t="s">
        <v>4781</v>
      </c>
      <c r="C2821" t="s">
        <v>1936</v>
      </c>
      <c r="D2821" t="s">
        <v>45</v>
      </c>
      <c r="E2821" t="s">
        <v>392</v>
      </c>
      <c r="F2821" t="s">
        <v>4795</v>
      </c>
      <c r="H2821" t="s">
        <v>17</v>
      </c>
      <c r="I2821" t="s">
        <v>4796</v>
      </c>
    </row>
    <row r="2822" spans="1:9" x14ac:dyDescent="0.3">
      <c r="A2822" t="s">
        <v>4685</v>
      </c>
      <c r="B2822" t="s">
        <v>4781</v>
      </c>
      <c r="C2822" t="s">
        <v>1936</v>
      </c>
      <c r="D2822" t="s">
        <v>50</v>
      </c>
      <c r="E2822" t="s">
        <v>1653</v>
      </c>
      <c r="F2822" t="s">
        <v>4797</v>
      </c>
      <c r="H2822" t="s">
        <v>17</v>
      </c>
      <c r="I2822" t="s">
        <v>4798</v>
      </c>
    </row>
    <row r="2823" spans="1:9" x14ac:dyDescent="0.3">
      <c r="A2823" t="s">
        <v>4685</v>
      </c>
      <c r="B2823" t="s">
        <v>4781</v>
      </c>
      <c r="C2823" t="s">
        <v>1936</v>
      </c>
      <c r="D2823" t="s">
        <v>53</v>
      </c>
      <c r="E2823" t="s">
        <v>395</v>
      </c>
      <c r="F2823" t="s">
        <v>4799</v>
      </c>
      <c r="H2823" t="s">
        <v>17</v>
      </c>
      <c r="I2823" t="s">
        <v>4798</v>
      </c>
    </row>
    <row r="2824" spans="1:9" x14ac:dyDescent="0.3">
      <c r="A2824" t="s">
        <v>4685</v>
      </c>
      <c r="B2824" t="s">
        <v>4781</v>
      </c>
      <c r="C2824" t="s">
        <v>1936</v>
      </c>
      <c r="D2824" t="s">
        <v>56</v>
      </c>
      <c r="E2824" t="s">
        <v>1656</v>
      </c>
      <c r="F2824" t="s">
        <v>4800</v>
      </c>
      <c r="H2824" t="s">
        <v>17</v>
      </c>
      <c r="I2824" t="s">
        <v>4801</v>
      </c>
    </row>
    <row r="2825" spans="1:9" x14ac:dyDescent="0.3">
      <c r="A2825" t="s">
        <v>4685</v>
      </c>
      <c r="B2825" t="s">
        <v>4781</v>
      </c>
      <c r="C2825" t="s">
        <v>1936</v>
      </c>
      <c r="D2825" t="s">
        <v>61</v>
      </c>
      <c r="E2825" t="s">
        <v>398</v>
      </c>
      <c r="F2825" t="s">
        <v>4802</v>
      </c>
      <c r="H2825" t="s">
        <v>17</v>
      </c>
      <c r="I2825" t="s">
        <v>4803</v>
      </c>
    </row>
    <row r="2826" spans="1:9" x14ac:dyDescent="0.3">
      <c r="A2826" t="s">
        <v>4685</v>
      </c>
      <c r="B2826" t="s">
        <v>4781</v>
      </c>
      <c r="C2826" t="s">
        <v>1936</v>
      </c>
      <c r="D2826" t="s">
        <v>66</v>
      </c>
      <c r="E2826" t="s">
        <v>3378</v>
      </c>
      <c r="F2826" t="s">
        <v>4804</v>
      </c>
      <c r="H2826" t="s">
        <v>17</v>
      </c>
      <c r="I2826" t="s">
        <v>4805</v>
      </c>
    </row>
    <row r="2827" spans="1:9" x14ac:dyDescent="0.3">
      <c r="A2827" t="s">
        <v>4685</v>
      </c>
      <c r="B2827" t="s">
        <v>4781</v>
      </c>
      <c r="C2827" t="s">
        <v>1936</v>
      </c>
      <c r="D2827" t="s">
        <v>71</v>
      </c>
      <c r="E2827" t="s">
        <v>401</v>
      </c>
      <c r="F2827" t="s">
        <v>4806</v>
      </c>
      <c r="H2827" t="s">
        <v>17</v>
      </c>
      <c r="I2827" t="s">
        <v>4807</v>
      </c>
    </row>
    <row r="2828" spans="1:9" x14ac:dyDescent="0.3">
      <c r="A2828" t="s">
        <v>4685</v>
      </c>
      <c r="B2828" t="s">
        <v>4781</v>
      </c>
      <c r="C2828" t="s">
        <v>1936</v>
      </c>
      <c r="D2828" t="s">
        <v>76</v>
      </c>
      <c r="E2828" t="s">
        <v>1663</v>
      </c>
      <c r="F2828" t="s">
        <v>3972</v>
      </c>
      <c r="H2828" t="s">
        <v>17</v>
      </c>
      <c r="I2828" t="s">
        <v>4808</v>
      </c>
    </row>
    <row r="2829" spans="1:9" x14ac:dyDescent="0.3">
      <c r="A2829" t="s">
        <v>4685</v>
      </c>
      <c r="B2829" t="s">
        <v>4781</v>
      </c>
      <c r="C2829" t="s">
        <v>1936</v>
      </c>
      <c r="D2829" t="s">
        <v>1792</v>
      </c>
      <c r="E2829" t="s">
        <v>404</v>
      </c>
      <c r="F2829" t="s">
        <v>4809</v>
      </c>
      <c r="H2829" t="s">
        <v>17</v>
      </c>
      <c r="I2829" t="s">
        <v>4810</v>
      </c>
    </row>
    <row r="2830" spans="1:9" x14ac:dyDescent="0.3">
      <c r="A2830" t="s">
        <v>4685</v>
      </c>
      <c r="B2830" t="s">
        <v>4781</v>
      </c>
      <c r="C2830" t="s">
        <v>1936</v>
      </c>
      <c r="D2830" t="s">
        <v>1063</v>
      </c>
      <c r="E2830" t="s">
        <v>3382</v>
      </c>
      <c r="F2830" t="s">
        <v>4811</v>
      </c>
      <c r="H2830" t="s">
        <v>17</v>
      </c>
      <c r="I2830" t="s">
        <v>4812</v>
      </c>
    </row>
    <row r="2831" spans="1:9" x14ac:dyDescent="0.3">
      <c r="A2831" t="s">
        <v>4685</v>
      </c>
      <c r="B2831" t="s">
        <v>4781</v>
      </c>
      <c r="C2831" t="s">
        <v>1936</v>
      </c>
      <c r="D2831" t="s">
        <v>100</v>
      </c>
      <c r="E2831" t="s">
        <v>407</v>
      </c>
      <c r="F2831" t="s">
        <v>843</v>
      </c>
      <c r="H2831" t="s">
        <v>17</v>
      </c>
      <c r="I2831" t="s">
        <v>845</v>
      </c>
    </row>
    <row r="2832" spans="1:9" x14ac:dyDescent="0.3">
      <c r="A2832" t="s">
        <v>4685</v>
      </c>
      <c r="B2832" t="s">
        <v>4781</v>
      </c>
      <c r="C2832" t="s">
        <v>1936</v>
      </c>
      <c r="D2832" t="s">
        <v>106</v>
      </c>
      <c r="E2832" t="s">
        <v>1670</v>
      </c>
      <c r="F2832" t="s">
        <v>4813</v>
      </c>
      <c r="H2832" t="s">
        <v>17</v>
      </c>
      <c r="I2832" t="s">
        <v>4814</v>
      </c>
    </row>
    <row r="2833" spans="1:9" x14ac:dyDescent="0.3">
      <c r="A2833" t="s">
        <v>4685</v>
      </c>
      <c r="B2833" t="s">
        <v>4781</v>
      </c>
      <c r="C2833" t="s">
        <v>1936</v>
      </c>
      <c r="D2833" t="s">
        <v>111</v>
      </c>
      <c r="E2833" t="s">
        <v>411</v>
      </c>
      <c r="F2833" t="s">
        <v>747</v>
      </c>
      <c r="H2833" t="s">
        <v>17</v>
      </c>
      <c r="I2833" t="s">
        <v>4815</v>
      </c>
    </row>
    <row r="2834" spans="1:9" x14ac:dyDescent="0.3">
      <c r="A2834" t="s">
        <v>4685</v>
      </c>
      <c r="B2834" t="s">
        <v>4781</v>
      </c>
      <c r="C2834" t="s">
        <v>1936</v>
      </c>
      <c r="D2834" t="s">
        <v>114</v>
      </c>
      <c r="E2834" t="s">
        <v>416</v>
      </c>
      <c r="F2834" t="s">
        <v>797</v>
      </c>
      <c r="H2834" t="s">
        <v>17</v>
      </c>
      <c r="I2834" t="s">
        <v>4816</v>
      </c>
    </row>
    <row r="2835" spans="1:9" x14ac:dyDescent="0.3">
      <c r="A2835" t="s">
        <v>4685</v>
      </c>
      <c r="B2835" t="s">
        <v>4781</v>
      </c>
      <c r="C2835" t="s">
        <v>1936</v>
      </c>
      <c r="D2835" t="s">
        <v>117</v>
      </c>
      <c r="E2835" t="s">
        <v>421</v>
      </c>
      <c r="F2835" t="s">
        <v>4817</v>
      </c>
      <c r="H2835" t="s">
        <v>17</v>
      </c>
      <c r="I2835" t="s">
        <v>4818</v>
      </c>
    </row>
    <row r="2836" spans="1:9" x14ac:dyDescent="0.3">
      <c r="A2836" t="s">
        <v>4685</v>
      </c>
      <c r="B2836" t="s">
        <v>4781</v>
      </c>
      <c r="C2836" t="s">
        <v>1936</v>
      </c>
      <c r="D2836" t="s">
        <v>121</v>
      </c>
      <c r="E2836" t="s">
        <v>424</v>
      </c>
      <c r="F2836" t="s">
        <v>4819</v>
      </c>
      <c r="H2836" t="s">
        <v>17</v>
      </c>
      <c r="I2836" t="s">
        <v>4820</v>
      </c>
    </row>
    <row r="2837" spans="1:9" x14ac:dyDescent="0.3">
      <c r="A2837" t="s">
        <v>4685</v>
      </c>
      <c r="B2837" t="s">
        <v>4781</v>
      </c>
      <c r="C2837" t="s">
        <v>1936</v>
      </c>
      <c r="D2837" t="s">
        <v>126</v>
      </c>
      <c r="E2837" t="s">
        <v>427</v>
      </c>
      <c r="F2837" t="s">
        <v>2196</v>
      </c>
      <c r="H2837" t="s">
        <v>17</v>
      </c>
      <c r="I2837" t="s">
        <v>4821</v>
      </c>
    </row>
    <row r="2838" spans="1:9" x14ac:dyDescent="0.3">
      <c r="A2838" t="s">
        <v>4685</v>
      </c>
      <c r="B2838" t="s">
        <v>4781</v>
      </c>
      <c r="C2838" t="s">
        <v>1936</v>
      </c>
      <c r="D2838" t="s">
        <v>129</v>
      </c>
      <c r="E2838" t="s">
        <v>430</v>
      </c>
      <c r="F2838" t="s">
        <v>4822</v>
      </c>
      <c r="H2838" t="s">
        <v>17</v>
      </c>
      <c r="I2838" t="s">
        <v>4823</v>
      </c>
    </row>
    <row r="2839" spans="1:9" x14ac:dyDescent="0.3">
      <c r="A2839" t="s">
        <v>4685</v>
      </c>
      <c r="B2839" t="s">
        <v>4781</v>
      </c>
      <c r="C2839" t="s">
        <v>1936</v>
      </c>
      <c r="D2839" t="s">
        <v>132</v>
      </c>
      <c r="E2839" t="s">
        <v>433</v>
      </c>
      <c r="F2839" t="s">
        <v>4824</v>
      </c>
      <c r="H2839" t="s">
        <v>17</v>
      </c>
      <c r="I2839" t="s">
        <v>4825</v>
      </c>
    </row>
    <row r="2840" spans="1:9" x14ac:dyDescent="0.3">
      <c r="A2840" t="s">
        <v>4685</v>
      </c>
      <c r="B2840" t="s">
        <v>4781</v>
      </c>
      <c r="C2840" t="s">
        <v>1936</v>
      </c>
      <c r="D2840" t="s">
        <v>135</v>
      </c>
      <c r="E2840" t="s">
        <v>436</v>
      </c>
      <c r="F2840" t="s">
        <v>4826</v>
      </c>
      <c r="H2840" t="s">
        <v>17</v>
      </c>
      <c r="I2840" t="s">
        <v>4827</v>
      </c>
    </row>
    <row r="2841" spans="1:9" x14ac:dyDescent="0.3">
      <c r="A2841" t="s">
        <v>4685</v>
      </c>
      <c r="B2841" t="s">
        <v>4781</v>
      </c>
      <c r="C2841" t="s">
        <v>1936</v>
      </c>
      <c r="D2841" t="s">
        <v>138</v>
      </c>
      <c r="E2841" t="s">
        <v>439</v>
      </c>
      <c r="F2841" t="s">
        <v>4828</v>
      </c>
      <c r="H2841" t="s">
        <v>17</v>
      </c>
      <c r="I2841" t="s">
        <v>4829</v>
      </c>
    </row>
    <row r="2842" spans="1:9" x14ac:dyDescent="0.3">
      <c r="A2842" t="s">
        <v>4685</v>
      </c>
      <c r="B2842" t="s">
        <v>4781</v>
      </c>
      <c r="C2842" t="s">
        <v>1936</v>
      </c>
      <c r="D2842" t="s">
        <v>141</v>
      </c>
      <c r="E2842" t="s">
        <v>442</v>
      </c>
      <c r="F2842" t="s">
        <v>4830</v>
      </c>
      <c r="H2842" t="s">
        <v>17</v>
      </c>
      <c r="I2842" t="s">
        <v>4831</v>
      </c>
    </row>
    <row r="2843" spans="1:9" x14ac:dyDescent="0.3">
      <c r="A2843" t="s">
        <v>4685</v>
      </c>
      <c r="B2843" t="s">
        <v>4781</v>
      </c>
      <c r="C2843" t="s">
        <v>1936</v>
      </c>
      <c r="D2843" t="s">
        <v>144</v>
      </c>
      <c r="E2843" t="s">
        <v>445</v>
      </c>
      <c r="F2843" t="s">
        <v>4832</v>
      </c>
      <c r="H2843" t="s">
        <v>17</v>
      </c>
      <c r="I2843" t="s">
        <v>4831</v>
      </c>
    </row>
    <row r="2844" spans="1:9" x14ac:dyDescent="0.3">
      <c r="A2844" t="s">
        <v>4685</v>
      </c>
      <c r="B2844" t="s">
        <v>4781</v>
      </c>
      <c r="C2844" t="s">
        <v>1936</v>
      </c>
      <c r="D2844" t="s">
        <v>147</v>
      </c>
      <c r="E2844" t="s">
        <v>449</v>
      </c>
      <c r="F2844" t="s">
        <v>4833</v>
      </c>
      <c r="H2844" t="s">
        <v>17</v>
      </c>
      <c r="I2844" t="s">
        <v>4834</v>
      </c>
    </row>
    <row r="2845" spans="1:9" x14ac:dyDescent="0.3">
      <c r="A2845" t="s">
        <v>4685</v>
      </c>
      <c r="B2845" t="s">
        <v>4781</v>
      </c>
      <c r="C2845" t="s">
        <v>1936</v>
      </c>
      <c r="D2845" t="s">
        <v>152</v>
      </c>
      <c r="E2845" t="s">
        <v>454</v>
      </c>
      <c r="F2845" t="s">
        <v>2918</v>
      </c>
      <c r="H2845" t="s">
        <v>17</v>
      </c>
      <c r="I2845" t="s">
        <v>4835</v>
      </c>
    </row>
    <row r="2846" spans="1:9" x14ac:dyDescent="0.3">
      <c r="A2846" t="s">
        <v>4685</v>
      </c>
      <c r="B2846" t="s">
        <v>4781</v>
      </c>
      <c r="C2846" t="s">
        <v>1936</v>
      </c>
      <c r="D2846" t="s">
        <v>157</v>
      </c>
      <c r="E2846" t="s">
        <v>458</v>
      </c>
      <c r="F2846" t="s">
        <v>3984</v>
      </c>
      <c r="H2846" t="s">
        <v>17</v>
      </c>
      <c r="I2846" t="s">
        <v>4836</v>
      </c>
    </row>
    <row r="2847" spans="1:9" x14ac:dyDescent="0.3">
      <c r="A2847" t="s">
        <v>4685</v>
      </c>
      <c r="B2847" t="s">
        <v>4781</v>
      </c>
      <c r="C2847" t="s">
        <v>1936</v>
      </c>
      <c r="D2847" t="s">
        <v>162</v>
      </c>
      <c r="E2847" t="s">
        <v>462</v>
      </c>
      <c r="F2847" t="s">
        <v>3986</v>
      </c>
      <c r="H2847" t="s">
        <v>17</v>
      </c>
      <c r="I2847" t="s">
        <v>4837</v>
      </c>
    </row>
    <row r="2848" spans="1:9" x14ac:dyDescent="0.3">
      <c r="A2848" t="s">
        <v>4685</v>
      </c>
      <c r="B2848" t="s">
        <v>4781</v>
      </c>
      <c r="C2848" t="s">
        <v>1936</v>
      </c>
      <c r="D2848" t="s">
        <v>167</v>
      </c>
      <c r="E2848" t="s">
        <v>465</v>
      </c>
      <c r="F2848" t="s">
        <v>1697</v>
      </c>
      <c r="H2848" t="s">
        <v>17</v>
      </c>
      <c r="I2848" t="s">
        <v>4838</v>
      </c>
    </row>
    <row r="2849" spans="1:9" x14ac:dyDescent="0.3">
      <c r="A2849" t="s">
        <v>4685</v>
      </c>
      <c r="B2849" t="s">
        <v>4781</v>
      </c>
      <c r="C2849" t="s">
        <v>1936</v>
      </c>
      <c r="D2849" t="s">
        <v>172</v>
      </c>
      <c r="E2849" t="s">
        <v>469</v>
      </c>
      <c r="F2849" t="s">
        <v>4839</v>
      </c>
      <c r="H2849" t="s">
        <v>17</v>
      </c>
      <c r="I2849" t="s">
        <v>4840</v>
      </c>
    </row>
    <row r="2850" spans="1:9" x14ac:dyDescent="0.3">
      <c r="A2850" t="s">
        <v>4685</v>
      </c>
      <c r="B2850" t="s">
        <v>4781</v>
      </c>
      <c r="C2850" t="s">
        <v>1936</v>
      </c>
      <c r="D2850" t="s">
        <v>177</v>
      </c>
      <c r="E2850" t="s">
        <v>472</v>
      </c>
      <c r="F2850" t="s">
        <v>4841</v>
      </c>
      <c r="H2850" t="s">
        <v>17</v>
      </c>
      <c r="I2850" t="s">
        <v>4842</v>
      </c>
    </row>
    <row r="2851" spans="1:9" x14ac:dyDescent="0.3">
      <c r="A2851" t="s">
        <v>4685</v>
      </c>
      <c r="B2851" t="s">
        <v>4781</v>
      </c>
      <c r="C2851" t="s">
        <v>1936</v>
      </c>
      <c r="D2851" t="s">
        <v>182</v>
      </c>
      <c r="E2851" t="s">
        <v>476</v>
      </c>
      <c r="F2851" t="s">
        <v>2926</v>
      </c>
      <c r="H2851" t="s">
        <v>17</v>
      </c>
      <c r="I2851" t="s">
        <v>4843</v>
      </c>
    </row>
    <row r="2852" spans="1:9" x14ac:dyDescent="0.3">
      <c r="A2852" t="s">
        <v>4685</v>
      </c>
      <c r="B2852" t="s">
        <v>4781</v>
      </c>
      <c r="C2852" t="s">
        <v>1936</v>
      </c>
      <c r="D2852" t="s">
        <v>1197</v>
      </c>
      <c r="E2852" t="s">
        <v>479</v>
      </c>
      <c r="F2852" t="s">
        <v>4783</v>
      </c>
      <c r="H2852" t="s">
        <v>17</v>
      </c>
    </row>
    <row r="2853" spans="1:9" x14ac:dyDescent="0.3">
      <c r="A2853" t="s">
        <v>4844</v>
      </c>
      <c r="E2853" t="s">
        <v>10</v>
      </c>
      <c r="F2853" t="s">
        <v>4845</v>
      </c>
    </row>
    <row r="2854" spans="1:9" x14ac:dyDescent="0.3">
      <c r="A2854" t="s">
        <v>4844</v>
      </c>
      <c r="B2854" t="s">
        <v>4846</v>
      </c>
      <c r="C2854" t="s">
        <v>13</v>
      </c>
      <c r="D2854" t="s">
        <v>14</v>
      </c>
      <c r="E2854" t="s">
        <v>1742</v>
      </c>
      <c r="F2854" t="s">
        <v>2670</v>
      </c>
      <c r="H2854" t="s">
        <v>17</v>
      </c>
    </row>
    <row r="2855" spans="1:9" x14ac:dyDescent="0.3">
      <c r="A2855" t="s">
        <v>4844</v>
      </c>
      <c r="B2855" t="s">
        <v>4846</v>
      </c>
      <c r="C2855" t="s">
        <v>13</v>
      </c>
      <c r="D2855" t="s">
        <v>1743</v>
      </c>
      <c r="E2855" t="s">
        <v>4654</v>
      </c>
      <c r="F2855" t="s">
        <v>4847</v>
      </c>
      <c r="H2855" t="s">
        <v>17</v>
      </c>
      <c r="I2855" t="s">
        <v>4848</v>
      </c>
    </row>
    <row r="2856" spans="1:9" x14ac:dyDescent="0.3">
      <c r="A2856" t="s">
        <v>4844</v>
      </c>
      <c r="B2856" t="s">
        <v>4846</v>
      </c>
      <c r="C2856" t="s">
        <v>13</v>
      </c>
      <c r="D2856" t="s">
        <v>996</v>
      </c>
      <c r="E2856" t="s">
        <v>2136</v>
      </c>
      <c r="F2856" t="s">
        <v>4849</v>
      </c>
      <c r="H2856" t="s">
        <v>17</v>
      </c>
      <c r="I2856" t="s">
        <v>4850</v>
      </c>
    </row>
    <row r="2857" spans="1:9" x14ac:dyDescent="0.3">
      <c r="A2857" t="s">
        <v>4844</v>
      </c>
      <c r="B2857" t="s">
        <v>4846</v>
      </c>
      <c r="C2857" t="s">
        <v>13</v>
      </c>
      <c r="D2857" t="s">
        <v>1001</v>
      </c>
      <c r="E2857" t="s">
        <v>2138</v>
      </c>
      <c r="F2857" t="s">
        <v>4851</v>
      </c>
      <c r="H2857" t="s">
        <v>17</v>
      </c>
      <c r="I2857" t="s">
        <v>4466</v>
      </c>
    </row>
    <row r="2858" spans="1:9" x14ac:dyDescent="0.3">
      <c r="A2858" t="s">
        <v>4844</v>
      </c>
      <c r="B2858" t="s">
        <v>4846</v>
      </c>
      <c r="C2858" t="s">
        <v>13</v>
      </c>
      <c r="D2858" t="s">
        <v>1942</v>
      </c>
      <c r="E2858" t="s">
        <v>2140</v>
      </c>
      <c r="F2858" t="s">
        <v>4852</v>
      </c>
      <c r="H2858" t="s">
        <v>17</v>
      </c>
      <c r="I2858" t="s">
        <v>4466</v>
      </c>
    </row>
    <row r="2859" spans="1:9" x14ac:dyDescent="0.3">
      <c r="A2859" t="s">
        <v>4844</v>
      </c>
      <c r="B2859" t="s">
        <v>4846</v>
      </c>
      <c r="C2859" t="s">
        <v>13</v>
      </c>
      <c r="D2859" t="s">
        <v>22</v>
      </c>
      <c r="E2859" t="s">
        <v>629</v>
      </c>
      <c r="F2859" t="s">
        <v>4853</v>
      </c>
      <c r="H2859" t="s">
        <v>17</v>
      </c>
      <c r="I2859" t="s">
        <v>4854</v>
      </c>
    </row>
    <row r="2860" spans="1:9" x14ac:dyDescent="0.3">
      <c r="A2860" t="s">
        <v>4844</v>
      </c>
      <c r="B2860" t="s">
        <v>4846</v>
      </c>
      <c r="C2860" t="s">
        <v>13</v>
      </c>
      <c r="D2860" t="s">
        <v>27</v>
      </c>
      <c r="E2860" t="s">
        <v>2144</v>
      </c>
      <c r="F2860" t="s">
        <v>4855</v>
      </c>
      <c r="H2860" t="s">
        <v>17</v>
      </c>
      <c r="I2860" t="s">
        <v>4856</v>
      </c>
    </row>
    <row r="2861" spans="1:9" x14ac:dyDescent="0.3">
      <c r="A2861" t="s">
        <v>4844</v>
      </c>
      <c r="B2861" t="s">
        <v>4846</v>
      </c>
      <c r="C2861" t="s">
        <v>13</v>
      </c>
      <c r="D2861" t="s">
        <v>1014</v>
      </c>
      <c r="E2861" t="s">
        <v>2147</v>
      </c>
      <c r="F2861" t="s">
        <v>4857</v>
      </c>
      <c r="H2861" t="s">
        <v>17</v>
      </c>
      <c r="I2861" t="s">
        <v>4858</v>
      </c>
    </row>
    <row r="2862" spans="1:9" x14ac:dyDescent="0.3">
      <c r="A2862" t="s">
        <v>4844</v>
      </c>
      <c r="B2862" t="s">
        <v>4846</v>
      </c>
      <c r="C2862" t="s">
        <v>13</v>
      </c>
      <c r="D2862" t="s">
        <v>1017</v>
      </c>
      <c r="E2862" t="s">
        <v>633</v>
      </c>
      <c r="F2862" t="s">
        <v>4859</v>
      </c>
      <c r="H2862" t="s">
        <v>17</v>
      </c>
      <c r="I2862" t="s">
        <v>4860</v>
      </c>
    </row>
    <row r="2863" spans="1:9" x14ac:dyDescent="0.3">
      <c r="A2863" t="s">
        <v>4844</v>
      </c>
      <c r="B2863" t="s">
        <v>4846</v>
      </c>
      <c r="C2863" t="s">
        <v>13</v>
      </c>
      <c r="D2863" t="s">
        <v>36</v>
      </c>
      <c r="E2863" t="s">
        <v>2151</v>
      </c>
      <c r="F2863" t="s">
        <v>4861</v>
      </c>
      <c r="H2863" t="s">
        <v>17</v>
      </c>
      <c r="I2863" t="s">
        <v>4862</v>
      </c>
    </row>
    <row r="2864" spans="1:9" x14ac:dyDescent="0.3">
      <c r="A2864" t="s">
        <v>4844</v>
      </c>
      <c r="B2864" t="s">
        <v>4846</v>
      </c>
      <c r="C2864" t="s">
        <v>13</v>
      </c>
      <c r="D2864" t="s">
        <v>41</v>
      </c>
      <c r="E2864" t="s">
        <v>2153</v>
      </c>
      <c r="F2864" t="s">
        <v>4863</v>
      </c>
      <c r="H2864" t="s">
        <v>17</v>
      </c>
      <c r="I2864" t="s">
        <v>4862</v>
      </c>
    </row>
    <row r="2865" spans="1:9" x14ac:dyDescent="0.3">
      <c r="A2865" t="s">
        <v>4844</v>
      </c>
      <c r="B2865" t="s">
        <v>4846</v>
      </c>
      <c r="C2865" t="s">
        <v>13</v>
      </c>
      <c r="D2865" t="s">
        <v>45</v>
      </c>
      <c r="E2865" t="s">
        <v>636</v>
      </c>
      <c r="F2865" t="s">
        <v>4864</v>
      </c>
      <c r="H2865" t="s">
        <v>17</v>
      </c>
      <c r="I2865" t="s">
        <v>4466</v>
      </c>
    </row>
    <row r="2866" spans="1:9" x14ac:dyDescent="0.3">
      <c r="A2866" t="s">
        <v>4844</v>
      </c>
      <c r="B2866" t="s">
        <v>4846</v>
      </c>
      <c r="C2866" t="s">
        <v>13</v>
      </c>
      <c r="D2866" t="s">
        <v>50</v>
      </c>
      <c r="E2866" t="s">
        <v>2159</v>
      </c>
      <c r="F2866" t="s">
        <v>4865</v>
      </c>
      <c r="H2866" t="s">
        <v>17</v>
      </c>
      <c r="I2866" t="s">
        <v>4583</v>
      </c>
    </row>
    <row r="2867" spans="1:9" x14ac:dyDescent="0.3">
      <c r="A2867" t="s">
        <v>4844</v>
      </c>
      <c r="B2867" t="s">
        <v>4846</v>
      </c>
      <c r="C2867" t="s">
        <v>13</v>
      </c>
      <c r="D2867" t="s">
        <v>4673</v>
      </c>
      <c r="E2867" t="s">
        <v>2162</v>
      </c>
      <c r="F2867" t="s">
        <v>4866</v>
      </c>
      <c r="H2867" t="s">
        <v>17</v>
      </c>
      <c r="I2867" t="s">
        <v>4867</v>
      </c>
    </row>
    <row r="2868" spans="1:9" x14ac:dyDescent="0.3">
      <c r="A2868" t="s">
        <v>4844</v>
      </c>
      <c r="B2868" t="s">
        <v>4846</v>
      </c>
      <c r="C2868" t="s">
        <v>13</v>
      </c>
      <c r="D2868" t="s">
        <v>61</v>
      </c>
      <c r="E2868" t="s">
        <v>639</v>
      </c>
      <c r="F2868" t="s">
        <v>4868</v>
      </c>
      <c r="H2868" t="s">
        <v>17</v>
      </c>
      <c r="I2868" t="s">
        <v>4466</v>
      </c>
    </row>
    <row r="2869" spans="1:9" x14ac:dyDescent="0.3">
      <c r="A2869" t="s">
        <v>4844</v>
      </c>
      <c r="B2869" t="s">
        <v>4846</v>
      </c>
      <c r="C2869" t="s">
        <v>13</v>
      </c>
      <c r="D2869" t="s">
        <v>1039</v>
      </c>
      <c r="E2869" t="s">
        <v>2165</v>
      </c>
      <c r="F2869" t="s">
        <v>4869</v>
      </c>
      <c r="H2869" t="s">
        <v>17</v>
      </c>
      <c r="I2869" t="s">
        <v>4583</v>
      </c>
    </row>
    <row r="2870" spans="1:9" x14ac:dyDescent="0.3">
      <c r="A2870" t="s">
        <v>4844</v>
      </c>
      <c r="B2870" t="s">
        <v>4846</v>
      </c>
      <c r="C2870" t="s">
        <v>13</v>
      </c>
      <c r="D2870" t="s">
        <v>2168</v>
      </c>
      <c r="E2870" t="s">
        <v>2169</v>
      </c>
      <c r="F2870" t="s">
        <v>4870</v>
      </c>
      <c r="H2870" t="s">
        <v>17</v>
      </c>
      <c r="I2870" t="s">
        <v>4867</v>
      </c>
    </row>
    <row r="2871" spans="1:9" x14ac:dyDescent="0.3">
      <c r="A2871" t="s">
        <v>4844</v>
      </c>
      <c r="B2871" t="s">
        <v>4846</v>
      </c>
      <c r="C2871" t="s">
        <v>13</v>
      </c>
      <c r="D2871" t="s">
        <v>1050</v>
      </c>
      <c r="E2871" t="s">
        <v>642</v>
      </c>
      <c r="F2871" t="s">
        <v>4871</v>
      </c>
      <c r="H2871" t="s">
        <v>17</v>
      </c>
      <c r="I2871" t="s">
        <v>4466</v>
      </c>
    </row>
    <row r="2872" spans="1:9" x14ac:dyDescent="0.3">
      <c r="A2872" t="s">
        <v>4844</v>
      </c>
      <c r="B2872" t="s">
        <v>4846</v>
      </c>
      <c r="C2872" t="s">
        <v>13</v>
      </c>
      <c r="D2872" t="s">
        <v>1055</v>
      </c>
      <c r="E2872" t="s">
        <v>2174</v>
      </c>
      <c r="F2872" t="s">
        <v>4872</v>
      </c>
      <c r="H2872" t="s">
        <v>17</v>
      </c>
      <c r="I2872" t="s">
        <v>4873</v>
      </c>
    </row>
    <row r="2873" spans="1:9" x14ac:dyDescent="0.3">
      <c r="A2873" t="s">
        <v>4844</v>
      </c>
      <c r="B2873" t="s">
        <v>4846</v>
      </c>
      <c r="C2873" t="s">
        <v>13</v>
      </c>
      <c r="D2873" t="s">
        <v>80</v>
      </c>
      <c r="E2873" t="s">
        <v>2176</v>
      </c>
      <c r="F2873" t="s">
        <v>4874</v>
      </c>
      <c r="H2873" t="s">
        <v>17</v>
      </c>
      <c r="I2873" t="s">
        <v>4873</v>
      </c>
    </row>
    <row r="2874" spans="1:9" x14ac:dyDescent="0.3">
      <c r="A2874" t="s">
        <v>4844</v>
      </c>
      <c r="B2874" t="s">
        <v>4846</v>
      </c>
      <c r="C2874" t="s">
        <v>13</v>
      </c>
      <c r="D2874" t="s">
        <v>85</v>
      </c>
      <c r="E2874" t="s">
        <v>645</v>
      </c>
      <c r="F2874" t="s">
        <v>4875</v>
      </c>
      <c r="H2874" t="s">
        <v>17</v>
      </c>
      <c r="I2874" t="s">
        <v>4876</v>
      </c>
    </row>
    <row r="2875" spans="1:9" x14ac:dyDescent="0.3">
      <c r="A2875" t="s">
        <v>4844</v>
      </c>
      <c r="B2875" t="s">
        <v>4846</v>
      </c>
      <c r="C2875" t="s">
        <v>13</v>
      </c>
      <c r="D2875" t="s">
        <v>90</v>
      </c>
      <c r="E2875" t="s">
        <v>2179</v>
      </c>
      <c r="F2875" t="s">
        <v>4877</v>
      </c>
      <c r="H2875" t="s">
        <v>17</v>
      </c>
      <c r="I2875" t="s">
        <v>4876</v>
      </c>
    </row>
    <row r="2876" spans="1:9" x14ac:dyDescent="0.3">
      <c r="A2876" t="s">
        <v>4844</v>
      </c>
      <c r="B2876" t="s">
        <v>4846</v>
      </c>
      <c r="C2876" t="s">
        <v>13</v>
      </c>
      <c r="D2876" t="s">
        <v>95</v>
      </c>
      <c r="E2876" t="s">
        <v>2181</v>
      </c>
      <c r="F2876" t="s">
        <v>4878</v>
      </c>
      <c r="H2876" t="s">
        <v>17</v>
      </c>
      <c r="I2876" t="s">
        <v>4583</v>
      </c>
    </row>
    <row r="2877" spans="1:9" x14ac:dyDescent="0.3">
      <c r="A2877" t="s">
        <v>4844</v>
      </c>
      <c r="B2877" t="s">
        <v>4846</v>
      </c>
      <c r="C2877" t="s">
        <v>13</v>
      </c>
      <c r="D2877" t="s">
        <v>100</v>
      </c>
      <c r="E2877" t="s">
        <v>648</v>
      </c>
      <c r="F2877" t="s">
        <v>4879</v>
      </c>
      <c r="H2877" t="s">
        <v>17</v>
      </c>
      <c r="I2877" t="s">
        <v>4466</v>
      </c>
    </row>
    <row r="2878" spans="1:9" x14ac:dyDescent="0.3">
      <c r="A2878" t="s">
        <v>4844</v>
      </c>
      <c r="B2878" t="s">
        <v>4846</v>
      </c>
      <c r="C2878" t="s">
        <v>13</v>
      </c>
      <c r="D2878" t="s">
        <v>106</v>
      </c>
      <c r="E2878" t="s">
        <v>2182</v>
      </c>
      <c r="F2878" t="s">
        <v>4880</v>
      </c>
      <c r="H2878" t="s">
        <v>17</v>
      </c>
      <c r="I2878" t="s">
        <v>4466</v>
      </c>
    </row>
    <row r="2879" spans="1:9" x14ac:dyDescent="0.3">
      <c r="A2879" t="s">
        <v>4844</v>
      </c>
      <c r="B2879" t="s">
        <v>4846</v>
      </c>
      <c r="C2879" t="s">
        <v>13</v>
      </c>
      <c r="D2879" t="s">
        <v>111</v>
      </c>
      <c r="E2879" t="s">
        <v>2184</v>
      </c>
      <c r="F2879" t="s">
        <v>4881</v>
      </c>
      <c r="H2879" t="s">
        <v>17</v>
      </c>
      <c r="I2879" t="s">
        <v>4466</v>
      </c>
    </row>
    <row r="2880" spans="1:9" x14ac:dyDescent="0.3">
      <c r="A2880" t="s">
        <v>4844</v>
      </c>
      <c r="B2880" t="s">
        <v>4846</v>
      </c>
      <c r="C2880" t="s">
        <v>13</v>
      </c>
      <c r="D2880" t="s">
        <v>114</v>
      </c>
      <c r="E2880" t="s">
        <v>651</v>
      </c>
      <c r="F2880" t="s">
        <v>4882</v>
      </c>
      <c r="H2880" t="s">
        <v>17</v>
      </c>
      <c r="I2880" t="s">
        <v>4466</v>
      </c>
    </row>
    <row r="2881" spans="1:9" x14ac:dyDescent="0.3">
      <c r="A2881" t="s">
        <v>4844</v>
      </c>
      <c r="B2881" t="s">
        <v>4846</v>
      </c>
      <c r="C2881" t="s">
        <v>13</v>
      </c>
      <c r="D2881" t="s">
        <v>117</v>
      </c>
      <c r="E2881" t="s">
        <v>656</v>
      </c>
      <c r="F2881" t="s">
        <v>4883</v>
      </c>
      <c r="H2881" t="s">
        <v>17</v>
      </c>
      <c r="I2881" t="s">
        <v>4884</v>
      </c>
    </row>
    <row r="2882" spans="1:9" x14ac:dyDescent="0.3">
      <c r="A2882" t="s">
        <v>4844</v>
      </c>
      <c r="B2882" t="s">
        <v>4846</v>
      </c>
      <c r="C2882" t="s">
        <v>13</v>
      </c>
      <c r="D2882" t="s">
        <v>121</v>
      </c>
      <c r="E2882" t="s">
        <v>659</v>
      </c>
      <c r="F2882" t="s">
        <v>4885</v>
      </c>
      <c r="H2882" t="s">
        <v>17</v>
      </c>
      <c r="I2882" t="s">
        <v>4886</v>
      </c>
    </row>
    <row r="2883" spans="1:9" x14ac:dyDescent="0.3">
      <c r="A2883" t="s">
        <v>4844</v>
      </c>
      <c r="B2883" t="s">
        <v>4846</v>
      </c>
      <c r="C2883" t="s">
        <v>13</v>
      </c>
      <c r="D2883" t="s">
        <v>126</v>
      </c>
      <c r="E2883" t="s">
        <v>662</v>
      </c>
      <c r="F2883" t="s">
        <v>4887</v>
      </c>
      <c r="H2883" t="s">
        <v>17</v>
      </c>
      <c r="I2883" t="s">
        <v>4888</v>
      </c>
    </row>
    <row r="2884" spans="1:9" x14ac:dyDescent="0.3">
      <c r="A2884" t="s">
        <v>4844</v>
      </c>
      <c r="B2884" t="s">
        <v>4846</v>
      </c>
      <c r="C2884" t="s">
        <v>13</v>
      </c>
      <c r="D2884" t="s">
        <v>129</v>
      </c>
      <c r="E2884" t="s">
        <v>665</v>
      </c>
      <c r="F2884" t="s">
        <v>4889</v>
      </c>
      <c r="H2884" t="s">
        <v>17</v>
      </c>
      <c r="I2884" t="s">
        <v>4466</v>
      </c>
    </row>
    <row r="2885" spans="1:9" x14ac:dyDescent="0.3">
      <c r="A2885" t="s">
        <v>4844</v>
      </c>
      <c r="B2885" t="s">
        <v>4846</v>
      </c>
      <c r="C2885" t="s">
        <v>13</v>
      </c>
      <c r="D2885" t="s">
        <v>132</v>
      </c>
      <c r="E2885" t="s">
        <v>668</v>
      </c>
      <c r="F2885" t="s">
        <v>4890</v>
      </c>
      <c r="H2885" t="s">
        <v>17</v>
      </c>
      <c r="I2885" t="s">
        <v>4891</v>
      </c>
    </row>
    <row r="2886" spans="1:9" x14ac:dyDescent="0.3">
      <c r="A2886" t="s">
        <v>4844</v>
      </c>
      <c r="B2886" t="s">
        <v>4846</v>
      </c>
      <c r="C2886" t="s">
        <v>13</v>
      </c>
      <c r="D2886" t="s">
        <v>135</v>
      </c>
      <c r="E2886" t="s">
        <v>671</v>
      </c>
      <c r="F2886" t="s">
        <v>4892</v>
      </c>
      <c r="H2886" t="s">
        <v>17</v>
      </c>
      <c r="I2886" t="s">
        <v>4891</v>
      </c>
    </row>
    <row r="2887" spans="1:9" x14ac:dyDescent="0.3">
      <c r="A2887" t="s">
        <v>4844</v>
      </c>
      <c r="B2887" t="s">
        <v>4846</v>
      </c>
      <c r="C2887" t="s">
        <v>13</v>
      </c>
      <c r="D2887" t="s">
        <v>138</v>
      </c>
      <c r="E2887" t="s">
        <v>674</v>
      </c>
      <c r="F2887" t="s">
        <v>4893</v>
      </c>
      <c r="H2887" t="s">
        <v>17</v>
      </c>
      <c r="I2887" t="s">
        <v>4891</v>
      </c>
    </row>
    <row r="2888" spans="1:9" x14ac:dyDescent="0.3">
      <c r="A2888" t="s">
        <v>4844</v>
      </c>
      <c r="B2888" t="s">
        <v>4846</v>
      </c>
      <c r="C2888" t="s">
        <v>13</v>
      </c>
      <c r="D2888" t="s">
        <v>141</v>
      </c>
      <c r="E2888" t="s">
        <v>2201</v>
      </c>
      <c r="F2888" t="s">
        <v>4894</v>
      </c>
      <c r="H2888" t="s">
        <v>17</v>
      </c>
      <c r="I2888" t="s">
        <v>4583</v>
      </c>
    </row>
    <row r="2889" spans="1:9" x14ac:dyDescent="0.3">
      <c r="A2889" t="s">
        <v>4844</v>
      </c>
      <c r="B2889" t="s">
        <v>4846</v>
      </c>
      <c r="C2889" t="s">
        <v>13</v>
      </c>
      <c r="D2889" t="s">
        <v>144</v>
      </c>
      <c r="E2889" t="s">
        <v>680</v>
      </c>
      <c r="F2889" t="s">
        <v>4895</v>
      </c>
      <c r="H2889" t="s">
        <v>17</v>
      </c>
      <c r="I2889" t="s">
        <v>4896</v>
      </c>
    </row>
    <row r="2890" spans="1:9" x14ac:dyDescent="0.3">
      <c r="A2890" t="s">
        <v>4844</v>
      </c>
      <c r="B2890" t="s">
        <v>4846</v>
      </c>
      <c r="C2890" t="s">
        <v>13</v>
      </c>
      <c r="D2890" t="s">
        <v>147</v>
      </c>
      <c r="E2890" t="s">
        <v>2203</v>
      </c>
      <c r="F2890" t="s">
        <v>4897</v>
      </c>
      <c r="H2890" t="s">
        <v>17</v>
      </c>
      <c r="I2890" t="s">
        <v>4898</v>
      </c>
    </row>
    <row r="2891" spans="1:9" x14ac:dyDescent="0.3">
      <c r="A2891" t="s">
        <v>4844</v>
      </c>
      <c r="B2891" t="s">
        <v>4846</v>
      </c>
      <c r="C2891" t="s">
        <v>13</v>
      </c>
      <c r="D2891" t="s">
        <v>152</v>
      </c>
      <c r="E2891" t="s">
        <v>685</v>
      </c>
      <c r="F2891" t="s">
        <v>4899</v>
      </c>
      <c r="H2891" t="s">
        <v>17</v>
      </c>
      <c r="I2891" t="s">
        <v>4900</v>
      </c>
    </row>
    <row r="2892" spans="1:9" x14ac:dyDescent="0.3">
      <c r="A2892" t="s">
        <v>4844</v>
      </c>
      <c r="B2892" t="s">
        <v>4846</v>
      </c>
      <c r="C2892" t="s">
        <v>13</v>
      </c>
      <c r="D2892" t="s">
        <v>157</v>
      </c>
      <c r="E2892" t="s">
        <v>2208</v>
      </c>
      <c r="F2892" t="s">
        <v>4901</v>
      </c>
      <c r="H2892" t="s">
        <v>17</v>
      </c>
      <c r="I2892" t="s">
        <v>4466</v>
      </c>
    </row>
    <row r="2893" spans="1:9" x14ac:dyDescent="0.3">
      <c r="A2893" t="s">
        <v>4844</v>
      </c>
      <c r="B2893" t="s">
        <v>4846</v>
      </c>
      <c r="C2893" t="s">
        <v>13</v>
      </c>
      <c r="D2893" t="s">
        <v>162</v>
      </c>
      <c r="E2893" t="s">
        <v>690</v>
      </c>
      <c r="F2893" t="s">
        <v>4902</v>
      </c>
      <c r="H2893" t="s">
        <v>17</v>
      </c>
      <c r="I2893" t="s">
        <v>4466</v>
      </c>
    </row>
    <row r="2894" spans="1:9" x14ac:dyDescent="0.3">
      <c r="A2894" t="s">
        <v>4844</v>
      </c>
      <c r="B2894" t="s">
        <v>4846</v>
      </c>
      <c r="C2894" t="s">
        <v>13</v>
      </c>
      <c r="D2894" t="s">
        <v>167</v>
      </c>
      <c r="E2894" t="s">
        <v>2210</v>
      </c>
      <c r="F2894" t="s">
        <v>4903</v>
      </c>
      <c r="H2894" t="s">
        <v>17</v>
      </c>
      <c r="I2894" t="s">
        <v>4466</v>
      </c>
    </row>
    <row r="2895" spans="1:9" x14ac:dyDescent="0.3">
      <c r="A2895" t="s">
        <v>4844</v>
      </c>
      <c r="B2895" t="s">
        <v>4846</v>
      </c>
      <c r="C2895" t="s">
        <v>13</v>
      </c>
      <c r="D2895" t="s">
        <v>172</v>
      </c>
      <c r="E2895" t="s">
        <v>695</v>
      </c>
      <c r="F2895" t="s">
        <v>4904</v>
      </c>
      <c r="H2895" t="s">
        <v>17</v>
      </c>
      <c r="I2895" t="s">
        <v>4466</v>
      </c>
    </row>
    <row r="2896" spans="1:9" x14ac:dyDescent="0.3">
      <c r="A2896" t="s">
        <v>4844</v>
      </c>
      <c r="B2896" t="s">
        <v>4846</v>
      </c>
      <c r="C2896" t="s">
        <v>13</v>
      </c>
      <c r="D2896" t="s">
        <v>177</v>
      </c>
      <c r="E2896" t="s">
        <v>701</v>
      </c>
      <c r="F2896" t="s">
        <v>4905</v>
      </c>
      <c r="H2896" t="s">
        <v>17</v>
      </c>
      <c r="I2896" t="s">
        <v>4466</v>
      </c>
    </row>
    <row r="2897" spans="1:9" x14ac:dyDescent="0.3">
      <c r="A2897" t="s">
        <v>4844</v>
      </c>
      <c r="B2897" t="s">
        <v>4846</v>
      </c>
      <c r="C2897" t="s">
        <v>13</v>
      </c>
      <c r="D2897" t="s">
        <v>182</v>
      </c>
      <c r="E2897" t="s">
        <v>706</v>
      </c>
      <c r="F2897" t="s">
        <v>4906</v>
      </c>
      <c r="H2897" t="s">
        <v>17</v>
      </c>
      <c r="I2897" t="s">
        <v>4466</v>
      </c>
    </row>
    <row r="2898" spans="1:9" x14ac:dyDescent="0.3">
      <c r="A2898" t="s">
        <v>4844</v>
      </c>
      <c r="B2898" t="s">
        <v>4846</v>
      </c>
      <c r="C2898" t="s">
        <v>13</v>
      </c>
      <c r="D2898" t="s">
        <v>187</v>
      </c>
      <c r="E2898" t="s">
        <v>709</v>
      </c>
      <c r="F2898" t="s">
        <v>4907</v>
      </c>
      <c r="H2898" t="s">
        <v>17</v>
      </c>
      <c r="I2898" t="s">
        <v>4466</v>
      </c>
    </row>
    <row r="2899" spans="1:9" x14ac:dyDescent="0.3">
      <c r="A2899" t="s">
        <v>4844</v>
      </c>
      <c r="B2899" t="s">
        <v>4846</v>
      </c>
      <c r="C2899" t="s">
        <v>13</v>
      </c>
      <c r="D2899" t="s">
        <v>193</v>
      </c>
      <c r="E2899" t="s">
        <v>713</v>
      </c>
      <c r="F2899" t="s">
        <v>4908</v>
      </c>
      <c r="H2899" t="s">
        <v>17</v>
      </c>
      <c r="I2899" t="s">
        <v>4466</v>
      </c>
    </row>
    <row r="2900" spans="1:9" x14ac:dyDescent="0.3">
      <c r="A2900" t="s">
        <v>4844</v>
      </c>
      <c r="B2900" t="s">
        <v>4846</v>
      </c>
      <c r="C2900" t="s">
        <v>13</v>
      </c>
      <c r="D2900" t="s">
        <v>198</v>
      </c>
      <c r="E2900" t="s">
        <v>716</v>
      </c>
      <c r="F2900" t="s">
        <v>4909</v>
      </c>
      <c r="H2900" t="s">
        <v>17</v>
      </c>
      <c r="I2900" t="s">
        <v>4466</v>
      </c>
    </row>
    <row r="2901" spans="1:9" x14ac:dyDescent="0.3">
      <c r="A2901" t="s">
        <v>4844</v>
      </c>
      <c r="B2901" t="s">
        <v>4846</v>
      </c>
      <c r="C2901" t="s">
        <v>13</v>
      </c>
      <c r="D2901" t="s">
        <v>202</v>
      </c>
      <c r="E2901" t="s">
        <v>721</v>
      </c>
      <c r="F2901" t="s">
        <v>4910</v>
      </c>
      <c r="H2901" t="s">
        <v>17</v>
      </c>
      <c r="I2901" t="s">
        <v>4466</v>
      </c>
    </row>
    <row r="2902" spans="1:9" x14ac:dyDescent="0.3">
      <c r="A2902" t="s">
        <v>4844</v>
      </c>
      <c r="B2902" t="s">
        <v>4846</v>
      </c>
      <c r="C2902" t="s">
        <v>13</v>
      </c>
      <c r="D2902" t="s">
        <v>206</v>
      </c>
      <c r="E2902" t="s">
        <v>724</v>
      </c>
      <c r="F2902" t="s">
        <v>4911</v>
      </c>
      <c r="H2902" t="s">
        <v>17</v>
      </c>
      <c r="I2902" t="s">
        <v>4466</v>
      </c>
    </row>
    <row r="2903" spans="1:9" x14ac:dyDescent="0.3">
      <c r="A2903" t="s">
        <v>4844</v>
      </c>
      <c r="B2903" t="s">
        <v>4846</v>
      </c>
      <c r="C2903" t="s">
        <v>13</v>
      </c>
      <c r="D2903" t="s">
        <v>210</v>
      </c>
      <c r="E2903" t="s">
        <v>727</v>
      </c>
      <c r="F2903" t="s">
        <v>4912</v>
      </c>
      <c r="H2903" t="s">
        <v>17</v>
      </c>
      <c r="I2903" t="s">
        <v>4466</v>
      </c>
    </row>
    <row r="2904" spans="1:9" x14ac:dyDescent="0.3">
      <c r="A2904" t="s">
        <v>4844</v>
      </c>
      <c r="B2904" t="s">
        <v>4846</v>
      </c>
      <c r="C2904" t="s">
        <v>13</v>
      </c>
      <c r="D2904" t="s">
        <v>214</v>
      </c>
      <c r="E2904" t="s">
        <v>730</v>
      </c>
      <c r="F2904" t="s">
        <v>4913</v>
      </c>
      <c r="H2904" t="s">
        <v>17</v>
      </c>
      <c r="I2904" t="s">
        <v>4914</v>
      </c>
    </row>
    <row r="2905" spans="1:9" x14ac:dyDescent="0.3">
      <c r="A2905" t="s">
        <v>4844</v>
      </c>
      <c r="B2905" t="s">
        <v>4846</v>
      </c>
      <c r="C2905" t="s">
        <v>13</v>
      </c>
      <c r="D2905" t="s">
        <v>218</v>
      </c>
      <c r="E2905" t="s">
        <v>735</v>
      </c>
      <c r="F2905" t="s">
        <v>4915</v>
      </c>
      <c r="H2905" t="s">
        <v>17</v>
      </c>
      <c r="I2905" t="s">
        <v>4914</v>
      </c>
    </row>
    <row r="2906" spans="1:9" x14ac:dyDescent="0.3">
      <c r="A2906" t="s">
        <v>4844</v>
      </c>
      <c r="B2906" t="s">
        <v>4846</v>
      </c>
      <c r="C2906" t="s">
        <v>13</v>
      </c>
      <c r="D2906" t="s">
        <v>223</v>
      </c>
      <c r="E2906" t="s">
        <v>740</v>
      </c>
      <c r="F2906" t="s">
        <v>4916</v>
      </c>
      <c r="H2906" t="s">
        <v>17</v>
      </c>
      <c r="I2906" t="s">
        <v>4917</v>
      </c>
    </row>
    <row r="2907" spans="1:9" x14ac:dyDescent="0.3">
      <c r="A2907" t="s">
        <v>4844</v>
      </c>
      <c r="B2907" t="s">
        <v>4846</v>
      </c>
      <c r="C2907" t="s">
        <v>13</v>
      </c>
      <c r="D2907" t="s">
        <v>228</v>
      </c>
      <c r="E2907" t="s">
        <v>746</v>
      </c>
      <c r="F2907" t="s">
        <v>4918</v>
      </c>
      <c r="H2907" t="s">
        <v>17</v>
      </c>
      <c r="I2907" t="s">
        <v>4919</v>
      </c>
    </row>
    <row r="2908" spans="1:9" x14ac:dyDescent="0.3">
      <c r="A2908" t="s">
        <v>4844</v>
      </c>
      <c r="B2908" t="s">
        <v>4846</v>
      </c>
      <c r="C2908" t="s">
        <v>13</v>
      </c>
      <c r="D2908" t="s">
        <v>233</v>
      </c>
      <c r="E2908" t="s">
        <v>3621</v>
      </c>
      <c r="F2908" t="s">
        <v>4920</v>
      </c>
      <c r="H2908" t="s">
        <v>17</v>
      </c>
      <c r="I2908" t="s">
        <v>4919</v>
      </c>
    </row>
    <row r="2909" spans="1:9" x14ac:dyDescent="0.3">
      <c r="A2909" t="s">
        <v>4844</v>
      </c>
      <c r="B2909" t="s">
        <v>4846</v>
      </c>
      <c r="C2909" t="s">
        <v>13</v>
      </c>
      <c r="D2909" t="s">
        <v>236</v>
      </c>
      <c r="E2909" t="s">
        <v>750</v>
      </c>
      <c r="F2909" t="s">
        <v>4921</v>
      </c>
      <c r="H2909" t="s">
        <v>17</v>
      </c>
      <c r="I2909" t="s">
        <v>4922</v>
      </c>
    </row>
    <row r="2910" spans="1:9" x14ac:dyDescent="0.3">
      <c r="A2910" t="s">
        <v>4844</v>
      </c>
      <c r="B2910" t="s">
        <v>4846</v>
      </c>
      <c r="C2910" t="s">
        <v>13</v>
      </c>
      <c r="D2910" t="s">
        <v>239</v>
      </c>
      <c r="E2910" t="s">
        <v>755</v>
      </c>
      <c r="F2910" t="s">
        <v>4923</v>
      </c>
      <c r="H2910" t="s">
        <v>17</v>
      </c>
      <c r="I2910" t="s">
        <v>4922</v>
      </c>
    </row>
    <row r="2911" spans="1:9" x14ac:dyDescent="0.3">
      <c r="A2911" t="s">
        <v>4844</v>
      </c>
      <c r="B2911" t="s">
        <v>4846</v>
      </c>
      <c r="C2911" t="s">
        <v>13</v>
      </c>
      <c r="D2911" t="s">
        <v>1881</v>
      </c>
      <c r="E2911" t="s">
        <v>2291</v>
      </c>
      <c r="F2911" t="s">
        <v>4924</v>
      </c>
      <c r="H2911" t="s">
        <v>17</v>
      </c>
      <c r="I2911" t="s">
        <v>4891</v>
      </c>
    </row>
    <row r="2912" spans="1:9" x14ac:dyDescent="0.3">
      <c r="A2912" t="s">
        <v>4844</v>
      </c>
      <c r="B2912" t="s">
        <v>4846</v>
      </c>
      <c r="C2912" t="s">
        <v>13</v>
      </c>
      <c r="D2912" t="s">
        <v>3270</v>
      </c>
      <c r="E2912" t="s">
        <v>2294</v>
      </c>
      <c r="F2912" t="s">
        <v>4925</v>
      </c>
      <c r="H2912" t="s">
        <v>17</v>
      </c>
      <c r="I2912" t="s">
        <v>4926</v>
      </c>
    </row>
    <row r="2913" spans="1:9" x14ac:dyDescent="0.3">
      <c r="A2913" t="s">
        <v>4844</v>
      </c>
      <c r="B2913" t="s">
        <v>4846</v>
      </c>
      <c r="C2913" t="s">
        <v>13</v>
      </c>
      <c r="D2913" t="s">
        <v>1892</v>
      </c>
      <c r="E2913" t="s">
        <v>759</v>
      </c>
      <c r="F2913" t="s">
        <v>4927</v>
      </c>
      <c r="H2913" t="s">
        <v>17</v>
      </c>
      <c r="I2913" t="s">
        <v>4466</v>
      </c>
    </row>
    <row r="2914" spans="1:9" x14ac:dyDescent="0.3">
      <c r="A2914" t="s">
        <v>4844</v>
      </c>
      <c r="B2914" t="s">
        <v>4846</v>
      </c>
      <c r="C2914" t="s">
        <v>13</v>
      </c>
      <c r="D2914" t="s">
        <v>1146</v>
      </c>
      <c r="E2914" t="s">
        <v>2297</v>
      </c>
      <c r="F2914" t="s">
        <v>4928</v>
      </c>
      <c r="H2914" t="s">
        <v>17</v>
      </c>
      <c r="I2914" t="s">
        <v>4929</v>
      </c>
    </row>
    <row r="2915" spans="1:9" x14ac:dyDescent="0.3">
      <c r="A2915" t="s">
        <v>4844</v>
      </c>
      <c r="B2915" t="s">
        <v>4846</v>
      </c>
      <c r="C2915" t="s">
        <v>13</v>
      </c>
      <c r="D2915" t="s">
        <v>1150</v>
      </c>
      <c r="E2915" t="s">
        <v>763</v>
      </c>
      <c r="F2915" t="s">
        <v>4930</v>
      </c>
      <c r="H2915" t="s">
        <v>17</v>
      </c>
      <c r="I2915" t="s">
        <v>4926</v>
      </c>
    </row>
    <row r="2916" spans="1:9" x14ac:dyDescent="0.3">
      <c r="A2916" t="s">
        <v>4844</v>
      </c>
      <c r="B2916" t="s">
        <v>4846</v>
      </c>
      <c r="C2916" t="s">
        <v>13</v>
      </c>
      <c r="D2916" t="s">
        <v>1158</v>
      </c>
      <c r="E2916" t="s">
        <v>768</v>
      </c>
      <c r="F2916" t="s">
        <v>4931</v>
      </c>
      <c r="H2916" t="s">
        <v>17</v>
      </c>
      <c r="I2916" t="s">
        <v>4466</v>
      </c>
    </row>
    <row r="2917" spans="1:9" x14ac:dyDescent="0.3">
      <c r="A2917" t="s">
        <v>4844</v>
      </c>
      <c r="B2917" t="s">
        <v>4932</v>
      </c>
      <c r="C2917" t="s">
        <v>13</v>
      </c>
      <c r="D2917" t="s">
        <v>1162</v>
      </c>
      <c r="E2917" t="s">
        <v>773</v>
      </c>
      <c r="F2917" t="s">
        <v>4933</v>
      </c>
      <c r="H2917" t="s">
        <v>17</v>
      </c>
      <c r="I2917" t="s">
        <v>4891</v>
      </c>
    </row>
    <row r="2918" spans="1:9" x14ac:dyDescent="0.3">
      <c r="A2918" t="s">
        <v>4844</v>
      </c>
      <c r="B2918" t="s">
        <v>4932</v>
      </c>
      <c r="C2918" t="s">
        <v>13</v>
      </c>
      <c r="D2918" t="s">
        <v>1165</v>
      </c>
      <c r="E2918" t="s">
        <v>2304</v>
      </c>
      <c r="F2918" t="s">
        <v>4934</v>
      </c>
      <c r="H2918" t="s">
        <v>17</v>
      </c>
      <c r="I2918" t="s">
        <v>4935</v>
      </c>
    </row>
    <row r="2919" spans="1:9" x14ac:dyDescent="0.3">
      <c r="A2919" t="s">
        <v>4844</v>
      </c>
      <c r="B2919" t="s">
        <v>4932</v>
      </c>
      <c r="C2919" t="s">
        <v>13</v>
      </c>
      <c r="D2919" t="s">
        <v>1197</v>
      </c>
      <c r="E2919" t="s">
        <v>778</v>
      </c>
      <c r="F2919" t="s">
        <v>4783</v>
      </c>
      <c r="H2919" t="s">
        <v>17</v>
      </c>
    </row>
    <row r="2920" spans="1:9" x14ac:dyDescent="0.3">
      <c r="A2920" t="s">
        <v>4844</v>
      </c>
      <c r="B2920" t="s">
        <v>4932</v>
      </c>
      <c r="C2920" t="s">
        <v>1936</v>
      </c>
      <c r="D2920" t="s">
        <v>1743</v>
      </c>
      <c r="E2920" t="s">
        <v>4936</v>
      </c>
      <c r="F2920" t="s">
        <v>4937</v>
      </c>
      <c r="H2920" t="s">
        <v>17</v>
      </c>
      <c r="I2920" t="s">
        <v>4466</v>
      </c>
    </row>
    <row r="2921" spans="1:9" x14ac:dyDescent="0.3">
      <c r="A2921" t="s">
        <v>4844</v>
      </c>
      <c r="B2921" t="s">
        <v>4932</v>
      </c>
      <c r="C2921" t="s">
        <v>1936</v>
      </c>
      <c r="D2921" t="s">
        <v>996</v>
      </c>
      <c r="E2921" t="s">
        <v>4938</v>
      </c>
      <c r="F2921" t="s">
        <v>4939</v>
      </c>
      <c r="H2921" t="s">
        <v>17</v>
      </c>
      <c r="I2921" t="s">
        <v>4940</v>
      </c>
    </row>
    <row r="2922" spans="1:9" x14ac:dyDescent="0.3">
      <c r="A2922" t="s">
        <v>4844</v>
      </c>
      <c r="B2922" t="s">
        <v>4932</v>
      </c>
      <c r="C2922" t="s">
        <v>1936</v>
      </c>
      <c r="D2922" t="s">
        <v>4941</v>
      </c>
      <c r="E2922" t="s">
        <v>4942</v>
      </c>
      <c r="F2922" t="s">
        <v>4943</v>
      </c>
      <c r="H2922" t="s">
        <v>17</v>
      </c>
      <c r="I2922" t="s">
        <v>4926</v>
      </c>
    </row>
    <row r="2923" spans="1:9" x14ac:dyDescent="0.3">
      <c r="A2923" t="s">
        <v>4844</v>
      </c>
      <c r="B2923" t="s">
        <v>4932</v>
      </c>
      <c r="C2923" t="s">
        <v>1936</v>
      </c>
      <c r="D2923" t="s">
        <v>22</v>
      </c>
      <c r="E2923" t="s">
        <v>871</v>
      </c>
      <c r="F2923" t="s">
        <v>4927</v>
      </c>
      <c r="H2923" t="s">
        <v>17</v>
      </c>
      <c r="I2923" t="s">
        <v>4466</v>
      </c>
    </row>
    <row r="2924" spans="1:9" x14ac:dyDescent="0.3">
      <c r="A2924" t="s">
        <v>4844</v>
      </c>
      <c r="B2924" t="s">
        <v>4932</v>
      </c>
      <c r="C2924" t="s">
        <v>1936</v>
      </c>
      <c r="D2924" t="s">
        <v>27</v>
      </c>
      <c r="E2924" t="s">
        <v>875</v>
      </c>
      <c r="F2924" t="s">
        <v>4944</v>
      </c>
      <c r="H2924" t="s">
        <v>17</v>
      </c>
      <c r="I2924" t="s">
        <v>4466</v>
      </c>
    </row>
    <row r="2925" spans="1:9" x14ac:dyDescent="0.3">
      <c r="A2925" t="s">
        <v>4844</v>
      </c>
      <c r="B2925" t="s">
        <v>4932</v>
      </c>
      <c r="C2925" t="s">
        <v>1936</v>
      </c>
      <c r="D2925" t="s">
        <v>1014</v>
      </c>
      <c r="E2925" t="s">
        <v>4945</v>
      </c>
      <c r="F2925" t="s">
        <v>4946</v>
      </c>
      <c r="H2925" t="s">
        <v>17</v>
      </c>
      <c r="I2925" t="s">
        <v>4466</v>
      </c>
    </row>
    <row r="2926" spans="1:9" x14ac:dyDescent="0.3">
      <c r="A2926" t="s">
        <v>4844</v>
      </c>
      <c r="B2926" t="s">
        <v>4932</v>
      </c>
      <c r="C2926" t="s">
        <v>1936</v>
      </c>
      <c r="D2926" t="s">
        <v>1017</v>
      </c>
      <c r="E2926" t="s">
        <v>880</v>
      </c>
      <c r="F2926" t="s">
        <v>4947</v>
      </c>
      <c r="H2926" t="s">
        <v>17</v>
      </c>
      <c r="I2926" t="s">
        <v>4466</v>
      </c>
    </row>
    <row r="2927" spans="1:9" x14ac:dyDescent="0.3">
      <c r="A2927" t="s">
        <v>4844</v>
      </c>
      <c r="B2927" t="s">
        <v>4932</v>
      </c>
      <c r="C2927" t="s">
        <v>1936</v>
      </c>
      <c r="D2927" t="s">
        <v>36</v>
      </c>
      <c r="E2927" t="s">
        <v>4948</v>
      </c>
      <c r="F2927" t="s">
        <v>4949</v>
      </c>
      <c r="H2927" t="s">
        <v>17</v>
      </c>
      <c r="I2927" t="s">
        <v>4466</v>
      </c>
    </row>
    <row r="2928" spans="1:9" x14ac:dyDescent="0.3">
      <c r="A2928" t="s">
        <v>4844</v>
      </c>
      <c r="B2928" t="s">
        <v>4932</v>
      </c>
      <c r="C2928" t="s">
        <v>1936</v>
      </c>
      <c r="D2928" t="s">
        <v>41</v>
      </c>
      <c r="E2928" t="s">
        <v>884</v>
      </c>
      <c r="F2928" t="s">
        <v>4950</v>
      </c>
      <c r="H2928" t="s">
        <v>17</v>
      </c>
      <c r="I2928" t="s">
        <v>4951</v>
      </c>
    </row>
    <row r="2929" spans="1:9" x14ac:dyDescent="0.3">
      <c r="A2929" t="s">
        <v>4844</v>
      </c>
      <c r="B2929" t="s">
        <v>4932</v>
      </c>
      <c r="C2929" t="s">
        <v>1936</v>
      </c>
      <c r="D2929" t="s">
        <v>45</v>
      </c>
      <c r="E2929" t="s">
        <v>889</v>
      </c>
      <c r="F2929" t="s">
        <v>4952</v>
      </c>
      <c r="H2929" t="s">
        <v>17</v>
      </c>
      <c r="I2929" t="s">
        <v>4953</v>
      </c>
    </row>
    <row r="2930" spans="1:9" x14ac:dyDescent="0.3">
      <c r="A2930" t="s">
        <v>4844</v>
      </c>
      <c r="B2930" t="s">
        <v>4932</v>
      </c>
      <c r="C2930" t="s">
        <v>1936</v>
      </c>
      <c r="D2930" t="s">
        <v>50</v>
      </c>
      <c r="E2930" t="s">
        <v>4954</v>
      </c>
      <c r="F2930" t="s">
        <v>4955</v>
      </c>
      <c r="H2930" t="s">
        <v>17</v>
      </c>
      <c r="I2930" t="s">
        <v>4953</v>
      </c>
    </row>
    <row r="2931" spans="1:9" x14ac:dyDescent="0.3">
      <c r="A2931" t="s">
        <v>4844</v>
      </c>
      <c r="B2931" t="s">
        <v>4932</v>
      </c>
      <c r="C2931" t="s">
        <v>1936</v>
      </c>
      <c r="D2931" t="s">
        <v>53</v>
      </c>
      <c r="E2931" t="s">
        <v>894</v>
      </c>
      <c r="F2931" t="s">
        <v>4956</v>
      </c>
      <c r="H2931" t="s">
        <v>17</v>
      </c>
      <c r="I2931" t="s">
        <v>4466</v>
      </c>
    </row>
    <row r="2932" spans="1:9" x14ac:dyDescent="0.3">
      <c r="A2932" t="s">
        <v>4844</v>
      </c>
      <c r="B2932" t="s">
        <v>4932</v>
      </c>
      <c r="C2932" t="s">
        <v>1936</v>
      </c>
      <c r="D2932" t="s">
        <v>56</v>
      </c>
      <c r="E2932" t="s">
        <v>899</v>
      </c>
      <c r="F2932" t="s">
        <v>4957</v>
      </c>
      <c r="H2932" t="s">
        <v>17</v>
      </c>
      <c r="I2932" t="s">
        <v>4466</v>
      </c>
    </row>
    <row r="2933" spans="1:9" x14ac:dyDescent="0.3">
      <c r="A2933" t="s">
        <v>4844</v>
      </c>
      <c r="B2933" t="s">
        <v>4932</v>
      </c>
      <c r="C2933" t="s">
        <v>1936</v>
      </c>
      <c r="D2933" t="s">
        <v>61</v>
      </c>
      <c r="E2933" t="s">
        <v>904</v>
      </c>
      <c r="F2933" t="s">
        <v>4958</v>
      </c>
      <c r="H2933" t="s">
        <v>17</v>
      </c>
      <c r="I2933" t="s">
        <v>4466</v>
      </c>
    </row>
    <row r="2934" spans="1:9" x14ac:dyDescent="0.3">
      <c r="A2934" t="s">
        <v>4844</v>
      </c>
      <c r="B2934" t="s">
        <v>4932</v>
      </c>
      <c r="C2934" t="s">
        <v>1936</v>
      </c>
      <c r="D2934" t="s">
        <v>1039</v>
      </c>
      <c r="E2934" t="s">
        <v>909</v>
      </c>
      <c r="F2934" t="s">
        <v>4959</v>
      </c>
      <c r="H2934" t="s">
        <v>17</v>
      </c>
      <c r="I2934" t="s">
        <v>4466</v>
      </c>
    </row>
    <row r="2935" spans="1:9" x14ac:dyDescent="0.3">
      <c r="A2935" t="s">
        <v>4844</v>
      </c>
      <c r="B2935" t="s">
        <v>4932</v>
      </c>
      <c r="C2935" t="s">
        <v>1936</v>
      </c>
      <c r="D2935" t="s">
        <v>1043</v>
      </c>
      <c r="E2935" t="s">
        <v>913</v>
      </c>
      <c r="F2935" t="s">
        <v>4960</v>
      </c>
      <c r="H2935" t="s">
        <v>17</v>
      </c>
      <c r="I2935" t="s">
        <v>4466</v>
      </c>
    </row>
    <row r="2936" spans="1:9" x14ac:dyDescent="0.3">
      <c r="A2936" t="s">
        <v>4844</v>
      </c>
      <c r="B2936" t="s">
        <v>4932</v>
      </c>
      <c r="C2936" t="s">
        <v>1936</v>
      </c>
      <c r="D2936" t="s">
        <v>71</v>
      </c>
      <c r="E2936" t="s">
        <v>917</v>
      </c>
      <c r="F2936" t="s">
        <v>4961</v>
      </c>
      <c r="H2936" t="s">
        <v>17</v>
      </c>
      <c r="I2936" t="s">
        <v>4466</v>
      </c>
    </row>
    <row r="2937" spans="1:9" x14ac:dyDescent="0.3">
      <c r="A2937" t="s">
        <v>4844</v>
      </c>
      <c r="B2937" t="s">
        <v>4932</v>
      </c>
      <c r="C2937" t="s">
        <v>1936</v>
      </c>
      <c r="D2937" t="s">
        <v>1050</v>
      </c>
      <c r="E2937" t="s">
        <v>921</v>
      </c>
      <c r="F2937" t="s">
        <v>4962</v>
      </c>
      <c r="H2937" t="s">
        <v>17</v>
      </c>
      <c r="I2937" t="s">
        <v>4963</v>
      </c>
    </row>
    <row r="2938" spans="1:9" x14ac:dyDescent="0.3">
      <c r="A2938" t="s">
        <v>4844</v>
      </c>
      <c r="B2938" t="s">
        <v>4932</v>
      </c>
      <c r="C2938" t="s">
        <v>1936</v>
      </c>
      <c r="D2938" t="s">
        <v>1055</v>
      </c>
      <c r="E2938" t="s">
        <v>925</v>
      </c>
      <c r="F2938" t="s">
        <v>4964</v>
      </c>
      <c r="H2938" t="s">
        <v>17</v>
      </c>
      <c r="I2938" t="s">
        <v>4963</v>
      </c>
    </row>
    <row r="2939" spans="1:9" x14ac:dyDescent="0.3">
      <c r="A2939" t="s">
        <v>4844</v>
      </c>
      <c r="B2939" t="s">
        <v>4932</v>
      </c>
      <c r="C2939" t="s">
        <v>1936</v>
      </c>
      <c r="D2939" t="s">
        <v>80</v>
      </c>
      <c r="E2939" t="s">
        <v>929</v>
      </c>
      <c r="F2939" t="s">
        <v>4965</v>
      </c>
      <c r="H2939" t="s">
        <v>17</v>
      </c>
      <c r="I2939" t="s">
        <v>4966</v>
      </c>
    </row>
    <row r="2940" spans="1:9" x14ac:dyDescent="0.3">
      <c r="A2940" t="s">
        <v>4844</v>
      </c>
      <c r="B2940" t="s">
        <v>4932</v>
      </c>
      <c r="C2940" t="s">
        <v>1936</v>
      </c>
      <c r="D2940" t="s">
        <v>85</v>
      </c>
      <c r="E2940" t="s">
        <v>4967</v>
      </c>
      <c r="F2940" t="s">
        <v>4968</v>
      </c>
      <c r="H2940" t="s">
        <v>17</v>
      </c>
      <c r="I2940" t="s">
        <v>4466</v>
      </c>
    </row>
    <row r="2941" spans="1:9" x14ac:dyDescent="0.3">
      <c r="A2941" t="s">
        <v>4844</v>
      </c>
      <c r="B2941" t="s">
        <v>4932</v>
      </c>
      <c r="C2941" t="s">
        <v>1936</v>
      </c>
      <c r="D2941" t="s">
        <v>90</v>
      </c>
      <c r="E2941" t="s">
        <v>934</v>
      </c>
      <c r="F2941" t="s">
        <v>4969</v>
      </c>
      <c r="H2941" t="s">
        <v>17</v>
      </c>
      <c r="I2941" t="s">
        <v>4466</v>
      </c>
    </row>
    <row r="2942" spans="1:9" x14ac:dyDescent="0.3">
      <c r="A2942" t="s">
        <v>4844</v>
      </c>
      <c r="B2942" t="s">
        <v>4932</v>
      </c>
      <c r="C2942" t="s">
        <v>1936</v>
      </c>
      <c r="D2942" t="s">
        <v>95</v>
      </c>
      <c r="E2942" t="s">
        <v>939</v>
      </c>
      <c r="F2942" t="s">
        <v>4970</v>
      </c>
      <c r="H2942" t="s">
        <v>17</v>
      </c>
      <c r="I2942" t="s">
        <v>4466</v>
      </c>
    </row>
    <row r="2943" spans="1:9" x14ac:dyDescent="0.3">
      <c r="A2943" t="s">
        <v>4844</v>
      </c>
      <c r="B2943" t="s">
        <v>4932</v>
      </c>
      <c r="C2943" t="s">
        <v>1936</v>
      </c>
      <c r="D2943" t="s">
        <v>100</v>
      </c>
      <c r="E2943" t="s">
        <v>943</v>
      </c>
      <c r="F2943" t="s">
        <v>4971</v>
      </c>
      <c r="H2943" t="s">
        <v>17</v>
      </c>
      <c r="I2943" t="s">
        <v>4466</v>
      </c>
    </row>
    <row r="2944" spans="1:9" x14ac:dyDescent="0.3">
      <c r="A2944" t="s">
        <v>4844</v>
      </c>
      <c r="B2944" t="s">
        <v>4932</v>
      </c>
      <c r="C2944" t="s">
        <v>1936</v>
      </c>
      <c r="D2944" t="s">
        <v>106</v>
      </c>
      <c r="E2944" t="s">
        <v>947</v>
      </c>
      <c r="F2944" t="s">
        <v>4972</v>
      </c>
      <c r="H2944" t="s">
        <v>17</v>
      </c>
      <c r="I2944" t="s">
        <v>4466</v>
      </c>
    </row>
    <row r="2945" spans="1:9" x14ac:dyDescent="0.3">
      <c r="A2945" t="s">
        <v>4844</v>
      </c>
      <c r="B2945" t="s">
        <v>4932</v>
      </c>
      <c r="C2945" t="s">
        <v>1936</v>
      </c>
      <c r="D2945" t="s">
        <v>111</v>
      </c>
      <c r="E2945" t="s">
        <v>951</v>
      </c>
      <c r="F2945" t="s">
        <v>4973</v>
      </c>
      <c r="H2945" t="s">
        <v>17</v>
      </c>
      <c r="I2945" t="s">
        <v>4466</v>
      </c>
    </row>
    <row r="2946" spans="1:9" x14ac:dyDescent="0.3">
      <c r="A2946" t="s">
        <v>4844</v>
      </c>
      <c r="B2946" t="s">
        <v>4932</v>
      </c>
      <c r="C2946" t="s">
        <v>1936</v>
      </c>
      <c r="D2946" t="s">
        <v>114</v>
      </c>
      <c r="E2946" t="s">
        <v>955</v>
      </c>
      <c r="F2946" t="s">
        <v>4974</v>
      </c>
      <c r="H2946" t="s">
        <v>17</v>
      </c>
      <c r="I2946" t="s">
        <v>4466</v>
      </c>
    </row>
    <row r="2947" spans="1:9" x14ac:dyDescent="0.3">
      <c r="A2947" t="s">
        <v>4844</v>
      </c>
      <c r="B2947" t="s">
        <v>4932</v>
      </c>
      <c r="C2947" t="s">
        <v>1936</v>
      </c>
      <c r="D2947" t="s">
        <v>117</v>
      </c>
      <c r="E2947" t="s">
        <v>960</v>
      </c>
      <c r="F2947" t="s">
        <v>4975</v>
      </c>
      <c r="H2947" t="s">
        <v>17</v>
      </c>
      <c r="I2947" t="s">
        <v>4466</v>
      </c>
    </row>
    <row r="2948" spans="1:9" x14ac:dyDescent="0.3">
      <c r="A2948" t="s">
        <v>4844</v>
      </c>
      <c r="B2948" t="s">
        <v>4932</v>
      </c>
      <c r="C2948" t="s">
        <v>1936</v>
      </c>
      <c r="D2948" t="s">
        <v>121</v>
      </c>
      <c r="E2948" t="s">
        <v>965</v>
      </c>
      <c r="F2948" t="s">
        <v>4976</v>
      </c>
      <c r="H2948" t="s">
        <v>17</v>
      </c>
      <c r="I2948" t="s">
        <v>4466</v>
      </c>
    </row>
    <row r="2949" spans="1:9" x14ac:dyDescent="0.3">
      <c r="A2949" t="s">
        <v>4844</v>
      </c>
      <c r="B2949" t="s">
        <v>4932</v>
      </c>
      <c r="C2949" t="s">
        <v>1936</v>
      </c>
      <c r="D2949" t="s">
        <v>126</v>
      </c>
      <c r="E2949" t="s">
        <v>970</v>
      </c>
      <c r="F2949" t="s">
        <v>4977</v>
      </c>
      <c r="H2949" t="s">
        <v>17</v>
      </c>
      <c r="I2949" t="s">
        <v>4978</v>
      </c>
    </row>
    <row r="2950" spans="1:9" x14ac:dyDescent="0.3">
      <c r="A2950" t="s">
        <v>4844</v>
      </c>
      <c r="B2950" t="s">
        <v>4932</v>
      </c>
      <c r="C2950" t="s">
        <v>1936</v>
      </c>
      <c r="D2950" t="s">
        <v>129</v>
      </c>
      <c r="E2950" t="s">
        <v>4979</v>
      </c>
      <c r="F2950" t="s">
        <v>4980</v>
      </c>
      <c r="H2950" t="s">
        <v>17</v>
      </c>
      <c r="I2950" t="s">
        <v>4786</v>
      </c>
    </row>
    <row r="2951" spans="1:9" x14ac:dyDescent="0.3">
      <c r="A2951" t="s">
        <v>4844</v>
      </c>
      <c r="B2951" t="s">
        <v>4932</v>
      </c>
      <c r="C2951" t="s">
        <v>1936</v>
      </c>
      <c r="D2951" t="s">
        <v>132</v>
      </c>
      <c r="E2951" t="s">
        <v>973</v>
      </c>
      <c r="F2951" t="s">
        <v>4981</v>
      </c>
      <c r="H2951" t="s">
        <v>17</v>
      </c>
      <c r="I2951" t="s">
        <v>4583</v>
      </c>
    </row>
    <row r="2952" spans="1:9" x14ac:dyDescent="0.3">
      <c r="A2952" t="s">
        <v>4844</v>
      </c>
      <c r="B2952" t="s">
        <v>4932</v>
      </c>
      <c r="C2952" t="s">
        <v>1936</v>
      </c>
      <c r="D2952" t="s">
        <v>135</v>
      </c>
      <c r="E2952" t="s">
        <v>976</v>
      </c>
      <c r="F2952" t="s">
        <v>4982</v>
      </c>
      <c r="H2952" t="s">
        <v>17</v>
      </c>
      <c r="I2952" t="s">
        <v>4983</v>
      </c>
    </row>
    <row r="2953" spans="1:9" x14ac:dyDescent="0.3">
      <c r="A2953" t="s">
        <v>4844</v>
      </c>
      <c r="B2953" t="s">
        <v>4932</v>
      </c>
      <c r="C2953" t="s">
        <v>1936</v>
      </c>
      <c r="D2953" t="s">
        <v>138</v>
      </c>
      <c r="E2953" t="s">
        <v>4984</v>
      </c>
      <c r="F2953" t="s">
        <v>4985</v>
      </c>
      <c r="H2953" t="s">
        <v>17</v>
      </c>
      <c r="I2953" t="s">
        <v>4986</v>
      </c>
    </row>
    <row r="2954" spans="1:9" x14ac:dyDescent="0.3">
      <c r="A2954" t="s">
        <v>4844</v>
      </c>
      <c r="B2954" t="s">
        <v>4932</v>
      </c>
      <c r="C2954" t="s">
        <v>1936</v>
      </c>
      <c r="D2954" t="s">
        <v>141</v>
      </c>
      <c r="E2954" t="s">
        <v>979</v>
      </c>
      <c r="F2954" t="s">
        <v>4987</v>
      </c>
      <c r="H2954" t="s">
        <v>17</v>
      </c>
      <c r="I2954" t="s">
        <v>4988</v>
      </c>
    </row>
    <row r="2955" spans="1:9" x14ac:dyDescent="0.3">
      <c r="A2955" t="s">
        <v>4844</v>
      </c>
      <c r="B2955" t="s">
        <v>4932</v>
      </c>
      <c r="C2955" t="s">
        <v>1936</v>
      </c>
      <c r="D2955" t="s">
        <v>144</v>
      </c>
      <c r="E2955" t="s">
        <v>982</v>
      </c>
      <c r="F2955" t="s">
        <v>4989</v>
      </c>
      <c r="H2955" t="s">
        <v>17</v>
      </c>
      <c r="I2955" t="s">
        <v>4990</v>
      </c>
    </row>
    <row r="2956" spans="1:9" x14ac:dyDescent="0.3">
      <c r="A2956" t="s">
        <v>4844</v>
      </c>
      <c r="B2956" t="s">
        <v>4932</v>
      </c>
      <c r="C2956" t="s">
        <v>1936</v>
      </c>
      <c r="D2956" t="s">
        <v>147</v>
      </c>
      <c r="E2956" t="s">
        <v>985</v>
      </c>
      <c r="F2956" t="s">
        <v>4991</v>
      </c>
      <c r="H2956" t="s">
        <v>17</v>
      </c>
      <c r="I2956" t="s">
        <v>4466</v>
      </c>
    </row>
    <row r="2957" spans="1:9" x14ac:dyDescent="0.3">
      <c r="A2957" t="s">
        <v>4844</v>
      </c>
      <c r="B2957" t="s">
        <v>4932</v>
      </c>
      <c r="C2957" t="s">
        <v>1936</v>
      </c>
      <c r="D2957" t="s">
        <v>152</v>
      </c>
      <c r="E2957" t="s">
        <v>4992</v>
      </c>
      <c r="F2957" t="s">
        <v>4993</v>
      </c>
      <c r="H2957" t="s">
        <v>17</v>
      </c>
      <c r="I2957" t="s">
        <v>4994</v>
      </c>
    </row>
    <row r="2958" spans="1:9" x14ac:dyDescent="0.3">
      <c r="A2958" t="s">
        <v>4844</v>
      </c>
      <c r="B2958" t="s">
        <v>4932</v>
      </c>
      <c r="C2958" t="s">
        <v>1936</v>
      </c>
      <c r="D2958" t="s">
        <v>157</v>
      </c>
      <c r="E2958" t="s">
        <v>987</v>
      </c>
      <c r="F2958" t="s">
        <v>4995</v>
      </c>
      <c r="H2958" t="s">
        <v>17</v>
      </c>
      <c r="I2958" t="s">
        <v>4994</v>
      </c>
    </row>
    <row r="2959" spans="1:9" x14ac:dyDescent="0.3">
      <c r="A2959" t="s">
        <v>4844</v>
      </c>
      <c r="B2959" t="s">
        <v>4932</v>
      </c>
      <c r="C2959" t="s">
        <v>1936</v>
      </c>
      <c r="D2959" t="s">
        <v>162</v>
      </c>
      <c r="E2959" t="s">
        <v>4996</v>
      </c>
      <c r="F2959" t="s">
        <v>4997</v>
      </c>
      <c r="H2959" t="s">
        <v>17</v>
      </c>
      <c r="I2959" t="s">
        <v>4994</v>
      </c>
    </row>
    <row r="2960" spans="1:9" x14ac:dyDescent="0.3">
      <c r="A2960" t="s">
        <v>4844</v>
      </c>
      <c r="B2960" t="s">
        <v>4932</v>
      </c>
      <c r="C2960" t="s">
        <v>1936</v>
      </c>
      <c r="D2960" t="s">
        <v>167</v>
      </c>
      <c r="E2960" t="s">
        <v>4998</v>
      </c>
      <c r="F2960" t="s">
        <v>4999</v>
      </c>
      <c r="H2960" t="s">
        <v>17</v>
      </c>
      <c r="I2960" t="s">
        <v>5000</v>
      </c>
    </row>
    <row r="2961" spans="1:9" x14ac:dyDescent="0.3">
      <c r="A2961" t="s">
        <v>4844</v>
      </c>
      <c r="B2961" t="s">
        <v>4932</v>
      </c>
      <c r="C2961" t="s">
        <v>1936</v>
      </c>
      <c r="D2961" t="s">
        <v>172</v>
      </c>
      <c r="E2961" t="s">
        <v>5001</v>
      </c>
      <c r="F2961" t="s">
        <v>5002</v>
      </c>
      <c r="H2961" t="s">
        <v>17</v>
      </c>
      <c r="I2961" t="s">
        <v>4951</v>
      </c>
    </row>
    <row r="2962" spans="1:9" x14ac:dyDescent="0.3">
      <c r="A2962" t="s">
        <v>4844</v>
      </c>
      <c r="B2962" t="s">
        <v>4932</v>
      </c>
      <c r="C2962" t="s">
        <v>1936</v>
      </c>
      <c r="D2962" t="s">
        <v>177</v>
      </c>
      <c r="E2962" t="s">
        <v>5003</v>
      </c>
      <c r="F2962" t="s">
        <v>5004</v>
      </c>
      <c r="H2962" t="s">
        <v>17</v>
      </c>
      <c r="I2962" t="s">
        <v>5005</v>
      </c>
    </row>
    <row r="2963" spans="1:9" x14ac:dyDescent="0.3">
      <c r="A2963" t="s">
        <v>4844</v>
      </c>
      <c r="B2963" t="s">
        <v>4932</v>
      </c>
      <c r="C2963" t="s">
        <v>1936</v>
      </c>
      <c r="D2963" t="s">
        <v>182</v>
      </c>
      <c r="E2963" t="s">
        <v>5006</v>
      </c>
      <c r="F2963" t="s">
        <v>5007</v>
      </c>
      <c r="H2963" t="s">
        <v>17</v>
      </c>
      <c r="I2963" t="s">
        <v>5008</v>
      </c>
    </row>
    <row r="2964" spans="1:9" x14ac:dyDescent="0.3">
      <c r="A2964" t="s">
        <v>4844</v>
      </c>
      <c r="B2964" t="s">
        <v>4932</v>
      </c>
      <c r="C2964" t="s">
        <v>1936</v>
      </c>
      <c r="D2964" t="s">
        <v>187</v>
      </c>
      <c r="E2964" t="s">
        <v>5009</v>
      </c>
      <c r="F2964" t="s">
        <v>5010</v>
      </c>
      <c r="H2964" t="s">
        <v>17</v>
      </c>
      <c r="I2964" t="s">
        <v>4466</v>
      </c>
    </row>
    <row r="2965" spans="1:9" x14ac:dyDescent="0.3">
      <c r="A2965" t="s">
        <v>4844</v>
      </c>
      <c r="B2965" t="s">
        <v>4932</v>
      </c>
      <c r="C2965" t="s">
        <v>1936</v>
      </c>
      <c r="D2965" t="s">
        <v>193</v>
      </c>
      <c r="E2965" t="s">
        <v>5011</v>
      </c>
      <c r="F2965" t="s">
        <v>5012</v>
      </c>
      <c r="H2965" t="s">
        <v>17</v>
      </c>
      <c r="I2965" t="s">
        <v>5013</v>
      </c>
    </row>
    <row r="2966" spans="1:9" x14ac:dyDescent="0.3">
      <c r="A2966" t="s">
        <v>4844</v>
      </c>
      <c r="B2966" t="s">
        <v>4932</v>
      </c>
      <c r="C2966" t="s">
        <v>1936</v>
      </c>
      <c r="D2966" t="s">
        <v>198</v>
      </c>
      <c r="E2966" t="s">
        <v>5014</v>
      </c>
      <c r="F2966" t="s">
        <v>5015</v>
      </c>
      <c r="H2966" t="s">
        <v>17</v>
      </c>
      <c r="I2966" t="s">
        <v>5016</v>
      </c>
    </row>
    <row r="2967" spans="1:9" x14ac:dyDescent="0.3">
      <c r="A2967" t="s">
        <v>4844</v>
      </c>
      <c r="B2967" t="s">
        <v>4932</v>
      </c>
      <c r="C2967" t="s">
        <v>1936</v>
      </c>
      <c r="D2967" t="s">
        <v>202</v>
      </c>
      <c r="E2967" t="s">
        <v>5017</v>
      </c>
      <c r="F2967" t="s">
        <v>5018</v>
      </c>
      <c r="H2967" t="s">
        <v>17</v>
      </c>
      <c r="I2967" t="s">
        <v>5019</v>
      </c>
    </row>
    <row r="2968" spans="1:9" x14ac:dyDescent="0.3">
      <c r="A2968" t="s">
        <v>4844</v>
      </c>
      <c r="B2968" t="s">
        <v>4932</v>
      </c>
      <c r="C2968" t="s">
        <v>1936</v>
      </c>
      <c r="D2968" t="s">
        <v>206</v>
      </c>
      <c r="E2968" t="s">
        <v>5020</v>
      </c>
      <c r="F2968" t="s">
        <v>5021</v>
      </c>
      <c r="H2968" t="s">
        <v>17</v>
      </c>
      <c r="I2968" t="s">
        <v>5022</v>
      </c>
    </row>
    <row r="2969" spans="1:9" x14ac:dyDescent="0.3">
      <c r="A2969" t="s">
        <v>4844</v>
      </c>
      <c r="B2969" t="s">
        <v>4932</v>
      </c>
      <c r="C2969" t="s">
        <v>1936</v>
      </c>
      <c r="D2969" t="s">
        <v>210</v>
      </c>
      <c r="E2969" t="s">
        <v>5023</v>
      </c>
      <c r="F2969" t="s">
        <v>5024</v>
      </c>
      <c r="H2969" t="s">
        <v>17</v>
      </c>
      <c r="I2969" t="s">
        <v>5025</v>
      </c>
    </row>
    <row r="2970" spans="1:9" x14ac:dyDescent="0.3">
      <c r="A2970" t="s">
        <v>4844</v>
      </c>
      <c r="B2970" t="s">
        <v>4932</v>
      </c>
      <c r="C2970" t="s">
        <v>1936</v>
      </c>
      <c r="D2970" t="s">
        <v>214</v>
      </c>
      <c r="E2970" t="s">
        <v>5026</v>
      </c>
      <c r="F2970" t="s">
        <v>5027</v>
      </c>
      <c r="H2970" t="s">
        <v>17</v>
      </c>
      <c r="I2970" t="s">
        <v>5028</v>
      </c>
    </row>
    <row r="2971" spans="1:9" x14ac:dyDescent="0.3">
      <c r="A2971" t="s">
        <v>4844</v>
      </c>
      <c r="B2971" t="s">
        <v>4932</v>
      </c>
      <c r="C2971" t="s">
        <v>1936</v>
      </c>
      <c r="D2971" t="s">
        <v>218</v>
      </c>
      <c r="E2971" t="s">
        <v>5029</v>
      </c>
      <c r="F2971" t="s">
        <v>5030</v>
      </c>
      <c r="H2971" t="s">
        <v>17</v>
      </c>
      <c r="I2971" t="s">
        <v>5031</v>
      </c>
    </row>
    <row r="2972" spans="1:9" x14ac:dyDescent="0.3">
      <c r="A2972" t="s">
        <v>4844</v>
      </c>
      <c r="B2972" t="s">
        <v>4932</v>
      </c>
      <c r="C2972" t="s">
        <v>1936</v>
      </c>
      <c r="D2972" t="s">
        <v>223</v>
      </c>
      <c r="E2972" t="s">
        <v>5032</v>
      </c>
      <c r="F2972" t="s">
        <v>5033</v>
      </c>
      <c r="H2972" t="s">
        <v>17</v>
      </c>
      <c r="I2972" t="s">
        <v>5034</v>
      </c>
    </row>
    <row r="2973" spans="1:9" x14ac:dyDescent="0.3">
      <c r="A2973" t="s">
        <v>4844</v>
      </c>
      <c r="B2973" t="s">
        <v>4932</v>
      </c>
      <c r="C2973" t="s">
        <v>1936</v>
      </c>
      <c r="D2973" t="s">
        <v>1131</v>
      </c>
      <c r="E2973" t="s">
        <v>5035</v>
      </c>
      <c r="F2973" t="s">
        <v>5036</v>
      </c>
      <c r="H2973" t="s">
        <v>17</v>
      </c>
      <c r="I2973" t="s">
        <v>5037</v>
      </c>
    </row>
    <row r="2974" spans="1:9" x14ac:dyDescent="0.3">
      <c r="A2974" t="s">
        <v>4844</v>
      </c>
      <c r="B2974" t="s">
        <v>4932</v>
      </c>
      <c r="C2974" t="s">
        <v>1936</v>
      </c>
      <c r="D2974" t="s">
        <v>1136</v>
      </c>
      <c r="E2974" t="s">
        <v>5038</v>
      </c>
      <c r="F2974" t="s">
        <v>5039</v>
      </c>
      <c r="H2974" t="s">
        <v>17</v>
      </c>
      <c r="I2974" t="s">
        <v>5040</v>
      </c>
    </row>
    <row r="2975" spans="1:9" x14ac:dyDescent="0.3">
      <c r="A2975" t="s">
        <v>4844</v>
      </c>
      <c r="B2975" t="s">
        <v>4932</v>
      </c>
      <c r="C2975" t="s">
        <v>1936</v>
      </c>
      <c r="D2975" t="s">
        <v>245</v>
      </c>
      <c r="E2975" t="s">
        <v>5041</v>
      </c>
      <c r="F2975" t="s">
        <v>5042</v>
      </c>
      <c r="H2975" t="s">
        <v>17</v>
      </c>
      <c r="I2975" t="s">
        <v>5043</v>
      </c>
    </row>
    <row r="2976" spans="1:9" x14ac:dyDescent="0.3">
      <c r="A2976" t="s">
        <v>4844</v>
      </c>
      <c r="B2976" t="s">
        <v>4932</v>
      </c>
      <c r="C2976" t="s">
        <v>1936</v>
      </c>
      <c r="D2976" t="s">
        <v>250</v>
      </c>
      <c r="E2976" t="s">
        <v>5044</v>
      </c>
      <c r="F2976" t="s">
        <v>5045</v>
      </c>
      <c r="H2976" t="s">
        <v>17</v>
      </c>
      <c r="I2976" t="s">
        <v>5043</v>
      </c>
    </row>
    <row r="2977" spans="1:9" x14ac:dyDescent="0.3">
      <c r="A2977" t="s">
        <v>4844</v>
      </c>
      <c r="B2977" t="s">
        <v>4932</v>
      </c>
      <c r="C2977" t="s">
        <v>1936</v>
      </c>
      <c r="D2977" t="s">
        <v>253</v>
      </c>
      <c r="E2977" t="s">
        <v>5046</v>
      </c>
      <c r="F2977" t="s">
        <v>5047</v>
      </c>
      <c r="H2977" t="s">
        <v>17</v>
      </c>
      <c r="I2977" t="s">
        <v>5043</v>
      </c>
    </row>
    <row r="2978" spans="1:9" x14ac:dyDescent="0.3">
      <c r="A2978" t="s">
        <v>4844</v>
      </c>
      <c r="B2978" t="s">
        <v>4932</v>
      </c>
      <c r="C2978" t="s">
        <v>1936</v>
      </c>
      <c r="D2978" t="s">
        <v>256</v>
      </c>
      <c r="E2978" t="s">
        <v>5048</v>
      </c>
      <c r="F2978" t="s">
        <v>5049</v>
      </c>
      <c r="H2978" t="s">
        <v>17</v>
      </c>
      <c r="I2978" t="s">
        <v>5043</v>
      </c>
    </row>
    <row r="2979" spans="1:9" x14ac:dyDescent="0.3">
      <c r="A2979" t="s">
        <v>4844</v>
      </c>
      <c r="B2979" t="s">
        <v>4932</v>
      </c>
      <c r="C2979" t="s">
        <v>1936</v>
      </c>
      <c r="D2979" t="s">
        <v>1197</v>
      </c>
      <c r="E2979" t="s">
        <v>5050</v>
      </c>
      <c r="F2979" t="s">
        <v>4783</v>
      </c>
      <c r="H2979" t="s">
        <v>17</v>
      </c>
    </row>
    <row r="2980" spans="1:9" x14ac:dyDescent="0.3">
      <c r="A2980" t="s">
        <v>4844</v>
      </c>
      <c r="B2980" t="s">
        <v>5051</v>
      </c>
      <c r="C2980" t="s">
        <v>2135</v>
      </c>
      <c r="D2980" t="s">
        <v>5052</v>
      </c>
      <c r="E2980" t="s">
        <v>5053</v>
      </c>
      <c r="F2980" t="s">
        <v>5054</v>
      </c>
      <c r="H2980" t="s">
        <v>17</v>
      </c>
      <c r="I2980" t="s">
        <v>5043</v>
      </c>
    </row>
    <row r="2981" spans="1:9" x14ac:dyDescent="0.3">
      <c r="A2981" t="s">
        <v>4844</v>
      </c>
      <c r="B2981" t="s">
        <v>5051</v>
      </c>
      <c r="C2981" t="s">
        <v>2135</v>
      </c>
      <c r="D2981" t="s">
        <v>4941</v>
      </c>
      <c r="E2981" t="s">
        <v>5055</v>
      </c>
      <c r="F2981" t="s">
        <v>5056</v>
      </c>
      <c r="H2981" t="s">
        <v>17</v>
      </c>
      <c r="I2981" t="s">
        <v>5043</v>
      </c>
    </row>
    <row r="2982" spans="1:9" x14ac:dyDescent="0.3">
      <c r="A2982" t="s">
        <v>4844</v>
      </c>
      <c r="B2982" t="s">
        <v>5051</v>
      </c>
      <c r="C2982" t="s">
        <v>2135</v>
      </c>
      <c r="D2982" t="s">
        <v>4637</v>
      </c>
      <c r="E2982" t="s">
        <v>5057</v>
      </c>
      <c r="F2982" t="s">
        <v>5058</v>
      </c>
      <c r="H2982" t="s">
        <v>17</v>
      </c>
      <c r="I2982" t="s">
        <v>5043</v>
      </c>
    </row>
    <row r="2983" spans="1:9" x14ac:dyDescent="0.3">
      <c r="A2983" t="s">
        <v>4844</v>
      </c>
      <c r="B2983" t="s">
        <v>5051</v>
      </c>
      <c r="C2983" t="s">
        <v>2135</v>
      </c>
      <c r="D2983" t="s">
        <v>32</v>
      </c>
      <c r="E2983" t="s">
        <v>5059</v>
      </c>
      <c r="F2983" t="s">
        <v>5060</v>
      </c>
      <c r="H2983" t="s">
        <v>17</v>
      </c>
      <c r="I2983" t="s">
        <v>5043</v>
      </c>
    </row>
    <row r="2984" spans="1:9" x14ac:dyDescent="0.3">
      <c r="A2984" t="s">
        <v>4844</v>
      </c>
      <c r="B2984" t="s">
        <v>5051</v>
      </c>
      <c r="C2984" t="s">
        <v>2135</v>
      </c>
      <c r="D2984" t="s">
        <v>2684</v>
      </c>
      <c r="E2984" t="s">
        <v>5061</v>
      </c>
      <c r="F2984" t="s">
        <v>5062</v>
      </c>
      <c r="H2984" t="s">
        <v>17</v>
      </c>
      <c r="I2984" t="s">
        <v>5063</v>
      </c>
    </row>
    <row r="2985" spans="1:9" x14ac:dyDescent="0.3">
      <c r="A2985" t="s">
        <v>4844</v>
      </c>
      <c r="B2985" t="s">
        <v>5051</v>
      </c>
      <c r="C2985" t="s">
        <v>2135</v>
      </c>
      <c r="D2985" t="s">
        <v>45</v>
      </c>
      <c r="E2985" t="s">
        <v>5064</v>
      </c>
      <c r="F2985" t="s">
        <v>5065</v>
      </c>
      <c r="H2985" t="s">
        <v>17</v>
      </c>
      <c r="I2985" t="s">
        <v>5066</v>
      </c>
    </row>
    <row r="2986" spans="1:9" x14ac:dyDescent="0.3">
      <c r="A2986" t="s">
        <v>4844</v>
      </c>
      <c r="B2986" t="s">
        <v>5051</v>
      </c>
      <c r="C2986" t="s">
        <v>2135</v>
      </c>
      <c r="D2986" t="s">
        <v>50</v>
      </c>
      <c r="E2986" t="s">
        <v>5067</v>
      </c>
      <c r="F2986" t="s">
        <v>5068</v>
      </c>
      <c r="H2986" t="s">
        <v>17</v>
      </c>
      <c r="I2986" t="s">
        <v>4466</v>
      </c>
    </row>
    <row r="2987" spans="1:9" x14ac:dyDescent="0.3">
      <c r="A2987" t="s">
        <v>4844</v>
      </c>
      <c r="B2987" t="s">
        <v>5051</v>
      </c>
      <c r="C2987" t="s">
        <v>2135</v>
      </c>
      <c r="D2987" t="s">
        <v>53</v>
      </c>
      <c r="E2987" t="s">
        <v>5069</v>
      </c>
      <c r="F2987" t="s">
        <v>5070</v>
      </c>
      <c r="H2987" t="s">
        <v>17</v>
      </c>
      <c r="I2987" t="s">
        <v>5071</v>
      </c>
    </row>
    <row r="2988" spans="1:9" x14ac:dyDescent="0.3">
      <c r="A2988" t="s">
        <v>4844</v>
      </c>
      <c r="B2988" t="s">
        <v>5051</v>
      </c>
      <c r="C2988" t="s">
        <v>2135</v>
      </c>
      <c r="D2988" t="s">
        <v>56</v>
      </c>
      <c r="E2988" t="s">
        <v>5072</v>
      </c>
      <c r="F2988" t="s">
        <v>5073</v>
      </c>
      <c r="H2988" t="s">
        <v>17</v>
      </c>
      <c r="I2988" t="s">
        <v>5074</v>
      </c>
    </row>
    <row r="2989" spans="1:9" x14ac:dyDescent="0.3">
      <c r="A2989" t="s">
        <v>4844</v>
      </c>
      <c r="B2989" t="s">
        <v>5051</v>
      </c>
      <c r="C2989" t="s">
        <v>2135</v>
      </c>
      <c r="D2989" t="s">
        <v>4674</v>
      </c>
      <c r="E2989" t="s">
        <v>5075</v>
      </c>
      <c r="F2989" t="s">
        <v>5076</v>
      </c>
      <c r="H2989" t="s">
        <v>17</v>
      </c>
      <c r="I2989" t="s">
        <v>5077</v>
      </c>
    </row>
    <row r="2990" spans="1:9" x14ac:dyDescent="0.3">
      <c r="A2990" t="s">
        <v>4844</v>
      </c>
      <c r="B2990" t="s">
        <v>5051</v>
      </c>
      <c r="C2990" t="s">
        <v>2135</v>
      </c>
      <c r="D2990" t="s">
        <v>1043</v>
      </c>
      <c r="E2990" t="s">
        <v>5078</v>
      </c>
      <c r="F2990" t="s">
        <v>5079</v>
      </c>
      <c r="H2990" t="s">
        <v>17</v>
      </c>
      <c r="I2990" t="s">
        <v>4466</v>
      </c>
    </row>
    <row r="2991" spans="1:9" x14ac:dyDescent="0.3">
      <c r="A2991" t="s">
        <v>4844</v>
      </c>
      <c r="B2991" t="s">
        <v>5051</v>
      </c>
      <c r="C2991" t="s">
        <v>2135</v>
      </c>
      <c r="D2991" t="s">
        <v>71</v>
      </c>
      <c r="E2991" t="s">
        <v>5080</v>
      </c>
      <c r="F2991" t="s">
        <v>5081</v>
      </c>
      <c r="H2991" t="s">
        <v>17</v>
      </c>
      <c r="I2991" t="s">
        <v>4986</v>
      </c>
    </row>
    <row r="2992" spans="1:9" x14ac:dyDescent="0.3">
      <c r="A2992" t="s">
        <v>4844</v>
      </c>
      <c r="B2992" t="s">
        <v>5051</v>
      </c>
      <c r="C2992" t="s">
        <v>2135</v>
      </c>
      <c r="D2992" t="s">
        <v>1050</v>
      </c>
      <c r="E2992" t="s">
        <v>5082</v>
      </c>
      <c r="F2992" t="s">
        <v>5083</v>
      </c>
      <c r="H2992" t="s">
        <v>17</v>
      </c>
      <c r="I2992" t="s">
        <v>5084</v>
      </c>
    </row>
    <row r="2993" spans="1:9" x14ac:dyDescent="0.3">
      <c r="A2993" t="s">
        <v>4844</v>
      </c>
      <c r="B2993" t="s">
        <v>5051</v>
      </c>
      <c r="C2993" t="s">
        <v>2135</v>
      </c>
      <c r="D2993" t="s">
        <v>1055</v>
      </c>
      <c r="E2993" t="s">
        <v>5085</v>
      </c>
      <c r="F2993" t="s">
        <v>843</v>
      </c>
      <c r="H2993" t="s">
        <v>17</v>
      </c>
      <c r="I2993" t="s">
        <v>845</v>
      </c>
    </row>
    <row r="2994" spans="1:9" x14ac:dyDescent="0.3">
      <c r="A2994" t="s">
        <v>4844</v>
      </c>
      <c r="B2994" t="s">
        <v>5051</v>
      </c>
      <c r="C2994" t="s">
        <v>2135</v>
      </c>
      <c r="D2994" t="s">
        <v>80</v>
      </c>
      <c r="E2994" t="s">
        <v>5086</v>
      </c>
      <c r="F2994" t="s">
        <v>747</v>
      </c>
      <c r="H2994" t="s">
        <v>17</v>
      </c>
      <c r="I2994" t="s">
        <v>4815</v>
      </c>
    </row>
    <row r="2995" spans="1:9" x14ac:dyDescent="0.3">
      <c r="A2995" t="s">
        <v>4844</v>
      </c>
      <c r="B2995" t="s">
        <v>5051</v>
      </c>
      <c r="C2995" t="s">
        <v>2135</v>
      </c>
      <c r="D2995" t="s">
        <v>85</v>
      </c>
      <c r="E2995" t="s">
        <v>5087</v>
      </c>
      <c r="F2995" t="s">
        <v>2926</v>
      </c>
      <c r="H2995" t="s">
        <v>17</v>
      </c>
      <c r="I2995" t="s">
        <v>5088</v>
      </c>
    </row>
    <row r="2996" spans="1:9" x14ac:dyDescent="0.3">
      <c r="A2996" t="s">
        <v>4844</v>
      </c>
      <c r="B2996" t="s">
        <v>5051</v>
      </c>
      <c r="C2996" t="s">
        <v>2135</v>
      </c>
      <c r="D2996" t="s">
        <v>90</v>
      </c>
      <c r="E2996" t="s">
        <v>5089</v>
      </c>
      <c r="F2996" t="s">
        <v>5090</v>
      </c>
      <c r="H2996" t="s">
        <v>17</v>
      </c>
      <c r="I2996" t="s">
        <v>5091</v>
      </c>
    </row>
    <row r="2997" spans="1:9" x14ac:dyDescent="0.3">
      <c r="A2997" t="s">
        <v>4844</v>
      </c>
      <c r="B2997" t="s">
        <v>5051</v>
      </c>
      <c r="C2997" t="s">
        <v>2135</v>
      </c>
      <c r="D2997" t="s">
        <v>1197</v>
      </c>
      <c r="E2997" t="s">
        <v>5092</v>
      </c>
      <c r="F2997" t="s">
        <v>4783</v>
      </c>
      <c r="H2997" t="s">
        <v>17</v>
      </c>
    </row>
    <row r="2998" spans="1:9" x14ac:dyDescent="0.3">
      <c r="A2998" t="s">
        <v>5093</v>
      </c>
      <c r="E2998" t="s">
        <v>10</v>
      </c>
      <c r="F2998" t="s">
        <v>5094</v>
      </c>
    </row>
    <row r="2999" spans="1:9" x14ac:dyDescent="0.3">
      <c r="A2999" t="s">
        <v>5093</v>
      </c>
      <c r="B2999" t="s">
        <v>5095</v>
      </c>
      <c r="C2999" t="s">
        <v>13</v>
      </c>
      <c r="D2999" t="s">
        <v>14</v>
      </c>
      <c r="E2999" t="s">
        <v>1742</v>
      </c>
      <c r="F2999" t="s">
        <v>3861</v>
      </c>
      <c r="H2999" t="s">
        <v>17</v>
      </c>
    </row>
    <row r="3000" spans="1:9" x14ac:dyDescent="0.3">
      <c r="A3000" t="s">
        <v>5093</v>
      </c>
      <c r="B3000" t="s">
        <v>5095</v>
      </c>
      <c r="C3000" t="s">
        <v>13</v>
      </c>
      <c r="D3000" t="s">
        <v>1743</v>
      </c>
      <c r="E3000" t="s">
        <v>5096</v>
      </c>
      <c r="F3000" t="s">
        <v>5097</v>
      </c>
      <c r="H3000" t="s">
        <v>17</v>
      </c>
      <c r="I3000" t="s">
        <v>5098</v>
      </c>
    </row>
    <row r="3001" spans="1:9" x14ac:dyDescent="0.3">
      <c r="A3001" t="s">
        <v>5093</v>
      </c>
      <c r="B3001" t="s">
        <v>5095</v>
      </c>
      <c r="C3001" t="s">
        <v>13</v>
      </c>
      <c r="D3001" t="s">
        <v>996</v>
      </c>
      <c r="E3001" t="s">
        <v>5099</v>
      </c>
      <c r="F3001" t="s">
        <v>5100</v>
      </c>
      <c r="H3001" t="s">
        <v>17</v>
      </c>
      <c r="I3001" t="s">
        <v>3880</v>
      </c>
    </row>
    <row r="3002" spans="1:9" x14ac:dyDescent="0.3">
      <c r="A3002" t="s">
        <v>5093</v>
      </c>
      <c r="B3002" t="s">
        <v>5095</v>
      </c>
      <c r="C3002" t="s">
        <v>13</v>
      </c>
      <c r="D3002" t="s">
        <v>1001</v>
      </c>
      <c r="E3002" t="s">
        <v>5101</v>
      </c>
      <c r="F3002" t="s">
        <v>5102</v>
      </c>
      <c r="H3002" t="s">
        <v>17</v>
      </c>
      <c r="I3002" t="s">
        <v>3880</v>
      </c>
    </row>
    <row r="3003" spans="1:9" x14ac:dyDescent="0.3">
      <c r="A3003" t="s">
        <v>5093</v>
      </c>
      <c r="B3003" t="s">
        <v>5095</v>
      </c>
      <c r="C3003" t="s">
        <v>13</v>
      </c>
      <c r="D3003" t="s">
        <v>1942</v>
      </c>
      <c r="E3003" t="s">
        <v>5103</v>
      </c>
      <c r="F3003" t="s">
        <v>5104</v>
      </c>
      <c r="H3003" t="s">
        <v>17</v>
      </c>
      <c r="I3003" t="s">
        <v>3880</v>
      </c>
    </row>
    <row r="3004" spans="1:9" x14ac:dyDescent="0.3">
      <c r="A3004" t="s">
        <v>5093</v>
      </c>
      <c r="B3004" t="s">
        <v>5095</v>
      </c>
      <c r="C3004" t="s">
        <v>13</v>
      </c>
      <c r="D3004" t="s">
        <v>22</v>
      </c>
      <c r="E3004" t="s">
        <v>3636</v>
      </c>
      <c r="F3004" t="s">
        <v>5105</v>
      </c>
      <c r="H3004" t="s">
        <v>17</v>
      </c>
      <c r="I3004" t="s">
        <v>3880</v>
      </c>
    </row>
    <row r="3005" spans="1:9" x14ac:dyDescent="0.3">
      <c r="A3005" t="s">
        <v>5093</v>
      </c>
      <c r="B3005" t="s">
        <v>5095</v>
      </c>
      <c r="C3005" t="s">
        <v>13</v>
      </c>
      <c r="D3005" t="s">
        <v>27</v>
      </c>
      <c r="E3005" t="s">
        <v>3637</v>
      </c>
      <c r="F3005" t="s">
        <v>5106</v>
      </c>
      <c r="H3005" t="s">
        <v>17</v>
      </c>
      <c r="I3005" t="s">
        <v>3880</v>
      </c>
    </row>
    <row r="3006" spans="1:9" x14ac:dyDescent="0.3">
      <c r="A3006" t="s">
        <v>5093</v>
      </c>
      <c r="B3006" t="s">
        <v>5095</v>
      </c>
      <c r="C3006" t="s">
        <v>13</v>
      </c>
      <c r="D3006" t="s">
        <v>1014</v>
      </c>
      <c r="E3006" t="s">
        <v>3638</v>
      </c>
      <c r="F3006" t="s">
        <v>5107</v>
      </c>
      <c r="H3006" t="s">
        <v>17</v>
      </c>
      <c r="I3006" t="s">
        <v>3880</v>
      </c>
    </row>
    <row r="3007" spans="1:9" x14ac:dyDescent="0.3">
      <c r="A3007" t="s">
        <v>5093</v>
      </c>
      <c r="B3007" t="s">
        <v>5095</v>
      </c>
      <c r="C3007" t="s">
        <v>13</v>
      </c>
      <c r="D3007" t="s">
        <v>1017</v>
      </c>
      <c r="E3007" t="s">
        <v>3639</v>
      </c>
      <c r="F3007" t="s">
        <v>5108</v>
      </c>
      <c r="H3007" t="s">
        <v>17</v>
      </c>
      <c r="I3007" t="s">
        <v>5109</v>
      </c>
    </row>
    <row r="3008" spans="1:9" x14ac:dyDescent="0.3">
      <c r="A3008" t="s">
        <v>5093</v>
      </c>
      <c r="B3008" t="s">
        <v>5095</v>
      </c>
      <c r="C3008" t="s">
        <v>13</v>
      </c>
      <c r="D3008" t="s">
        <v>36</v>
      </c>
      <c r="E3008" t="s">
        <v>3640</v>
      </c>
      <c r="F3008" t="s">
        <v>5110</v>
      </c>
      <c r="H3008" t="s">
        <v>17</v>
      </c>
      <c r="I3008" t="s">
        <v>3880</v>
      </c>
    </row>
    <row r="3009" spans="1:9" x14ac:dyDescent="0.3">
      <c r="A3009" t="s">
        <v>5093</v>
      </c>
      <c r="B3009" t="s">
        <v>5095</v>
      </c>
      <c r="C3009" t="s">
        <v>13</v>
      </c>
      <c r="D3009" t="s">
        <v>50</v>
      </c>
      <c r="E3009" t="s">
        <v>3641</v>
      </c>
      <c r="F3009" t="s">
        <v>5111</v>
      </c>
      <c r="H3009" t="s">
        <v>17</v>
      </c>
      <c r="I3009" t="s">
        <v>5112</v>
      </c>
    </row>
    <row r="3010" spans="1:9" x14ac:dyDescent="0.3">
      <c r="A3010" t="s">
        <v>5093</v>
      </c>
      <c r="B3010" t="s">
        <v>5095</v>
      </c>
      <c r="C3010" t="s">
        <v>13</v>
      </c>
      <c r="D3010" t="s">
        <v>53</v>
      </c>
      <c r="E3010" t="s">
        <v>5113</v>
      </c>
      <c r="F3010" t="s">
        <v>5114</v>
      </c>
      <c r="H3010" t="s">
        <v>17</v>
      </c>
      <c r="I3010" t="s">
        <v>5115</v>
      </c>
    </row>
    <row r="3011" spans="1:9" x14ac:dyDescent="0.3">
      <c r="A3011" t="s">
        <v>5093</v>
      </c>
      <c r="B3011" t="s">
        <v>5095</v>
      </c>
      <c r="C3011" t="s">
        <v>13</v>
      </c>
      <c r="D3011" t="s">
        <v>56</v>
      </c>
      <c r="E3011" t="s">
        <v>3643</v>
      </c>
      <c r="F3011" t="s">
        <v>5116</v>
      </c>
      <c r="H3011" t="s">
        <v>17</v>
      </c>
      <c r="I3011" t="s">
        <v>5117</v>
      </c>
    </row>
    <row r="3012" spans="1:9" x14ac:dyDescent="0.3">
      <c r="A3012" t="s">
        <v>5093</v>
      </c>
      <c r="B3012" t="s">
        <v>5095</v>
      </c>
      <c r="C3012" t="s">
        <v>13</v>
      </c>
      <c r="D3012" t="s">
        <v>1039</v>
      </c>
      <c r="E3012" t="s">
        <v>5118</v>
      </c>
      <c r="F3012" t="s">
        <v>5119</v>
      </c>
      <c r="H3012" t="s">
        <v>17</v>
      </c>
      <c r="I3012" t="s">
        <v>5109</v>
      </c>
    </row>
    <row r="3013" spans="1:9" x14ac:dyDescent="0.3">
      <c r="A3013" t="s">
        <v>5093</v>
      </c>
      <c r="B3013" t="s">
        <v>5095</v>
      </c>
      <c r="C3013" t="s">
        <v>13</v>
      </c>
      <c r="D3013" t="s">
        <v>1043</v>
      </c>
      <c r="E3013" t="s">
        <v>3645</v>
      </c>
      <c r="F3013" t="s">
        <v>5120</v>
      </c>
      <c r="H3013" t="s">
        <v>17</v>
      </c>
      <c r="I3013" t="s">
        <v>5121</v>
      </c>
    </row>
    <row r="3014" spans="1:9" x14ac:dyDescent="0.3">
      <c r="A3014" t="s">
        <v>5093</v>
      </c>
      <c r="B3014" t="s">
        <v>5095</v>
      </c>
      <c r="C3014" t="s">
        <v>13</v>
      </c>
      <c r="D3014" t="s">
        <v>71</v>
      </c>
      <c r="E3014" t="s">
        <v>3646</v>
      </c>
      <c r="F3014" t="s">
        <v>5122</v>
      </c>
      <c r="H3014" t="s">
        <v>17</v>
      </c>
      <c r="I3014" t="s">
        <v>5123</v>
      </c>
    </row>
    <row r="3015" spans="1:9" x14ac:dyDescent="0.3">
      <c r="A3015" t="s">
        <v>5093</v>
      </c>
      <c r="B3015" t="s">
        <v>5095</v>
      </c>
      <c r="C3015" t="s">
        <v>13</v>
      </c>
      <c r="D3015" t="s">
        <v>1050</v>
      </c>
      <c r="E3015" t="s">
        <v>3647</v>
      </c>
      <c r="F3015" t="s">
        <v>5124</v>
      </c>
      <c r="H3015" t="s">
        <v>17</v>
      </c>
    </row>
    <row r="3016" spans="1:9" x14ac:dyDescent="0.3">
      <c r="A3016" t="s">
        <v>5093</v>
      </c>
      <c r="B3016" t="s">
        <v>5095</v>
      </c>
      <c r="C3016" t="s">
        <v>13</v>
      </c>
      <c r="D3016" t="s">
        <v>1055</v>
      </c>
      <c r="E3016" t="s">
        <v>3648</v>
      </c>
      <c r="F3016" t="s">
        <v>5125</v>
      </c>
      <c r="H3016" t="s">
        <v>17</v>
      </c>
      <c r="I3016" t="s">
        <v>5126</v>
      </c>
    </row>
    <row r="3017" spans="1:9" x14ac:dyDescent="0.3">
      <c r="A3017" t="s">
        <v>5093</v>
      </c>
      <c r="B3017" t="s">
        <v>5095</v>
      </c>
      <c r="C3017" t="s">
        <v>13</v>
      </c>
      <c r="D3017" t="s">
        <v>80</v>
      </c>
      <c r="E3017" t="s">
        <v>3649</v>
      </c>
      <c r="F3017" t="s">
        <v>5127</v>
      </c>
      <c r="H3017" t="s">
        <v>17</v>
      </c>
      <c r="I3017" t="s">
        <v>3880</v>
      </c>
    </row>
    <row r="3018" spans="1:9" x14ac:dyDescent="0.3">
      <c r="A3018" t="s">
        <v>5093</v>
      </c>
      <c r="B3018" t="s">
        <v>5095</v>
      </c>
      <c r="C3018" t="s">
        <v>13</v>
      </c>
      <c r="D3018" t="s">
        <v>85</v>
      </c>
      <c r="E3018" t="s">
        <v>3650</v>
      </c>
      <c r="F3018" t="s">
        <v>5128</v>
      </c>
      <c r="H3018" t="s">
        <v>17</v>
      </c>
      <c r="I3018" t="s">
        <v>3880</v>
      </c>
    </row>
    <row r="3019" spans="1:9" x14ac:dyDescent="0.3">
      <c r="A3019" t="s">
        <v>5093</v>
      </c>
      <c r="B3019" t="s">
        <v>5095</v>
      </c>
      <c r="C3019" t="s">
        <v>13</v>
      </c>
      <c r="D3019" t="s">
        <v>90</v>
      </c>
      <c r="E3019" t="s">
        <v>3651</v>
      </c>
      <c r="F3019" t="s">
        <v>5129</v>
      </c>
      <c r="H3019" t="s">
        <v>17</v>
      </c>
      <c r="I3019" t="s">
        <v>3880</v>
      </c>
    </row>
    <row r="3020" spans="1:9" x14ac:dyDescent="0.3">
      <c r="A3020" t="s">
        <v>5093</v>
      </c>
      <c r="B3020" t="s">
        <v>5095</v>
      </c>
      <c r="C3020" t="s">
        <v>13</v>
      </c>
      <c r="D3020" t="s">
        <v>95</v>
      </c>
      <c r="E3020" t="s">
        <v>3652</v>
      </c>
      <c r="F3020" t="s">
        <v>5130</v>
      </c>
      <c r="H3020" t="s">
        <v>17</v>
      </c>
      <c r="I3020" t="s">
        <v>3880</v>
      </c>
    </row>
    <row r="3021" spans="1:9" x14ac:dyDescent="0.3">
      <c r="A3021" t="s">
        <v>5093</v>
      </c>
      <c r="B3021" t="s">
        <v>5095</v>
      </c>
      <c r="C3021" t="s">
        <v>13</v>
      </c>
      <c r="D3021" t="s">
        <v>1068</v>
      </c>
      <c r="E3021" t="s">
        <v>3653</v>
      </c>
      <c r="F3021" t="s">
        <v>5131</v>
      </c>
      <c r="H3021" t="s">
        <v>17</v>
      </c>
      <c r="I3021" t="s">
        <v>5132</v>
      </c>
    </row>
    <row r="3022" spans="1:9" x14ac:dyDescent="0.3">
      <c r="A3022" t="s">
        <v>5093</v>
      </c>
      <c r="B3022" t="s">
        <v>5095</v>
      </c>
      <c r="C3022" t="s">
        <v>13</v>
      </c>
      <c r="D3022" t="s">
        <v>111</v>
      </c>
      <c r="E3022" t="s">
        <v>3654</v>
      </c>
      <c r="F3022" t="s">
        <v>5133</v>
      </c>
      <c r="H3022" t="s">
        <v>17</v>
      </c>
      <c r="I3022" t="s">
        <v>5134</v>
      </c>
    </row>
    <row r="3023" spans="1:9" x14ac:dyDescent="0.3">
      <c r="A3023" t="s">
        <v>5093</v>
      </c>
      <c r="B3023" t="s">
        <v>5095</v>
      </c>
      <c r="C3023" t="s">
        <v>13</v>
      </c>
      <c r="D3023" t="s">
        <v>114</v>
      </c>
      <c r="E3023" t="s">
        <v>3655</v>
      </c>
      <c r="F3023" t="s">
        <v>5135</v>
      </c>
      <c r="H3023" t="s">
        <v>17</v>
      </c>
      <c r="I3023" t="s">
        <v>5136</v>
      </c>
    </row>
    <row r="3024" spans="1:9" x14ac:dyDescent="0.3">
      <c r="A3024" t="s">
        <v>5093</v>
      </c>
      <c r="B3024" t="s">
        <v>5095</v>
      </c>
      <c r="C3024" t="s">
        <v>13</v>
      </c>
      <c r="D3024" t="s">
        <v>117</v>
      </c>
      <c r="E3024" t="s">
        <v>3656</v>
      </c>
      <c r="F3024" t="s">
        <v>5137</v>
      </c>
      <c r="H3024" t="s">
        <v>17</v>
      </c>
      <c r="I3024" t="s">
        <v>5138</v>
      </c>
    </row>
    <row r="3025" spans="1:9" x14ac:dyDescent="0.3">
      <c r="A3025" t="s">
        <v>5093</v>
      </c>
      <c r="B3025" t="s">
        <v>5095</v>
      </c>
      <c r="C3025" t="s">
        <v>13</v>
      </c>
      <c r="D3025" t="s">
        <v>121</v>
      </c>
      <c r="E3025" t="s">
        <v>3657</v>
      </c>
      <c r="F3025" t="s">
        <v>5139</v>
      </c>
      <c r="H3025" t="s">
        <v>17</v>
      </c>
      <c r="I3025" t="s">
        <v>5140</v>
      </c>
    </row>
    <row r="3026" spans="1:9" x14ac:dyDescent="0.3">
      <c r="A3026" t="s">
        <v>5093</v>
      </c>
      <c r="B3026" t="s">
        <v>5095</v>
      </c>
      <c r="C3026" t="s">
        <v>13</v>
      </c>
      <c r="D3026" t="s">
        <v>126</v>
      </c>
      <c r="E3026" t="s">
        <v>3658</v>
      </c>
      <c r="F3026" t="s">
        <v>4104</v>
      </c>
      <c r="H3026" t="s">
        <v>17</v>
      </c>
      <c r="I3026" t="s">
        <v>5141</v>
      </c>
    </row>
    <row r="3027" spans="1:9" x14ac:dyDescent="0.3">
      <c r="A3027" t="s">
        <v>5093</v>
      </c>
      <c r="B3027" t="s">
        <v>5095</v>
      </c>
      <c r="C3027" t="s">
        <v>13</v>
      </c>
      <c r="D3027" t="s">
        <v>129</v>
      </c>
      <c r="E3027" t="s">
        <v>3659</v>
      </c>
      <c r="F3027" t="s">
        <v>3970</v>
      </c>
      <c r="H3027" t="s">
        <v>17</v>
      </c>
      <c r="I3027" t="s">
        <v>5141</v>
      </c>
    </row>
    <row r="3028" spans="1:9" x14ac:dyDescent="0.3">
      <c r="A3028" t="s">
        <v>5093</v>
      </c>
      <c r="B3028" t="s">
        <v>5095</v>
      </c>
      <c r="C3028" t="s">
        <v>13</v>
      </c>
      <c r="D3028" t="s">
        <v>132</v>
      </c>
      <c r="E3028" t="s">
        <v>3660</v>
      </c>
      <c r="F3028" t="s">
        <v>5142</v>
      </c>
      <c r="H3028" t="s">
        <v>17</v>
      </c>
      <c r="I3028" t="s">
        <v>5141</v>
      </c>
    </row>
    <row r="3029" spans="1:9" x14ac:dyDescent="0.3">
      <c r="A3029" t="s">
        <v>5093</v>
      </c>
      <c r="B3029" t="s">
        <v>5095</v>
      </c>
      <c r="C3029" t="s">
        <v>13</v>
      </c>
      <c r="D3029" t="s">
        <v>135</v>
      </c>
      <c r="E3029" t="s">
        <v>3661</v>
      </c>
      <c r="F3029" t="s">
        <v>5143</v>
      </c>
      <c r="H3029" t="s">
        <v>17</v>
      </c>
      <c r="I3029" t="s">
        <v>5141</v>
      </c>
    </row>
    <row r="3030" spans="1:9" x14ac:dyDescent="0.3">
      <c r="A3030" t="s">
        <v>5093</v>
      </c>
      <c r="B3030" t="s">
        <v>5095</v>
      </c>
      <c r="C3030" t="s">
        <v>13</v>
      </c>
      <c r="D3030" t="s">
        <v>138</v>
      </c>
      <c r="E3030" t="s">
        <v>3662</v>
      </c>
      <c r="F3030" t="s">
        <v>5144</v>
      </c>
      <c r="H3030" t="s">
        <v>17</v>
      </c>
      <c r="I3030" t="s">
        <v>5141</v>
      </c>
    </row>
    <row r="3031" spans="1:9" x14ac:dyDescent="0.3">
      <c r="A3031" t="s">
        <v>5093</v>
      </c>
      <c r="B3031" t="s">
        <v>5095</v>
      </c>
      <c r="C3031" t="s">
        <v>13</v>
      </c>
      <c r="D3031" t="s">
        <v>141</v>
      </c>
      <c r="E3031" t="s">
        <v>3663</v>
      </c>
      <c r="F3031" t="s">
        <v>5145</v>
      </c>
      <c r="H3031" t="s">
        <v>17</v>
      </c>
      <c r="I3031" t="s">
        <v>5141</v>
      </c>
    </row>
    <row r="3032" spans="1:9" x14ac:dyDescent="0.3">
      <c r="A3032" t="s">
        <v>5093</v>
      </c>
      <c r="B3032" t="s">
        <v>5095</v>
      </c>
      <c r="C3032" t="s">
        <v>13</v>
      </c>
      <c r="D3032" t="s">
        <v>144</v>
      </c>
      <c r="E3032" t="s">
        <v>3664</v>
      </c>
      <c r="F3032" t="s">
        <v>5146</v>
      </c>
      <c r="H3032" t="s">
        <v>17</v>
      </c>
      <c r="I3032" t="s">
        <v>5141</v>
      </c>
    </row>
    <row r="3033" spans="1:9" x14ac:dyDescent="0.3">
      <c r="A3033" t="s">
        <v>5093</v>
      </c>
      <c r="B3033" t="s">
        <v>5095</v>
      </c>
      <c r="C3033" t="s">
        <v>13</v>
      </c>
      <c r="D3033" t="s">
        <v>147</v>
      </c>
      <c r="E3033" t="s">
        <v>3665</v>
      </c>
      <c r="F3033" t="s">
        <v>5147</v>
      </c>
      <c r="H3033" t="s">
        <v>17</v>
      </c>
      <c r="I3033" t="s">
        <v>5148</v>
      </c>
    </row>
    <row r="3034" spans="1:9" x14ac:dyDescent="0.3">
      <c r="A3034" t="s">
        <v>5093</v>
      </c>
      <c r="B3034" t="s">
        <v>5095</v>
      </c>
      <c r="C3034" t="s">
        <v>13</v>
      </c>
      <c r="D3034" t="s">
        <v>152</v>
      </c>
      <c r="E3034" t="s">
        <v>3666</v>
      </c>
      <c r="F3034" t="s">
        <v>5149</v>
      </c>
      <c r="H3034" t="s">
        <v>17</v>
      </c>
      <c r="I3034" t="s">
        <v>5148</v>
      </c>
    </row>
    <row r="3035" spans="1:9" x14ac:dyDescent="0.3">
      <c r="A3035" t="s">
        <v>5093</v>
      </c>
      <c r="B3035" t="s">
        <v>5095</v>
      </c>
      <c r="C3035" t="s">
        <v>13</v>
      </c>
      <c r="D3035" t="s">
        <v>157</v>
      </c>
      <c r="E3035" t="s">
        <v>3667</v>
      </c>
      <c r="F3035" t="s">
        <v>5150</v>
      </c>
      <c r="H3035" t="s">
        <v>17</v>
      </c>
      <c r="I3035" t="s">
        <v>5151</v>
      </c>
    </row>
    <row r="3036" spans="1:9" x14ac:dyDescent="0.3">
      <c r="A3036" t="s">
        <v>5093</v>
      </c>
      <c r="B3036" t="s">
        <v>5095</v>
      </c>
      <c r="C3036" t="s">
        <v>13</v>
      </c>
      <c r="D3036" t="s">
        <v>162</v>
      </c>
      <c r="E3036" t="s">
        <v>3668</v>
      </c>
      <c r="F3036" t="s">
        <v>5152</v>
      </c>
      <c r="H3036" t="s">
        <v>17</v>
      </c>
      <c r="I3036" t="s">
        <v>5153</v>
      </c>
    </row>
    <row r="3037" spans="1:9" x14ac:dyDescent="0.3">
      <c r="A3037" t="s">
        <v>5093</v>
      </c>
      <c r="B3037" t="s">
        <v>5095</v>
      </c>
      <c r="C3037" t="s">
        <v>13</v>
      </c>
      <c r="D3037" t="s">
        <v>167</v>
      </c>
      <c r="E3037" t="s">
        <v>3669</v>
      </c>
      <c r="F3037" t="s">
        <v>5154</v>
      </c>
      <c r="H3037" t="s">
        <v>17</v>
      </c>
      <c r="I3037" t="s">
        <v>5155</v>
      </c>
    </row>
    <row r="3038" spans="1:9" x14ac:dyDescent="0.3">
      <c r="A3038" t="s">
        <v>5093</v>
      </c>
      <c r="B3038" t="s">
        <v>5095</v>
      </c>
      <c r="C3038" t="s">
        <v>13</v>
      </c>
      <c r="D3038" t="s">
        <v>172</v>
      </c>
      <c r="E3038" t="s">
        <v>3671</v>
      </c>
      <c r="F3038" t="s">
        <v>5156</v>
      </c>
      <c r="H3038" t="s">
        <v>17</v>
      </c>
      <c r="I3038" t="s">
        <v>5157</v>
      </c>
    </row>
    <row r="3039" spans="1:9" x14ac:dyDescent="0.3">
      <c r="A3039" t="s">
        <v>5093</v>
      </c>
      <c r="B3039" t="s">
        <v>5095</v>
      </c>
      <c r="C3039" t="s">
        <v>13</v>
      </c>
      <c r="D3039" t="s">
        <v>177</v>
      </c>
      <c r="E3039" t="s">
        <v>3672</v>
      </c>
      <c r="F3039" t="s">
        <v>5158</v>
      </c>
      <c r="H3039" t="s">
        <v>17</v>
      </c>
      <c r="I3039" t="s">
        <v>3880</v>
      </c>
    </row>
    <row r="3040" spans="1:9" x14ac:dyDescent="0.3">
      <c r="A3040" t="s">
        <v>5093</v>
      </c>
      <c r="B3040" t="s">
        <v>5095</v>
      </c>
      <c r="C3040" t="s">
        <v>13</v>
      </c>
      <c r="D3040" t="s">
        <v>182</v>
      </c>
      <c r="E3040" t="s">
        <v>3673</v>
      </c>
      <c r="F3040" t="s">
        <v>5159</v>
      </c>
      <c r="H3040" t="s">
        <v>17</v>
      </c>
      <c r="I3040" t="s">
        <v>5160</v>
      </c>
    </row>
    <row r="3041" spans="1:9" x14ac:dyDescent="0.3">
      <c r="A3041" t="s">
        <v>5093</v>
      </c>
      <c r="B3041" t="s">
        <v>5095</v>
      </c>
      <c r="C3041" t="s">
        <v>13</v>
      </c>
      <c r="D3041" t="s">
        <v>187</v>
      </c>
      <c r="E3041" t="s">
        <v>3674</v>
      </c>
      <c r="F3041" t="s">
        <v>5161</v>
      </c>
      <c r="H3041" t="s">
        <v>17</v>
      </c>
      <c r="I3041" t="s">
        <v>5160</v>
      </c>
    </row>
    <row r="3042" spans="1:9" x14ac:dyDescent="0.3">
      <c r="A3042" t="s">
        <v>5093</v>
      </c>
      <c r="B3042" t="s">
        <v>5095</v>
      </c>
      <c r="C3042" t="s">
        <v>13</v>
      </c>
      <c r="D3042" t="s">
        <v>193</v>
      </c>
      <c r="E3042" t="s">
        <v>3675</v>
      </c>
      <c r="F3042" t="s">
        <v>5162</v>
      </c>
      <c r="H3042" t="s">
        <v>17</v>
      </c>
      <c r="I3042" t="s">
        <v>5163</v>
      </c>
    </row>
    <row r="3043" spans="1:9" x14ac:dyDescent="0.3">
      <c r="A3043" t="s">
        <v>5093</v>
      </c>
      <c r="B3043" t="s">
        <v>5095</v>
      </c>
      <c r="C3043" t="s">
        <v>13</v>
      </c>
      <c r="D3043" t="s">
        <v>198</v>
      </c>
      <c r="E3043" t="s">
        <v>3676</v>
      </c>
      <c r="F3043" t="s">
        <v>5164</v>
      </c>
      <c r="H3043" t="s">
        <v>17</v>
      </c>
      <c r="I3043" t="s">
        <v>5165</v>
      </c>
    </row>
    <row r="3044" spans="1:9" x14ac:dyDescent="0.3">
      <c r="A3044" t="s">
        <v>5093</v>
      </c>
      <c r="B3044" t="s">
        <v>5095</v>
      </c>
      <c r="C3044" t="s">
        <v>13</v>
      </c>
      <c r="D3044" t="s">
        <v>202</v>
      </c>
      <c r="E3044" t="s">
        <v>3677</v>
      </c>
      <c r="F3044" t="s">
        <v>5166</v>
      </c>
      <c r="H3044" t="s">
        <v>17</v>
      </c>
      <c r="I3044" t="s">
        <v>3880</v>
      </c>
    </row>
    <row r="3045" spans="1:9" x14ac:dyDescent="0.3">
      <c r="A3045" t="s">
        <v>5093</v>
      </c>
      <c r="B3045" t="s">
        <v>5095</v>
      </c>
      <c r="C3045" t="s">
        <v>13</v>
      </c>
      <c r="D3045" t="s">
        <v>206</v>
      </c>
      <c r="E3045" t="s">
        <v>3678</v>
      </c>
      <c r="F3045" t="s">
        <v>5167</v>
      </c>
      <c r="H3045" t="s">
        <v>17</v>
      </c>
      <c r="I3045" t="s">
        <v>5168</v>
      </c>
    </row>
    <row r="3046" spans="1:9" x14ac:dyDescent="0.3">
      <c r="A3046" t="s">
        <v>5093</v>
      </c>
      <c r="B3046" t="s">
        <v>5095</v>
      </c>
      <c r="C3046" t="s">
        <v>13</v>
      </c>
      <c r="D3046" t="s">
        <v>210</v>
      </c>
      <c r="E3046" t="s">
        <v>3679</v>
      </c>
      <c r="F3046" t="s">
        <v>5169</v>
      </c>
      <c r="H3046" t="s">
        <v>17</v>
      </c>
      <c r="I3046" t="s">
        <v>5170</v>
      </c>
    </row>
    <row r="3047" spans="1:9" x14ac:dyDescent="0.3">
      <c r="A3047" t="s">
        <v>5093</v>
      </c>
      <c r="B3047" t="s">
        <v>5095</v>
      </c>
      <c r="C3047" t="s">
        <v>13</v>
      </c>
      <c r="D3047" t="s">
        <v>2922</v>
      </c>
      <c r="E3047" t="s">
        <v>3680</v>
      </c>
      <c r="F3047" t="s">
        <v>4349</v>
      </c>
      <c r="H3047" t="s">
        <v>17</v>
      </c>
      <c r="I3047" t="s">
        <v>5171</v>
      </c>
    </row>
    <row r="3048" spans="1:9" x14ac:dyDescent="0.3">
      <c r="A3048" t="s">
        <v>5093</v>
      </c>
      <c r="B3048" t="s">
        <v>5095</v>
      </c>
      <c r="C3048" t="s">
        <v>13</v>
      </c>
      <c r="D3048" t="s">
        <v>2924</v>
      </c>
      <c r="E3048" t="s">
        <v>3681</v>
      </c>
      <c r="F3048" t="s">
        <v>5172</v>
      </c>
      <c r="H3048" t="s">
        <v>17</v>
      </c>
      <c r="I3048" t="s">
        <v>5173</v>
      </c>
    </row>
    <row r="3049" spans="1:9" x14ac:dyDescent="0.3">
      <c r="A3049" t="s">
        <v>5093</v>
      </c>
      <c r="B3049" t="s">
        <v>5095</v>
      </c>
      <c r="C3049" t="s">
        <v>13</v>
      </c>
      <c r="D3049" t="s">
        <v>2925</v>
      </c>
      <c r="E3049" t="s">
        <v>3682</v>
      </c>
      <c r="F3049" t="s">
        <v>4385</v>
      </c>
      <c r="H3049" t="s">
        <v>17</v>
      </c>
      <c r="I3049" t="s">
        <v>5174</v>
      </c>
    </row>
    <row r="3050" spans="1:9" x14ac:dyDescent="0.3">
      <c r="A3050" t="s">
        <v>5093</v>
      </c>
      <c r="B3050" t="s">
        <v>5095</v>
      </c>
      <c r="C3050" t="s">
        <v>13</v>
      </c>
      <c r="D3050" t="s">
        <v>239</v>
      </c>
      <c r="E3050" t="s">
        <v>3683</v>
      </c>
      <c r="F3050" t="s">
        <v>843</v>
      </c>
      <c r="H3050" t="s">
        <v>17</v>
      </c>
      <c r="I3050" t="s">
        <v>845</v>
      </c>
    </row>
    <row r="3051" spans="1:9" x14ac:dyDescent="0.3">
      <c r="A3051" t="s">
        <v>5093</v>
      </c>
      <c r="B3051" t="s">
        <v>5095</v>
      </c>
      <c r="C3051" t="s">
        <v>13</v>
      </c>
      <c r="D3051" t="s">
        <v>1881</v>
      </c>
      <c r="E3051" t="s">
        <v>3684</v>
      </c>
      <c r="F3051" t="s">
        <v>797</v>
      </c>
      <c r="H3051" t="s">
        <v>17</v>
      </c>
      <c r="I3051" t="s">
        <v>5175</v>
      </c>
    </row>
    <row r="3052" spans="1:9" x14ac:dyDescent="0.3">
      <c r="A3052" t="s">
        <v>5093</v>
      </c>
      <c r="B3052" t="s">
        <v>5095</v>
      </c>
      <c r="C3052" t="s">
        <v>13</v>
      </c>
      <c r="D3052" t="s">
        <v>1885</v>
      </c>
      <c r="E3052" t="s">
        <v>3685</v>
      </c>
      <c r="F3052" t="s">
        <v>747</v>
      </c>
      <c r="H3052" t="s">
        <v>17</v>
      </c>
      <c r="I3052" t="s">
        <v>4815</v>
      </c>
    </row>
    <row r="3053" spans="1:9" x14ac:dyDescent="0.3">
      <c r="A3053" t="s">
        <v>5093</v>
      </c>
      <c r="B3053" t="s">
        <v>5095</v>
      </c>
      <c r="C3053" t="s">
        <v>13</v>
      </c>
      <c r="D3053" t="s">
        <v>1588</v>
      </c>
      <c r="E3053" t="s">
        <v>3686</v>
      </c>
      <c r="F3053" t="s">
        <v>5176</v>
      </c>
      <c r="H3053" t="s">
        <v>17</v>
      </c>
      <c r="I3053" t="s">
        <v>5177</v>
      </c>
    </row>
    <row r="3054" spans="1:9" x14ac:dyDescent="0.3">
      <c r="A3054" t="s">
        <v>5093</v>
      </c>
      <c r="B3054" t="s">
        <v>5095</v>
      </c>
      <c r="C3054" t="s">
        <v>13</v>
      </c>
      <c r="D3054" t="s">
        <v>1892</v>
      </c>
      <c r="E3054" t="s">
        <v>3687</v>
      </c>
      <c r="F3054" t="s">
        <v>2918</v>
      </c>
      <c r="H3054" t="s">
        <v>17</v>
      </c>
      <c r="I3054" t="s">
        <v>5178</v>
      </c>
    </row>
    <row r="3055" spans="1:9" x14ac:dyDescent="0.3">
      <c r="A3055" t="s">
        <v>5093</v>
      </c>
      <c r="B3055" t="s">
        <v>5095</v>
      </c>
      <c r="C3055" t="s">
        <v>13</v>
      </c>
      <c r="D3055" t="s">
        <v>1146</v>
      </c>
      <c r="E3055" t="s">
        <v>3688</v>
      </c>
      <c r="F3055" t="s">
        <v>4819</v>
      </c>
      <c r="H3055" t="s">
        <v>17</v>
      </c>
      <c r="I3055" t="s">
        <v>5179</v>
      </c>
    </row>
    <row r="3056" spans="1:9" x14ac:dyDescent="0.3">
      <c r="A3056" t="s">
        <v>5093</v>
      </c>
      <c r="B3056" t="s">
        <v>5095</v>
      </c>
      <c r="C3056" t="s">
        <v>13</v>
      </c>
      <c r="D3056" t="s">
        <v>1150</v>
      </c>
      <c r="E3056" t="s">
        <v>3689</v>
      </c>
      <c r="F3056" t="s">
        <v>3984</v>
      </c>
      <c r="H3056" t="s">
        <v>17</v>
      </c>
      <c r="I3056" t="s">
        <v>4188</v>
      </c>
    </row>
    <row r="3057" spans="1:9" x14ac:dyDescent="0.3">
      <c r="A3057" t="s">
        <v>5180</v>
      </c>
      <c r="E3057" t="s">
        <v>10</v>
      </c>
      <c r="F3057" t="s">
        <v>5181</v>
      </c>
    </row>
    <row r="3058" spans="1:9" x14ac:dyDescent="0.3">
      <c r="A3058" t="s">
        <v>5180</v>
      </c>
      <c r="B3058" t="s">
        <v>5182</v>
      </c>
      <c r="C3058" t="s">
        <v>13</v>
      </c>
      <c r="D3058" t="s">
        <v>14</v>
      </c>
      <c r="E3058" t="s">
        <v>1742</v>
      </c>
      <c r="F3058" t="s">
        <v>3861</v>
      </c>
      <c r="H3058" t="s">
        <v>17</v>
      </c>
    </row>
    <row r="3059" spans="1:9" x14ac:dyDescent="0.3">
      <c r="A3059" t="s">
        <v>5180</v>
      </c>
      <c r="B3059" t="s">
        <v>5182</v>
      </c>
      <c r="C3059" t="s">
        <v>13</v>
      </c>
      <c r="D3059" t="s">
        <v>1743</v>
      </c>
      <c r="E3059" t="s">
        <v>5183</v>
      </c>
      <c r="F3059" t="s">
        <v>5184</v>
      </c>
      <c r="H3059" t="s">
        <v>17</v>
      </c>
      <c r="I3059" t="s">
        <v>5160</v>
      </c>
    </row>
    <row r="3060" spans="1:9" x14ac:dyDescent="0.3">
      <c r="A3060" t="s">
        <v>5180</v>
      </c>
      <c r="B3060" t="s">
        <v>5182</v>
      </c>
      <c r="C3060" t="s">
        <v>13</v>
      </c>
      <c r="D3060" t="s">
        <v>996</v>
      </c>
      <c r="E3060" t="s">
        <v>5185</v>
      </c>
      <c r="F3060" t="s">
        <v>4728</v>
      </c>
      <c r="H3060" t="s">
        <v>17</v>
      </c>
      <c r="I3060" t="s">
        <v>5160</v>
      </c>
    </row>
    <row r="3061" spans="1:9" x14ac:dyDescent="0.3">
      <c r="A3061" t="s">
        <v>5180</v>
      </c>
      <c r="B3061" t="s">
        <v>5182</v>
      </c>
      <c r="C3061" t="s">
        <v>13</v>
      </c>
      <c r="D3061" t="s">
        <v>1001</v>
      </c>
      <c r="E3061" t="s">
        <v>5186</v>
      </c>
      <c r="F3061" t="s">
        <v>5187</v>
      </c>
      <c r="H3061" t="s">
        <v>17</v>
      </c>
      <c r="I3061" t="s">
        <v>5188</v>
      </c>
    </row>
    <row r="3062" spans="1:9" x14ac:dyDescent="0.3">
      <c r="A3062" t="s">
        <v>5180</v>
      </c>
      <c r="B3062" t="s">
        <v>5182</v>
      </c>
      <c r="C3062" t="s">
        <v>13</v>
      </c>
      <c r="D3062" t="s">
        <v>1942</v>
      </c>
      <c r="E3062" t="s">
        <v>5189</v>
      </c>
      <c r="F3062" t="s">
        <v>5190</v>
      </c>
      <c r="H3062" t="s">
        <v>17</v>
      </c>
      <c r="I3062" t="s">
        <v>3880</v>
      </c>
    </row>
    <row r="3063" spans="1:9" x14ac:dyDescent="0.3">
      <c r="A3063" t="s">
        <v>5180</v>
      </c>
      <c r="B3063" t="s">
        <v>5182</v>
      </c>
      <c r="C3063" t="s">
        <v>13</v>
      </c>
      <c r="D3063" t="s">
        <v>22</v>
      </c>
      <c r="E3063" t="s">
        <v>3757</v>
      </c>
      <c r="F3063" t="s">
        <v>5191</v>
      </c>
      <c r="H3063" t="s">
        <v>17</v>
      </c>
      <c r="I3063" t="s">
        <v>3880</v>
      </c>
    </row>
    <row r="3064" spans="1:9" x14ac:dyDescent="0.3">
      <c r="A3064" t="s">
        <v>5180</v>
      </c>
      <c r="B3064" t="s">
        <v>5182</v>
      </c>
      <c r="C3064" t="s">
        <v>13</v>
      </c>
      <c r="D3064" t="s">
        <v>27</v>
      </c>
      <c r="E3064" t="s">
        <v>3758</v>
      </c>
      <c r="F3064" t="s">
        <v>5192</v>
      </c>
      <c r="H3064" t="s">
        <v>17</v>
      </c>
      <c r="I3064" t="s">
        <v>3880</v>
      </c>
    </row>
    <row r="3065" spans="1:9" x14ac:dyDescent="0.3">
      <c r="A3065" t="s">
        <v>5180</v>
      </c>
      <c r="B3065" t="s">
        <v>5182</v>
      </c>
      <c r="C3065" t="s">
        <v>13</v>
      </c>
      <c r="D3065" t="s">
        <v>1014</v>
      </c>
      <c r="E3065" t="s">
        <v>3759</v>
      </c>
      <c r="F3065" t="s">
        <v>5193</v>
      </c>
      <c r="H3065" t="s">
        <v>17</v>
      </c>
      <c r="I3065" t="s">
        <v>3880</v>
      </c>
    </row>
    <row r="3066" spans="1:9" x14ac:dyDescent="0.3">
      <c r="A3066" t="s">
        <v>5180</v>
      </c>
      <c r="B3066" t="s">
        <v>5182</v>
      </c>
      <c r="C3066" t="s">
        <v>13</v>
      </c>
      <c r="D3066" t="s">
        <v>1017</v>
      </c>
      <c r="E3066" t="s">
        <v>3760</v>
      </c>
      <c r="F3066" t="s">
        <v>5194</v>
      </c>
      <c r="H3066" t="s">
        <v>17</v>
      </c>
      <c r="I3066" t="s">
        <v>3880</v>
      </c>
    </row>
    <row r="3067" spans="1:9" x14ac:dyDescent="0.3">
      <c r="A3067" t="s">
        <v>5180</v>
      </c>
      <c r="B3067" t="s">
        <v>5182</v>
      </c>
      <c r="C3067" t="s">
        <v>13</v>
      </c>
      <c r="D3067" t="s">
        <v>36</v>
      </c>
      <c r="E3067" t="s">
        <v>3761</v>
      </c>
      <c r="F3067" t="s">
        <v>5195</v>
      </c>
      <c r="H3067" t="s">
        <v>17</v>
      </c>
      <c r="I3067" t="s">
        <v>3880</v>
      </c>
    </row>
    <row r="3068" spans="1:9" x14ac:dyDescent="0.3">
      <c r="A3068" t="s">
        <v>5180</v>
      </c>
      <c r="B3068" t="s">
        <v>5182</v>
      </c>
      <c r="C3068" t="s">
        <v>13</v>
      </c>
      <c r="D3068" t="s">
        <v>41</v>
      </c>
      <c r="E3068" t="s">
        <v>3762</v>
      </c>
      <c r="F3068" t="s">
        <v>5196</v>
      </c>
      <c r="H3068" t="s">
        <v>17</v>
      </c>
      <c r="I3068" t="s">
        <v>3880</v>
      </c>
    </row>
    <row r="3069" spans="1:9" x14ac:dyDescent="0.3">
      <c r="A3069" t="s">
        <v>5180</v>
      </c>
      <c r="B3069" t="s">
        <v>5182</v>
      </c>
      <c r="C3069" t="s">
        <v>13</v>
      </c>
      <c r="D3069" t="s">
        <v>45</v>
      </c>
      <c r="E3069" t="s">
        <v>3763</v>
      </c>
      <c r="F3069" t="s">
        <v>5197</v>
      </c>
      <c r="H3069" t="s">
        <v>17</v>
      </c>
      <c r="I3069" t="s">
        <v>5198</v>
      </c>
    </row>
    <row r="3070" spans="1:9" x14ac:dyDescent="0.3">
      <c r="A3070" t="s">
        <v>5180</v>
      </c>
      <c r="B3070" t="s">
        <v>5182</v>
      </c>
      <c r="C3070" t="s">
        <v>13</v>
      </c>
      <c r="D3070" t="s">
        <v>50</v>
      </c>
      <c r="E3070" t="s">
        <v>3764</v>
      </c>
      <c r="F3070" t="s">
        <v>5199</v>
      </c>
      <c r="H3070" t="s">
        <v>17</v>
      </c>
      <c r="I3070" t="s">
        <v>5200</v>
      </c>
    </row>
    <row r="3071" spans="1:9" x14ac:dyDescent="0.3">
      <c r="A3071" t="s">
        <v>5180</v>
      </c>
      <c r="B3071" t="s">
        <v>5182</v>
      </c>
      <c r="C3071" t="s">
        <v>13</v>
      </c>
      <c r="D3071" t="s">
        <v>53</v>
      </c>
      <c r="E3071" t="s">
        <v>3765</v>
      </c>
      <c r="F3071" t="s">
        <v>5201</v>
      </c>
      <c r="H3071" t="s">
        <v>17</v>
      </c>
      <c r="I3071" t="s">
        <v>5200</v>
      </c>
    </row>
    <row r="3072" spans="1:9" x14ac:dyDescent="0.3">
      <c r="A3072" t="s">
        <v>5180</v>
      </c>
      <c r="B3072" t="s">
        <v>5182</v>
      </c>
      <c r="C3072" t="s">
        <v>13</v>
      </c>
      <c r="D3072" t="s">
        <v>56</v>
      </c>
      <c r="E3072" t="s">
        <v>3766</v>
      </c>
      <c r="F3072" t="s">
        <v>5202</v>
      </c>
      <c r="H3072" t="s">
        <v>17</v>
      </c>
      <c r="I3072" t="s">
        <v>3880</v>
      </c>
    </row>
    <row r="3073" spans="1:9" x14ac:dyDescent="0.3">
      <c r="A3073" t="s">
        <v>5180</v>
      </c>
      <c r="B3073" t="s">
        <v>5182</v>
      </c>
      <c r="C3073" t="s">
        <v>13</v>
      </c>
      <c r="D3073" t="s">
        <v>61</v>
      </c>
      <c r="E3073" t="s">
        <v>3767</v>
      </c>
      <c r="F3073" t="s">
        <v>5203</v>
      </c>
      <c r="H3073" t="s">
        <v>17</v>
      </c>
      <c r="I3073" t="s">
        <v>5200</v>
      </c>
    </row>
    <row r="3074" spans="1:9" x14ac:dyDescent="0.3">
      <c r="A3074" t="s">
        <v>5180</v>
      </c>
      <c r="B3074" t="s">
        <v>5182</v>
      </c>
      <c r="C3074" t="s">
        <v>13</v>
      </c>
      <c r="D3074" t="s">
        <v>66</v>
      </c>
      <c r="E3074" t="s">
        <v>3768</v>
      </c>
      <c r="F3074" t="s">
        <v>5204</v>
      </c>
      <c r="H3074" t="s">
        <v>17</v>
      </c>
      <c r="I3074" t="s">
        <v>5205</v>
      </c>
    </row>
    <row r="3075" spans="1:9" x14ac:dyDescent="0.3">
      <c r="A3075" t="s">
        <v>5180</v>
      </c>
      <c r="B3075" t="s">
        <v>5182</v>
      </c>
      <c r="C3075" t="s">
        <v>13</v>
      </c>
      <c r="D3075" t="s">
        <v>71</v>
      </c>
      <c r="E3075" t="s">
        <v>3771</v>
      </c>
      <c r="F3075" t="s">
        <v>5206</v>
      </c>
      <c r="H3075" t="s">
        <v>17</v>
      </c>
      <c r="I3075" t="s">
        <v>3880</v>
      </c>
    </row>
    <row r="3076" spans="1:9" x14ac:dyDescent="0.3">
      <c r="A3076" t="s">
        <v>5180</v>
      </c>
      <c r="B3076" t="s">
        <v>5182</v>
      </c>
      <c r="C3076" t="s">
        <v>13</v>
      </c>
      <c r="D3076" t="s">
        <v>1050</v>
      </c>
      <c r="E3076" t="s">
        <v>5207</v>
      </c>
      <c r="F3076" t="s">
        <v>5208</v>
      </c>
      <c r="H3076" t="s">
        <v>17</v>
      </c>
      <c r="I3076" t="s">
        <v>5209</v>
      </c>
    </row>
    <row r="3077" spans="1:9" x14ac:dyDescent="0.3">
      <c r="A3077" t="s">
        <v>5180</v>
      </c>
      <c r="B3077" t="s">
        <v>5182</v>
      </c>
      <c r="C3077" t="s">
        <v>13</v>
      </c>
      <c r="D3077" t="s">
        <v>3568</v>
      </c>
      <c r="E3077" t="s">
        <v>3774</v>
      </c>
      <c r="F3077" t="s">
        <v>5210</v>
      </c>
      <c r="H3077" t="s">
        <v>17</v>
      </c>
      <c r="I3077" t="s">
        <v>5211</v>
      </c>
    </row>
    <row r="3078" spans="1:9" x14ac:dyDescent="0.3">
      <c r="A3078" t="s">
        <v>5180</v>
      </c>
      <c r="B3078" t="s">
        <v>5182</v>
      </c>
      <c r="C3078" t="s">
        <v>13</v>
      </c>
      <c r="D3078" t="s">
        <v>85</v>
      </c>
      <c r="E3078" t="s">
        <v>5212</v>
      </c>
      <c r="F3078" t="s">
        <v>5213</v>
      </c>
      <c r="H3078" t="s">
        <v>17</v>
      </c>
      <c r="I3078" t="s">
        <v>3880</v>
      </c>
    </row>
    <row r="3079" spans="1:9" x14ac:dyDescent="0.3">
      <c r="A3079" t="s">
        <v>5180</v>
      </c>
      <c r="B3079" t="s">
        <v>5182</v>
      </c>
      <c r="C3079" t="s">
        <v>13</v>
      </c>
      <c r="D3079" t="s">
        <v>90</v>
      </c>
      <c r="E3079" t="s">
        <v>3777</v>
      </c>
      <c r="F3079" t="s">
        <v>5214</v>
      </c>
      <c r="H3079" t="s">
        <v>17</v>
      </c>
      <c r="I3079" t="s">
        <v>5215</v>
      </c>
    </row>
    <row r="3080" spans="1:9" x14ac:dyDescent="0.3">
      <c r="A3080" t="s">
        <v>5180</v>
      </c>
      <c r="B3080" t="s">
        <v>5182</v>
      </c>
      <c r="C3080" t="s">
        <v>13</v>
      </c>
      <c r="D3080" t="s">
        <v>95</v>
      </c>
      <c r="E3080" t="s">
        <v>5216</v>
      </c>
      <c r="F3080" t="s">
        <v>5217</v>
      </c>
      <c r="H3080" t="s">
        <v>17</v>
      </c>
      <c r="I3080" t="s">
        <v>5218</v>
      </c>
    </row>
    <row r="3081" spans="1:9" x14ac:dyDescent="0.3">
      <c r="A3081" t="s">
        <v>5180</v>
      </c>
      <c r="B3081" t="s">
        <v>5182</v>
      </c>
      <c r="C3081" t="s">
        <v>13</v>
      </c>
      <c r="D3081" t="s">
        <v>100</v>
      </c>
      <c r="E3081" t="s">
        <v>3780</v>
      </c>
      <c r="F3081" t="s">
        <v>5219</v>
      </c>
      <c r="H3081" t="s">
        <v>17</v>
      </c>
      <c r="I3081" t="s">
        <v>3880</v>
      </c>
    </row>
    <row r="3082" spans="1:9" x14ac:dyDescent="0.3">
      <c r="A3082" t="s">
        <v>5180</v>
      </c>
      <c r="B3082" t="s">
        <v>5182</v>
      </c>
      <c r="C3082" t="s">
        <v>13</v>
      </c>
      <c r="D3082" t="s">
        <v>106</v>
      </c>
      <c r="E3082" t="s">
        <v>5220</v>
      </c>
      <c r="F3082" t="s">
        <v>5221</v>
      </c>
      <c r="H3082" t="s">
        <v>17</v>
      </c>
      <c r="I3082" t="s">
        <v>3880</v>
      </c>
    </row>
    <row r="3083" spans="1:9" x14ac:dyDescent="0.3">
      <c r="A3083" t="s">
        <v>5180</v>
      </c>
      <c r="B3083" t="s">
        <v>5182</v>
      </c>
      <c r="C3083" t="s">
        <v>13</v>
      </c>
      <c r="D3083" t="s">
        <v>111</v>
      </c>
      <c r="E3083" t="s">
        <v>3783</v>
      </c>
      <c r="F3083" t="s">
        <v>5222</v>
      </c>
      <c r="H3083" t="s">
        <v>17</v>
      </c>
      <c r="I3083" t="s">
        <v>3880</v>
      </c>
    </row>
    <row r="3084" spans="1:9" x14ac:dyDescent="0.3">
      <c r="A3084" t="s">
        <v>5180</v>
      </c>
      <c r="B3084" t="s">
        <v>5182</v>
      </c>
      <c r="C3084" t="s">
        <v>13</v>
      </c>
      <c r="D3084" t="s">
        <v>114</v>
      </c>
      <c r="E3084" t="s">
        <v>5223</v>
      </c>
      <c r="F3084" t="s">
        <v>5224</v>
      </c>
      <c r="H3084" t="s">
        <v>17</v>
      </c>
      <c r="I3084" t="s">
        <v>5225</v>
      </c>
    </row>
    <row r="3085" spans="1:9" x14ac:dyDescent="0.3">
      <c r="A3085" t="s">
        <v>5180</v>
      </c>
      <c r="B3085" t="s">
        <v>5182</v>
      </c>
      <c r="C3085" t="s">
        <v>13</v>
      </c>
      <c r="D3085" t="s">
        <v>117</v>
      </c>
      <c r="E3085" t="s">
        <v>3785</v>
      </c>
      <c r="F3085" t="s">
        <v>5226</v>
      </c>
      <c r="H3085" t="s">
        <v>17</v>
      </c>
      <c r="I3085" t="s">
        <v>3880</v>
      </c>
    </row>
    <row r="3086" spans="1:9" x14ac:dyDescent="0.3">
      <c r="A3086" t="s">
        <v>5180</v>
      </c>
      <c r="B3086" t="s">
        <v>5182</v>
      </c>
      <c r="C3086" t="s">
        <v>13</v>
      </c>
      <c r="D3086" t="s">
        <v>121</v>
      </c>
      <c r="E3086" t="s">
        <v>5227</v>
      </c>
      <c r="F3086" t="s">
        <v>5228</v>
      </c>
      <c r="H3086" t="s">
        <v>17</v>
      </c>
      <c r="I3086" t="s">
        <v>5229</v>
      </c>
    </row>
    <row r="3087" spans="1:9" x14ac:dyDescent="0.3">
      <c r="A3087" t="s">
        <v>5180</v>
      </c>
      <c r="B3087" t="s">
        <v>5182</v>
      </c>
      <c r="C3087" t="s">
        <v>13</v>
      </c>
      <c r="D3087" t="s">
        <v>126</v>
      </c>
      <c r="E3087" t="s">
        <v>3787</v>
      </c>
      <c r="F3087" t="s">
        <v>5230</v>
      </c>
      <c r="H3087" t="s">
        <v>17</v>
      </c>
      <c r="I3087" t="s">
        <v>5231</v>
      </c>
    </row>
    <row r="3088" spans="1:9" x14ac:dyDescent="0.3">
      <c r="A3088" t="s">
        <v>5180</v>
      </c>
      <c r="B3088" t="s">
        <v>5182</v>
      </c>
      <c r="C3088" t="s">
        <v>13</v>
      </c>
      <c r="D3088" t="s">
        <v>129</v>
      </c>
      <c r="E3088" t="s">
        <v>5232</v>
      </c>
      <c r="F3088" t="s">
        <v>5233</v>
      </c>
      <c r="H3088" t="s">
        <v>17</v>
      </c>
      <c r="I3088" t="s">
        <v>5234</v>
      </c>
    </row>
    <row r="3089" spans="1:9" x14ac:dyDescent="0.3">
      <c r="A3089" t="s">
        <v>5180</v>
      </c>
      <c r="B3089" t="s">
        <v>5182</v>
      </c>
      <c r="C3089" t="s">
        <v>13</v>
      </c>
      <c r="D3089" t="s">
        <v>132</v>
      </c>
      <c r="E3089" t="s">
        <v>3790</v>
      </c>
      <c r="F3089" t="s">
        <v>4702</v>
      </c>
      <c r="H3089" t="s">
        <v>17</v>
      </c>
      <c r="I3089" t="s">
        <v>5235</v>
      </c>
    </row>
    <row r="3090" spans="1:9" x14ac:dyDescent="0.3">
      <c r="A3090" t="s">
        <v>5180</v>
      </c>
      <c r="B3090" t="s">
        <v>5182</v>
      </c>
      <c r="C3090" t="s">
        <v>13</v>
      </c>
      <c r="D3090" t="s">
        <v>135</v>
      </c>
      <c r="E3090" t="s">
        <v>5236</v>
      </c>
      <c r="F3090" t="s">
        <v>5237</v>
      </c>
      <c r="H3090" t="s">
        <v>17</v>
      </c>
      <c r="I3090" t="s">
        <v>3880</v>
      </c>
    </row>
    <row r="3091" spans="1:9" x14ac:dyDescent="0.3">
      <c r="A3091" t="s">
        <v>5180</v>
      </c>
      <c r="B3091" t="s">
        <v>5182</v>
      </c>
      <c r="C3091" t="s">
        <v>13</v>
      </c>
      <c r="D3091" t="s">
        <v>138</v>
      </c>
      <c r="E3091" t="s">
        <v>3791</v>
      </c>
      <c r="F3091" t="s">
        <v>5238</v>
      </c>
      <c r="H3091" t="s">
        <v>17</v>
      </c>
      <c r="I3091" t="s">
        <v>3880</v>
      </c>
    </row>
    <row r="3092" spans="1:9" x14ac:dyDescent="0.3">
      <c r="A3092" t="s">
        <v>5180</v>
      </c>
      <c r="B3092" t="s">
        <v>5182</v>
      </c>
      <c r="C3092" t="s">
        <v>13</v>
      </c>
      <c r="D3092" t="s">
        <v>141</v>
      </c>
      <c r="E3092" t="s">
        <v>3792</v>
      </c>
      <c r="F3092" t="s">
        <v>5239</v>
      </c>
      <c r="H3092" t="s">
        <v>17</v>
      </c>
      <c r="I3092" t="s">
        <v>5240</v>
      </c>
    </row>
    <row r="3093" spans="1:9" x14ac:dyDescent="0.3">
      <c r="A3093" t="s">
        <v>5180</v>
      </c>
      <c r="B3093" t="s">
        <v>5182</v>
      </c>
      <c r="C3093" t="s">
        <v>13</v>
      </c>
      <c r="D3093" t="s">
        <v>144</v>
      </c>
      <c r="E3093" t="s">
        <v>5241</v>
      </c>
      <c r="F3093" t="s">
        <v>5242</v>
      </c>
      <c r="H3093" t="s">
        <v>17</v>
      </c>
      <c r="I3093" t="s">
        <v>3880</v>
      </c>
    </row>
    <row r="3094" spans="1:9" x14ac:dyDescent="0.3">
      <c r="A3094" t="s">
        <v>5180</v>
      </c>
      <c r="B3094" t="s">
        <v>5182</v>
      </c>
      <c r="C3094" t="s">
        <v>13</v>
      </c>
      <c r="D3094" t="s">
        <v>147</v>
      </c>
      <c r="E3094" t="s">
        <v>3793</v>
      </c>
      <c r="F3094" t="s">
        <v>5243</v>
      </c>
      <c r="H3094" t="s">
        <v>17</v>
      </c>
      <c r="I3094" t="s">
        <v>5244</v>
      </c>
    </row>
    <row r="3095" spans="1:9" x14ac:dyDescent="0.3">
      <c r="A3095" t="s">
        <v>5180</v>
      </c>
      <c r="B3095" t="s">
        <v>5182</v>
      </c>
      <c r="C3095" t="s">
        <v>13</v>
      </c>
      <c r="D3095" t="s">
        <v>152</v>
      </c>
      <c r="E3095" t="s">
        <v>3795</v>
      </c>
      <c r="F3095" t="s">
        <v>5245</v>
      </c>
      <c r="H3095" t="s">
        <v>17</v>
      </c>
      <c r="I3095" t="s">
        <v>5246</v>
      </c>
    </row>
    <row r="3096" spans="1:9" x14ac:dyDescent="0.3">
      <c r="A3096" t="s">
        <v>5180</v>
      </c>
      <c r="B3096" t="s">
        <v>5182</v>
      </c>
      <c r="C3096" t="s">
        <v>13</v>
      </c>
      <c r="D3096" t="s">
        <v>157</v>
      </c>
      <c r="E3096" t="s">
        <v>5247</v>
      </c>
      <c r="F3096" t="s">
        <v>5248</v>
      </c>
      <c r="H3096" t="s">
        <v>17</v>
      </c>
      <c r="I3096" t="s">
        <v>5249</v>
      </c>
    </row>
    <row r="3097" spans="1:9" x14ac:dyDescent="0.3">
      <c r="A3097" t="s">
        <v>5180</v>
      </c>
      <c r="B3097" t="s">
        <v>5182</v>
      </c>
      <c r="C3097" t="s">
        <v>13</v>
      </c>
      <c r="D3097" t="s">
        <v>162</v>
      </c>
      <c r="E3097" t="s">
        <v>3798</v>
      </c>
      <c r="F3097" t="s">
        <v>5250</v>
      </c>
      <c r="H3097" t="s">
        <v>17</v>
      </c>
      <c r="I3097" t="s">
        <v>5251</v>
      </c>
    </row>
    <row r="3098" spans="1:9" x14ac:dyDescent="0.3">
      <c r="A3098" t="s">
        <v>5180</v>
      </c>
      <c r="B3098" t="s">
        <v>5182</v>
      </c>
      <c r="C3098" t="s">
        <v>13</v>
      </c>
      <c r="D3098" t="s">
        <v>167</v>
      </c>
      <c r="E3098" t="s">
        <v>5252</v>
      </c>
      <c r="F3098" t="s">
        <v>5253</v>
      </c>
      <c r="H3098" t="s">
        <v>17</v>
      </c>
      <c r="I3098" t="s">
        <v>5254</v>
      </c>
    </row>
    <row r="3099" spans="1:9" x14ac:dyDescent="0.3">
      <c r="A3099" t="s">
        <v>5180</v>
      </c>
      <c r="B3099" t="s">
        <v>5182</v>
      </c>
      <c r="C3099" t="s">
        <v>13</v>
      </c>
      <c r="D3099" t="s">
        <v>172</v>
      </c>
      <c r="E3099" t="s">
        <v>3799</v>
      </c>
      <c r="F3099" t="s">
        <v>5255</v>
      </c>
      <c r="H3099" t="s">
        <v>17</v>
      </c>
      <c r="I3099" t="s">
        <v>5256</v>
      </c>
    </row>
    <row r="3100" spans="1:9" x14ac:dyDescent="0.3">
      <c r="A3100" t="s">
        <v>5180</v>
      </c>
      <c r="B3100" t="s">
        <v>5182</v>
      </c>
      <c r="C3100" t="s">
        <v>13</v>
      </c>
      <c r="D3100" t="s">
        <v>177</v>
      </c>
      <c r="E3100" t="s">
        <v>3801</v>
      </c>
      <c r="F3100" t="s">
        <v>5257</v>
      </c>
      <c r="H3100" t="s">
        <v>17</v>
      </c>
      <c r="I3100" t="s">
        <v>5258</v>
      </c>
    </row>
    <row r="3101" spans="1:9" x14ac:dyDescent="0.3">
      <c r="A3101" t="s">
        <v>5180</v>
      </c>
      <c r="B3101" t="s">
        <v>5182</v>
      </c>
      <c r="C3101" t="s">
        <v>13</v>
      </c>
      <c r="D3101" t="s">
        <v>182</v>
      </c>
      <c r="E3101" t="s">
        <v>5259</v>
      </c>
      <c r="F3101" t="s">
        <v>5260</v>
      </c>
      <c r="H3101" t="s">
        <v>17</v>
      </c>
      <c r="I3101" t="s">
        <v>5261</v>
      </c>
    </row>
    <row r="3102" spans="1:9" x14ac:dyDescent="0.3">
      <c r="A3102" t="s">
        <v>5180</v>
      </c>
      <c r="B3102" t="s">
        <v>5182</v>
      </c>
      <c r="C3102" t="s">
        <v>13</v>
      </c>
      <c r="D3102" t="s">
        <v>187</v>
      </c>
      <c r="E3102" t="s">
        <v>3803</v>
      </c>
      <c r="F3102" t="s">
        <v>5262</v>
      </c>
      <c r="H3102" t="s">
        <v>17</v>
      </c>
      <c r="I3102" t="s">
        <v>5263</v>
      </c>
    </row>
    <row r="3103" spans="1:9" x14ac:dyDescent="0.3">
      <c r="A3103" t="s">
        <v>5180</v>
      </c>
      <c r="B3103" t="s">
        <v>5182</v>
      </c>
      <c r="C3103" t="s">
        <v>13</v>
      </c>
      <c r="D3103" t="s">
        <v>193</v>
      </c>
      <c r="E3103" t="s">
        <v>5264</v>
      </c>
      <c r="F3103" t="s">
        <v>5265</v>
      </c>
      <c r="H3103" t="s">
        <v>17</v>
      </c>
      <c r="I3103" t="s">
        <v>4236</v>
      </c>
    </row>
    <row r="3104" spans="1:9" x14ac:dyDescent="0.3">
      <c r="A3104" t="s">
        <v>5180</v>
      </c>
      <c r="B3104" t="s">
        <v>5182</v>
      </c>
      <c r="C3104" t="s">
        <v>13</v>
      </c>
      <c r="D3104" t="s">
        <v>198</v>
      </c>
      <c r="E3104" t="s">
        <v>3804</v>
      </c>
      <c r="F3104" t="s">
        <v>5266</v>
      </c>
      <c r="H3104" t="s">
        <v>17</v>
      </c>
      <c r="I3104" t="s">
        <v>4236</v>
      </c>
    </row>
    <row r="3105" spans="1:9" x14ac:dyDescent="0.3">
      <c r="A3105" t="s">
        <v>5180</v>
      </c>
      <c r="B3105" t="s">
        <v>5182</v>
      </c>
      <c r="C3105" t="s">
        <v>13</v>
      </c>
      <c r="D3105" t="s">
        <v>202</v>
      </c>
      <c r="E3105" t="s">
        <v>3806</v>
      </c>
      <c r="F3105" t="s">
        <v>5267</v>
      </c>
      <c r="H3105" t="s">
        <v>17</v>
      </c>
      <c r="I3105" t="s">
        <v>5268</v>
      </c>
    </row>
    <row r="3106" spans="1:9" x14ac:dyDescent="0.3">
      <c r="A3106" t="s">
        <v>5180</v>
      </c>
      <c r="B3106" t="s">
        <v>5182</v>
      </c>
      <c r="C3106" t="s">
        <v>13</v>
      </c>
      <c r="D3106" t="s">
        <v>206</v>
      </c>
      <c r="E3106" t="s">
        <v>5269</v>
      </c>
      <c r="F3106" t="s">
        <v>5270</v>
      </c>
      <c r="H3106" t="s">
        <v>17</v>
      </c>
      <c r="I3106" t="s">
        <v>5268</v>
      </c>
    </row>
    <row r="3107" spans="1:9" x14ac:dyDescent="0.3">
      <c r="A3107" t="s">
        <v>5180</v>
      </c>
      <c r="B3107" t="s">
        <v>5182</v>
      </c>
      <c r="C3107" t="s">
        <v>13</v>
      </c>
      <c r="D3107" t="s">
        <v>210</v>
      </c>
      <c r="E3107" t="s">
        <v>3808</v>
      </c>
      <c r="F3107" t="s">
        <v>5271</v>
      </c>
      <c r="H3107" t="s">
        <v>17</v>
      </c>
      <c r="I3107" t="s">
        <v>5272</v>
      </c>
    </row>
    <row r="3108" spans="1:9" x14ac:dyDescent="0.3">
      <c r="A3108" t="s">
        <v>5180</v>
      </c>
      <c r="B3108" t="s">
        <v>5182</v>
      </c>
      <c r="C3108" t="s">
        <v>13</v>
      </c>
      <c r="D3108" t="s">
        <v>214</v>
      </c>
      <c r="E3108" t="s">
        <v>5273</v>
      </c>
      <c r="F3108" t="s">
        <v>5274</v>
      </c>
      <c r="H3108" t="s">
        <v>17</v>
      </c>
      <c r="I3108" t="s">
        <v>3880</v>
      </c>
    </row>
    <row r="3109" spans="1:9" x14ac:dyDescent="0.3">
      <c r="A3109" t="s">
        <v>5180</v>
      </c>
      <c r="B3109" t="s">
        <v>5182</v>
      </c>
      <c r="C3109" t="s">
        <v>13</v>
      </c>
      <c r="D3109" t="s">
        <v>218</v>
      </c>
      <c r="E3109" t="s">
        <v>3809</v>
      </c>
      <c r="F3109" t="s">
        <v>5275</v>
      </c>
      <c r="H3109" t="s">
        <v>17</v>
      </c>
      <c r="I3109" t="s">
        <v>5276</v>
      </c>
    </row>
    <row r="3110" spans="1:9" x14ac:dyDescent="0.3">
      <c r="A3110" t="s">
        <v>5180</v>
      </c>
      <c r="B3110" t="s">
        <v>5182</v>
      </c>
      <c r="C3110" t="s">
        <v>13</v>
      </c>
      <c r="D3110" t="s">
        <v>223</v>
      </c>
      <c r="E3110" t="s">
        <v>3811</v>
      </c>
      <c r="F3110" t="s">
        <v>5277</v>
      </c>
      <c r="H3110" t="s">
        <v>17</v>
      </c>
      <c r="I3110" t="s">
        <v>5170</v>
      </c>
    </row>
    <row r="3111" spans="1:9" x14ac:dyDescent="0.3">
      <c r="A3111" t="s">
        <v>5180</v>
      </c>
      <c r="B3111" t="s">
        <v>5182</v>
      </c>
      <c r="C3111" t="s">
        <v>13</v>
      </c>
      <c r="D3111" t="s">
        <v>228</v>
      </c>
      <c r="E3111" t="s">
        <v>5278</v>
      </c>
      <c r="F3111" t="s">
        <v>5279</v>
      </c>
      <c r="H3111" t="s">
        <v>17</v>
      </c>
      <c r="I3111" t="s">
        <v>5280</v>
      </c>
    </row>
    <row r="3112" spans="1:9" x14ac:dyDescent="0.3">
      <c r="A3112" t="s">
        <v>5180</v>
      </c>
      <c r="B3112" t="s">
        <v>5182</v>
      </c>
      <c r="C3112" t="s">
        <v>13</v>
      </c>
      <c r="D3112" t="s">
        <v>2925</v>
      </c>
      <c r="E3112" t="s">
        <v>3813</v>
      </c>
      <c r="F3112" t="s">
        <v>5281</v>
      </c>
      <c r="H3112" t="s">
        <v>17</v>
      </c>
      <c r="I3112" t="s">
        <v>5282</v>
      </c>
    </row>
    <row r="3113" spans="1:9" x14ac:dyDescent="0.3">
      <c r="A3113" t="s">
        <v>5180</v>
      </c>
      <c r="B3113" t="s">
        <v>5182</v>
      </c>
      <c r="C3113" t="s">
        <v>13</v>
      </c>
      <c r="D3113" t="s">
        <v>3267</v>
      </c>
      <c r="E3113" t="s">
        <v>5283</v>
      </c>
      <c r="F3113" t="s">
        <v>5284</v>
      </c>
      <c r="H3113" t="s">
        <v>17</v>
      </c>
      <c r="I3113" t="s">
        <v>5285</v>
      </c>
    </row>
    <row r="3114" spans="1:9" x14ac:dyDescent="0.3">
      <c r="A3114" t="s">
        <v>5180</v>
      </c>
      <c r="B3114" t="s">
        <v>5182</v>
      </c>
      <c r="C3114" t="s">
        <v>13</v>
      </c>
      <c r="D3114" t="s">
        <v>3270</v>
      </c>
      <c r="E3114" t="s">
        <v>3814</v>
      </c>
      <c r="F3114" t="s">
        <v>4385</v>
      </c>
      <c r="H3114" t="s">
        <v>17</v>
      </c>
      <c r="I3114" t="s">
        <v>5286</v>
      </c>
    </row>
    <row r="3115" spans="1:9" x14ac:dyDescent="0.3">
      <c r="A3115" t="s">
        <v>5180</v>
      </c>
      <c r="B3115" t="s">
        <v>5182</v>
      </c>
      <c r="C3115" t="s">
        <v>13</v>
      </c>
      <c r="D3115" t="s">
        <v>1892</v>
      </c>
      <c r="E3115" t="s">
        <v>3816</v>
      </c>
      <c r="F3115" t="s">
        <v>5287</v>
      </c>
      <c r="H3115" t="s">
        <v>17</v>
      </c>
      <c r="I3115" t="s">
        <v>5288</v>
      </c>
    </row>
    <row r="3116" spans="1:9" x14ac:dyDescent="0.3">
      <c r="A3116" t="s">
        <v>5180</v>
      </c>
      <c r="B3116" t="s">
        <v>5182</v>
      </c>
      <c r="C3116" t="s">
        <v>13</v>
      </c>
      <c r="D3116" t="s">
        <v>1146</v>
      </c>
      <c r="E3116" t="s">
        <v>5289</v>
      </c>
      <c r="F3116" t="s">
        <v>843</v>
      </c>
      <c r="H3116" t="s">
        <v>17</v>
      </c>
      <c r="I3116" t="s">
        <v>845</v>
      </c>
    </row>
    <row r="3117" spans="1:9" x14ac:dyDescent="0.3">
      <c r="A3117" t="s">
        <v>5180</v>
      </c>
      <c r="B3117" t="s">
        <v>5182</v>
      </c>
      <c r="C3117" t="s">
        <v>13</v>
      </c>
      <c r="D3117" t="s">
        <v>1150</v>
      </c>
      <c r="E3117" t="s">
        <v>3817</v>
      </c>
      <c r="F3117" t="s">
        <v>5290</v>
      </c>
      <c r="H3117" t="s">
        <v>17</v>
      </c>
      <c r="I3117" t="s">
        <v>5291</v>
      </c>
    </row>
    <row r="3118" spans="1:9" x14ac:dyDescent="0.3">
      <c r="A3118" t="s">
        <v>5180</v>
      </c>
      <c r="B3118" t="s">
        <v>5182</v>
      </c>
      <c r="C3118" t="s">
        <v>13</v>
      </c>
      <c r="D3118" t="s">
        <v>1154</v>
      </c>
      <c r="E3118" t="s">
        <v>5292</v>
      </c>
      <c r="F3118" t="s">
        <v>797</v>
      </c>
      <c r="H3118" t="s">
        <v>17</v>
      </c>
      <c r="I3118" t="s">
        <v>4647</v>
      </c>
    </row>
    <row r="3119" spans="1:9" x14ac:dyDescent="0.3">
      <c r="A3119" t="s">
        <v>5180</v>
      </c>
      <c r="B3119" t="s">
        <v>5182</v>
      </c>
      <c r="C3119" t="s">
        <v>13</v>
      </c>
      <c r="D3119" t="s">
        <v>1158</v>
      </c>
      <c r="E3119" t="s">
        <v>3818</v>
      </c>
      <c r="F3119" t="s">
        <v>747</v>
      </c>
      <c r="H3119" t="s">
        <v>17</v>
      </c>
      <c r="I3119" t="s">
        <v>4815</v>
      </c>
    </row>
    <row r="3120" spans="1:9" x14ac:dyDescent="0.3">
      <c r="A3120" t="s">
        <v>5180</v>
      </c>
      <c r="B3120" t="s">
        <v>5182</v>
      </c>
      <c r="C3120" t="s">
        <v>13</v>
      </c>
      <c r="D3120" t="s">
        <v>1162</v>
      </c>
      <c r="E3120" t="s">
        <v>3819</v>
      </c>
      <c r="F3120" t="s">
        <v>5293</v>
      </c>
      <c r="H3120" t="s">
        <v>17</v>
      </c>
      <c r="I3120" t="s">
        <v>5294</v>
      </c>
    </row>
    <row r="3121" spans="1:9" x14ac:dyDescent="0.3">
      <c r="A3121" t="s">
        <v>5180</v>
      </c>
      <c r="B3121" t="s">
        <v>5182</v>
      </c>
      <c r="C3121" t="s">
        <v>13</v>
      </c>
      <c r="D3121" t="s">
        <v>1165</v>
      </c>
      <c r="E3121" t="s">
        <v>3820</v>
      </c>
      <c r="F3121" t="s">
        <v>2918</v>
      </c>
      <c r="H3121" t="s">
        <v>17</v>
      </c>
      <c r="I3121" t="s">
        <v>5178</v>
      </c>
    </row>
    <row r="3122" spans="1:9" x14ac:dyDescent="0.3">
      <c r="A3122" t="s">
        <v>5180</v>
      </c>
      <c r="B3122" t="s">
        <v>5182</v>
      </c>
      <c r="C3122" t="s">
        <v>13</v>
      </c>
      <c r="D3122" t="s">
        <v>1168</v>
      </c>
      <c r="E3122" t="s">
        <v>3821</v>
      </c>
      <c r="F3122" t="s">
        <v>4819</v>
      </c>
      <c r="H3122" t="s">
        <v>17</v>
      </c>
      <c r="I3122" t="s">
        <v>5295</v>
      </c>
    </row>
    <row r="3123" spans="1:9" x14ac:dyDescent="0.3">
      <c r="A3123" t="s">
        <v>5180</v>
      </c>
      <c r="B3123" t="s">
        <v>5182</v>
      </c>
      <c r="C3123" t="s">
        <v>13</v>
      </c>
      <c r="D3123" t="s">
        <v>1172</v>
      </c>
      <c r="E3123" t="s">
        <v>3822</v>
      </c>
      <c r="F3123" t="s">
        <v>3984</v>
      </c>
      <c r="H3123" t="s">
        <v>17</v>
      </c>
      <c r="I3123" t="s">
        <v>4188</v>
      </c>
    </row>
    <row r="3124" spans="1:9" x14ac:dyDescent="0.3">
      <c r="A3124" t="s">
        <v>5180</v>
      </c>
      <c r="B3124" t="s">
        <v>5182</v>
      </c>
      <c r="C3124" t="s">
        <v>13</v>
      </c>
      <c r="D3124" t="s">
        <v>1176</v>
      </c>
      <c r="E3124" t="s">
        <v>3823</v>
      </c>
      <c r="F3124" t="s">
        <v>4453</v>
      </c>
      <c r="H3124" t="s">
        <v>17</v>
      </c>
      <c r="I3124" t="s">
        <v>5296</v>
      </c>
    </row>
    <row r="3125" spans="1:9" x14ac:dyDescent="0.3">
      <c r="A3125" t="s">
        <v>5180</v>
      </c>
      <c r="B3125" t="s">
        <v>5182</v>
      </c>
      <c r="C3125" t="s">
        <v>13</v>
      </c>
      <c r="D3125" t="s">
        <v>1179</v>
      </c>
      <c r="E3125" t="s">
        <v>3824</v>
      </c>
      <c r="F3125" t="s">
        <v>1706</v>
      </c>
      <c r="H3125" t="s">
        <v>17</v>
      </c>
      <c r="I3125" t="s">
        <v>5297</v>
      </c>
    </row>
    <row r="3126" spans="1:9" x14ac:dyDescent="0.3">
      <c r="A3126" t="s">
        <v>5298</v>
      </c>
      <c r="E3126" t="s">
        <v>10</v>
      </c>
      <c r="F3126" t="s">
        <v>5299</v>
      </c>
    </row>
    <row r="3127" spans="1:9" x14ac:dyDescent="0.3">
      <c r="A3127" t="s">
        <v>5298</v>
      </c>
      <c r="B3127" t="s">
        <v>5300</v>
      </c>
      <c r="C3127" t="s">
        <v>13</v>
      </c>
      <c r="D3127" t="s">
        <v>14</v>
      </c>
      <c r="E3127" t="s">
        <v>1742</v>
      </c>
      <c r="F3127" t="s">
        <v>3861</v>
      </c>
      <c r="H3127" t="s">
        <v>17</v>
      </c>
    </row>
    <row r="3128" spans="1:9" x14ac:dyDescent="0.3">
      <c r="A3128" t="s">
        <v>5298</v>
      </c>
      <c r="B3128" t="s">
        <v>5301</v>
      </c>
      <c r="C3128" t="s">
        <v>13</v>
      </c>
      <c r="D3128" t="s">
        <v>1743</v>
      </c>
      <c r="E3128" t="s">
        <v>5302</v>
      </c>
      <c r="F3128" t="s">
        <v>5303</v>
      </c>
      <c r="H3128" t="s">
        <v>17</v>
      </c>
      <c r="I3128" t="s">
        <v>5304</v>
      </c>
    </row>
    <row r="3129" spans="1:9" x14ac:dyDescent="0.3">
      <c r="A3129" t="s">
        <v>5298</v>
      </c>
      <c r="B3129" t="s">
        <v>5301</v>
      </c>
      <c r="C3129" t="s">
        <v>13</v>
      </c>
      <c r="D3129" t="s">
        <v>996</v>
      </c>
      <c r="E3129" t="s">
        <v>5305</v>
      </c>
      <c r="F3129" t="s">
        <v>5306</v>
      </c>
      <c r="H3129" t="s">
        <v>17</v>
      </c>
      <c r="I3129" t="s">
        <v>5304</v>
      </c>
    </row>
    <row r="3130" spans="1:9" x14ac:dyDescent="0.3">
      <c r="A3130" t="s">
        <v>5298</v>
      </c>
      <c r="B3130" t="s">
        <v>5301</v>
      </c>
      <c r="C3130" t="s">
        <v>13</v>
      </c>
      <c r="D3130" t="s">
        <v>1001</v>
      </c>
      <c r="E3130" t="s">
        <v>5307</v>
      </c>
      <c r="F3130" t="s">
        <v>5308</v>
      </c>
      <c r="H3130" t="s">
        <v>17</v>
      </c>
      <c r="I3130" t="s">
        <v>5304</v>
      </c>
    </row>
    <row r="3131" spans="1:9" x14ac:dyDescent="0.3">
      <c r="A3131" t="s">
        <v>5298</v>
      </c>
      <c r="B3131" t="s">
        <v>5301</v>
      </c>
      <c r="C3131" t="s">
        <v>13</v>
      </c>
      <c r="D3131" t="s">
        <v>1942</v>
      </c>
      <c r="E3131" t="s">
        <v>5309</v>
      </c>
      <c r="F3131" t="s">
        <v>5310</v>
      </c>
      <c r="H3131" t="s">
        <v>17</v>
      </c>
      <c r="I3131" t="s">
        <v>5304</v>
      </c>
    </row>
    <row r="3132" spans="1:9" x14ac:dyDescent="0.3">
      <c r="A3132" t="s">
        <v>5298</v>
      </c>
      <c r="B3132" t="s">
        <v>5301</v>
      </c>
      <c r="C3132" t="s">
        <v>13</v>
      </c>
      <c r="D3132" t="s">
        <v>22</v>
      </c>
      <c r="E3132" t="s">
        <v>5311</v>
      </c>
      <c r="F3132" t="s">
        <v>5312</v>
      </c>
      <c r="H3132" t="s">
        <v>17</v>
      </c>
      <c r="I3132" t="s">
        <v>5304</v>
      </c>
    </row>
    <row r="3133" spans="1:9" x14ac:dyDescent="0.3">
      <c r="A3133" t="s">
        <v>5298</v>
      </c>
      <c r="B3133" t="s">
        <v>5301</v>
      </c>
      <c r="C3133" t="s">
        <v>13</v>
      </c>
      <c r="D3133" t="s">
        <v>27</v>
      </c>
      <c r="E3133" t="s">
        <v>5313</v>
      </c>
      <c r="F3133" t="s">
        <v>5314</v>
      </c>
      <c r="H3133" t="s">
        <v>17</v>
      </c>
      <c r="I3133" t="s">
        <v>5304</v>
      </c>
    </row>
    <row r="3134" spans="1:9" x14ac:dyDescent="0.3">
      <c r="A3134" t="s">
        <v>5298</v>
      </c>
      <c r="B3134" t="s">
        <v>5301</v>
      </c>
      <c r="C3134" t="s">
        <v>13</v>
      </c>
      <c r="D3134" t="s">
        <v>1014</v>
      </c>
      <c r="E3134" t="s">
        <v>5315</v>
      </c>
      <c r="F3134" t="s">
        <v>5316</v>
      </c>
      <c r="H3134" t="s">
        <v>17</v>
      </c>
      <c r="I3134" t="s">
        <v>5304</v>
      </c>
    </row>
    <row r="3135" spans="1:9" x14ac:dyDescent="0.3">
      <c r="A3135" t="s">
        <v>5298</v>
      </c>
      <c r="B3135" t="s">
        <v>5301</v>
      </c>
      <c r="C3135" t="s">
        <v>13</v>
      </c>
      <c r="D3135" t="s">
        <v>1017</v>
      </c>
      <c r="E3135" t="s">
        <v>5317</v>
      </c>
      <c r="F3135" t="s">
        <v>5318</v>
      </c>
      <c r="H3135" t="s">
        <v>17</v>
      </c>
      <c r="I3135" t="s">
        <v>5304</v>
      </c>
    </row>
    <row r="3136" spans="1:9" x14ac:dyDescent="0.3">
      <c r="A3136" t="s">
        <v>5298</v>
      </c>
      <c r="B3136" t="s">
        <v>5319</v>
      </c>
      <c r="C3136" t="s">
        <v>13</v>
      </c>
      <c r="D3136" t="s">
        <v>36</v>
      </c>
      <c r="E3136" t="s">
        <v>5320</v>
      </c>
      <c r="F3136" t="s">
        <v>4073</v>
      </c>
      <c r="H3136" t="s">
        <v>17</v>
      </c>
      <c r="I3136" t="s">
        <v>5304</v>
      </c>
    </row>
    <row r="3137" spans="1:9" x14ac:dyDescent="0.3">
      <c r="A3137" t="s">
        <v>5298</v>
      </c>
      <c r="B3137" t="s">
        <v>5319</v>
      </c>
      <c r="C3137" t="s">
        <v>13</v>
      </c>
      <c r="D3137" t="s">
        <v>41</v>
      </c>
      <c r="E3137" t="s">
        <v>5321</v>
      </c>
      <c r="F3137" t="s">
        <v>4079</v>
      </c>
      <c r="H3137" t="s">
        <v>17</v>
      </c>
      <c r="I3137" t="s">
        <v>5304</v>
      </c>
    </row>
    <row r="3138" spans="1:9" x14ac:dyDescent="0.3">
      <c r="A3138" t="s">
        <v>5298</v>
      </c>
      <c r="B3138" t="s">
        <v>5319</v>
      </c>
      <c r="C3138" t="s">
        <v>13</v>
      </c>
      <c r="D3138" t="s">
        <v>45</v>
      </c>
      <c r="E3138" t="s">
        <v>5322</v>
      </c>
      <c r="F3138" t="s">
        <v>5323</v>
      </c>
      <c r="H3138" t="s">
        <v>17</v>
      </c>
      <c r="I3138" t="s">
        <v>5304</v>
      </c>
    </row>
    <row r="3139" spans="1:9" x14ac:dyDescent="0.3">
      <c r="A3139" t="s">
        <v>5298</v>
      </c>
      <c r="B3139" t="s">
        <v>5319</v>
      </c>
      <c r="C3139" t="s">
        <v>13</v>
      </c>
      <c r="D3139" t="s">
        <v>50</v>
      </c>
      <c r="E3139" t="s">
        <v>5324</v>
      </c>
      <c r="F3139" t="s">
        <v>5325</v>
      </c>
      <c r="H3139" t="s">
        <v>17</v>
      </c>
      <c r="I3139" t="s">
        <v>5304</v>
      </c>
    </row>
    <row r="3140" spans="1:9" x14ac:dyDescent="0.3">
      <c r="A3140" t="s">
        <v>5298</v>
      </c>
      <c r="B3140" t="s">
        <v>5319</v>
      </c>
      <c r="C3140" t="s">
        <v>13</v>
      </c>
      <c r="D3140" t="s">
        <v>53</v>
      </c>
      <c r="E3140" t="s">
        <v>5326</v>
      </c>
      <c r="F3140" t="s">
        <v>5327</v>
      </c>
      <c r="H3140" t="s">
        <v>17</v>
      </c>
      <c r="I3140" t="s">
        <v>5304</v>
      </c>
    </row>
    <row r="3141" spans="1:9" x14ac:dyDescent="0.3">
      <c r="A3141" t="s">
        <v>5298</v>
      </c>
      <c r="B3141" t="s">
        <v>5319</v>
      </c>
      <c r="C3141" t="s">
        <v>13</v>
      </c>
      <c r="D3141" t="s">
        <v>56</v>
      </c>
      <c r="E3141" t="s">
        <v>5328</v>
      </c>
      <c r="F3141" t="s">
        <v>5329</v>
      </c>
      <c r="H3141" t="s">
        <v>17</v>
      </c>
      <c r="I3141" t="s">
        <v>5304</v>
      </c>
    </row>
    <row r="3142" spans="1:9" x14ac:dyDescent="0.3">
      <c r="A3142" t="s">
        <v>5298</v>
      </c>
      <c r="B3142" t="s">
        <v>5319</v>
      </c>
      <c r="C3142" t="s">
        <v>13</v>
      </c>
      <c r="D3142" t="s">
        <v>61</v>
      </c>
      <c r="E3142" t="s">
        <v>5330</v>
      </c>
      <c r="F3142" t="s">
        <v>5331</v>
      </c>
      <c r="H3142" t="s">
        <v>17</v>
      </c>
      <c r="I3142" t="s">
        <v>5304</v>
      </c>
    </row>
    <row r="3143" spans="1:9" x14ac:dyDescent="0.3">
      <c r="A3143" t="s">
        <v>5298</v>
      </c>
      <c r="B3143" t="s">
        <v>5332</v>
      </c>
      <c r="C3143" t="s">
        <v>13</v>
      </c>
      <c r="D3143" t="s">
        <v>1039</v>
      </c>
      <c r="E3143" t="s">
        <v>5333</v>
      </c>
      <c r="F3143" t="s">
        <v>5139</v>
      </c>
      <c r="H3143" t="s">
        <v>17</v>
      </c>
      <c r="I3143" t="s">
        <v>5334</v>
      </c>
    </row>
    <row r="3144" spans="1:9" x14ac:dyDescent="0.3">
      <c r="A3144" t="s">
        <v>5298</v>
      </c>
      <c r="B3144" t="s">
        <v>5332</v>
      </c>
      <c r="C3144" t="s">
        <v>13</v>
      </c>
      <c r="D3144" t="s">
        <v>1043</v>
      </c>
      <c r="E3144" t="s">
        <v>5335</v>
      </c>
      <c r="F3144" t="s">
        <v>3970</v>
      </c>
      <c r="H3144" t="s">
        <v>17</v>
      </c>
      <c r="I3144" t="s">
        <v>5334</v>
      </c>
    </row>
    <row r="3145" spans="1:9" x14ac:dyDescent="0.3">
      <c r="A3145" t="s">
        <v>5298</v>
      </c>
      <c r="B3145" t="s">
        <v>5332</v>
      </c>
      <c r="C3145" t="s">
        <v>13</v>
      </c>
      <c r="D3145" t="s">
        <v>71</v>
      </c>
      <c r="E3145" t="s">
        <v>5336</v>
      </c>
      <c r="F3145" t="s">
        <v>4104</v>
      </c>
      <c r="H3145" t="s">
        <v>17</v>
      </c>
      <c r="I3145" t="s">
        <v>5334</v>
      </c>
    </row>
    <row r="3146" spans="1:9" x14ac:dyDescent="0.3">
      <c r="A3146" t="s">
        <v>5298</v>
      </c>
      <c r="B3146" t="s">
        <v>5332</v>
      </c>
      <c r="C3146" t="s">
        <v>13</v>
      </c>
      <c r="D3146" t="s">
        <v>1050</v>
      </c>
      <c r="E3146" t="s">
        <v>5337</v>
      </c>
      <c r="F3146" t="s">
        <v>5142</v>
      </c>
      <c r="H3146" t="s">
        <v>17</v>
      </c>
      <c r="I3146" t="s">
        <v>5334</v>
      </c>
    </row>
    <row r="3147" spans="1:9" x14ac:dyDescent="0.3">
      <c r="A3147" t="s">
        <v>5298</v>
      </c>
      <c r="B3147" t="s">
        <v>5332</v>
      </c>
      <c r="C3147" t="s">
        <v>13</v>
      </c>
      <c r="D3147" t="s">
        <v>1055</v>
      </c>
      <c r="E3147" t="s">
        <v>5338</v>
      </c>
      <c r="F3147" t="s">
        <v>5143</v>
      </c>
      <c r="H3147" t="s">
        <v>17</v>
      </c>
      <c r="I3147" t="s">
        <v>5334</v>
      </c>
    </row>
    <row r="3148" spans="1:9" x14ac:dyDescent="0.3">
      <c r="A3148" t="s">
        <v>5298</v>
      </c>
      <c r="B3148" t="s">
        <v>5332</v>
      </c>
      <c r="C3148" t="s">
        <v>13</v>
      </c>
      <c r="D3148" t="s">
        <v>80</v>
      </c>
      <c r="E3148" t="s">
        <v>5339</v>
      </c>
      <c r="F3148" t="s">
        <v>5340</v>
      </c>
      <c r="H3148" t="s">
        <v>17</v>
      </c>
      <c r="I3148" t="s">
        <v>5334</v>
      </c>
    </row>
    <row r="3149" spans="1:9" x14ac:dyDescent="0.3">
      <c r="A3149" t="s">
        <v>5298</v>
      </c>
      <c r="B3149" t="s">
        <v>5332</v>
      </c>
      <c r="C3149" t="s">
        <v>13</v>
      </c>
      <c r="D3149" t="s">
        <v>85</v>
      </c>
      <c r="E3149" t="s">
        <v>5341</v>
      </c>
      <c r="F3149" t="s">
        <v>5342</v>
      </c>
      <c r="H3149" t="s">
        <v>17</v>
      </c>
      <c r="I3149" t="s">
        <v>5343</v>
      </c>
    </row>
    <row r="3150" spans="1:9" x14ac:dyDescent="0.3">
      <c r="A3150" t="s">
        <v>5298</v>
      </c>
      <c r="B3150" t="s">
        <v>5332</v>
      </c>
      <c r="C3150" t="s">
        <v>13</v>
      </c>
      <c r="D3150" t="s">
        <v>90</v>
      </c>
      <c r="E3150" t="s">
        <v>5344</v>
      </c>
      <c r="F3150" t="s">
        <v>5345</v>
      </c>
      <c r="H3150" t="s">
        <v>17</v>
      </c>
      <c r="I3150" t="s">
        <v>5346</v>
      </c>
    </row>
    <row r="3151" spans="1:9" x14ac:dyDescent="0.3">
      <c r="A3151" t="s">
        <v>5298</v>
      </c>
      <c r="B3151" t="s">
        <v>5332</v>
      </c>
      <c r="C3151" t="s">
        <v>13</v>
      </c>
      <c r="D3151" t="s">
        <v>95</v>
      </c>
      <c r="E3151" t="s">
        <v>5347</v>
      </c>
      <c r="F3151" t="s">
        <v>5348</v>
      </c>
      <c r="H3151" t="s">
        <v>17</v>
      </c>
      <c r="I3151" t="s">
        <v>5349</v>
      </c>
    </row>
    <row r="3152" spans="1:9" x14ac:dyDescent="0.3">
      <c r="A3152" t="s">
        <v>5298</v>
      </c>
      <c r="B3152" t="s">
        <v>5332</v>
      </c>
      <c r="C3152" t="s">
        <v>13</v>
      </c>
      <c r="D3152" t="s">
        <v>100</v>
      </c>
      <c r="E3152" t="s">
        <v>5350</v>
      </c>
      <c r="F3152" t="s">
        <v>5351</v>
      </c>
      <c r="H3152" t="s">
        <v>17</v>
      </c>
      <c r="I3152" t="s">
        <v>5352</v>
      </c>
    </row>
    <row r="3153" spans="1:9" x14ac:dyDescent="0.3">
      <c r="A3153" t="s">
        <v>5298</v>
      </c>
      <c r="B3153" t="s">
        <v>5332</v>
      </c>
      <c r="C3153" t="s">
        <v>13</v>
      </c>
      <c r="D3153" t="s">
        <v>106</v>
      </c>
      <c r="E3153" t="s">
        <v>5353</v>
      </c>
      <c r="F3153" t="s">
        <v>5354</v>
      </c>
      <c r="H3153" t="s">
        <v>17</v>
      </c>
      <c r="I3153" t="s">
        <v>5355</v>
      </c>
    </row>
    <row r="3154" spans="1:9" x14ac:dyDescent="0.3">
      <c r="A3154" t="s">
        <v>5298</v>
      </c>
      <c r="B3154" t="s">
        <v>5332</v>
      </c>
      <c r="C3154" t="s">
        <v>13</v>
      </c>
      <c r="D3154" t="s">
        <v>111</v>
      </c>
      <c r="E3154" t="s">
        <v>5356</v>
      </c>
      <c r="F3154" t="s">
        <v>5357</v>
      </c>
      <c r="H3154" t="s">
        <v>17</v>
      </c>
      <c r="I3154" t="s">
        <v>3880</v>
      </c>
    </row>
    <row r="3155" spans="1:9" x14ac:dyDescent="0.3">
      <c r="A3155" t="s">
        <v>5298</v>
      </c>
      <c r="B3155" t="s">
        <v>5332</v>
      </c>
      <c r="C3155" t="s">
        <v>13</v>
      </c>
      <c r="D3155" t="s">
        <v>114</v>
      </c>
      <c r="E3155" t="s">
        <v>5358</v>
      </c>
      <c r="F3155" t="s">
        <v>4707</v>
      </c>
      <c r="H3155" t="s">
        <v>17</v>
      </c>
      <c r="I3155" t="s">
        <v>5359</v>
      </c>
    </row>
    <row r="3156" spans="1:9" x14ac:dyDescent="0.3">
      <c r="A3156" t="s">
        <v>5298</v>
      </c>
      <c r="B3156" t="s">
        <v>5332</v>
      </c>
      <c r="C3156" t="s">
        <v>13</v>
      </c>
      <c r="D3156" t="s">
        <v>117</v>
      </c>
      <c r="E3156" t="s">
        <v>5360</v>
      </c>
      <c r="F3156" t="s">
        <v>5361</v>
      </c>
      <c r="H3156" t="s">
        <v>17</v>
      </c>
      <c r="I3156" t="s">
        <v>5362</v>
      </c>
    </row>
    <row r="3157" spans="1:9" x14ac:dyDescent="0.3">
      <c r="A3157" t="s">
        <v>5298</v>
      </c>
      <c r="B3157" t="s">
        <v>5332</v>
      </c>
      <c r="C3157" t="s">
        <v>13</v>
      </c>
      <c r="D3157" t="s">
        <v>121</v>
      </c>
      <c r="E3157" t="s">
        <v>5363</v>
      </c>
      <c r="F3157" t="s">
        <v>5364</v>
      </c>
      <c r="H3157" t="s">
        <v>17</v>
      </c>
      <c r="I3157" t="s">
        <v>5365</v>
      </c>
    </row>
    <row r="3158" spans="1:9" x14ac:dyDescent="0.3">
      <c r="A3158" t="s">
        <v>5298</v>
      </c>
      <c r="B3158" t="s">
        <v>5332</v>
      </c>
      <c r="C3158" t="s">
        <v>13</v>
      </c>
      <c r="D3158" t="s">
        <v>126</v>
      </c>
      <c r="E3158" t="s">
        <v>5366</v>
      </c>
      <c r="F3158" t="s">
        <v>5367</v>
      </c>
      <c r="H3158" t="s">
        <v>17</v>
      </c>
      <c r="I3158" t="s">
        <v>5368</v>
      </c>
    </row>
    <row r="3159" spans="1:9" x14ac:dyDescent="0.3">
      <c r="A3159" t="s">
        <v>5298</v>
      </c>
      <c r="B3159" t="s">
        <v>5332</v>
      </c>
      <c r="C3159" t="s">
        <v>13</v>
      </c>
      <c r="D3159" t="s">
        <v>129</v>
      </c>
      <c r="E3159" t="s">
        <v>5369</v>
      </c>
      <c r="F3159" t="s">
        <v>5370</v>
      </c>
      <c r="H3159" t="s">
        <v>17</v>
      </c>
      <c r="I3159" t="s">
        <v>5371</v>
      </c>
    </row>
    <row r="3160" spans="1:9" x14ac:dyDescent="0.3">
      <c r="A3160" t="s">
        <v>5298</v>
      </c>
      <c r="B3160" t="s">
        <v>5332</v>
      </c>
      <c r="C3160" t="s">
        <v>13</v>
      </c>
      <c r="D3160" t="s">
        <v>132</v>
      </c>
      <c r="E3160" t="s">
        <v>5372</v>
      </c>
      <c r="F3160" t="s">
        <v>5373</v>
      </c>
      <c r="H3160" t="s">
        <v>17</v>
      </c>
      <c r="I3160" t="s">
        <v>3880</v>
      </c>
    </row>
    <row r="3161" spans="1:9" x14ac:dyDescent="0.3">
      <c r="A3161" t="s">
        <v>5298</v>
      </c>
      <c r="B3161" t="s">
        <v>5332</v>
      </c>
      <c r="C3161" t="s">
        <v>13</v>
      </c>
      <c r="D3161" t="s">
        <v>135</v>
      </c>
      <c r="E3161" t="s">
        <v>5374</v>
      </c>
      <c r="F3161" t="s">
        <v>5375</v>
      </c>
      <c r="H3161" t="s">
        <v>17</v>
      </c>
      <c r="I3161" t="s">
        <v>5376</v>
      </c>
    </row>
    <row r="3162" spans="1:9" x14ac:dyDescent="0.3">
      <c r="A3162" t="s">
        <v>5298</v>
      </c>
      <c r="B3162" t="s">
        <v>5332</v>
      </c>
      <c r="C3162" t="s">
        <v>13</v>
      </c>
      <c r="D3162" t="s">
        <v>138</v>
      </c>
      <c r="E3162" t="s">
        <v>5377</v>
      </c>
      <c r="F3162" t="s">
        <v>5378</v>
      </c>
      <c r="H3162" t="s">
        <v>17</v>
      </c>
      <c r="I3162" t="s">
        <v>3880</v>
      </c>
    </row>
    <row r="3163" spans="1:9" x14ac:dyDescent="0.3">
      <c r="A3163" t="s">
        <v>5298</v>
      </c>
      <c r="B3163" t="s">
        <v>5332</v>
      </c>
      <c r="C3163" t="s">
        <v>13</v>
      </c>
      <c r="D3163" t="s">
        <v>141</v>
      </c>
      <c r="E3163" t="s">
        <v>5379</v>
      </c>
      <c r="F3163" t="s">
        <v>5380</v>
      </c>
      <c r="H3163" t="s">
        <v>17</v>
      </c>
      <c r="I3163" t="s">
        <v>3880</v>
      </c>
    </row>
    <row r="3164" spans="1:9" x14ac:dyDescent="0.3">
      <c r="A3164" t="s">
        <v>5298</v>
      </c>
      <c r="B3164" t="s">
        <v>5332</v>
      </c>
      <c r="C3164" t="s">
        <v>13</v>
      </c>
      <c r="D3164" t="s">
        <v>144</v>
      </c>
      <c r="E3164" t="s">
        <v>5381</v>
      </c>
      <c r="F3164" t="s">
        <v>5382</v>
      </c>
      <c r="H3164" t="s">
        <v>17</v>
      </c>
      <c r="I3164" t="s">
        <v>3880</v>
      </c>
    </row>
    <row r="3165" spans="1:9" x14ac:dyDescent="0.3">
      <c r="A3165" t="s">
        <v>5298</v>
      </c>
      <c r="B3165" t="s">
        <v>5332</v>
      </c>
      <c r="C3165" t="s">
        <v>13</v>
      </c>
      <c r="D3165" t="s">
        <v>147</v>
      </c>
      <c r="E3165" t="s">
        <v>5383</v>
      </c>
      <c r="F3165" t="s">
        <v>5384</v>
      </c>
      <c r="H3165" t="s">
        <v>17</v>
      </c>
      <c r="I3165" t="s">
        <v>3880</v>
      </c>
    </row>
    <row r="3166" spans="1:9" x14ac:dyDescent="0.3">
      <c r="A3166" t="s">
        <v>5298</v>
      </c>
      <c r="B3166" t="s">
        <v>5332</v>
      </c>
      <c r="C3166" t="s">
        <v>13</v>
      </c>
      <c r="D3166" t="s">
        <v>152</v>
      </c>
      <c r="E3166" t="s">
        <v>5385</v>
      </c>
      <c r="F3166" t="s">
        <v>5386</v>
      </c>
      <c r="H3166" t="s">
        <v>17</v>
      </c>
      <c r="I3166" t="s">
        <v>3880</v>
      </c>
    </row>
    <row r="3167" spans="1:9" x14ac:dyDescent="0.3">
      <c r="A3167" t="s">
        <v>5298</v>
      </c>
      <c r="B3167" t="s">
        <v>5332</v>
      </c>
      <c r="C3167" t="s">
        <v>13</v>
      </c>
      <c r="D3167" t="s">
        <v>157</v>
      </c>
      <c r="E3167" t="s">
        <v>5387</v>
      </c>
      <c r="F3167" t="s">
        <v>5214</v>
      </c>
      <c r="H3167" t="s">
        <v>17</v>
      </c>
      <c r="I3167" t="s">
        <v>5388</v>
      </c>
    </row>
    <row r="3168" spans="1:9" x14ac:dyDescent="0.3">
      <c r="A3168" t="s">
        <v>5298</v>
      </c>
      <c r="B3168" t="s">
        <v>5332</v>
      </c>
      <c r="C3168" t="s">
        <v>13</v>
      </c>
      <c r="D3168" t="s">
        <v>162</v>
      </c>
      <c r="E3168" t="s">
        <v>5389</v>
      </c>
      <c r="F3168" t="s">
        <v>5217</v>
      </c>
      <c r="H3168" t="s">
        <v>17</v>
      </c>
      <c r="I3168" t="s">
        <v>5390</v>
      </c>
    </row>
    <row r="3169" spans="1:9" x14ac:dyDescent="0.3">
      <c r="A3169" t="s">
        <v>5298</v>
      </c>
      <c r="B3169" t="s">
        <v>5332</v>
      </c>
      <c r="C3169" t="s">
        <v>13</v>
      </c>
      <c r="D3169" t="s">
        <v>167</v>
      </c>
      <c r="E3169" t="s">
        <v>5391</v>
      </c>
      <c r="F3169" t="s">
        <v>5392</v>
      </c>
      <c r="H3169" t="s">
        <v>17</v>
      </c>
      <c r="I3169" t="s">
        <v>5393</v>
      </c>
    </row>
    <row r="3170" spans="1:9" x14ac:dyDescent="0.3">
      <c r="A3170" t="s">
        <v>5298</v>
      </c>
      <c r="B3170" t="s">
        <v>5332</v>
      </c>
      <c r="C3170" t="s">
        <v>13</v>
      </c>
      <c r="D3170" t="s">
        <v>172</v>
      </c>
      <c r="E3170" t="s">
        <v>5394</v>
      </c>
      <c r="F3170" t="s">
        <v>5395</v>
      </c>
      <c r="H3170" t="s">
        <v>17</v>
      </c>
      <c r="I3170" t="s">
        <v>3880</v>
      </c>
    </row>
    <row r="3171" spans="1:9" x14ac:dyDescent="0.3">
      <c r="A3171" t="s">
        <v>5298</v>
      </c>
      <c r="B3171" t="s">
        <v>5332</v>
      </c>
      <c r="C3171" t="s">
        <v>13</v>
      </c>
      <c r="D3171" t="s">
        <v>177</v>
      </c>
      <c r="E3171" t="s">
        <v>5396</v>
      </c>
      <c r="F3171" t="s">
        <v>5397</v>
      </c>
      <c r="H3171" t="s">
        <v>17</v>
      </c>
      <c r="I3171" t="s">
        <v>3880</v>
      </c>
    </row>
    <row r="3172" spans="1:9" x14ac:dyDescent="0.3">
      <c r="A3172" t="s">
        <v>5298</v>
      </c>
      <c r="B3172" t="s">
        <v>5332</v>
      </c>
      <c r="C3172" t="s">
        <v>13</v>
      </c>
      <c r="D3172" t="s">
        <v>182</v>
      </c>
      <c r="E3172" t="s">
        <v>5398</v>
      </c>
      <c r="F3172" t="s">
        <v>5399</v>
      </c>
      <c r="H3172" t="s">
        <v>17</v>
      </c>
      <c r="I3172" t="s">
        <v>5400</v>
      </c>
    </row>
    <row r="3173" spans="1:9" x14ac:dyDescent="0.3">
      <c r="A3173" t="s">
        <v>5298</v>
      </c>
      <c r="B3173" t="s">
        <v>5332</v>
      </c>
      <c r="C3173" t="s">
        <v>13</v>
      </c>
      <c r="D3173" t="s">
        <v>187</v>
      </c>
      <c r="E3173" t="s">
        <v>5401</v>
      </c>
      <c r="F3173" t="s">
        <v>5402</v>
      </c>
      <c r="H3173" t="s">
        <v>17</v>
      </c>
      <c r="I3173" t="s">
        <v>3880</v>
      </c>
    </row>
    <row r="3174" spans="1:9" x14ac:dyDescent="0.3">
      <c r="A3174" t="s">
        <v>5298</v>
      </c>
      <c r="B3174" t="s">
        <v>5332</v>
      </c>
      <c r="C3174" t="s">
        <v>13</v>
      </c>
      <c r="D3174" t="s">
        <v>193</v>
      </c>
      <c r="E3174" t="s">
        <v>5403</v>
      </c>
      <c r="F3174" t="s">
        <v>5404</v>
      </c>
      <c r="H3174" t="s">
        <v>17</v>
      </c>
      <c r="I3174" t="s">
        <v>3880</v>
      </c>
    </row>
    <row r="3175" spans="1:9" x14ac:dyDescent="0.3">
      <c r="A3175" t="s">
        <v>5298</v>
      </c>
      <c r="B3175" t="s">
        <v>5332</v>
      </c>
      <c r="C3175" t="s">
        <v>13</v>
      </c>
      <c r="D3175" t="s">
        <v>198</v>
      </c>
      <c r="E3175" t="s">
        <v>5405</v>
      </c>
      <c r="F3175" t="s">
        <v>5406</v>
      </c>
      <c r="H3175" t="s">
        <v>17</v>
      </c>
      <c r="I3175" t="s">
        <v>5276</v>
      </c>
    </row>
    <row r="3176" spans="1:9" x14ac:dyDescent="0.3">
      <c r="A3176" t="s">
        <v>5298</v>
      </c>
      <c r="B3176" t="s">
        <v>5332</v>
      </c>
      <c r="C3176" t="s">
        <v>13</v>
      </c>
      <c r="D3176" t="s">
        <v>1118</v>
      </c>
      <c r="E3176" t="s">
        <v>5407</v>
      </c>
      <c r="F3176" t="s">
        <v>5408</v>
      </c>
      <c r="H3176" t="s">
        <v>17</v>
      </c>
      <c r="I3176" t="s">
        <v>5171</v>
      </c>
    </row>
    <row r="3177" spans="1:9" x14ac:dyDescent="0.3">
      <c r="A3177" t="s">
        <v>5298</v>
      </c>
      <c r="B3177" t="s">
        <v>5332</v>
      </c>
      <c r="C3177" t="s">
        <v>13</v>
      </c>
      <c r="D3177" t="s">
        <v>1123</v>
      </c>
      <c r="E3177" t="s">
        <v>5409</v>
      </c>
      <c r="F3177" t="s">
        <v>5410</v>
      </c>
      <c r="H3177" t="s">
        <v>17</v>
      </c>
      <c r="I3177" t="s">
        <v>5411</v>
      </c>
    </row>
    <row r="3178" spans="1:9" x14ac:dyDescent="0.3">
      <c r="A3178" t="s">
        <v>5298</v>
      </c>
      <c r="B3178" t="s">
        <v>5332</v>
      </c>
      <c r="C3178" t="s">
        <v>13</v>
      </c>
      <c r="D3178" t="s">
        <v>218</v>
      </c>
      <c r="E3178" t="s">
        <v>5412</v>
      </c>
      <c r="F3178" t="s">
        <v>5413</v>
      </c>
      <c r="H3178" t="s">
        <v>17</v>
      </c>
      <c r="I3178" t="s">
        <v>5414</v>
      </c>
    </row>
    <row r="3179" spans="1:9" x14ac:dyDescent="0.3">
      <c r="A3179" t="s">
        <v>5298</v>
      </c>
      <c r="B3179" t="s">
        <v>5332</v>
      </c>
      <c r="C3179" t="s">
        <v>13</v>
      </c>
      <c r="D3179" t="s">
        <v>2924</v>
      </c>
      <c r="E3179" t="s">
        <v>5415</v>
      </c>
      <c r="F3179" t="s">
        <v>5416</v>
      </c>
      <c r="H3179" t="s">
        <v>17</v>
      </c>
      <c r="I3179" t="s">
        <v>5417</v>
      </c>
    </row>
    <row r="3180" spans="1:9" x14ac:dyDescent="0.3">
      <c r="A3180" t="s">
        <v>5298</v>
      </c>
      <c r="B3180" t="s">
        <v>5332</v>
      </c>
      <c r="C3180" t="s">
        <v>13</v>
      </c>
      <c r="D3180" t="s">
        <v>239</v>
      </c>
      <c r="E3180" t="s">
        <v>5418</v>
      </c>
      <c r="F3180" t="s">
        <v>843</v>
      </c>
      <c r="H3180" t="s">
        <v>17</v>
      </c>
      <c r="I3180" t="s">
        <v>845</v>
      </c>
    </row>
    <row r="3181" spans="1:9" x14ac:dyDescent="0.3">
      <c r="A3181" t="s">
        <v>5298</v>
      </c>
      <c r="B3181" t="s">
        <v>5332</v>
      </c>
      <c r="C3181" t="s">
        <v>13</v>
      </c>
      <c r="D3181" t="s">
        <v>1881</v>
      </c>
      <c r="E3181" t="s">
        <v>5419</v>
      </c>
      <c r="F3181" t="s">
        <v>5420</v>
      </c>
      <c r="H3181" t="s">
        <v>17</v>
      </c>
      <c r="I3181" t="s">
        <v>5421</v>
      </c>
    </row>
    <row r="3182" spans="1:9" x14ac:dyDescent="0.3">
      <c r="A3182" t="s">
        <v>5298</v>
      </c>
      <c r="B3182" t="s">
        <v>5332</v>
      </c>
      <c r="C3182" t="s">
        <v>13</v>
      </c>
      <c r="D3182" t="s">
        <v>1885</v>
      </c>
      <c r="E3182" t="s">
        <v>5422</v>
      </c>
      <c r="F3182" t="s">
        <v>797</v>
      </c>
      <c r="H3182" t="s">
        <v>17</v>
      </c>
      <c r="I3182" t="s">
        <v>4586</v>
      </c>
    </row>
    <row r="3183" spans="1:9" x14ac:dyDescent="0.3">
      <c r="A3183" t="s">
        <v>5298</v>
      </c>
      <c r="B3183" t="s">
        <v>5332</v>
      </c>
      <c r="C3183" t="s">
        <v>13</v>
      </c>
      <c r="D3183" t="s">
        <v>1588</v>
      </c>
      <c r="E3183" t="s">
        <v>5423</v>
      </c>
      <c r="F3183" t="s">
        <v>747</v>
      </c>
      <c r="H3183" t="s">
        <v>17</v>
      </c>
      <c r="I3183" t="s">
        <v>5424</v>
      </c>
    </row>
    <row r="3184" spans="1:9" x14ac:dyDescent="0.3">
      <c r="A3184" t="s">
        <v>5298</v>
      </c>
      <c r="B3184" t="s">
        <v>5332</v>
      </c>
      <c r="C3184" t="s">
        <v>13</v>
      </c>
      <c r="D3184" t="s">
        <v>1892</v>
      </c>
      <c r="E3184" t="s">
        <v>5425</v>
      </c>
      <c r="F3184" t="s">
        <v>5426</v>
      </c>
      <c r="H3184" t="s">
        <v>17</v>
      </c>
      <c r="I3184" t="s">
        <v>5177</v>
      </c>
    </row>
    <row r="3185" spans="1:9" x14ac:dyDescent="0.3">
      <c r="A3185" t="s">
        <v>5298</v>
      </c>
      <c r="B3185" t="s">
        <v>5332</v>
      </c>
      <c r="C3185" t="s">
        <v>13</v>
      </c>
      <c r="D3185" t="s">
        <v>1146</v>
      </c>
      <c r="E3185" t="s">
        <v>5427</v>
      </c>
      <c r="F3185" t="s">
        <v>2918</v>
      </c>
      <c r="H3185" t="s">
        <v>17</v>
      </c>
      <c r="I3185" t="s">
        <v>5178</v>
      </c>
    </row>
    <row r="3186" spans="1:9" x14ac:dyDescent="0.3">
      <c r="A3186" t="s">
        <v>5298</v>
      </c>
      <c r="B3186" t="s">
        <v>5332</v>
      </c>
      <c r="C3186" t="s">
        <v>13</v>
      </c>
      <c r="D3186" t="s">
        <v>1150</v>
      </c>
      <c r="E3186" t="s">
        <v>5428</v>
      </c>
      <c r="F3186" t="s">
        <v>4819</v>
      </c>
      <c r="H3186" t="s">
        <v>17</v>
      </c>
      <c r="I3186" t="s">
        <v>5429</v>
      </c>
    </row>
    <row r="3187" spans="1:9" x14ac:dyDescent="0.3">
      <c r="A3187" t="s">
        <v>5298</v>
      </c>
      <c r="B3187" t="s">
        <v>5332</v>
      </c>
      <c r="C3187" t="s">
        <v>13</v>
      </c>
      <c r="D3187" t="s">
        <v>1154</v>
      </c>
      <c r="E3187" t="s">
        <v>5430</v>
      </c>
      <c r="F3187" t="s">
        <v>3984</v>
      </c>
      <c r="H3187" t="s">
        <v>17</v>
      </c>
      <c r="I3187" t="s">
        <v>5431</v>
      </c>
    </row>
    <row r="3188" spans="1:9" x14ac:dyDescent="0.3">
      <c r="A3188" t="s">
        <v>5298</v>
      </c>
      <c r="B3188" t="s">
        <v>5332</v>
      </c>
      <c r="C3188" t="s">
        <v>13</v>
      </c>
      <c r="D3188" t="s">
        <v>1158</v>
      </c>
      <c r="E3188" t="s">
        <v>5432</v>
      </c>
      <c r="F3188" t="s">
        <v>4453</v>
      </c>
      <c r="H3188" t="s">
        <v>17</v>
      </c>
      <c r="I3188" t="s">
        <v>5433</v>
      </c>
    </row>
    <row r="3189" spans="1:9" x14ac:dyDescent="0.3">
      <c r="A3189" t="s">
        <v>5298</v>
      </c>
      <c r="B3189" t="s">
        <v>5332</v>
      </c>
      <c r="C3189" t="s">
        <v>13</v>
      </c>
      <c r="D3189" t="s">
        <v>1162</v>
      </c>
      <c r="E3189" t="s">
        <v>5434</v>
      </c>
      <c r="F3189" t="s">
        <v>1706</v>
      </c>
      <c r="H3189" t="s">
        <v>17</v>
      </c>
      <c r="I3189" t="s">
        <v>5435</v>
      </c>
    </row>
    <row r="3190" spans="1:9" x14ac:dyDescent="0.3">
      <c r="A3190" t="s">
        <v>5436</v>
      </c>
      <c r="E3190" t="s">
        <v>10</v>
      </c>
      <c r="F3190" t="s">
        <v>5437</v>
      </c>
    </row>
    <row r="3191" spans="1:9" x14ac:dyDescent="0.3">
      <c r="A3191" t="s">
        <v>5436</v>
      </c>
      <c r="C3191" t="s">
        <v>13</v>
      </c>
      <c r="D3191" t="s">
        <v>14</v>
      </c>
      <c r="E3191" t="s">
        <v>1518</v>
      </c>
      <c r="F3191" t="s">
        <v>4688</v>
      </c>
      <c r="H3191" t="s">
        <v>17</v>
      </c>
    </row>
    <row r="3192" spans="1:9" x14ac:dyDescent="0.3">
      <c r="A3192" t="s">
        <v>5436</v>
      </c>
      <c r="C3192" t="s">
        <v>13</v>
      </c>
      <c r="D3192" t="s">
        <v>1743</v>
      </c>
      <c r="E3192" t="s">
        <v>2671</v>
      </c>
      <c r="F3192" t="s">
        <v>5438</v>
      </c>
      <c r="H3192" t="s">
        <v>17</v>
      </c>
      <c r="I3192" t="s">
        <v>5439</v>
      </c>
    </row>
    <row r="3193" spans="1:9" x14ac:dyDescent="0.3">
      <c r="A3193" t="s">
        <v>5436</v>
      </c>
      <c r="C3193" t="s">
        <v>13</v>
      </c>
      <c r="D3193" t="s">
        <v>996</v>
      </c>
      <c r="E3193" t="s">
        <v>2674</v>
      </c>
      <c r="F3193" t="s">
        <v>5440</v>
      </c>
      <c r="H3193" t="s">
        <v>17</v>
      </c>
      <c r="I3193" t="s">
        <v>5439</v>
      </c>
    </row>
    <row r="3194" spans="1:9" x14ac:dyDescent="0.3">
      <c r="A3194" t="s">
        <v>5436</v>
      </c>
      <c r="C3194" t="s">
        <v>13</v>
      </c>
      <c r="D3194" t="s">
        <v>1001</v>
      </c>
      <c r="E3194" t="s">
        <v>2679</v>
      </c>
      <c r="F3194" t="s">
        <v>5441</v>
      </c>
      <c r="H3194" t="s">
        <v>17</v>
      </c>
      <c r="I3194" t="s">
        <v>5439</v>
      </c>
    </row>
    <row r="3195" spans="1:9" x14ac:dyDescent="0.3">
      <c r="A3195" t="s">
        <v>5436</v>
      </c>
      <c r="C3195" t="s">
        <v>13</v>
      </c>
      <c r="D3195" t="s">
        <v>1942</v>
      </c>
      <c r="E3195" t="s">
        <v>23</v>
      </c>
      <c r="F3195" t="s">
        <v>5442</v>
      </c>
      <c r="H3195" t="s">
        <v>17</v>
      </c>
      <c r="I3195" t="s">
        <v>5439</v>
      </c>
    </row>
    <row r="3196" spans="1:9" x14ac:dyDescent="0.3">
      <c r="A3196" t="s">
        <v>5436</v>
      </c>
      <c r="C3196" t="s">
        <v>13</v>
      </c>
      <c r="D3196" t="s">
        <v>22</v>
      </c>
      <c r="E3196" t="s">
        <v>28</v>
      </c>
      <c r="F3196" t="s">
        <v>5443</v>
      </c>
      <c r="H3196" t="s">
        <v>17</v>
      </c>
      <c r="I3196" t="s">
        <v>5444</v>
      </c>
    </row>
    <row r="3197" spans="1:9" x14ac:dyDescent="0.3">
      <c r="A3197" t="s">
        <v>5436</v>
      </c>
      <c r="C3197" t="s">
        <v>13</v>
      </c>
      <c r="D3197" t="s">
        <v>27</v>
      </c>
      <c r="E3197" t="s">
        <v>2687</v>
      </c>
      <c r="F3197" t="s">
        <v>1644</v>
      </c>
      <c r="H3197" t="s">
        <v>17</v>
      </c>
      <c r="I3197" t="s">
        <v>5445</v>
      </c>
    </row>
    <row r="3198" spans="1:9" x14ac:dyDescent="0.3">
      <c r="A3198" t="s">
        <v>5436</v>
      </c>
      <c r="C3198" t="s">
        <v>13</v>
      </c>
      <c r="D3198" t="s">
        <v>1014</v>
      </c>
      <c r="E3198" t="s">
        <v>37</v>
      </c>
      <c r="F3198" t="s">
        <v>5446</v>
      </c>
      <c r="H3198" t="s">
        <v>17</v>
      </c>
      <c r="I3198" t="s">
        <v>5447</v>
      </c>
    </row>
    <row r="3199" spans="1:9" x14ac:dyDescent="0.3">
      <c r="A3199" t="s">
        <v>5436</v>
      </c>
      <c r="C3199" t="s">
        <v>13</v>
      </c>
      <c r="D3199" t="s">
        <v>1017</v>
      </c>
      <c r="E3199" t="s">
        <v>46</v>
      </c>
      <c r="F3199" t="s">
        <v>5448</v>
      </c>
      <c r="H3199" t="s">
        <v>17</v>
      </c>
      <c r="I3199" t="s">
        <v>5447</v>
      </c>
    </row>
    <row r="3200" spans="1:9" x14ac:dyDescent="0.3">
      <c r="A3200" t="s">
        <v>5436</v>
      </c>
      <c r="C3200" t="s">
        <v>13</v>
      </c>
      <c r="D3200" t="s">
        <v>36</v>
      </c>
      <c r="E3200" t="s">
        <v>51</v>
      </c>
      <c r="F3200" t="s">
        <v>5449</v>
      </c>
      <c r="H3200" t="s">
        <v>17</v>
      </c>
      <c r="I3200" t="s">
        <v>5450</v>
      </c>
    </row>
    <row r="3201" spans="1:9" x14ac:dyDescent="0.3">
      <c r="A3201" t="s">
        <v>5436</v>
      </c>
      <c r="C3201" t="s">
        <v>13</v>
      </c>
      <c r="D3201" t="s">
        <v>41</v>
      </c>
      <c r="E3201" t="s">
        <v>54</v>
      </c>
      <c r="F3201" t="s">
        <v>5451</v>
      </c>
      <c r="H3201" t="s">
        <v>17</v>
      </c>
      <c r="I3201" t="s">
        <v>5452</v>
      </c>
    </row>
    <row r="3202" spans="1:9" x14ac:dyDescent="0.3">
      <c r="A3202" t="s">
        <v>5436</v>
      </c>
      <c r="B3202" t="s">
        <v>5453</v>
      </c>
      <c r="C3202" t="s">
        <v>13</v>
      </c>
      <c r="D3202" t="s">
        <v>45</v>
      </c>
      <c r="E3202" t="s">
        <v>67</v>
      </c>
      <c r="F3202" t="s">
        <v>5454</v>
      </c>
      <c r="H3202" t="s">
        <v>17</v>
      </c>
      <c r="I3202" t="s">
        <v>5455</v>
      </c>
    </row>
    <row r="3203" spans="1:9" x14ac:dyDescent="0.3">
      <c r="A3203" t="s">
        <v>5436</v>
      </c>
      <c r="B3203" t="s">
        <v>5453</v>
      </c>
      <c r="C3203" t="s">
        <v>13</v>
      </c>
      <c r="D3203" t="s">
        <v>50</v>
      </c>
      <c r="E3203" t="s">
        <v>72</v>
      </c>
      <c r="F3203" t="s">
        <v>5456</v>
      </c>
      <c r="H3203" t="s">
        <v>17</v>
      </c>
      <c r="I3203" t="s">
        <v>5455</v>
      </c>
    </row>
    <row r="3204" spans="1:9" x14ac:dyDescent="0.3">
      <c r="A3204" t="s">
        <v>5436</v>
      </c>
      <c r="B3204" t="s">
        <v>5453</v>
      </c>
      <c r="C3204" t="s">
        <v>13</v>
      </c>
      <c r="D3204" t="s">
        <v>53</v>
      </c>
      <c r="E3204" t="s">
        <v>77</v>
      </c>
      <c r="F3204" t="s">
        <v>5457</v>
      </c>
      <c r="H3204" t="s">
        <v>17</v>
      </c>
      <c r="I3204" t="s">
        <v>5455</v>
      </c>
    </row>
    <row r="3205" spans="1:9" x14ac:dyDescent="0.3">
      <c r="A3205" t="s">
        <v>5436</v>
      </c>
      <c r="B3205" t="s">
        <v>5453</v>
      </c>
      <c r="C3205" t="s">
        <v>13</v>
      </c>
      <c r="D3205" t="s">
        <v>56</v>
      </c>
      <c r="E3205" t="s">
        <v>81</v>
      </c>
      <c r="F3205" t="s">
        <v>5458</v>
      </c>
      <c r="H3205" t="s">
        <v>17</v>
      </c>
      <c r="I3205" t="s">
        <v>5455</v>
      </c>
    </row>
    <row r="3206" spans="1:9" x14ac:dyDescent="0.3">
      <c r="A3206" t="s">
        <v>5436</v>
      </c>
      <c r="B3206" t="s">
        <v>5453</v>
      </c>
      <c r="C3206" t="s">
        <v>13</v>
      </c>
      <c r="D3206" t="s">
        <v>61</v>
      </c>
      <c r="E3206" t="s">
        <v>86</v>
      </c>
      <c r="F3206" t="s">
        <v>5459</v>
      </c>
      <c r="H3206" t="s">
        <v>17</v>
      </c>
      <c r="I3206" t="s">
        <v>5455</v>
      </c>
    </row>
    <row r="3207" spans="1:9" x14ac:dyDescent="0.3">
      <c r="A3207" t="s">
        <v>5436</v>
      </c>
      <c r="B3207" t="s">
        <v>5453</v>
      </c>
      <c r="C3207" t="s">
        <v>13</v>
      </c>
      <c r="D3207" t="s">
        <v>1039</v>
      </c>
      <c r="E3207" t="s">
        <v>91</v>
      </c>
      <c r="F3207" t="s">
        <v>5460</v>
      </c>
      <c r="H3207" t="s">
        <v>17</v>
      </c>
      <c r="I3207" t="s">
        <v>5455</v>
      </c>
    </row>
    <row r="3208" spans="1:9" x14ac:dyDescent="0.3">
      <c r="A3208" t="s">
        <v>5436</v>
      </c>
      <c r="B3208" t="s">
        <v>5453</v>
      </c>
      <c r="C3208" t="s">
        <v>13</v>
      </c>
      <c r="D3208" t="s">
        <v>1043</v>
      </c>
      <c r="E3208" t="s">
        <v>96</v>
      </c>
      <c r="F3208" t="s">
        <v>5461</v>
      </c>
      <c r="H3208" t="s">
        <v>17</v>
      </c>
      <c r="I3208" t="s">
        <v>5455</v>
      </c>
    </row>
    <row r="3209" spans="1:9" x14ac:dyDescent="0.3">
      <c r="A3209" t="s">
        <v>5436</v>
      </c>
      <c r="B3209" t="s">
        <v>5453</v>
      </c>
      <c r="C3209" t="s">
        <v>13</v>
      </c>
      <c r="D3209" t="s">
        <v>71</v>
      </c>
      <c r="E3209" t="s">
        <v>101</v>
      </c>
      <c r="F3209" t="s">
        <v>5462</v>
      </c>
      <c r="H3209" t="s">
        <v>17</v>
      </c>
      <c r="I3209" t="s">
        <v>5455</v>
      </c>
    </row>
    <row r="3210" spans="1:9" x14ac:dyDescent="0.3">
      <c r="A3210" t="s">
        <v>5436</v>
      </c>
      <c r="B3210" t="s">
        <v>5453</v>
      </c>
      <c r="C3210" t="s">
        <v>13</v>
      </c>
      <c r="D3210" t="s">
        <v>1050</v>
      </c>
      <c r="E3210" t="s">
        <v>107</v>
      </c>
      <c r="F3210" t="s">
        <v>5463</v>
      </c>
      <c r="H3210" t="s">
        <v>17</v>
      </c>
      <c r="I3210" t="s">
        <v>5455</v>
      </c>
    </row>
    <row r="3211" spans="1:9" x14ac:dyDescent="0.3">
      <c r="A3211" t="s">
        <v>5436</v>
      </c>
      <c r="B3211" t="s">
        <v>5453</v>
      </c>
      <c r="C3211" t="s">
        <v>13</v>
      </c>
      <c r="D3211" t="s">
        <v>1055</v>
      </c>
      <c r="E3211" t="s">
        <v>112</v>
      </c>
      <c r="F3211" t="s">
        <v>5464</v>
      </c>
      <c r="H3211" t="s">
        <v>17</v>
      </c>
      <c r="I3211" t="s">
        <v>5455</v>
      </c>
    </row>
    <row r="3212" spans="1:9" x14ac:dyDescent="0.3">
      <c r="A3212" t="s">
        <v>5436</v>
      </c>
      <c r="B3212" t="s">
        <v>5453</v>
      </c>
      <c r="C3212" t="s">
        <v>13</v>
      </c>
      <c r="D3212" t="s">
        <v>80</v>
      </c>
      <c r="E3212" t="s">
        <v>115</v>
      </c>
      <c r="F3212" t="s">
        <v>5465</v>
      </c>
      <c r="H3212" t="s">
        <v>17</v>
      </c>
      <c r="I3212" t="s">
        <v>5455</v>
      </c>
    </row>
    <row r="3213" spans="1:9" x14ac:dyDescent="0.3">
      <c r="A3213" t="s">
        <v>5436</v>
      </c>
      <c r="B3213" t="s">
        <v>5453</v>
      </c>
      <c r="C3213" t="s">
        <v>13</v>
      </c>
      <c r="D3213" t="s">
        <v>85</v>
      </c>
      <c r="E3213" t="s">
        <v>118</v>
      </c>
      <c r="F3213" t="s">
        <v>5466</v>
      </c>
      <c r="H3213" t="s">
        <v>17</v>
      </c>
      <c r="I3213" t="s">
        <v>5455</v>
      </c>
    </row>
    <row r="3214" spans="1:9" x14ac:dyDescent="0.3">
      <c r="A3214" t="s">
        <v>5436</v>
      </c>
      <c r="B3214" t="s">
        <v>5453</v>
      </c>
      <c r="C3214" t="s">
        <v>13</v>
      </c>
      <c r="D3214" t="s">
        <v>90</v>
      </c>
      <c r="E3214" t="s">
        <v>122</v>
      </c>
      <c r="F3214" t="s">
        <v>5467</v>
      </c>
      <c r="H3214" t="s">
        <v>17</v>
      </c>
      <c r="I3214" t="s">
        <v>5455</v>
      </c>
    </row>
    <row r="3215" spans="1:9" x14ac:dyDescent="0.3">
      <c r="A3215" t="s">
        <v>5436</v>
      </c>
      <c r="B3215" t="s">
        <v>5453</v>
      </c>
      <c r="C3215" t="s">
        <v>13</v>
      </c>
      <c r="D3215" t="s">
        <v>95</v>
      </c>
      <c r="E3215" t="s">
        <v>130</v>
      </c>
      <c r="F3215" t="s">
        <v>5468</v>
      </c>
      <c r="H3215" t="s">
        <v>17</v>
      </c>
      <c r="I3215" t="s">
        <v>5469</v>
      </c>
    </row>
    <row r="3216" spans="1:9" x14ac:dyDescent="0.3">
      <c r="A3216" t="s">
        <v>5436</v>
      </c>
      <c r="B3216" t="s">
        <v>5453</v>
      </c>
      <c r="C3216" t="s">
        <v>13</v>
      </c>
      <c r="D3216" t="s">
        <v>100</v>
      </c>
      <c r="E3216" t="s">
        <v>133</v>
      </c>
      <c r="F3216" t="s">
        <v>5470</v>
      </c>
      <c r="H3216" t="s">
        <v>17</v>
      </c>
      <c r="I3216" t="s">
        <v>5471</v>
      </c>
    </row>
    <row r="3217" spans="1:9" x14ac:dyDescent="0.3">
      <c r="A3217" t="s">
        <v>5436</v>
      </c>
      <c r="B3217" t="s">
        <v>5453</v>
      </c>
      <c r="C3217" t="s">
        <v>13</v>
      </c>
      <c r="D3217" t="s">
        <v>106</v>
      </c>
      <c r="E3217" t="s">
        <v>139</v>
      </c>
      <c r="F3217" t="s">
        <v>5472</v>
      </c>
      <c r="H3217" t="s">
        <v>17</v>
      </c>
      <c r="I3217" t="s">
        <v>5473</v>
      </c>
    </row>
    <row r="3218" spans="1:9" x14ac:dyDescent="0.3">
      <c r="A3218" t="s">
        <v>5436</v>
      </c>
      <c r="B3218" t="s">
        <v>5453</v>
      </c>
      <c r="C3218" t="s">
        <v>13</v>
      </c>
      <c r="D3218" t="s">
        <v>111</v>
      </c>
      <c r="E3218" t="s">
        <v>142</v>
      </c>
      <c r="F3218" t="s">
        <v>5474</v>
      </c>
      <c r="H3218" t="s">
        <v>17</v>
      </c>
      <c r="I3218" t="s">
        <v>5473</v>
      </c>
    </row>
    <row r="3219" spans="1:9" x14ac:dyDescent="0.3">
      <c r="A3219" t="s">
        <v>5436</v>
      </c>
      <c r="B3219" t="s">
        <v>5453</v>
      </c>
      <c r="C3219" t="s">
        <v>13</v>
      </c>
      <c r="D3219" t="s">
        <v>114</v>
      </c>
      <c r="E3219" t="s">
        <v>145</v>
      </c>
      <c r="F3219" t="s">
        <v>5475</v>
      </c>
      <c r="H3219" t="s">
        <v>17</v>
      </c>
      <c r="I3219" t="s">
        <v>5473</v>
      </c>
    </row>
    <row r="3220" spans="1:9" x14ac:dyDescent="0.3">
      <c r="A3220" t="s">
        <v>5436</v>
      </c>
      <c r="B3220" t="s">
        <v>5453</v>
      </c>
      <c r="C3220" t="s">
        <v>13</v>
      </c>
      <c r="D3220" t="s">
        <v>117</v>
      </c>
      <c r="E3220" t="s">
        <v>153</v>
      </c>
      <c r="F3220" t="s">
        <v>5476</v>
      </c>
      <c r="H3220" t="s">
        <v>17</v>
      </c>
      <c r="I3220" t="s">
        <v>5477</v>
      </c>
    </row>
    <row r="3221" spans="1:9" x14ac:dyDescent="0.3">
      <c r="A3221" t="s">
        <v>5436</v>
      </c>
      <c r="B3221" t="s">
        <v>5453</v>
      </c>
      <c r="C3221" t="s">
        <v>13</v>
      </c>
      <c r="D3221" t="s">
        <v>121</v>
      </c>
      <c r="E3221" t="s">
        <v>158</v>
      </c>
      <c r="F3221" t="s">
        <v>5478</v>
      </c>
      <c r="H3221" t="s">
        <v>17</v>
      </c>
      <c r="I3221" t="s">
        <v>5479</v>
      </c>
    </row>
    <row r="3222" spans="1:9" x14ac:dyDescent="0.3">
      <c r="A3222" t="s">
        <v>5436</v>
      </c>
      <c r="B3222" t="s">
        <v>5453</v>
      </c>
      <c r="C3222" t="s">
        <v>13</v>
      </c>
      <c r="D3222" t="s">
        <v>126</v>
      </c>
      <c r="E3222" t="s">
        <v>163</v>
      </c>
      <c r="F3222" t="s">
        <v>5480</v>
      </c>
      <c r="H3222" t="s">
        <v>17</v>
      </c>
      <c r="I3222" t="s">
        <v>5473</v>
      </c>
    </row>
    <row r="3223" spans="1:9" x14ac:dyDescent="0.3">
      <c r="A3223" t="s">
        <v>5436</v>
      </c>
      <c r="B3223" t="s">
        <v>5453</v>
      </c>
      <c r="C3223" t="s">
        <v>13</v>
      </c>
      <c r="D3223" t="s">
        <v>129</v>
      </c>
      <c r="E3223" t="s">
        <v>168</v>
      </c>
      <c r="F3223" t="s">
        <v>5481</v>
      </c>
      <c r="H3223" t="s">
        <v>17</v>
      </c>
      <c r="I3223" t="s">
        <v>5473</v>
      </c>
    </row>
    <row r="3224" spans="1:9" x14ac:dyDescent="0.3">
      <c r="A3224" t="s">
        <v>5436</v>
      </c>
      <c r="B3224" t="s">
        <v>5453</v>
      </c>
      <c r="C3224" t="s">
        <v>13</v>
      </c>
      <c r="D3224" t="s">
        <v>132</v>
      </c>
      <c r="E3224" t="s">
        <v>173</v>
      </c>
      <c r="F3224" t="s">
        <v>5482</v>
      </c>
      <c r="H3224" t="s">
        <v>17</v>
      </c>
      <c r="I3224" t="s">
        <v>5473</v>
      </c>
    </row>
    <row r="3225" spans="1:9" x14ac:dyDescent="0.3">
      <c r="A3225" t="s">
        <v>5436</v>
      </c>
      <c r="B3225" t="s">
        <v>5453</v>
      </c>
      <c r="C3225" t="s">
        <v>13</v>
      </c>
      <c r="D3225" t="s">
        <v>135</v>
      </c>
      <c r="E3225" t="s">
        <v>183</v>
      </c>
      <c r="F3225" t="s">
        <v>5476</v>
      </c>
      <c r="H3225" t="s">
        <v>17</v>
      </c>
      <c r="I3225" t="s">
        <v>5477</v>
      </c>
    </row>
    <row r="3226" spans="1:9" x14ac:dyDescent="0.3">
      <c r="A3226" t="s">
        <v>5436</v>
      </c>
      <c r="B3226" t="s">
        <v>5453</v>
      </c>
      <c r="C3226" t="s">
        <v>13</v>
      </c>
      <c r="D3226" t="s">
        <v>138</v>
      </c>
      <c r="E3226" t="s">
        <v>188</v>
      </c>
      <c r="F3226" t="s">
        <v>5478</v>
      </c>
      <c r="H3226" t="s">
        <v>17</v>
      </c>
      <c r="I3226" t="s">
        <v>5479</v>
      </c>
    </row>
    <row r="3227" spans="1:9" x14ac:dyDescent="0.3">
      <c r="A3227" t="s">
        <v>5436</v>
      </c>
      <c r="B3227" t="s">
        <v>5453</v>
      </c>
      <c r="C3227" t="s">
        <v>13</v>
      </c>
      <c r="D3227" t="s">
        <v>141</v>
      </c>
      <c r="E3227" t="s">
        <v>199</v>
      </c>
      <c r="F3227" t="s">
        <v>5483</v>
      </c>
      <c r="H3227" t="s">
        <v>17</v>
      </c>
      <c r="I3227" t="s">
        <v>5473</v>
      </c>
    </row>
    <row r="3228" spans="1:9" x14ac:dyDescent="0.3">
      <c r="A3228" t="s">
        <v>5436</v>
      </c>
      <c r="B3228" t="s">
        <v>5453</v>
      </c>
      <c r="C3228" t="s">
        <v>13</v>
      </c>
      <c r="D3228" t="s">
        <v>144</v>
      </c>
      <c r="E3228" t="s">
        <v>203</v>
      </c>
      <c r="F3228" t="s">
        <v>5484</v>
      </c>
      <c r="H3228" t="s">
        <v>17</v>
      </c>
      <c r="I3228" t="s">
        <v>5473</v>
      </c>
    </row>
    <row r="3229" spans="1:9" x14ac:dyDescent="0.3">
      <c r="A3229" t="s">
        <v>5436</v>
      </c>
      <c r="B3229" t="s">
        <v>5453</v>
      </c>
      <c r="C3229" t="s">
        <v>13</v>
      </c>
      <c r="D3229" t="s">
        <v>147</v>
      </c>
      <c r="E3229" t="s">
        <v>207</v>
      </c>
      <c r="F3229" t="s">
        <v>5485</v>
      </c>
      <c r="H3229" t="s">
        <v>17</v>
      </c>
      <c r="I3229" t="s">
        <v>5473</v>
      </c>
    </row>
    <row r="3230" spans="1:9" x14ac:dyDescent="0.3">
      <c r="A3230" t="s">
        <v>5436</v>
      </c>
      <c r="B3230" t="s">
        <v>5453</v>
      </c>
      <c r="C3230" t="s">
        <v>13</v>
      </c>
      <c r="D3230" t="s">
        <v>152</v>
      </c>
      <c r="E3230" t="s">
        <v>215</v>
      </c>
      <c r="F3230" t="s">
        <v>5476</v>
      </c>
      <c r="H3230" t="s">
        <v>17</v>
      </c>
      <c r="I3230" t="s">
        <v>5477</v>
      </c>
    </row>
    <row r="3231" spans="1:9" x14ac:dyDescent="0.3">
      <c r="A3231" t="s">
        <v>5436</v>
      </c>
      <c r="B3231" t="s">
        <v>5453</v>
      </c>
      <c r="C3231" t="s">
        <v>13</v>
      </c>
      <c r="D3231" t="s">
        <v>157</v>
      </c>
      <c r="E3231" t="s">
        <v>1584</v>
      </c>
      <c r="F3231" t="s">
        <v>5478</v>
      </c>
      <c r="H3231" t="s">
        <v>17</v>
      </c>
      <c r="I3231" t="s">
        <v>5479</v>
      </c>
    </row>
    <row r="3232" spans="1:9" x14ac:dyDescent="0.3">
      <c r="A3232" t="s">
        <v>5436</v>
      </c>
      <c r="B3232" t="s">
        <v>5453</v>
      </c>
      <c r="C3232" t="s">
        <v>13</v>
      </c>
      <c r="D3232" t="s">
        <v>162</v>
      </c>
      <c r="E3232" t="s">
        <v>224</v>
      </c>
      <c r="F3232" t="s">
        <v>5486</v>
      </c>
      <c r="H3232" t="s">
        <v>17</v>
      </c>
      <c r="I3232" t="s">
        <v>5473</v>
      </c>
    </row>
    <row r="3233" spans="1:9" x14ac:dyDescent="0.3">
      <c r="A3233" t="s">
        <v>5436</v>
      </c>
      <c r="B3233" t="s">
        <v>5453</v>
      </c>
      <c r="C3233" t="s">
        <v>13</v>
      </c>
      <c r="D3233" t="s">
        <v>167</v>
      </c>
      <c r="E3233" t="s">
        <v>229</v>
      </c>
      <c r="F3233" t="s">
        <v>5487</v>
      </c>
      <c r="H3233" t="s">
        <v>17</v>
      </c>
      <c r="I3233" t="s">
        <v>5473</v>
      </c>
    </row>
    <row r="3234" spans="1:9" x14ac:dyDescent="0.3">
      <c r="A3234" t="s">
        <v>5436</v>
      </c>
      <c r="B3234" t="s">
        <v>5453</v>
      </c>
      <c r="C3234" t="s">
        <v>13</v>
      </c>
      <c r="D3234" t="s">
        <v>172</v>
      </c>
      <c r="E3234" t="s">
        <v>234</v>
      </c>
      <c r="F3234" t="s">
        <v>5488</v>
      </c>
      <c r="H3234" t="s">
        <v>17</v>
      </c>
      <c r="I3234" t="s">
        <v>5473</v>
      </c>
    </row>
    <row r="3235" spans="1:9" x14ac:dyDescent="0.3">
      <c r="A3235" t="s">
        <v>5436</v>
      </c>
      <c r="B3235" t="s">
        <v>5453</v>
      </c>
      <c r="C3235" t="s">
        <v>13</v>
      </c>
      <c r="D3235" t="s">
        <v>177</v>
      </c>
      <c r="E3235" t="s">
        <v>240</v>
      </c>
      <c r="F3235" t="s">
        <v>5476</v>
      </c>
      <c r="H3235" t="s">
        <v>17</v>
      </c>
      <c r="I3235" t="s">
        <v>5477</v>
      </c>
    </row>
    <row r="3236" spans="1:9" x14ac:dyDescent="0.3">
      <c r="A3236" t="s">
        <v>5436</v>
      </c>
      <c r="B3236" t="s">
        <v>5453</v>
      </c>
      <c r="C3236" t="s">
        <v>13</v>
      </c>
      <c r="D3236" t="s">
        <v>182</v>
      </c>
      <c r="E3236" t="s">
        <v>246</v>
      </c>
      <c r="F3236" t="s">
        <v>5478</v>
      </c>
      <c r="H3236" t="s">
        <v>17</v>
      </c>
      <c r="I3236" t="s">
        <v>5489</v>
      </c>
    </row>
    <row r="3237" spans="1:9" x14ac:dyDescent="0.3">
      <c r="A3237" t="s">
        <v>5436</v>
      </c>
      <c r="B3237" t="s">
        <v>5453</v>
      </c>
      <c r="C3237" t="s">
        <v>13</v>
      </c>
      <c r="D3237" t="s">
        <v>187</v>
      </c>
      <c r="E3237" t="s">
        <v>254</v>
      </c>
      <c r="F3237" t="s">
        <v>5490</v>
      </c>
      <c r="H3237" t="s">
        <v>17</v>
      </c>
      <c r="I3237" t="s">
        <v>5491</v>
      </c>
    </row>
    <row r="3238" spans="1:9" x14ac:dyDescent="0.3">
      <c r="A3238" t="s">
        <v>5436</v>
      </c>
      <c r="B3238" t="s">
        <v>5453</v>
      </c>
      <c r="C3238" t="s">
        <v>13</v>
      </c>
      <c r="D3238" t="s">
        <v>193</v>
      </c>
      <c r="E3238" t="s">
        <v>257</v>
      </c>
      <c r="F3238" t="s">
        <v>5492</v>
      </c>
      <c r="H3238" t="s">
        <v>17</v>
      </c>
      <c r="I3238" t="s">
        <v>5493</v>
      </c>
    </row>
    <row r="3239" spans="1:9" x14ac:dyDescent="0.3">
      <c r="A3239" t="s">
        <v>5436</v>
      </c>
      <c r="B3239" t="s">
        <v>5453</v>
      </c>
      <c r="C3239" t="s">
        <v>13</v>
      </c>
      <c r="D3239" t="s">
        <v>198</v>
      </c>
      <c r="E3239" t="s">
        <v>263</v>
      </c>
      <c r="F3239" t="s">
        <v>5494</v>
      </c>
      <c r="H3239" t="s">
        <v>17</v>
      </c>
      <c r="I3239" t="s">
        <v>5491</v>
      </c>
    </row>
    <row r="3240" spans="1:9" x14ac:dyDescent="0.3">
      <c r="A3240" t="s">
        <v>5436</v>
      </c>
      <c r="B3240" t="s">
        <v>5453</v>
      </c>
      <c r="C3240" t="s">
        <v>13</v>
      </c>
      <c r="D3240" t="s">
        <v>202</v>
      </c>
      <c r="E3240" t="s">
        <v>266</v>
      </c>
      <c r="F3240" t="s">
        <v>5495</v>
      </c>
      <c r="H3240" t="s">
        <v>17</v>
      </c>
      <c r="I3240" t="s">
        <v>5493</v>
      </c>
    </row>
    <row r="3241" spans="1:9" x14ac:dyDescent="0.3">
      <c r="A3241" t="s">
        <v>5436</v>
      </c>
      <c r="B3241" t="s">
        <v>5453</v>
      </c>
      <c r="C3241" t="s">
        <v>13</v>
      </c>
      <c r="D3241" t="s">
        <v>206</v>
      </c>
      <c r="E3241" t="s">
        <v>1610</v>
      </c>
      <c r="F3241" t="s">
        <v>5496</v>
      </c>
      <c r="H3241" t="s">
        <v>17</v>
      </c>
      <c r="I3241" t="s">
        <v>5491</v>
      </c>
    </row>
    <row r="3242" spans="1:9" x14ac:dyDescent="0.3">
      <c r="A3242" t="s">
        <v>5436</v>
      </c>
      <c r="B3242" t="s">
        <v>5453</v>
      </c>
      <c r="C3242" t="s">
        <v>13</v>
      </c>
      <c r="D3242" t="s">
        <v>210</v>
      </c>
      <c r="E3242" t="s">
        <v>274</v>
      </c>
      <c r="F3242" t="s">
        <v>5497</v>
      </c>
      <c r="H3242" t="s">
        <v>17</v>
      </c>
      <c r="I3242" t="s">
        <v>5493</v>
      </c>
    </row>
    <row r="3243" spans="1:9" x14ac:dyDescent="0.3">
      <c r="A3243" t="s">
        <v>5436</v>
      </c>
      <c r="B3243" t="s">
        <v>5453</v>
      </c>
      <c r="C3243" t="s">
        <v>13</v>
      </c>
      <c r="D3243" t="s">
        <v>214</v>
      </c>
      <c r="E3243" t="s">
        <v>280</v>
      </c>
      <c r="F3243" t="s">
        <v>5498</v>
      </c>
      <c r="H3243" t="s">
        <v>17</v>
      </c>
      <c r="I3243" t="s">
        <v>5491</v>
      </c>
    </row>
    <row r="3244" spans="1:9" x14ac:dyDescent="0.3">
      <c r="A3244" t="s">
        <v>5436</v>
      </c>
      <c r="B3244" t="s">
        <v>5453</v>
      </c>
      <c r="C3244" t="s">
        <v>13</v>
      </c>
      <c r="D3244" t="s">
        <v>218</v>
      </c>
      <c r="E3244" t="s">
        <v>283</v>
      </c>
      <c r="F3244" t="s">
        <v>5499</v>
      </c>
      <c r="H3244" t="s">
        <v>17</v>
      </c>
      <c r="I3244" t="s">
        <v>5493</v>
      </c>
    </row>
    <row r="3245" spans="1:9" x14ac:dyDescent="0.3">
      <c r="A3245" t="s">
        <v>5436</v>
      </c>
      <c r="B3245" t="s">
        <v>5453</v>
      </c>
      <c r="C3245" t="s">
        <v>13</v>
      </c>
      <c r="D3245" t="s">
        <v>223</v>
      </c>
      <c r="E3245" t="s">
        <v>289</v>
      </c>
      <c r="F3245" t="s">
        <v>5500</v>
      </c>
      <c r="H3245" t="s">
        <v>17</v>
      </c>
      <c r="I3245" t="s">
        <v>5501</v>
      </c>
    </row>
    <row r="3246" spans="1:9" x14ac:dyDescent="0.3">
      <c r="A3246" t="s">
        <v>5436</v>
      </c>
      <c r="B3246" t="s">
        <v>5502</v>
      </c>
      <c r="C3246" t="s">
        <v>13</v>
      </c>
      <c r="D3246" t="s">
        <v>228</v>
      </c>
      <c r="E3246" t="s">
        <v>298</v>
      </c>
      <c r="F3246" t="s">
        <v>5503</v>
      </c>
      <c r="H3246" t="s">
        <v>17</v>
      </c>
      <c r="I3246" t="s">
        <v>5504</v>
      </c>
    </row>
    <row r="3247" spans="1:9" x14ac:dyDescent="0.3">
      <c r="A3247" t="s">
        <v>5436</v>
      </c>
      <c r="B3247" t="s">
        <v>5502</v>
      </c>
      <c r="C3247" t="s">
        <v>13</v>
      </c>
      <c r="D3247" t="s">
        <v>233</v>
      </c>
      <c r="E3247" t="s">
        <v>301</v>
      </c>
      <c r="F3247" t="s">
        <v>5505</v>
      </c>
      <c r="H3247" t="s">
        <v>17</v>
      </c>
      <c r="I3247" t="s">
        <v>5504</v>
      </c>
    </row>
    <row r="3248" spans="1:9" x14ac:dyDescent="0.3">
      <c r="A3248" t="s">
        <v>5436</v>
      </c>
      <c r="B3248" t="s">
        <v>5502</v>
      </c>
      <c r="C3248" t="s">
        <v>13</v>
      </c>
      <c r="D3248" t="s">
        <v>236</v>
      </c>
      <c r="E3248" t="s">
        <v>304</v>
      </c>
      <c r="F3248" t="s">
        <v>5506</v>
      </c>
      <c r="H3248" t="s">
        <v>17</v>
      </c>
      <c r="I3248" t="s">
        <v>5504</v>
      </c>
    </row>
    <row r="3249" spans="1:9" x14ac:dyDescent="0.3">
      <c r="A3249" t="s">
        <v>5436</v>
      </c>
      <c r="B3249" t="s">
        <v>5502</v>
      </c>
      <c r="C3249" t="s">
        <v>13</v>
      </c>
      <c r="D3249" t="s">
        <v>239</v>
      </c>
      <c r="E3249" t="s">
        <v>309</v>
      </c>
      <c r="F3249" t="s">
        <v>5507</v>
      </c>
      <c r="H3249" t="s">
        <v>17</v>
      </c>
      <c r="I3249" t="s">
        <v>5508</v>
      </c>
    </row>
    <row r="3250" spans="1:9" x14ac:dyDescent="0.3">
      <c r="A3250" t="s">
        <v>5436</v>
      </c>
      <c r="B3250" t="s">
        <v>5502</v>
      </c>
      <c r="C3250" t="s">
        <v>13</v>
      </c>
      <c r="D3250" t="s">
        <v>1881</v>
      </c>
      <c r="E3250" t="s">
        <v>317</v>
      </c>
      <c r="F3250" t="s">
        <v>5509</v>
      </c>
      <c r="H3250" t="s">
        <v>17</v>
      </c>
      <c r="I3250" t="s">
        <v>5508</v>
      </c>
    </row>
    <row r="3251" spans="1:9" x14ac:dyDescent="0.3">
      <c r="A3251" t="s">
        <v>5436</v>
      </c>
      <c r="B3251" t="s">
        <v>5502</v>
      </c>
      <c r="C3251" t="s">
        <v>13</v>
      </c>
      <c r="D3251" t="s">
        <v>1885</v>
      </c>
      <c r="E3251" t="s">
        <v>324</v>
      </c>
      <c r="F3251" t="s">
        <v>5510</v>
      </c>
      <c r="H3251" t="s">
        <v>17</v>
      </c>
      <c r="I3251" t="s">
        <v>5511</v>
      </c>
    </row>
    <row r="3252" spans="1:9" x14ac:dyDescent="0.3">
      <c r="A3252" t="s">
        <v>5436</v>
      </c>
      <c r="B3252" t="s">
        <v>5502</v>
      </c>
      <c r="C3252" t="s">
        <v>13</v>
      </c>
      <c r="D3252" t="s">
        <v>1588</v>
      </c>
      <c r="E3252" t="s">
        <v>328</v>
      </c>
      <c r="F3252" t="s">
        <v>5512</v>
      </c>
      <c r="H3252" t="s">
        <v>17</v>
      </c>
      <c r="I3252" t="s">
        <v>5513</v>
      </c>
    </row>
    <row r="3253" spans="1:9" x14ac:dyDescent="0.3">
      <c r="A3253" t="s">
        <v>5436</v>
      </c>
      <c r="B3253" t="s">
        <v>5502</v>
      </c>
      <c r="C3253" t="s">
        <v>13</v>
      </c>
      <c r="D3253" t="s">
        <v>1892</v>
      </c>
      <c r="E3253" t="s">
        <v>336</v>
      </c>
      <c r="F3253" t="s">
        <v>5514</v>
      </c>
      <c r="H3253" t="s">
        <v>17</v>
      </c>
      <c r="I3253" t="s">
        <v>5511</v>
      </c>
    </row>
    <row r="3254" spans="1:9" x14ac:dyDescent="0.3">
      <c r="A3254" t="s">
        <v>5436</v>
      </c>
      <c r="B3254" t="s">
        <v>5502</v>
      </c>
      <c r="C3254" t="s">
        <v>13</v>
      </c>
      <c r="D3254" t="s">
        <v>1146</v>
      </c>
      <c r="E3254" t="s">
        <v>339</v>
      </c>
      <c r="F3254" t="s">
        <v>5515</v>
      </c>
      <c r="H3254" t="s">
        <v>17</v>
      </c>
      <c r="I3254" t="s">
        <v>5513</v>
      </c>
    </row>
    <row r="3255" spans="1:9" x14ac:dyDescent="0.3">
      <c r="A3255" t="s">
        <v>5436</v>
      </c>
      <c r="B3255" t="s">
        <v>5502</v>
      </c>
      <c r="C3255" t="s">
        <v>13</v>
      </c>
      <c r="D3255" t="s">
        <v>1150</v>
      </c>
      <c r="E3255" t="s">
        <v>342</v>
      </c>
      <c r="F3255" t="s">
        <v>5516</v>
      </c>
      <c r="H3255" t="s">
        <v>17</v>
      </c>
      <c r="I3255" t="s">
        <v>5517</v>
      </c>
    </row>
    <row r="3256" spans="1:9" x14ac:dyDescent="0.3">
      <c r="A3256" t="s">
        <v>5436</v>
      </c>
      <c r="B3256" t="s">
        <v>5502</v>
      </c>
      <c r="C3256" t="s">
        <v>13</v>
      </c>
      <c r="D3256" t="s">
        <v>1154</v>
      </c>
      <c r="E3256" t="s">
        <v>345</v>
      </c>
      <c r="F3256" t="s">
        <v>5518</v>
      </c>
      <c r="H3256" t="s">
        <v>17</v>
      </c>
      <c r="I3256" t="s">
        <v>5517</v>
      </c>
    </row>
    <row r="3257" spans="1:9" x14ac:dyDescent="0.3">
      <c r="A3257" t="s">
        <v>5436</v>
      </c>
      <c r="B3257" t="s">
        <v>5502</v>
      </c>
      <c r="C3257" t="s">
        <v>13</v>
      </c>
      <c r="D3257" t="s">
        <v>1158</v>
      </c>
      <c r="E3257" t="s">
        <v>354</v>
      </c>
      <c r="F3257" t="s">
        <v>5519</v>
      </c>
      <c r="H3257" t="s">
        <v>17</v>
      </c>
      <c r="I3257" t="s">
        <v>5517</v>
      </c>
    </row>
    <row r="3258" spans="1:9" x14ac:dyDescent="0.3">
      <c r="A3258" t="s">
        <v>5436</v>
      </c>
      <c r="B3258" t="s">
        <v>5502</v>
      </c>
      <c r="C3258" t="s">
        <v>13</v>
      </c>
      <c r="D3258" t="s">
        <v>1189</v>
      </c>
      <c r="E3258" t="s">
        <v>362</v>
      </c>
      <c r="F3258" t="s">
        <v>5520</v>
      </c>
      <c r="H3258" t="s">
        <v>17</v>
      </c>
    </row>
    <row r="3259" spans="1:9" x14ac:dyDescent="0.3">
      <c r="A3259" t="s">
        <v>5436</v>
      </c>
      <c r="B3259" t="s">
        <v>5502</v>
      </c>
      <c r="C3259" t="s">
        <v>13</v>
      </c>
      <c r="D3259" t="s">
        <v>273</v>
      </c>
      <c r="E3259" t="s">
        <v>365</v>
      </c>
      <c r="F3259" t="s">
        <v>5521</v>
      </c>
      <c r="H3259" t="s">
        <v>17</v>
      </c>
      <c r="I3259" t="s">
        <v>5522</v>
      </c>
    </row>
    <row r="3260" spans="1:9" x14ac:dyDescent="0.3">
      <c r="A3260" t="s">
        <v>5436</v>
      </c>
      <c r="B3260" t="s">
        <v>5502</v>
      </c>
      <c r="C3260" t="s">
        <v>1936</v>
      </c>
      <c r="D3260" t="s">
        <v>1743</v>
      </c>
      <c r="E3260" t="s">
        <v>3361</v>
      </c>
      <c r="F3260" t="s">
        <v>5523</v>
      </c>
      <c r="H3260" t="s">
        <v>17</v>
      </c>
      <c r="I3260" t="s">
        <v>5524</v>
      </c>
    </row>
    <row r="3261" spans="1:9" x14ac:dyDescent="0.3">
      <c r="A3261" t="s">
        <v>5436</v>
      </c>
      <c r="B3261" t="s">
        <v>5502</v>
      </c>
      <c r="C3261" t="s">
        <v>1936</v>
      </c>
      <c r="D3261" t="s">
        <v>996</v>
      </c>
      <c r="E3261" t="s">
        <v>4226</v>
      </c>
      <c r="F3261" t="s">
        <v>5525</v>
      </c>
      <c r="H3261" t="s">
        <v>17</v>
      </c>
      <c r="I3261" t="s">
        <v>5526</v>
      </c>
    </row>
    <row r="3262" spans="1:9" x14ac:dyDescent="0.3">
      <c r="A3262" t="s">
        <v>5436</v>
      </c>
      <c r="B3262" t="s">
        <v>5502</v>
      </c>
      <c r="C3262" t="s">
        <v>1936</v>
      </c>
      <c r="D3262" t="s">
        <v>1001</v>
      </c>
      <c r="E3262" t="s">
        <v>377</v>
      </c>
      <c r="F3262" t="s">
        <v>5527</v>
      </c>
      <c r="H3262" t="s">
        <v>17</v>
      </c>
      <c r="I3262" t="s">
        <v>5528</v>
      </c>
    </row>
    <row r="3263" spans="1:9" x14ac:dyDescent="0.3">
      <c r="A3263" t="s">
        <v>5436</v>
      </c>
      <c r="B3263" t="s">
        <v>5502</v>
      </c>
      <c r="C3263" t="s">
        <v>1936</v>
      </c>
      <c r="D3263" t="s">
        <v>1942</v>
      </c>
      <c r="E3263" t="s">
        <v>383</v>
      </c>
      <c r="F3263" t="s">
        <v>5529</v>
      </c>
      <c r="H3263" t="s">
        <v>17</v>
      </c>
      <c r="I3263" t="s">
        <v>5530</v>
      </c>
    </row>
    <row r="3264" spans="1:9" x14ac:dyDescent="0.3">
      <c r="A3264" t="s">
        <v>5436</v>
      </c>
      <c r="B3264" t="s">
        <v>5502</v>
      </c>
      <c r="C3264" t="s">
        <v>1936</v>
      </c>
      <c r="D3264" t="s">
        <v>22</v>
      </c>
      <c r="E3264" t="s">
        <v>1640</v>
      </c>
      <c r="F3264" t="s">
        <v>5531</v>
      </c>
      <c r="H3264" t="s">
        <v>17</v>
      </c>
      <c r="I3264" t="s">
        <v>5532</v>
      </c>
    </row>
    <row r="3265" spans="1:9" x14ac:dyDescent="0.3">
      <c r="A3265" t="s">
        <v>5436</v>
      </c>
      <c r="B3265" t="s">
        <v>5502</v>
      </c>
      <c r="C3265" t="s">
        <v>1936</v>
      </c>
      <c r="D3265" t="s">
        <v>27</v>
      </c>
      <c r="E3265" t="s">
        <v>1643</v>
      </c>
      <c r="F3265" t="s">
        <v>5533</v>
      </c>
      <c r="H3265" t="s">
        <v>17</v>
      </c>
      <c r="I3265" t="s">
        <v>5526</v>
      </c>
    </row>
    <row r="3266" spans="1:9" x14ac:dyDescent="0.3">
      <c r="A3266" t="s">
        <v>5436</v>
      </c>
      <c r="B3266" t="s">
        <v>5502</v>
      </c>
      <c r="C3266" t="s">
        <v>1936</v>
      </c>
      <c r="D3266" t="s">
        <v>1014</v>
      </c>
      <c r="E3266" t="s">
        <v>1647</v>
      </c>
      <c r="F3266" t="s">
        <v>5534</v>
      </c>
      <c r="H3266" t="s">
        <v>17</v>
      </c>
      <c r="I3266" t="s">
        <v>5535</v>
      </c>
    </row>
    <row r="3267" spans="1:9" x14ac:dyDescent="0.3">
      <c r="A3267" t="s">
        <v>5436</v>
      </c>
      <c r="B3267" t="s">
        <v>5502</v>
      </c>
      <c r="C3267" t="s">
        <v>1936</v>
      </c>
      <c r="D3267" t="s">
        <v>1017</v>
      </c>
      <c r="E3267" t="s">
        <v>392</v>
      </c>
      <c r="F3267" t="s">
        <v>5536</v>
      </c>
      <c r="H3267" t="s">
        <v>17</v>
      </c>
      <c r="I3267" t="s">
        <v>5537</v>
      </c>
    </row>
    <row r="3268" spans="1:9" x14ac:dyDescent="0.3">
      <c r="A3268" t="s">
        <v>5436</v>
      </c>
      <c r="B3268" t="s">
        <v>5502</v>
      </c>
      <c r="C3268" t="s">
        <v>1936</v>
      </c>
      <c r="D3268" t="s">
        <v>36</v>
      </c>
      <c r="E3268" t="s">
        <v>1653</v>
      </c>
      <c r="F3268" t="s">
        <v>5538</v>
      </c>
      <c r="H3268" t="s">
        <v>17</v>
      </c>
      <c r="I3268" t="s">
        <v>5539</v>
      </c>
    </row>
    <row r="3269" spans="1:9" x14ac:dyDescent="0.3">
      <c r="A3269" t="s">
        <v>5436</v>
      </c>
      <c r="B3269" t="s">
        <v>5502</v>
      </c>
      <c r="C3269" t="s">
        <v>1936</v>
      </c>
      <c r="D3269" t="s">
        <v>41</v>
      </c>
      <c r="E3269" t="s">
        <v>1656</v>
      </c>
      <c r="F3269" t="s">
        <v>5540</v>
      </c>
      <c r="H3269" t="s">
        <v>17</v>
      </c>
      <c r="I3269" t="s">
        <v>5541</v>
      </c>
    </row>
    <row r="3270" spans="1:9" x14ac:dyDescent="0.3">
      <c r="A3270" t="s">
        <v>5436</v>
      </c>
      <c r="B3270" t="s">
        <v>5502</v>
      </c>
      <c r="C3270" t="s">
        <v>1936</v>
      </c>
      <c r="D3270" t="s">
        <v>45</v>
      </c>
      <c r="E3270" t="s">
        <v>398</v>
      </c>
      <c r="F3270" t="s">
        <v>5542</v>
      </c>
      <c r="H3270" t="s">
        <v>17</v>
      </c>
      <c r="I3270" t="s">
        <v>5543</v>
      </c>
    </row>
    <row r="3271" spans="1:9" x14ac:dyDescent="0.3">
      <c r="A3271" t="s">
        <v>5436</v>
      </c>
      <c r="B3271" t="s">
        <v>5544</v>
      </c>
      <c r="C3271" t="s">
        <v>1936</v>
      </c>
      <c r="D3271" t="s">
        <v>50</v>
      </c>
      <c r="E3271" t="s">
        <v>1663</v>
      </c>
      <c r="F3271" t="s">
        <v>5545</v>
      </c>
      <c r="H3271" t="s">
        <v>17</v>
      </c>
      <c r="I3271" t="s">
        <v>5546</v>
      </c>
    </row>
    <row r="3272" spans="1:9" x14ac:dyDescent="0.3">
      <c r="A3272" t="s">
        <v>5436</v>
      </c>
      <c r="B3272" t="s">
        <v>5544</v>
      </c>
      <c r="C3272" t="s">
        <v>1936</v>
      </c>
      <c r="D3272" t="s">
        <v>53</v>
      </c>
      <c r="E3272" t="s">
        <v>404</v>
      </c>
      <c r="F3272" t="s">
        <v>5547</v>
      </c>
      <c r="H3272" t="s">
        <v>17</v>
      </c>
      <c r="I3272" t="s">
        <v>5546</v>
      </c>
    </row>
    <row r="3273" spans="1:9" x14ac:dyDescent="0.3">
      <c r="A3273" t="s">
        <v>5436</v>
      </c>
      <c r="B3273" t="s">
        <v>5544</v>
      </c>
      <c r="C3273" t="s">
        <v>1936</v>
      </c>
      <c r="D3273" t="s">
        <v>56</v>
      </c>
      <c r="E3273" t="s">
        <v>3382</v>
      </c>
      <c r="F3273" t="s">
        <v>5548</v>
      </c>
      <c r="H3273" t="s">
        <v>17</v>
      </c>
      <c r="I3273" t="s">
        <v>5546</v>
      </c>
    </row>
    <row r="3274" spans="1:9" x14ac:dyDescent="0.3">
      <c r="A3274" t="s">
        <v>5436</v>
      </c>
      <c r="B3274" t="s">
        <v>5544</v>
      </c>
      <c r="C3274" t="s">
        <v>1936</v>
      </c>
      <c r="D3274" t="s">
        <v>61</v>
      </c>
      <c r="E3274" t="s">
        <v>407</v>
      </c>
      <c r="F3274" t="s">
        <v>5549</v>
      </c>
      <c r="H3274" t="s">
        <v>17</v>
      </c>
      <c r="I3274" t="s">
        <v>5546</v>
      </c>
    </row>
    <row r="3275" spans="1:9" x14ac:dyDescent="0.3">
      <c r="A3275" t="s">
        <v>5436</v>
      </c>
      <c r="B3275" t="s">
        <v>5544</v>
      </c>
      <c r="C3275" t="s">
        <v>1936</v>
      </c>
      <c r="D3275" t="s">
        <v>1039</v>
      </c>
      <c r="E3275" t="s">
        <v>1670</v>
      </c>
      <c r="F3275" t="s">
        <v>5550</v>
      </c>
      <c r="H3275" t="s">
        <v>17</v>
      </c>
      <c r="I3275" t="s">
        <v>5546</v>
      </c>
    </row>
    <row r="3276" spans="1:9" x14ac:dyDescent="0.3">
      <c r="A3276" t="s">
        <v>5436</v>
      </c>
      <c r="B3276" t="s">
        <v>5544</v>
      </c>
      <c r="C3276" t="s">
        <v>1936</v>
      </c>
      <c r="D3276" t="s">
        <v>1043</v>
      </c>
      <c r="E3276" t="s">
        <v>411</v>
      </c>
      <c r="F3276" t="s">
        <v>5551</v>
      </c>
      <c r="H3276" t="s">
        <v>17</v>
      </c>
      <c r="I3276" t="s">
        <v>5546</v>
      </c>
    </row>
    <row r="3277" spans="1:9" x14ac:dyDescent="0.3">
      <c r="A3277" t="s">
        <v>5436</v>
      </c>
      <c r="B3277" t="s">
        <v>5544</v>
      </c>
      <c r="C3277" t="s">
        <v>1936</v>
      </c>
      <c r="D3277" t="s">
        <v>71</v>
      </c>
      <c r="E3277" t="s">
        <v>416</v>
      </c>
      <c r="F3277" t="s">
        <v>5552</v>
      </c>
      <c r="H3277" t="s">
        <v>17</v>
      </c>
      <c r="I3277" t="s">
        <v>5546</v>
      </c>
    </row>
    <row r="3278" spans="1:9" x14ac:dyDescent="0.3">
      <c r="A3278" t="s">
        <v>5436</v>
      </c>
      <c r="B3278" t="s">
        <v>5544</v>
      </c>
      <c r="C3278" t="s">
        <v>1936</v>
      </c>
      <c r="D3278" t="s">
        <v>1050</v>
      </c>
      <c r="E3278" t="s">
        <v>424</v>
      </c>
      <c r="F3278" t="s">
        <v>5553</v>
      </c>
      <c r="H3278" t="s">
        <v>17</v>
      </c>
      <c r="I3278" t="s">
        <v>5554</v>
      </c>
    </row>
    <row r="3279" spans="1:9" x14ac:dyDescent="0.3">
      <c r="A3279" t="s">
        <v>5436</v>
      </c>
      <c r="B3279" t="s">
        <v>5544</v>
      </c>
      <c r="C3279" t="s">
        <v>1936</v>
      </c>
      <c r="D3279" t="s">
        <v>3568</v>
      </c>
      <c r="E3279" t="s">
        <v>427</v>
      </c>
      <c r="F3279" t="s">
        <v>5555</v>
      </c>
      <c r="H3279" t="s">
        <v>17</v>
      </c>
      <c r="I3279" t="s">
        <v>5556</v>
      </c>
    </row>
    <row r="3280" spans="1:9" x14ac:dyDescent="0.3">
      <c r="A3280" t="s">
        <v>5436</v>
      </c>
      <c r="B3280" t="s">
        <v>5544</v>
      </c>
      <c r="C3280" t="s">
        <v>1936</v>
      </c>
      <c r="D3280" t="s">
        <v>3572</v>
      </c>
      <c r="E3280" t="s">
        <v>433</v>
      </c>
      <c r="F3280" t="s">
        <v>5557</v>
      </c>
      <c r="H3280" t="s">
        <v>17</v>
      </c>
      <c r="I3280" t="s">
        <v>5558</v>
      </c>
    </row>
    <row r="3281" spans="1:9" x14ac:dyDescent="0.3">
      <c r="A3281" t="s">
        <v>5436</v>
      </c>
      <c r="B3281" t="s">
        <v>5544</v>
      </c>
      <c r="C3281" t="s">
        <v>1936</v>
      </c>
      <c r="D3281" t="s">
        <v>3574</v>
      </c>
      <c r="E3281" t="s">
        <v>436</v>
      </c>
      <c r="F3281" t="s">
        <v>5559</v>
      </c>
      <c r="H3281" t="s">
        <v>17</v>
      </c>
      <c r="I3281" t="s">
        <v>5560</v>
      </c>
    </row>
    <row r="3282" spans="1:9" x14ac:dyDescent="0.3">
      <c r="A3282" t="s">
        <v>5436</v>
      </c>
      <c r="B3282" t="s">
        <v>5544</v>
      </c>
      <c r="C3282" t="s">
        <v>1936</v>
      </c>
      <c r="D3282" t="s">
        <v>1556</v>
      </c>
      <c r="E3282" t="s">
        <v>442</v>
      </c>
      <c r="F3282" t="s">
        <v>5561</v>
      </c>
      <c r="H3282" t="s">
        <v>17</v>
      </c>
      <c r="I3282" t="s">
        <v>5562</v>
      </c>
    </row>
    <row r="3283" spans="1:9" x14ac:dyDescent="0.3">
      <c r="A3283" t="s">
        <v>5436</v>
      </c>
      <c r="B3283" t="s">
        <v>5544</v>
      </c>
      <c r="C3283" t="s">
        <v>1936</v>
      </c>
      <c r="D3283" t="s">
        <v>114</v>
      </c>
      <c r="E3283" t="s">
        <v>449</v>
      </c>
      <c r="F3283" t="s">
        <v>5563</v>
      </c>
      <c r="H3283" t="s">
        <v>17</v>
      </c>
      <c r="I3283" t="s">
        <v>5564</v>
      </c>
    </row>
    <row r="3284" spans="1:9" x14ac:dyDescent="0.3">
      <c r="A3284" t="s">
        <v>5436</v>
      </c>
      <c r="B3284" t="s">
        <v>5544</v>
      </c>
      <c r="C3284" t="s">
        <v>1936</v>
      </c>
      <c r="D3284" t="s">
        <v>117</v>
      </c>
      <c r="E3284" t="s">
        <v>454</v>
      </c>
      <c r="F3284" t="s">
        <v>5565</v>
      </c>
      <c r="H3284" t="s">
        <v>17</v>
      </c>
      <c r="I3284" t="s">
        <v>5564</v>
      </c>
    </row>
    <row r="3285" spans="1:9" x14ac:dyDescent="0.3">
      <c r="A3285" t="s">
        <v>5436</v>
      </c>
      <c r="B3285" t="s">
        <v>5544</v>
      </c>
      <c r="C3285" t="s">
        <v>1936</v>
      </c>
      <c r="D3285" t="s">
        <v>121</v>
      </c>
      <c r="E3285" t="s">
        <v>458</v>
      </c>
      <c r="F3285" t="s">
        <v>5566</v>
      </c>
      <c r="H3285" t="s">
        <v>17</v>
      </c>
      <c r="I3285" t="s">
        <v>5564</v>
      </c>
    </row>
    <row r="3286" spans="1:9" x14ac:dyDescent="0.3">
      <c r="A3286" t="s">
        <v>5436</v>
      </c>
      <c r="B3286" t="s">
        <v>5544</v>
      </c>
      <c r="C3286" t="s">
        <v>1936</v>
      </c>
      <c r="D3286" t="s">
        <v>1080</v>
      </c>
      <c r="E3286" t="s">
        <v>465</v>
      </c>
      <c r="F3286" t="s">
        <v>5567</v>
      </c>
      <c r="H3286" t="s">
        <v>17</v>
      </c>
      <c r="I3286" t="s">
        <v>5568</v>
      </c>
    </row>
    <row r="3287" spans="1:9" x14ac:dyDescent="0.3">
      <c r="A3287" t="s">
        <v>5436</v>
      </c>
      <c r="B3287" t="s">
        <v>5544</v>
      </c>
      <c r="C3287" t="s">
        <v>1936</v>
      </c>
      <c r="D3287" t="s">
        <v>132</v>
      </c>
      <c r="E3287" t="s">
        <v>472</v>
      </c>
      <c r="F3287" t="s">
        <v>5569</v>
      </c>
      <c r="H3287" t="s">
        <v>17</v>
      </c>
      <c r="I3287" t="s">
        <v>5570</v>
      </c>
    </row>
    <row r="3288" spans="1:9" x14ac:dyDescent="0.3">
      <c r="A3288" t="s">
        <v>5436</v>
      </c>
      <c r="B3288" t="s">
        <v>5544</v>
      </c>
      <c r="C3288" t="s">
        <v>1936</v>
      </c>
      <c r="D3288" t="s">
        <v>3583</v>
      </c>
      <c r="E3288" t="s">
        <v>479</v>
      </c>
      <c r="F3288" t="s">
        <v>5571</v>
      </c>
      <c r="H3288" t="s">
        <v>17</v>
      </c>
      <c r="I3288" t="s">
        <v>5572</v>
      </c>
    </row>
    <row r="3289" spans="1:9" x14ac:dyDescent="0.3">
      <c r="A3289" t="s">
        <v>5436</v>
      </c>
      <c r="B3289" t="s">
        <v>5544</v>
      </c>
      <c r="C3289" t="s">
        <v>1936</v>
      </c>
      <c r="D3289" t="s">
        <v>3586</v>
      </c>
      <c r="E3289" t="s">
        <v>483</v>
      </c>
      <c r="F3289" t="s">
        <v>5573</v>
      </c>
      <c r="H3289" t="s">
        <v>17</v>
      </c>
      <c r="I3289" t="s">
        <v>5574</v>
      </c>
    </row>
    <row r="3290" spans="1:9" x14ac:dyDescent="0.3">
      <c r="A3290" t="s">
        <v>5436</v>
      </c>
      <c r="B3290" t="s">
        <v>5544</v>
      </c>
      <c r="C3290" t="s">
        <v>1936</v>
      </c>
      <c r="D3290" t="s">
        <v>147</v>
      </c>
      <c r="E3290" t="s">
        <v>490</v>
      </c>
      <c r="F3290" t="s">
        <v>5575</v>
      </c>
      <c r="H3290" t="s">
        <v>17</v>
      </c>
      <c r="I3290" t="s">
        <v>5576</v>
      </c>
    </row>
    <row r="3291" spans="1:9" x14ac:dyDescent="0.3">
      <c r="A3291" t="s">
        <v>5436</v>
      </c>
      <c r="B3291" t="s">
        <v>5544</v>
      </c>
      <c r="C3291" t="s">
        <v>1936</v>
      </c>
      <c r="D3291" t="s">
        <v>152</v>
      </c>
      <c r="E3291" t="s">
        <v>493</v>
      </c>
      <c r="F3291" t="s">
        <v>5577</v>
      </c>
      <c r="H3291" t="s">
        <v>17</v>
      </c>
      <c r="I3291" t="s">
        <v>5578</v>
      </c>
    </row>
    <row r="3292" spans="1:9" x14ac:dyDescent="0.3">
      <c r="A3292" t="s">
        <v>5436</v>
      </c>
      <c r="B3292" t="s">
        <v>5544</v>
      </c>
      <c r="C3292" t="s">
        <v>1936</v>
      </c>
      <c r="D3292" t="s">
        <v>157</v>
      </c>
      <c r="E3292" t="s">
        <v>500</v>
      </c>
      <c r="F3292" t="s">
        <v>5579</v>
      </c>
      <c r="H3292" t="s">
        <v>17</v>
      </c>
      <c r="I3292" t="s">
        <v>5580</v>
      </c>
    </row>
    <row r="3293" spans="1:9" x14ac:dyDescent="0.3">
      <c r="A3293" t="s">
        <v>5436</v>
      </c>
      <c r="B3293" t="s">
        <v>5544</v>
      </c>
      <c r="C3293" t="s">
        <v>1936</v>
      </c>
      <c r="D3293" t="s">
        <v>162</v>
      </c>
      <c r="E3293" t="s">
        <v>505</v>
      </c>
      <c r="F3293" t="s">
        <v>5581</v>
      </c>
      <c r="H3293" t="s">
        <v>17</v>
      </c>
      <c r="I3293" t="s">
        <v>5582</v>
      </c>
    </row>
    <row r="3294" spans="1:9" x14ac:dyDescent="0.3">
      <c r="A3294" t="s">
        <v>5436</v>
      </c>
      <c r="B3294" t="s">
        <v>5544</v>
      </c>
      <c r="C3294" t="s">
        <v>1936</v>
      </c>
      <c r="D3294" t="s">
        <v>167</v>
      </c>
      <c r="E3294" t="s">
        <v>512</v>
      </c>
      <c r="F3294" t="s">
        <v>5583</v>
      </c>
      <c r="H3294" t="s">
        <v>17</v>
      </c>
      <c r="I3294" t="s">
        <v>5584</v>
      </c>
    </row>
    <row r="3295" spans="1:9" x14ac:dyDescent="0.3">
      <c r="A3295" t="s">
        <v>5436</v>
      </c>
      <c r="B3295" t="s">
        <v>5544</v>
      </c>
      <c r="C3295" t="s">
        <v>1936</v>
      </c>
      <c r="D3295" t="s">
        <v>172</v>
      </c>
      <c r="E3295" t="s">
        <v>515</v>
      </c>
      <c r="F3295" t="s">
        <v>5585</v>
      </c>
      <c r="H3295" t="s">
        <v>17</v>
      </c>
      <c r="I3295" t="s">
        <v>5586</v>
      </c>
    </row>
    <row r="3296" spans="1:9" x14ac:dyDescent="0.3">
      <c r="A3296" t="s">
        <v>5436</v>
      </c>
      <c r="B3296" t="s">
        <v>5544</v>
      </c>
      <c r="C3296" t="s">
        <v>1936</v>
      </c>
      <c r="D3296" t="s">
        <v>177</v>
      </c>
      <c r="E3296" t="s">
        <v>522</v>
      </c>
      <c r="F3296" t="s">
        <v>5587</v>
      </c>
      <c r="H3296" t="s">
        <v>17</v>
      </c>
      <c r="I3296" t="s">
        <v>5588</v>
      </c>
    </row>
    <row r="3297" spans="1:9" x14ac:dyDescent="0.3">
      <c r="A3297" t="s">
        <v>5436</v>
      </c>
      <c r="B3297" t="s">
        <v>5544</v>
      </c>
      <c r="C3297" t="s">
        <v>1936</v>
      </c>
      <c r="D3297" t="s">
        <v>1109</v>
      </c>
      <c r="E3297" t="s">
        <v>526</v>
      </c>
      <c r="F3297" t="s">
        <v>5589</v>
      </c>
      <c r="H3297" t="s">
        <v>17</v>
      </c>
      <c r="I3297" t="s">
        <v>5590</v>
      </c>
    </row>
    <row r="3298" spans="1:9" x14ac:dyDescent="0.3">
      <c r="A3298" t="s">
        <v>5436</v>
      </c>
      <c r="B3298" t="s">
        <v>5544</v>
      </c>
      <c r="C3298" t="s">
        <v>1936</v>
      </c>
      <c r="D3298" t="s">
        <v>193</v>
      </c>
      <c r="E3298" t="s">
        <v>533</v>
      </c>
      <c r="F3298" t="s">
        <v>5591</v>
      </c>
      <c r="H3298" t="s">
        <v>17</v>
      </c>
      <c r="I3298" t="s">
        <v>5576</v>
      </c>
    </row>
    <row r="3299" spans="1:9" x14ac:dyDescent="0.3">
      <c r="A3299" t="s">
        <v>5436</v>
      </c>
      <c r="B3299" t="s">
        <v>5544</v>
      </c>
      <c r="C3299" t="s">
        <v>1936</v>
      </c>
      <c r="D3299" t="s">
        <v>198</v>
      </c>
      <c r="E3299" t="s">
        <v>536</v>
      </c>
      <c r="F3299" t="s">
        <v>5592</v>
      </c>
      <c r="H3299" t="s">
        <v>17</v>
      </c>
      <c r="I3299" t="s">
        <v>5593</v>
      </c>
    </row>
    <row r="3300" spans="1:9" x14ac:dyDescent="0.3">
      <c r="A3300" t="s">
        <v>5436</v>
      </c>
      <c r="B3300" t="s">
        <v>5544</v>
      </c>
      <c r="C3300" t="s">
        <v>1936</v>
      </c>
      <c r="D3300" t="s">
        <v>1118</v>
      </c>
      <c r="E3300" t="s">
        <v>541</v>
      </c>
      <c r="F3300" t="s">
        <v>5594</v>
      </c>
      <c r="H3300" t="s">
        <v>17</v>
      </c>
      <c r="I3300" t="s">
        <v>5595</v>
      </c>
    </row>
    <row r="3301" spans="1:9" x14ac:dyDescent="0.3">
      <c r="A3301" t="s">
        <v>5436</v>
      </c>
      <c r="B3301" t="s">
        <v>5544</v>
      </c>
      <c r="C3301" t="s">
        <v>1936</v>
      </c>
      <c r="D3301" t="s">
        <v>1123</v>
      </c>
      <c r="E3301" t="s">
        <v>551</v>
      </c>
      <c r="F3301" t="s">
        <v>5596</v>
      </c>
      <c r="H3301" t="s">
        <v>17</v>
      </c>
      <c r="I3301" t="s">
        <v>5597</v>
      </c>
    </row>
    <row r="3302" spans="1:9" x14ac:dyDescent="0.3">
      <c r="A3302" t="s">
        <v>5436</v>
      </c>
      <c r="B3302" t="s">
        <v>5544</v>
      </c>
      <c r="C3302" t="s">
        <v>1936</v>
      </c>
      <c r="D3302" t="s">
        <v>1127</v>
      </c>
      <c r="E3302" t="s">
        <v>556</v>
      </c>
      <c r="F3302" t="s">
        <v>5598</v>
      </c>
      <c r="H3302" t="s">
        <v>17</v>
      </c>
      <c r="I3302" t="s">
        <v>5599</v>
      </c>
    </row>
    <row r="3303" spans="1:9" x14ac:dyDescent="0.3">
      <c r="A3303" t="s">
        <v>5436</v>
      </c>
      <c r="B3303" t="s">
        <v>5544</v>
      </c>
      <c r="C3303" t="s">
        <v>1936</v>
      </c>
      <c r="D3303" t="s">
        <v>1131</v>
      </c>
      <c r="E3303" t="s">
        <v>1712</v>
      </c>
      <c r="F3303" t="s">
        <v>5600</v>
      </c>
      <c r="H3303" t="s">
        <v>17</v>
      </c>
      <c r="I3303" t="s">
        <v>5599</v>
      </c>
    </row>
    <row r="3304" spans="1:9" x14ac:dyDescent="0.3">
      <c r="A3304" t="s">
        <v>5436</v>
      </c>
      <c r="B3304" t="s">
        <v>5544</v>
      </c>
      <c r="C3304" t="s">
        <v>1936</v>
      </c>
      <c r="D3304" t="s">
        <v>1136</v>
      </c>
      <c r="E3304" t="s">
        <v>565</v>
      </c>
      <c r="F3304" t="s">
        <v>5601</v>
      </c>
      <c r="H3304" t="s">
        <v>17</v>
      </c>
      <c r="I3304" t="s">
        <v>5602</v>
      </c>
    </row>
    <row r="3305" spans="1:9" x14ac:dyDescent="0.3">
      <c r="A3305" t="s">
        <v>5436</v>
      </c>
      <c r="B3305" t="s">
        <v>5544</v>
      </c>
      <c r="C3305" t="s">
        <v>1936</v>
      </c>
      <c r="D3305" t="s">
        <v>245</v>
      </c>
      <c r="E3305" t="s">
        <v>1717</v>
      </c>
      <c r="F3305" t="s">
        <v>5603</v>
      </c>
      <c r="H3305" t="s">
        <v>17</v>
      </c>
      <c r="I3305" t="s">
        <v>5604</v>
      </c>
    </row>
    <row r="3306" spans="1:9" x14ac:dyDescent="0.3">
      <c r="A3306" t="s">
        <v>5436</v>
      </c>
      <c r="B3306" t="s">
        <v>5544</v>
      </c>
      <c r="C3306" t="s">
        <v>1936</v>
      </c>
      <c r="D3306" t="s">
        <v>1588</v>
      </c>
      <c r="E3306" t="s">
        <v>575</v>
      </c>
      <c r="F3306" t="s">
        <v>5605</v>
      </c>
      <c r="H3306" t="s">
        <v>17</v>
      </c>
      <c r="I3306" t="s">
        <v>5606</v>
      </c>
    </row>
    <row r="3307" spans="1:9" x14ac:dyDescent="0.3">
      <c r="A3307" t="s">
        <v>5436</v>
      </c>
      <c r="B3307" t="s">
        <v>5544</v>
      </c>
      <c r="C3307" t="s">
        <v>1936</v>
      </c>
      <c r="D3307" t="s">
        <v>1892</v>
      </c>
      <c r="E3307" t="s">
        <v>580</v>
      </c>
      <c r="F3307" t="s">
        <v>5607</v>
      </c>
      <c r="H3307" t="s">
        <v>17</v>
      </c>
      <c r="I3307" t="s">
        <v>5606</v>
      </c>
    </row>
    <row r="3308" spans="1:9" x14ac:dyDescent="0.3">
      <c r="A3308" t="s">
        <v>5436</v>
      </c>
      <c r="B3308" t="s">
        <v>5544</v>
      </c>
      <c r="C3308" t="s">
        <v>1936</v>
      </c>
      <c r="D3308" t="s">
        <v>1146</v>
      </c>
      <c r="E3308" t="s">
        <v>586</v>
      </c>
      <c r="F3308" t="s">
        <v>5608</v>
      </c>
      <c r="H3308" t="s">
        <v>17</v>
      </c>
      <c r="I3308" t="s">
        <v>5606</v>
      </c>
    </row>
    <row r="3309" spans="1:9" x14ac:dyDescent="0.3">
      <c r="A3309" t="s">
        <v>5436</v>
      </c>
      <c r="B3309" t="s">
        <v>5544</v>
      </c>
      <c r="C3309" t="s">
        <v>1936</v>
      </c>
      <c r="D3309" t="s">
        <v>1189</v>
      </c>
      <c r="E3309" t="s">
        <v>1724</v>
      </c>
      <c r="F3309" t="s">
        <v>5520</v>
      </c>
      <c r="H3309" t="s">
        <v>17</v>
      </c>
    </row>
    <row r="3310" spans="1:9" x14ac:dyDescent="0.3">
      <c r="A3310" t="s">
        <v>5436</v>
      </c>
      <c r="B3310" t="s">
        <v>5544</v>
      </c>
      <c r="C3310" t="s">
        <v>1936</v>
      </c>
      <c r="D3310" t="s">
        <v>273</v>
      </c>
      <c r="E3310" t="s">
        <v>1727</v>
      </c>
      <c r="F3310" t="s">
        <v>5521</v>
      </c>
      <c r="H3310" t="s">
        <v>17</v>
      </c>
      <c r="I3310" t="s">
        <v>5522</v>
      </c>
    </row>
    <row r="3311" spans="1:9" x14ac:dyDescent="0.3">
      <c r="A3311" t="s">
        <v>5436</v>
      </c>
      <c r="B3311" t="s">
        <v>5544</v>
      </c>
      <c r="C3311" t="s">
        <v>2135</v>
      </c>
      <c r="D3311" t="s">
        <v>1743</v>
      </c>
      <c r="E3311" t="s">
        <v>2136</v>
      </c>
      <c r="F3311" t="s">
        <v>5609</v>
      </c>
      <c r="H3311" t="s">
        <v>17</v>
      </c>
      <c r="I3311" t="s">
        <v>5610</v>
      </c>
    </row>
    <row r="3312" spans="1:9" x14ac:dyDescent="0.3">
      <c r="A3312" t="s">
        <v>5436</v>
      </c>
      <c r="B3312" t="s">
        <v>5544</v>
      </c>
      <c r="C3312" t="s">
        <v>2135</v>
      </c>
      <c r="D3312" t="s">
        <v>996</v>
      </c>
      <c r="E3312" t="s">
        <v>2138</v>
      </c>
      <c r="F3312" t="s">
        <v>5611</v>
      </c>
      <c r="H3312" t="s">
        <v>17</v>
      </c>
      <c r="I3312" t="s">
        <v>5612</v>
      </c>
    </row>
    <row r="3313" spans="1:9" x14ac:dyDescent="0.3">
      <c r="A3313" t="s">
        <v>5436</v>
      </c>
      <c r="B3313" t="s">
        <v>5544</v>
      </c>
      <c r="C3313" t="s">
        <v>2135</v>
      </c>
      <c r="D3313" t="s">
        <v>1001</v>
      </c>
      <c r="E3313" t="s">
        <v>2140</v>
      </c>
      <c r="F3313" t="s">
        <v>5613</v>
      </c>
      <c r="H3313" t="s">
        <v>17</v>
      </c>
      <c r="I3313" t="s">
        <v>5614</v>
      </c>
    </row>
    <row r="3314" spans="1:9" x14ac:dyDescent="0.3">
      <c r="A3314" t="s">
        <v>5436</v>
      </c>
      <c r="B3314" t="s">
        <v>5544</v>
      </c>
      <c r="C3314" t="s">
        <v>2135</v>
      </c>
      <c r="D3314" t="s">
        <v>1942</v>
      </c>
      <c r="E3314" t="s">
        <v>2144</v>
      </c>
      <c r="F3314" t="s">
        <v>5615</v>
      </c>
      <c r="H3314" t="s">
        <v>17</v>
      </c>
      <c r="I3314" t="s">
        <v>5616</v>
      </c>
    </row>
    <row r="3315" spans="1:9" x14ac:dyDescent="0.3">
      <c r="A3315" t="s">
        <v>5436</v>
      </c>
      <c r="B3315" t="s">
        <v>5544</v>
      </c>
      <c r="C3315" t="s">
        <v>2135</v>
      </c>
      <c r="D3315" t="s">
        <v>22</v>
      </c>
      <c r="E3315" t="s">
        <v>2147</v>
      </c>
      <c r="F3315" t="s">
        <v>5617</v>
      </c>
      <c r="H3315" t="s">
        <v>17</v>
      </c>
      <c r="I3315" t="s">
        <v>5612</v>
      </c>
    </row>
    <row r="3316" spans="1:9" x14ac:dyDescent="0.3">
      <c r="A3316" t="s">
        <v>5436</v>
      </c>
      <c r="B3316" t="s">
        <v>5544</v>
      </c>
      <c r="C3316" t="s">
        <v>2135</v>
      </c>
      <c r="D3316" t="s">
        <v>27</v>
      </c>
      <c r="E3316" t="s">
        <v>633</v>
      </c>
      <c r="F3316" t="s">
        <v>5618</v>
      </c>
      <c r="H3316" t="s">
        <v>17</v>
      </c>
      <c r="I3316" t="s">
        <v>5619</v>
      </c>
    </row>
    <row r="3317" spans="1:9" x14ac:dyDescent="0.3">
      <c r="A3317" t="s">
        <v>5436</v>
      </c>
      <c r="B3317" t="s">
        <v>5544</v>
      </c>
      <c r="C3317" t="s">
        <v>2135</v>
      </c>
      <c r="D3317" t="s">
        <v>1014</v>
      </c>
      <c r="E3317" t="s">
        <v>2153</v>
      </c>
      <c r="F3317" t="s">
        <v>5620</v>
      </c>
      <c r="H3317" t="s">
        <v>17</v>
      </c>
      <c r="I3317" t="s">
        <v>5616</v>
      </c>
    </row>
    <row r="3318" spans="1:9" x14ac:dyDescent="0.3">
      <c r="A3318" t="s">
        <v>5436</v>
      </c>
      <c r="B3318" t="s">
        <v>5544</v>
      </c>
      <c r="C3318" t="s">
        <v>2135</v>
      </c>
      <c r="D3318" t="s">
        <v>1017</v>
      </c>
      <c r="E3318" t="s">
        <v>636</v>
      </c>
      <c r="F3318" t="s">
        <v>5621</v>
      </c>
      <c r="H3318" t="s">
        <v>17</v>
      </c>
      <c r="I3318" t="s">
        <v>5612</v>
      </c>
    </row>
    <row r="3319" spans="1:9" x14ac:dyDescent="0.3">
      <c r="A3319" t="s">
        <v>5436</v>
      </c>
      <c r="B3319" t="s">
        <v>5544</v>
      </c>
      <c r="C3319" t="s">
        <v>2135</v>
      </c>
      <c r="D3319" t="s">
        <v>36</v>
      </c>
      <c r="E3319" t="s">
        <v>2159</v>
      </c>
      <c r="F3319" t="s">
        <v>5622</v>
      </c>
      <c r="H3319" t="s">
        <v>17</v>
      </c>
      <c r="I3319" t="s">
        <v>5614</v>
      </c>
    </row>
    <row r="3320" spans="1:9" x14ac:dyDescent="0.3">
      <c r="A3320" t="s">
        <v>5436</v>
      </c>
      <c r="B3320" t="s">
        <v>5544</v>
      </c>
      <c r="C3320" t="s">
        <v>2135</v>
      </c>
      <c r="D3320" t="s">
        <v>41</v>
      </c>
      <c r="E3320" t="s">
        <v>639</v>
      </c>
      <c r="F3320" t="s">
        <v>5623</v>
      </c>
      <c r="H3320" t="s">
        <v>17</v>
      </c>
      <c r="I3320" t="s">
        <v>4884</v>
      </c>
    </row>
    <row r="3321" spans="1:9" x14ac:dyDescent="0.3">
      <c r="A3321" t="s">
        <v>5436</v>
      </c>
      <c r="B3321" t="s">
        <v>5544</v>
      </c>
      <c r="C3321" t="s">
        <v>2135</v>
      </c>
      <c r="D3321" t="s">
        <v>45</v>
      </c>
      <c r="E3321" t="s">
        <v>2165</v>
      </c>
      <c r="F3321" t="s">
        <v>5624</v>
      </c>
      <c r="H3321" t="s">
        <v>17</v>
      </c>
      <c r="I3321" t="s">
        <v>4884</v>
      </c>
    </row>
    <row r="3322" spans="1:9" x14ac:dyDescent="0.3">
      <c r="A3322" t="s">
        <v>5436</v>
      </c>
      <c r="B3322" t="s">
        <v>5544</v>
      </c>
      <c r="C3322" t="s">
        <v>2135</v>
      </c>
      <c r="D3322" t="s">
        <v>50</v>
      </c>
      <c r="E3322" t="s">
        <v>642</v>
      </c>
      <c r="F3322" t="s">
        <v>5625</v>
      </c>
      <c r="H3322" t="s">
        <v>17</v>
      </c>
      <c r="I3322" t="s">
        <v>5626</v>
      </c>
    </row>
    <row r="3323" spans="1:9" x14ac:dyDescent="0.3">
      <c r="A3323" t="s">
        <v>5436</v>
      </c>
      <c r="B3323" t="s">
        <v>5544</v>
      </c>
      <c r="C3323" t="s">
        <v>2135</v>
      </c>
      <c r="D3323" t="s">
        <v>53</v>
      </c>
      <c r="E3323" t="s">
        <v>2174</v>
      </c>
      <c r="F3323" t="s">
        <v>5627</v>
      </c>
      <c r="H3323" t="s">
        <v>17</v>
      </c>
      <c r="I3323" t="s">
        <v>4884</v>
      </c>
    </row>
    <row r="3324" spans="1:9" x14ac:dyDescent="0.3">
      <c r="A3324" t="s">
        <v>5436</v>
      </c>
      <c r="B3324" t="s">
        <v>5544</v>
      </c>
      <c r="C3324" t="s">
        <v>2135</v>
      </c>
      <c r="D3324" t="s">
        <v>56</v>
      </c>
      <c r="E3324" t="s">
        <v>645</v>
      </c>
      <c r="F3324" t="s">
        <v>5628</v>
      </c>
      <c r="H3324" t="s">
        <v>17</v>
      </c>
      <c r="I3324" t="s">
        <v>4884</v>
      </c>
    </row>
    <row r="3325" spans="1:9" x14ac:dyDescent="0.3">
      <c r="A3325" t="s">
        <v>5436</v>
      </c>
      <c r="B3325" t="s">
        <v>5544</v>
      </c>
      <c r="C3325" t="s">
        <v>2135</v>
      </c>
      <c r="D3325" t="s">
        <v>61</v>
      </c>
      <c r="E3325" t="s">
        <v>2179</v>
      </c>
      <c r="F3325" t="s">
        <v>5629</v>
      </c>
      <c r="H3325" t="s">
        <v>17</v>
      </c>
      <c r="I3325" t="s">
        <v>5630</v>
      </c>
    </row>
    <row r="3326" spans="1:9" x14ac:dyDescent="0.3">
      <c r="A3326" t="s">
        <v>5436</v>
      </c>
      <c r="B3326" t="s">
        <v>5544</v>
      </c>
      <c r="C3326" t="s">
        <v>2135</v>
      </c>
      <c r="D3326" t="s">
        <v>1039</v>
      </c>
      <c r="E3326" t="s">
        <v>2181</v>
      </c>
      <c r="F3326" t="s">
        <v>5631</v>
      </c>
      <c r="H3326" t="s">
        <v>17</v>
      </c>
      <c r="I3326" t="s">
        <v>4884</v>
      </c>
    </row>
    <row r="3327" spans="1:9" x14ac:dyDescent="0.3">
      <c r="A3327" t="s">
        <v>5436</v>
      </c>
      <c r="B3327" t="s">
        <v>5544</v>
      </c>
      <c r="C3327" t="s">
        <v>2135</v>
      </c>
      <c r="D3327" t="s">
        <v>1043</v>
      </c>
      <c r="E3327" t="s">
        <v>2182</v>
      </c>
      <c r="F3327" t="s">
        <v>5632</v>
      </c>
      <c r="H3327" t="s">
        <v>17</v>
      </c>
      <c r="I3327" t="s">
        <v>5633</v>
      </c>
    </row>
    <row r="3328" spans="1:9" x14ac:dyDescent="0.3">
      <c r="A3328" t="s">
        <v>5436</v>
      </c>
      <c r="B3328" t="s">
        <v>5544</v>
      </c>
      <c r="C3328" t="s">
        <v>2135</v>
      </c>
      <c r="D3328" t="s">
        <v>71</v>
      </c>
      <c r="E3328" t="s">
        <v>2184</v>
      </c>
      <c r="F3328" t="s">
        <v>5634</v>
      </c>
      <c r="H3328" t="s">
        <v>17</v>
      </c>
      <c r="I3328" t="s">
        <v>4884</v>
      </c>
    </row>
    <row r="3329" spans="1:9" x14ac:dyDescent="0.3">
      <c r="A3329" t="s">
        <v>5436</v>
      </c>
      <c r="B3329" t="s">
        <v>5544</v>
      </c>
      <c r="C3329" t="s">
        <v>2135</v>
      </c>
      <c r="D3329" t="s">
        <v>1050</v>
      </c>
      <c r="E3329" t="s">
        <v>651</v>
      </c>
      <c r="F3329" t="s">
        <v>5635</v>
      </c>
      <c r="H3329" t="s">
        <v>17</v>
      </c>
      <c r="I3329" t="s">
        <v>5636</v>
      </c>
    </row>
    <row r="3330" spans="1:9" x14ac:dyDescent="0.3">
      <c r="A3330" t="s">
        <v>5436</v>
      </c>
      <c r="B3330" t="s">
        <v>5544</v>
      </c>
      <c r="C3330" t="s">
        <v>2135</v>
      </c>
      <c r="D3330" t="s">
        <v>1055</v>
      </c>
      <c r="E3330" t="s">
        <v>659</v>
      </c>
      <c r="F3330" t="s">
        <v>5637</v>
      </c>
      <c r="H3330" t="s">
        <v>17</v>
      </c>
      <c r="I3330" t="s">
        <v>5636</v>
      </c>
    </row>
    <row r="3331" spans="1:9" x14ac:dyDescent="0.3">
      <c r="A3331" t="s">
        <v>5436</v>
      </c>
      <c r="B3331" t="s">
        <v>5544</v>
      </c>
      <c r="C3331" t="s">
        <v>2135</v>
      </c>
      <c r="D3331" t="s">
        <v>80</v>
      </c>
      <c r="E3331" t="s">
        <v>662</v>
      </c>
      <c r="F3331" t="s">
        <v>5638</v>
      </c>
      <c r="H3331" t="s">
        <v>17</v>
      </c>
      <c r="I3331" t="s">
        <v>4583</v>
      </c>
    </row>
    <row r="3332" spans="1:9" x14ac:dyDescent="0.3">
      <c r="A3332" t="s">
        <v>5436</v>
      </c>
      <c r="B3332" t="s">
        <v>5544</v>
      </c>
      <c r="C3332" t="s">
        <v>2135</v>
      </c>
      <c r="D3332" t="s">
        <v>85</v>
      </c>
      <c r="E3332" t="s">
        <v>668</v>
      </c>
      <c r="F3332" t="s">
        <v>5639</v>
      </c>
      <c r="H3332" t="s">
        <v>17</v>
      </c>
      <c r="I3332" t="s">
        <v>5636</v>
      </c>
    </row>
    <row r="3333" spans="1:9" x14ac:dyDescent="0.3">
      <c r="A3333" t="s">
        <v>5436</v>
      </c>
      <c r="B3333" t="s">
        <v>5544</v>
      </c>
      <c r="C3333" t="s">
        <v>2135</v>
      </c>
      <c r="D3333" t="s">
        <v>90</v>
      </c>
      <c r="E3333" t="s">
        <v>671</v>
      </c>
      <c r="F3333" t="s">
        <v>5640</v>
      </c>
      <c r="H3333" t="s">
        <v>17</v>
      </c>
      <c r="I3333" t="s">
        <v>5636</v>
      </c>
    </row>
    <row r="3334" spans="1:9" x14ac:dyDescent="0.3">
      <c r="A3334" t="s">
        <v>5436</v>
      </c>
      <c r="B3334" t="s">
        <v>5544</v>
      </c>
      <c r="C3334" t="s">
        <v>2135</v>
      </c>
      <c r="D3334" t="s">
        <v>95</v>
      </c>
      <c r="E3334" t="s">
        <v>2201</v>
      </c>
      <c r="F3334" t="s">
        <v>5641</v>
      </c>
      <c r="H3334" t="s">
        <v>17</v>
      </c>
      <c r="I3334" t="s">
        <v>5636</v>
      </c>
    </row>
    <row r="3335" spans="1:9" x14ac:dyDescent="0.3">
      <c r="A3335" t="s">
        <v>5436</v>
      </c>
      <c r="B3335" t="s">
        <v>5544</v>
      </c>
      <c r="C3335" t="s">
        <v>2135</v>
      </c>
      <c r="D3335" t="s">
        <v>100</v>
      </c>
      <c r="E3335" t="s">
        <v>680</v>
      </c>
      <c r="F3335" t="s">
        <v>5642</v>
      </c>
      <c r="H3335" t="s">
        <v>17</v>
      </c>
      <c r="I3335" t="s">
        <v>4884</v>
      </c>
    </row>
    <row r="3336" spans="1:9" x14ac:dyDescent="0.3">
      <c r="A3336" t="s">
        <v>5436</v>
      </c>
      <c r="B3336" t="s">
        <v>5544</v>
      </c>
      <c r="C3336" t="s">
        <v>2135</v>
      </c>
      <c r="D3336" t="s">
        <v>106</v>
      </c>
      <c r="E3336" t="s">
        <v>685</v>
      </c>
      <c r="F3336" t="s">
        <v>5643</v>
      </c>
      <c r="H3336" t="s">
        <v>17</v>
      </c>
      <c r="I3336" t="s">
        <v>5644</v>
      </c>
    </row>
    <row r="3337" spans="1:9" x14ac:dyDescent="0.3">
      <c r="A3337" t="s">
        <v>5436</v>
      </c>
      <c r="B3337" t="s">
        <v>5544</v>
      </c>
      <c r="C3337" t="s">
        <v>2135</v>
      </c>
      <c r="D3337" t="s">
        <v>111</v>
      </c>
      <c r="E3337" t="s">
        <v>2208</v>
      </c>
      <c r="F3337" t="s">
        <v>5643</v>
      </c>
      <c r="H3337" t="s">
        <v>17</v>
      </c>
      <c r="I3337" t="s">
        <v>5645</v>
      </c>
    </row>
    <row r="3338" spans="1:9" x14ac:dyDescent="0.3">
      <c r="A3338" t="s">
        <v>5436</v>
      </c>
      <c r="B3338" t="s">
        <v>5544</v>
      </c>
      <c r="C3338" t="s">
        <v>2135</v>
      </c>
      <c r="D3338" t="s">
        <v>114</v>
      </c>
      <c r="E3338" t="s">
        <v>2210</v>
      </c>
      <c r="F3338" t="s">
        <v>5646</v>
      </c>
      <c r="H3338" t="s">
        <v>17</v>
      </c>
      <c r="I3338" t="s">
        <v>5647</v>
      </c>
    </row>
    <row r="3339" spans="1:9" x14ac:dyDescent="0.3">
      <c r="A3339" t="s">
        <v>5436</v>
      </c>
      <c r="B3339" t="s">
        <v>5544</v>
      </c>
      <c r="C3339" t="s">
        <v>2135</v>
      </c>
      <c r="D3339" t="s">
        <v>117</v>
      </c>
      <c r="E3339" t="s">
        <v>695</v>
      </c>
      <c r="F3339" t="s">
        <v>5648</v>
      </c>
      <c r="H3339" t="s">
        <v>17</v>
      </c>
      <c r="I3339" t="s">
        <v>5649</v>
      </c>
    </row>
    <row r="3340" spans="1:9" x14ac:dyDescent="0.3">
      <c r="A3340" t="s">
        <v>5436</v>
      </c>
      <c r="B3340" t="s">
        <v>5544</v>
      </c>
      <c r="C3340" t="s">
        <v>2135</v>
      </c>
      <c r="D3340" t="s">
        <v>121</v>
      </c>
      <c r="E3340" t="s">
        <v>701</v>
      </c>
      <c r="F3340" t="s">
        <v>5650</v>
      </c>
      <c r="H3340" t="s">
        <v>17</v>
      </c>
      <c r="I3340" t="s">
        <v>5651</v>
      </c>
    </row>
    <row r="3341" spans="1:9" x14ac:dyDescent="0.3">
      <c r="A3341" t="s">
        <v>5436</v>
      </c>
      <c r="B3341" t="s">
        <v>5544</v>
      </c>
      <c r="C3341" t="s">
        <v>2135</v>
      </c>
      <c r="D3341" t="s">
        <v>126</v>
      </c>
      <c r="E3341" t="s">
        <v>709</v>
      </c>
      <c r="F3341" t="s">
        <v>5652</v>
      </c>
      <c r="H3341" t="s">
        <v>17</v>
      </c>
      <c r="I3341" t="s">
        <v>5653</v>
      </c>
    </row>
    <row r="3342" spans="1:9" x14ac:dyDescent="0.3">
      <c r="A3342" t="s">
        <v>5436</v>
      </c>
      <c r="B3342" t="s">
        <v>5544</v>
      </c>
      <c r="C3342" t="s">
        <v>2135</v>
      </c>
      <c r="D3342" t="s">
        <v>129</v>
      </c>
      <c r="E3342" t="s">
        <v>713</v>
      </c>
      <c r="F3342" t="s">
        <v>5654</v>
      </c>
      <c r="H3342" t="s">
        <v>17</v>
      </c>
      <c r="I3342" t="s">
        <v>5651</v>
      </c>
    </row>
    <row r="3343" spans="1:9" x14ac:dyDescent="0.3">
      <c r="A3343" t="s">
        <v>5436</v>
      </c>
      <c r="B3343" t="s">
        <v>5544</v>
      </c>
      <c r="C3343" t="s">
        <v>2135</v>
      </c>
      <c r="D3343" t="s">
        <v>132</v>
      </c>
      <c r="E3343" t="s">
        <v>721</v>
      </c>
      <c r="F3343" t="s">
        <v>3616</v>
      </c>
      <c r="H3343" t="s">
        <v>17</v>
      </c>
      <c r="I3343" t="s">
        <v>5655</v>
      </c>
    </row>
    <row r="3344" spans="1:9" x14ac:dyDescent="0.3">
      <c r="A3344" t="s">
        <v>5436</v>
      </c>
      <c r="B3344" t="s">
        <v>5544</v>
      </c>
      <c r="C3344" t="s">
        <v>2135</v>
      </c>
      <c r="D3344" t="s">
        <v>135</v>
      </c>
      <c r="E3344" t="s">
        <v>724</v>
      </c>
      <c r="F3344" t="s">
        <v>5656</v>
      </c>
      <c r="H3344" t="s">
        <v>17</v>
      </c>
      <c r="I3344" t="s">
        <v>5657</v>
      </c>
    </row>
    <row r="3345" spans="1:9" x14ac:dyDescent="0.3">
      <c r="A3345" t="s">
        <v>5436</v>
      </c>
      <c r="B3345" t="s">
        <v>5544</v>
      </c>
      <c r="C3345" t="s">
        <v>2135</v>
      </c>
      <c r="D3345" t="s">
        <v>138</v>
      </c>
      <c r="E3345" t="s">
        <v>730</v>
      </c>
      <c r="F3345" t="s">
        <v>5658</v>
      </c>
      <c r="H3345" t="s">
        <v>17</v>
      </c>
      <c r="I3345" t="s">
        <v>4583</v>
      </c>
    </row>
    <row r="3346" spans="1:9" x14ac:dyDescent="0.3">
      <c r="A3346" t="s">
        <v>5436</v>
      </c>
      <c r="B3346" t="s">
        <v>5544</v>
      </c>
      <c r="C3346" t="s">
        <v>2135</v>
      </c>
      <c r="D3346" t="s">
        <v>141</v>
      </c>
      <c r="E3346" t="s">
        <v>735</v>
      </c>
      <c r="F3346" t="s">
        <v>5659</v>
      </c>
      <c r="H3346" t="s">
        <v>17</v>
      </c>
      <c r="I3346" t="s">
        <v>4583</v>
      </c>
    </row>
    <row r="3347" spans="1:9" x14ac:dyDescent="0.3">
      <c r="A3347" t="s">
        <v>5436</v>
      </c>
      <c r="B3347" t="s">
        <v>5544</v>
      </c>
      <c r="C3347" t="s">
        <v>2135</v>
      </c>
      <c r="D3347" t="s">
        <v>144</v>
      </c>
      <c r="E3347" t="s">
        <v>746</v>
      </c>
      <c r="F3347" t="s">
        <v>5660</v>
      </c>
      <c r="H3347" t="s">
        <v>17</v>
      </c>
      <c r="I3347" t="s">
        <v>4583</v>
      </c>
    </row>
    <row r="3348" spans="1:9" x14ac:dyDescent="0.3">
      <c r="A3348" t="s">
        <v>5436</v>
      </c>
      <c r="B3348" t="s">
        <v>5544</v>
      </c>
      <c r="C3348" t="s">
        <v>2135</v>
      </c>
      <c r="D3348" t="s">
        <v>147</v>
      </c>
      <c r="E3348" t="s">
        <v>3621</v>
      </c>
      <c r="F3348" t="s">
        <v>5661</v>
      </c>
      <c r="H3348" t="s">
        <v>17</v>
      </c>
      <c r="I3348" t="s">
        <v>4583</v>
      </c>
    </row>
    <row r="3349" spans="1:9" x14ac:dyDescent="0.3">
      <c r="A3349" t="s">
        <v>5436</v>
      </c>
      <c r="B3349" t="s">
        <v>5544</v>
      </c>
      <c r="C3349" t="s">
        <v>2135</v>
      </c>
      <c r="D3349" t="s">
        <v>152</v>
      </c>
      <c r="E3349" t="s">
        <v>750</v>
      </c>
      <c r="F3349" t="s">
        <v>4841</v>
      </c>
      <c r="H3349" t="s">
        <v>17</v>
      </c>
      <c r="I3349" t="s">
        <v>5662</v>
      </c>
    </row>
    <row r="3350" spans="1:9" x14ac:dyDescent="0.3">
      <c r="A3350" t="s">
        <v>5436</v>
      </c>
      <c r="B3350" t="s">
        <v>5544</v>
      </c>
      <c r="C3350" t="s">
        <v>2135</v>
      </c>
      <c r="D3350" t="s">
        <v>157</v>
      </c>
      <c r="E3350" t="s">
        <v>2291</v>
      </c>
      <c r="F3350" t="s">
        <v>5663</v>
      </c>
      <c r="H3350" t="s">
        <v>17</v>
      </c>
      <c r="I3350" t="s">
        <v>5664</v>
      </c>
    </row>
    <row r="3351" spans="1:9" x14ac:dyDescent="0.3">
      <c r="A3351" t="s">
        <v>5436</v>
      </c>
      <c r="B3351" t="s">
        <v>5544</v>
      </c>
      <c r="C3351" t="s">
        <v>2135</v>
      </c>
      <c r="D3351" t="s">
        <v>162</v>
      </c>
      <c r="E3351" t="s">
        <v>2294</v>
      </c>
      <c r="F3351" t="s">
        <v>5665</v>
      </c>
      <c r="H3351" t="s">
        <v>17</v>
      </c>
      <c r="I3351" t="s">
        <v>4583</v>
      </c>
    </row>
    <row r="3352" spans="1:9" x14ac:dyDescent="0.3">
      <c r="A3352" t="s">
        <v>5436</v>
      </c>
      <c r="B3352" t="s">
        <v>5544</v>
      </c>
      <c r="C3352" t="s">
        <v>2135</v>
      </c>
      <c r="D3352" t="s">
        <v>167</v>
      </c>
      <c r="E3352" t="s">
        <v>2297</v>
      </c>
      <c r="F3352" t="s">
        <v>5666</v>
      </c>
      <c r="H3352" t="s">
        <v>17</v>
      </c>
      <c r="I3352" t="s">
        <v>5667</v>
      </c>
    </row>
    <row r="3353" spans="1:9" x14ac:dyDescent="0.3">
      <c r="A3353" t="s">
        <v>5436</v>
      </c>
      <c r="B3353" t="s">
        <v>5544</v>
      </c>
      <c r="C3353" t="s">
        <v>2135</v>
      </c>
      <c r="D3353" t="s">
        <v>1104</v>
      </c>
      <c r="E3353" t="s">
        <v>763</v>
      </c>
      <c r="F3353" t="s">
        <v>5668</v>
      </c>
      <c r="H3353" t="s">
        <v>17</v>
      </c>
      <c r="I3353" t="s">
        <v>5669</v>
      </c>
    </row>
    <row r="3354" spans="1:9" x14ac:dyDescent="0.3">
      <c r="A3354" t="s">
        <v>5436</v>
      </c>
      <c r="B3354" t="s">
        <v>5544</v>
      </c>
      <c r="C3354" t="s">
        <v>2135</v>
      </c>
      <c r="D3354" t="s">
        <v>182</v>
      </c>
      <c r="E3354" t="s">
        <v>2301</v>
      </c>
      <c r="F3354" t="s">
        <v>5670</v>
      </c>
      <c r="H3354" t="s">
        <v>17</v>
      </c>
      <c r="I3354" t="s">
        <v>5671</v>
      </c>
    </row>
    <row r="3355" spans="1:9" x14ac:dyDescent="0.3">
      <c r="A3355" t="s">
        <v>5436</v>
      </c>
      <c r="B3355" t="s">
        <v>5544</v>
      </c>
      <c r="C3355" t="s">
        <v>2135</v>
      </c>
      <c r="D3355" t="s">
        <v>187</v>
      </c>
      <c r="E3355" t="s">
        <v>773</v>
      </c>
      <c r="F3355" t="s">
        <v>5672</v>
      </c>
      <c r="H3355" t="s">
        <v>17</v>
      </c>
      <c r="I3355" t="s">
        <v>5673</v>
      </c>
    </row>
    <row r="3356" spans="1:9" x14ac:dyDescent="0.3">
      <c r="A3356" t="s">
        <v>5436</v>
      </c>
      <c r="B3356" t="s">
        <v>5544</v>
      </c>
      <c r="C3356" t="s">
        <v>2135</v>
      </c>
      <c r="D3356" t="s">
        <v>193</v>
      </c>
      <c r="E3356" t="s">
        <v>778</v>
      </c>
      <c r="F3356" t="s">
        <v>5674</v>
      </c>
      <c r="H3356" t="s">
        <v>17</v>
      </c>
      <c r="I3356" t="s">
        <v>5675</v>
      </c>
    </row>
    <row r="3357" spans="1:9" x14ac:dyDescent="0.3">
      <c r="A3357" t="s">
        <v>5436</v>
      </c>
      <c r="B3357" t="s">
        <v>5544</v>
      </c>
      <c r="C3357" t="s">
        <v>2135</v>
      </c>
      <c r="D3357" t="s">
        <v>198</v>
      </c>
      <c r="E3357" t="s">
        <v>783</v>
      </c>
      <c r="F3357" t="s">
        <v>5676</v>
      </c>
      <c r="H3357" t="s">
        <v>17</v>
      </c>
      <c r="I3357" t="s">
        <v>4583</v>
      </c>
    </row>
    <row r="3358" spans="1:9" x14ac:dyDescent="0.3">
      <c r="A3358" t="s">
        <v>5436</v>
      </c>
      <c r="B3358" t="s">
        <v>5544</v>
      </c>
      <c r="C3358" t="s">
        <v>2135</v>
      </c>
      <c r="D3358" t="s">
        <v>202</v>
      </c>
      <c r="E3358" t="s">
        <v>2309</v>
      </c>
      <c r="F3358" t="s">
        <v>5677</v>
      </c>
      <c r="H3358" t="s">
        <v>17</v>
      </c>
      <c r="I3358" t="s">
        <v>5678</v>
      </c>
    </row>
    <row r="3359" spans="1:9" x14ac:dyDescent="0.3">
      <c r="A3359" t="s">
        <v>5436</v>
      </c>
      <c r="B3359" t="s">
        <v>5544</v>
      </c>
      <c r="C3359" t="s">
        <v>2135</v>
      </c>
      <c r="D3359" t="s">
        <v>206</v>
      </c>
      <c r="E3359" t="s">
        <v>2312</v>
      </c>
      <c r="F3359" t="s">
        <v>843</v>
      </c>
      <c r="H3359" t="s">
        <v>17</v>
      </c>
      <c r="I3359" t="s">
        <v>5679</v>
      </c>
    </row>
    <row r="3360" spans="1:9" x14ac:dyDescent="0.3">
      <c r="A3360" t="s">
        <v>5436</v>
      </c>
      <c r="B3360" t="s">
        <v>5544</v>
      </c>
      <c r="C3360" t="s">
        <v>2135</v>
      </c>
      <c r="D3360" t="s">
        <v>210</v>
      </c>
      <c r="E3360" t="s">
        <v>2318</v>
      </c>
      <c r="F3360" t="s">
        <v>756</v>
      </c>
      <c r="H3360" t="s">
        <v>17</v>
      </c>
      <c r="I3360" t="s">
        <v>5680</v>
      </c>
    </row>
    <row r="3361" spans="1:9" x14ac:dyDescent="0.3">
      <c r="A3361" t="s">
        <v>5436</v>
      </c>
      <c r="B3361" t="s">
        <v>5544</v>
      </c>
      <c r="C3361" t="s">
        <v>2135</v>
      </c>
      <c r="D3361" t="s">
        <v>214</v>
      </c>
      <c r="E3361" t="s">
        <v>2321</v>
      </c>
      <c r="F3361" t="s">
        <v>5681</v>
      </c>
      <c r="H3361" t="s">
        <v>17</v>
      </c>
      <c r="I3361" t="s">
        <v>5680</v>
      </c>
    </row>
    <row r="3362" spans="1:9" x14ac:dyDescent="0.3">
      <c r="A3362" t="s">
        <v>5436</v>
      </c>
      <c r="B3362" t="s">
        <v>5544</v>
      </c>
      <c r="C3362" t="s">
        <v>2135</v>
      </c>
      <c r="D3362" t="s">
        <v>218</v>
      </c>
      <c r="E3362" t="s">
        <v>2324</v>
      </c>
      <c r="F3362" t="s">
        <v>5682</v>
      </c>
      <c r="H3362" t="s">
        <v>17</v>
      </c>
      <c r="I3362" t="s">
        <v>5683</v>
      </c>
    </row>
    <row r="3363" spans="1:9" x14ac:dyDescent="0.3">
      <c r="A3363" t="s">
        <v>5436</v>
      </c>
      <c r="B3363" t="s">
        <v>5544</v>
      </c>
      <c r="C3363" t="s">
        <v>2135</v>
      </c>
      <c r="D3363" t="s">
        <v>223</v>
      </c>
      <c r="E3363" t="s">
        <v>800</v>
      </c>
      <c r="F3363" t="s">
        <v>5684</v>
      </c>
      <c r="H3363" t="s">
        <v>17</v>
      </c>
      <c r="I3363" t="s">
        <v>5685</v>
      </c>
    </row>
    <row r="3364" spans="1:9" x14ac:dyDescent="0.3">
      <c r="A3364" t="s">
        <v>5436</v>
      </c>
      <c r="B3364" t="s">
        <v>5544</v>
      </c>
      <c r="C3364" t="s">
        <v>2135</v>
      </c>
      <c r="D3364" t="s">
        <v>228</v>
      </c>
      <c r="E3364" t="s">
        <v>5686</v>
      </c>
      <c r="F3364" t="s">
        <v>747</v>
      </c>
      <c r="H3364" t="s">
        <v>17</v>
      </c>
      <c r="I3364" t="s">
        <v>5687</v>
      </c>
    </row>
    <row r="3365" spans="1:9" x14ac:dyDescent="0.3">
      <c r="A3365" t="s">
        <v>5436</v>
      </c>
      <c r="B3365" t="s">
        <v>5544</v>
      </c>
      <c r="C3365" t="s">
        <v>2135</v>
      </c>
      <c r="D3365" t="s">
        <v>233</v>
      </c>
      <c r="E3365" t="s">
        <v>814</v>
      </c>
      <c r="F3365" t="s">
        <v>2926</v>
      </c>
      <c r="H3365" t="s">
        <v>17</v>
      </c>
      <c r="I3365" t="s">
        <v>5688</v>
      </c>
    </row>
    <row r="3366" spans="1:9" x14ac:dyDescent="0.3">
      <c r="A3366" t="s">
        <v>5436</v>
      </c>
      <c r="B3366" t="s">
        <v>5544</v>
      </c>
      <c r="C3366" t="s">
        <v>2135</v>
      </c>
      <c r="D3366" t="s">
        <v>1136</v>
      </c>
      <c r="E3366" t="s">
        <v>819</v>
      </c>
      <c r="F3366" t="s">
        <v>5689</v>
      </c>
      <c r="H3366" t="s">
        <v>17</v>
      </c>
      <c r="I3366" t="s">
        <v>5690</v>
      </c>
    </row>
    <row r="3367" spans="1:9" x14ac:dyDescent="0.3">
      <c r="A3367" t="s">
        <v>5436</v>
      </c>
      <c r="B3367" t="s">
        <v>5544</v>
      </c>
      <c r="C3367" t="s">
        <v>2135</v>
      </c>
      <c r="D3367" t="s">
        <v>1881</v>
      </c>
      <c r="E3367" t="s">
        <v>823</v>
      </c>
      <c r="F3367" t="s">
        <v>5691</v>
      </c>
      <c r="H3367" t="s">
        <v>17</v>
      </c>
      <c r="I3367" t="s">
        <v>5692</v>
      </c>
    </row>
    <row r="3368" spans="1:9" x14ac:dyDescent="0.3">
      <c r="A3368" t="s">
        <v>5436</v>
      </c>
      <c r="B3368" t="s">
        <v>5544</v>
      </c>
      <c r="C3368" t="s">
        <v>2135</v>
      </c>
      <c r="D3368" t="s">
        <v>1885</v>
      </c>
      <c r="E3368" t="s">
        <v>5693</v>
      </c>
      <c r="F3368" t="s">
        <v>2775</v>
      </c>
      <c r="H3368" t="s">
        <v>17</v>
      </c>
      <c r="I3368" t="s">
        <v>5694</v>
      </c>
    </row>
    <row r="3369" spans="1:9" x14ac:dyDescent="0.3">
      <c r="A3369" t="s">
        <v>5436</v>
      </c>
      <c r="B3369" t="s">
        <v>5544</v>
      </c>
      <c r="C3369" t="s">
        <v>2135</v>
      </c>
      <c r="D3369" t="s">
        <v>1588</v>
      </c>
      <c r="E3369" t="s">
        <v>832</v>
      </c>
      <c r="F3369" t="s">
        <v>5695</v>
      </c>
      <c r="H3369" t="s">
        <v>17</v>
      </c>
      <c r="I3369" t="s">
        <v>5696</v>
      </c>
    </row>
    <row r="3370" spans="1:9" x14ac:dyDescent="0.3">
      <c r="A3370" t="s">
        <v>5436</v>
      </c>
      <c r="B3370" t="s">
        <v>5544</v>
      </c>
      <c r="C3370" t="s">
        <v>2135</v>
      </c>
      <c r="D3370" t="s">
        <v>1892</v>
      </c>
      <c r="E3370" t="s">
        <v>837</v>
      </c>
      <c r="F3370" t="s">
        <v>5697</v>
      </c>
      <c r="H3370" t="s">
        <v>17</v>
      </c>
      <c r="I3370" t="s">
        <v>5698</v>
      </c>
    </row>
    <row r="3371" spans="1:9" x14ac:dyDescent="0.3">
      <c r="A3371" t="s">
        <v>5436</v>
      </c>
      <c r="B3371" t="s">
        <v>5544</v>
      </c>
      <c r="C3371" t="s">
        <v>2135</v>
      </c>
      <c r="D3371" t="s">
        <v>1146</v>
      </c>
      <c r="E3371" t="s">
        <v>847</v>
      </c>
      <c r="F3371" t="s">
        <v>5699</v>
      </c>
      <c r="H3371" t="s">
        <v>17</v>
      </c>
      <c r="I3371" t="s">
        <v>5694</v>
      </c>
    </row>
    <row r="3372" spans="1:9" x14ac:dyDescent="0.3">
      <c r="A3372" t="s">
        <v>5436</v>
      </c>
      <c r="B3372" t="s">
        <v>5544</v>
      </c>
      <c r="C3372" t="s">
        <v>2135</v>
      </c>
      <c r="D3372" t="s">
        <v>1150</v>
      </c>
      <c r="E3372" t="s">
        <v>5700</v>
      </c>
      <c r="F3372" t="s">
        <v>5701</v>
      </c>
      <c r="H3372" t="s">
        <v>17</v>
      </c>
      <c r="I3372" t="s">
        <v>5702</v>
      </c>
    </row>
    <row r="3373" spans="1:9" x14ac:dyDescent="0.3">
      <c r="A3373" t="s">
        <v>5436</v>
      </c>
      <c r="B3373" t="s">
        <v>5544</v>
      </c>
      <c r="C3373" t="s">
        <v>2135</v>
      </c>
      <c r="D3373" t="s">
        <v>1189</v>
      </c>
      <c r="E3373" t="s">
        <v>851</v>
      </c>
      <c r="F3373" t="s">
        <v>5520</v>
      </c>
      <c r="H3373" t="s">
        <v>17</v>
      </c>
    </row>
    <row r="3374" spans="1:9" x14ac:dyDescent="0.3">
      <c r="A3374" t="s">
        <v>5436</v>
      </c>
      <c r="B3374" t="s">
        <v>5544</v>
      </c>
      <c r="C3374" t="s">
        <v>2135</v>
      </c>
      <c r="D3374" t="s">
        <v>273</v>
      </c>
      <c r="E3374" t="s">
        <v>5703</v>
      </c>
      <c r="F3374" t="s">
        <v>5521</v>
      </c>
      <c r="H3374" t="s">
        <v>17</v>
      </c>
      <c r="I3374" t="s">
        <v>5522</v>
      </c>
    </row>
    <row r="3375" spans="1:9" x14ac:dyDescent="0.3">
      <c r="A3375" t="s">
        <v>5704</v>
      </c>
      <c r="E3375" t="s">
        <v>10</v>
      </c>
      <c r="F3375" t="s">
        <v>5705</v>
      </c>
    </row>
    <row r="3376" spans="1:9" x14ac:dyDescent="0.3">
      <c r="A3376" t="s">
        <v>5704</v>
      </c>
      <c r="C3376" t="s">
        <v>13</v>
      </c>
      <c r="D3376" t="s">
        <v>13</v>
      </c>
      <c r="E3376" t="s">
        <v>1518</v>
      </c>
      <c r="F3376" t="s">
        <v>5520</v>
      </c>
      <c r="H3376" t="s">
        <v>17</v>
      </c>
    </row>
    <row r="3377" spans="1:9" x14ac:dyDescent="0.3">
      <c r="A3377" t="s">
        <v>5704</v>
      </c>
      <c r="C3377" t="s">
        <v>13</v>
      </c>
      <c r="D3377" t="s">
        <v>2948</v>
      </c>
      <c r="E3377" t="s">
        <v>2671</v>
      </c>
      <c r="F3377" t="s">
        <v>5706</v>
      </c>
      <c r="H3377" t="s">
        <v>17</v>
      </c>
    </row>
    <row r="3378" spans="1:9" x14ac:dyDescent="0.3">
      <c r="A3378" t="s">
        <v>5704</v>
      </c>
      <c r="C3378" t="s">
        <v>13</v>
      </c>
      <c r="D3378" t="s">
        <v>996</v>
      </c>
      <c r="E3378" t="s">
        <v>2676</v>
      </c>
      <c r="F3378" t="s">
        <v>5440</v>
      </c>
      <c r="H3378" t="s">
        <v>17</v>
      </c>
      <c r="I3378" t="s">
        <v>5439</v>
      </c>
    </row>
    <row r="3379" spans="1:9" x14ac:dyDescent="0.3">
      <c r="A3379" t="s">
        <v>5704</v>
      </c>
      <c r="C3379" t="s">
        <v>13</v>
      </c>
      <c r="D3379" t="s">
        <v>1001</v>
      </c>
      <c r="E3379" t="s">
        <v>2679</v>
      </c>
      <c r="F3379" t="s">
        <v>5443</v>
      </c>
      <c r="H3379" t="s">
        <v>17</v>
      </c>
      <c r="I3379" t="s">
        <v>5444</v>
      </c>
    </row>
    <row r="3380" spans="1:9" x14ac:dyDescent="0.3">
      <c r="A3380" t="s">
        <v>5704</v>
      </c>
      <c r="C3380" t="s">
        <v>13</v>
      </c>
      <c r="D3380" t="s">
        <v>1942</v>
      </c>
      <c r="E3380" t="s">
        <v>23</v>
      </c>
      <c r="F3380" t="s">
        <v>1644</v>
      </c>
      <c r="H3380" t="s">
        <v>17</v>
      </c>
      <c r="I3380" t="s">
        <v>5445</v>
      </c>
    </row>
    <row r="3381" spans="1:9" x14ac:dyDescent="0.3">
      <c r="A3381" t="s">
        <v>5704</v>
      </c>
      <c r="C3381" t="s">
        <v>13</v>
      </c>
      <c r="D3381" t="s">
        <v>22</v>
      </c>
      <c r="E3381" t="s">
        <v>33</v>
      </c>
      <c r="F3381" t="s">
        <v>5707</v>
      </c>
      <c r="H3381" t="s">
        <v>17</v>
      </c>
      <c r="I3381" t="s">
        <v>5708</v>
      </c>
    </row>
    <row r="3382" spans="1:9" x14ac:dyDescent="0.3">
      <c r="A3382" t="s">
        <v>5704</v>
      </c>
      <c r="C3382" t="s">
        <v>13</v>
      </c>
      <c r="D3382" t="s">
        <v>27</v>
      </c>
      <c r="E3382" t="s">
        <v>2687</v>
      </c>
      <c r="F3382" t="s">
        <v>5709</v>
      </c>
      <c r="H3382" t="s">
        <v>17</v>
      </c>
      <c r="I3382" t="s">
        <v>5710</v>
      </c>
    </row>
    <row r="3383" spans="1:9" x14ac:dyDescent="0.3">
      <c r="A3383" t="s">
        <v>5704</v>
      </c>
      <c r="C3383" t="s">
        <v>13</v>
      </c>
      <c r="D3383" t="s">
        <v>1014</v>
      </c>
      <c r="E3383" t="s">
        <v>42</v>
      </c>
      <c r="F3383" t="s">
        <v>5711</v>
      </c>
      <c r="H3383" t="s">
        <v>17</v>
      </c>
      <c r="I3383" t="s">
        <v>5473</v>
      </c>
    </row>
    <row r="3384" spans="1:9" x14ac:dyDescent="0.3">
      <c r="A3384" t="s">
        <v>5704</v>
      </c>
      <c r="C3384" t="s">
        <v>13</v>
      </c>
      <c r="D3384" t="s">
        <v>1017</v>
      </c>
      <c r="E3384" t="s">
        <v>46</v>
      </c>
      <c r="F3384" t="s">
        <v>5474</v>
      </c>
      <c r="H3384" t="s">
        <v>17</v>
      </c>
      <c r="I3384" t="s">
        <v>5473</v>
      </c>
    </row>
    <row r="3385" spans="1:9" x14ac:dyDescent="0.3">
      <c r="A3385" t="s">
        <v>5704</v>
      </c>
      <c r="C3385" t="s">
        <v>13</v>
      </c>
      <c r="D3385" t="s">
        <v>36</v>
      </c>
      <c r="E3385" t="s">
        <v>51</v>
      </c>
      <c r="F3385" t="s">
        <v>5475</v>
      </c>
      <c r="H3385" t="s">
        <v>17</v>
      </c>
      <c r="I3385" t="s">
        <v>5473</v>
      </c>
    </row>
    <row r="3386" spans="1:9" x14ac:dyDescent="0.3">
      <c r="A3386" t="s">
        <v>5704</v>
      </c>
      <c r="C3386" t="s">
        <v>13</v>
      </c>
      <c r="D3386" t="s">
        <v>41</v>
      </c>
      <c r="E3386" t="s">
        <v>57</v>
      </c>
      <c r="F3386" t="s">
        <v>5476</v>
      </c>
      <c r="H3386" t="s">
        <v>17</v>
      </c>
      <c r="I3386" t="s">
        <v>5477</v>
      </c>
    </row>
    <row r="3387" spans="1:9" x14ac:dyDescent="0.3">
      <c r="A3387" t="s">
        <v>5704</v>
      </c>
      <c r="C3387" t="s">
        <v>13</v>
      </c>
      <c r="D3387" t="s">
        <v>45</v>
      </c>
      <c r="E3387" t="s">
        <v>62</v>
      </c>
      <c r="F3387" t="s">
        <v>5478</v>
      </c>
      <c r="H3387" t="s">
        <v>17</v>
      </c>
      <c r="I3387" t="s">
        <v>5712</v>
      </c>
    </row>
    <row r="3388" spans="1:9" x14ac:dyDescent="0.3">
      <c r="A3388" t="s">
        <v>5704</v>
      </c>
      <c r="C3388" t="s">
        <v>13</v>
      </c>
      <c r="D3388" t="s">
        <v>2238</v>
      </c>
      <c r="E3388" t="s">
        <v>72</v>
      </c>
      <c r="F3388" t="s">
        <v>5521</v>
      </c>
      <c r="H3388" t="s">
        <v>17</v>
      </c>
      <c r="I3388" t="s">
        <v>5713</v>
      </c>
    </row>
    <row r="3389" spans="1:9" x14ac:dyDescent="0.3">
      <c r="A3389" t="s">
        <v>5704</v>
      </c>
      <c r="C3389" t="s">
        <v>1936</v>
      </c>
      <c r="D3389" t="s">
        <v>13</v>
      </c>
      <c r="E3389" t="s">
        <v>5714</v>
      </c>
      <c r="F3389" t="s">
        <v>5520</v>
      </c>
      <c r="H3389" t="s">
        <v>17</v>
      </c>
    </row>
    <row r="3390" spans="1:9" x14ac:dyDescent="0.3">
      <c r="A3390" t="s">
        <v>5704</v>
      </c>
      <c r="C3390" t="s">
        <v>1936</v>
      </c>
      <c r="D3390" t="s">
        <v>996</v>
      </c>
      <c r="E3390" t="s">
        <v>4226</v>
      </c>
      <c r="F3390" t="s">
        <v>5483</v>
      </c>
      <c r="H3390" t="s">
        <v>17</v>
      </c>
      <c r="I3390" t="s">
        <v>5473</v>
      </c>
    </row>
    <row r="3391" spans="1:9" x14ac:dyDescent="0.3">
      <c r="A3391" t="s">
        <v>5704</v>
      </c>
      <c r="C3391" t="s">
        <v>1936</v>
      </c>
      <c r="D3391" t="s">
        <v>1001</v>
      </c>
      <c r="E3391" t="s">
        <v>3365</v>
      </c>
      <c r="F3391" t="s">
        <v>5484</v>
      </c>
      <c r="H3391" t="s">
        <v>17</v>
      </c>
      <c r="I3391" t="s">
        <v>5473</v>
      </c>
    </row>
    <row r="3392" spans="1:9" x14ac:dyDescent="0.3">
      <c r="A3392" t="s">
        <v>5704</v>
      </c>
      <c r="C3392" t="s">
        <v>1936</v>
      </c>
      <c r="D3392" t="s">
        <v>1942</v>
      </c>
      <c r="E3392" t="s">
        <v>377</v>
      </c>
      <c r="F3392" t="s">
        <v>5485</v>
      </c>
      <c r="H3392" t="s">
        <v>17</v>
      </c>
      <c r="I3392" t="s">
        <v>5473</v>
      </c>
    </row>
    <row r="3393" spans="1:9" x14ac:dyDescent="0.3">
      <c r="A3393" t="s">
        <v>5704</v>
      </c>
      <c r="C3393" t="s">
        <v>1936</v>
      </c>
      <c r="D3393" t="s">
        <v>22</v>
      </c>
      <c r="E3393" t="s">
        <v>1638</v>
      </c>
      <c r="F3393" t="s">
        <v>5476</v>
      </c>
      <c r="H3393" t="s">
        <v>17</v>
      </c>
      <c r="I3393" t="s">
        <v>5715</v>
      </c>
    </row>
    <row r="3394" spans="1:9" x14ac:dyDescent="0.3">
      <c r="A3394" t="s">
        <v>5704</v>
      </c>
      <c r="C3394" t="s">
        <v>1936</v>
      </c>
      <c r="D3394" t="s">
        <v>27</v>
      </c>
      <c r="E3394" t="s">
        <v>1640</v>
      </c>
      <c r="F3394" t="s">
        <v>5478</v>
      </c>
      <c r="H3394" t="s">
        <v>17</v>
      </c>
      <c r="I3394" t="s">
        <v>5712</v>
      </c>
    </row>
    <row r="3395" spans="1:9" x14ac:dyDescent="0.3">
      <c r="A3395" t="s">
        <v>5704</v>
      </c>
      <c r="C3395" t="s">
        <v>1936</v>
      </c>
      <c r="D3395" t="s">
        <v>1014</v>
      </c>
      <c r="E3395" t="s">
        <v>388</v>
      </c>
      <c r="F3395" t="s">
        <v>5494</v>
      </c>
      <c r="H3395" t="s">
        <v>17</v>
      </c>
      <c r="I3395" t="s">
        <v>5491</v>
      </c>
    </row>
    <row r="3396" spans="1:9" x14ac:dyDescent="0.3">
      <c r="A3396" t="s">
        <v>5704</v>
      </c>
      <c r="C3396" t="s">
        <v>1936</v>
      </c>
      <c r="D3396" t="s">
        <v>1017</v>
      </c>
      <c r="E3396" t="s">
        <v>1647</v>
      </c>
      <c r="F3396" t="s">
        <v>5716</v>
      </c>
      <c r="H3396" t="s">
        <v>17</v>
      </c>
      <c r="I3396" t="s">
        <v>5717</v>
      </c>
    </row>
    <row r="3397" spans="1:9" x14ac:dyDescent="0.3">
      <c r="A3397" t="s">
        <v>5704</v>
      </c>
      <c r="C3397" t="s">
        <v>1936</v>
      </c>
      <c r="D3397" t="s">
        <v>36</v>
      </c>
      <c r="E3397" t="s">
        <v>1653</v>
      </c>
      <c r="F3397" t="s">
        <v>5500</v>
      </c>
      <c r="H3397" t="s">
        <v>17</v>
      </c>
      <c r="I3397" t="s">
        <v>5718</v>
      </c>
    </row>
    <row r="3398" spans="1:9" x14ac:dyDescent="0.3">
      <c r="A3398" t="s">
        <v>5704</v>
      </c>
      <c r="C3398" t="s">
        <v>1936</v>
      </c>
      <c r="D3398" t="s">
        <v>41</v>
      </c>
      <c r="E3398" t="s">
        <v>1656</v>
      </c>
      <c r="F3398" t="s">
        <v>5719</v>
      </c>
      <c r="H3398" t="s">
        <v>17</v>
      </c>
      <c r="I3398" t="s">
        <v>5532</v>
      </c>
    </row>
    <row r="3399" spans="1:9" x14ac:dyDescent="0.3">
      <c r="A3399" t="s">
        <v>5704</v>
      </c>
      <c r="C3399" t="s">
        <v>1936</v>
      </c>
      <c r="D3399" t="s">
        <v>45</v>
      </c>
      <c r="E3399" t="s">
        <v>398</v>
      </c>
      <c r="F3399" t="s">
        <v>5720</v>
      </c>
      <c r="H3399" t="s">
        <v>17</v>
      </c>
      <c r="I3399" t="s">
        <v>5539</v>
      </c>
    </row>
    <row r="3400" spans="1:9" x14ac:dyDescent="0.3">
      <c r="A3400" t="s">
        <v>5704</v>
      </c>
      <c r="C3400" t="s">
        <v>1936</v>
      </c>
      <c r="D3400" t="s">
        <v>50</v>
      </c>
      <c r="E3400" t="s">
        <v>401</v>
      </c>
      <c r="F3400" t="s">
        <v>5540</v>
      </c>
      <c r="H3400" t="s">
        <v>17</v>
      </c>
      <c r="I3400" t="s">
        <v>5541</v>
      </c>
    </row>
    <row r="3401" spans="1:9" x14ac:dyDescent="0.3">
      <c r="A3401" t="s">
        <v>5704</v>
      </c>
      <c r="C3401" t="s">
        <v>1936</v>
      </c>
      <c r="D3401" t="s">
        <v>53</v>
      </c>
      <c r="E3401" t="s">
        <v>1663</v>
      </c>
      <c r="F3401" t="s">
        <v>5721</v>
      </c>
      <c r="H3401" t="s">
        <v>17</v>
      </c>
      <c r="I3401" t="s">
        <v>5543</v>
      </c>
    </row>
    <row r="3402" spans="1:9" x14ac:dyDescent="0.3">
      <c r="A3402" t="s">
        <v>5704</v>
      </c>
      <c r="C3402" t="s">
        <v>1936</v>
      </c>
      <c r="D3402" t="s">
        <v>56</v>
      </c>
      <c r="E3402" t="s">
        <v>3382</v>
      </c>
      <c r="F3402" t="s">
        <v>5553</v>
      </c>
      <c r="H3402" t="s">
        <v>17</v>
      </c>
      <c r="I3402" t="s">
        <v>5554</v>
      </c>
    </row>
    <row r="3403" spans="1:9" x14ac:dyDescent="0.3">
      <c r="A3403" t="s">
        <v>5704</v>
      </c>
      <c r="C3403" t="s">
        <v>1936</v>
      </c>
      <c r="D3403" t="s">
        <v>4674</v>
      </c>
      <c r="E3403" t="s">
        <v>407</v>
      </c>
      <c r="F3403" t="s">
        <v>5555</v>
      </c>
      <c r="H3403" t="s">
        <v>17</v>
      </c>
      <c r="I3403" t="s">
        <v>5722</v>
      </c>
    </row>
    <row r="3404" spans="1:9" x14ac:dyDescent="0.3">
      <c r="A3404" t="s">
        <v>5704</v>
      </c>
      <c r="C3404" t="s">
        <v>1936</v>
      </c>
      <c r="D3404" t="s">
        <v>2168</v>
      </c>
      <c r="E3404" t="s">
        <v>1670</v>
      </c>
      <c r="F3404" t="s">
        <v>5557</v>
      </c>
      <c r="H3404" t="s">
        <v>17</v>
      </c>
      <c r="I3404" t="s">
        <v>5723</v>
      </c>
    </row>
    <row r="3405" spans="1:9" x14ac:dyDescent="0.3">
      <c r="A3405" t="s">
        <v>5704</v>
      </c>
      <c r="C3405" t="s">
        <v>1936</v>
      </c>
      <c r="D3405" t="s">
        <v>76</v>
      </c>
      <c r="E3405" t="s">
        <v>411</v>
      </c>
      <c r="F3405" t="s">
        <v>5559</v>
      </c>
      <c r="H3405" t="s">
        <v>17</v>
      </c>
      <c r="I3405" t="s">
        <v>5724</v>
      </c>
    </row>
    <row r="3406" spans="1:9" x14ac:dyDescent="0.3">
      <c r="A3406" t="s">
        <v>5704</v>
      </c>
      <c r="C3406" t="s">
        <v>1936</v>
      </c>
      <c r="D3406" t="s">
        <v>1792</v>
      </c>
      <c r="E3406" t="s">
        <v>421</v>
      </c>
      <c r="F3406" t="s">
        <v>5725</v>
      </c>
      <c r="H3406" t="s">
        <v>17</v>
      </c>
      <c r="I3406" t="s">
        <v>5726</v>
      </c>
    </row>
    <row r="3407" spans="1:9" x14ac:dyDescent="0.3">
      <c r="A3407" t="s">
        <v>5704</v>
      </c>
      <c r="C3407" t="s">
        <v>1936</v>
      </c>
      <c r="D3407" t="s">
        <v>90</v>
      </c>
      <c r="E3407" t="s">
        <v>427</v>
      </c>
      <c r="F3407" t="s">
        <v>5727</v>
      </c>
      <c r="H3407" t="s">
        <v>17</v>
      </c>
      <c r="I3407" t="s">
        <v>5564</v>
      </c>
    </row>
    <row r="3408" spans="1:9" x14ac:dyDescent="0.3">
      <c r="A3408" t="s">
        <v>5704</v>
      </c>
      <c r="C3408" t="s">
        <v>1936</v>
      </c>
      <c r="D3408" t="s">
        <v>95</v>
      </c>
      <c r="E3408" t="s">
        <v>430</v>
      </c>
      <c r="F3408" t="s">
        <v>5565</v>
      </c>
      <c r="H3408" t="s">
        <v>17</v>
      </c>
      <c r="I3408" t="s">
        <v>5564</v>
      </c>
    </row>
    <row r="3409" spans="1:9" x14ac:dyDescent="0.3">
      <c r="A3409" t="s">
        <v>5704</v>
      </c>
      <c r="C3409" t="s">
        <v>1936</v>
      </c>
      <c r="D3409" t="s">
        <v>100</v>
      </c>
      <c r="E3409" t="s">
        <v>433</v>
      </c>
      <c r="F3409" t="s">
        <v>5566</v>
      </c>
      <c r="H3409" t="s">
        <v>17</v>
      </c>
      <c r="I3409" t="s">
        <v>5728</v>
      </c>
    </row>
    <row r="3410" spans="1:9" x14ac:dyDescent="0.3">
      <c r="A3410" t="s">
        <v>5704</v>
      </c>
      <c r="C3410" t="s">
        <v>1936</v>
      </c>
      <c r="D3410" t="s">
        <v>1556</v>
      </c>
      <c r="E3410" t="s">
        <v>439</v>
      </c>
      <c r="F3410" t="s">
        <v>5729</v>
      </c>
      <c r="H3410" t="s">
        <v>17</v>
      </c>
      <c r="I3410" t="s">
        <v>5730</v>
      </c>
    </row>
    <row r="3411" spans="1:9" x14ac:dyDescent="0.3">
      <c r="A3411" t="s">
        <v>5704</v>
      </c>
      <c r="C3411" t="s">
        <v>1936</v>
      </c>
      <c r="D3411" t="s">
        <v>114</v>
      </c>
      <c r="E3411" t="s">
        <v>445</v>
      </c>
      <c r="F3411" t="s">
        <v>5731</v>
      </c>
      <c r="H3411" t="s">
        <v>17</v>
      </c>
      <c r="I3411" t="s">
        <v>5732</v>
      </c>
    </row>
    <row r="3412" spans="1:9" x14ac:dyDescent="0.3">
      <c r="A3412" t="s">
        <v>5704</v>
      </c>
      <c r="C3412" t="s">
        <v>1936</v>
      </c>
      <c r="D3412" t="s">
        <v>117</v>
      </c>
      <c r="E3412" t="s">
        <v>454</v>
      </c>
      <c r="F3412" t="s">
        <v>5569</v>
      </c>
      <c r="H3412" t="s">
        <v>17</v>
      </c>
      <c r="I3412" t="s">
        <v>5733</v>
      </c>
    </row>
    <row r="3413" spans="1:9" x14ac:dyDescent="0.3">
      <c r="A3413" t="s">
        <v>5704</v>
      </c>
      <c r="C3413" t="s">
        <v>1936</v>
      </c>
      <c r="D3413" t="s">
        <v>2188</v>
      </c>
      <c r="E3413" t="s">
        <v>458</v>
      </c>
      <c r="F3413" t="s">
        <v>5571</v>
      </c>
      <c r="H3413" t="s">
        <v>17</v>
      </c>
      <c r="I3413" t="s">
        <v>5734</v>
      </c>
    </row>
    <row r="3414" spans="1:9" x14ac:dyDescent="0.3">
      <c r="A3414" t="s">
        <v>5704</v>
      </c>
      <c r="C3414" t="s">
        <v>1936</v>
      </c>
      <c r="D3414" t="s">
        <v>2189</v>
      </c>
      <c r="E3414" t="s">
        <v>465</v>
      </c>
      <c r="F3414" t="s">
        <v>5573</v>
      </c>
      <c r="H3414" t="s">
        <v>17</v>
      </c>
      <c r="I3414" t="s">
        <v>5735</v>
      </c>
    </row>
    <row r="3415" spans="1:9" x14ac:dyDescent="0.3">
      <c r="A3415" t="s">
        <v>5704</v>
      </c>
      <c r="C3415" t="s">
        <v>1936</v>
      </c>
      <c r="D3415" t="s">
        <v>135</v>
      </c>
      <c r="E3415" t="s">
        <v>469</v>
      </c>
      <c r="F3415" t="s">
        <v>5736</v>
      </c>
      <c r="H3415" t="s">
        <v>17</v>
      </c>
      <c r="I3415" t="s">
        <v>5737</v>
      </c>
    </row>
    <row r="3416" spans="1:9" x14ac:dyDescent="0.3">
      <c r="A3416" t="s">
        <v>5704</v>
      </c>
      <c r="C3416" t="s">
        <v>1936</v>
      </c>
      <c r="D3416" t="s">
        <v>138</v>
      </c>
      <c r="E3416" t="s">
        <v>476</v>
      </c>
      <c r="F3416" t="s">
        <v>5577</v>
      </c>
      <c r="H3416" t="s">
        <v>17</v>
      </c>
      <c r="I3416" t="s">
        <v>5738</v>
      </c>
    </row>
    <row r="3417" spans="1:9" x14ac:dyDescent="0.3">
      <c r="A3417" t="s">
        <v>5704</v>
      </c>
      <c r="C3417" t="s">
        <v>1936</v>
      </c>
      <c r="D3417" t="s">
        <v>141</v>
      </c>
      <c r="E3417" t="s">
        <v>479</v>
      </c>
      <c r="F3417" t="s">
        <v>5739</v>
      </c>
      <c r="H3417" t="s">
        <v>17</v>
      </c>
      <c r="I3417" t="s">
        <v>5580</v>
      </c>
    </row>
    <row r="3418" spans="1:9" x14ac:dyDescent="0.3">
      <c r="A3418" t="s">
        <v>5704</v>
      </c>
      <c r="C3418" t="s">
        <v>1936</v>
      </c>
      <c r="D3418" t="s">
        <v>144</v>
      </c>
      <c r="E3418" t="s">
        <v>486</v>
      </c>
      <c r="F3418" t="s">
        <v>5740</v>
      </c>
      <c r="H3418" t="s">
        <v>17</v>
      </c>
      <c r="I3418" t="s">
        <v>5741</v>
      </c>
    </row>
    <row r="3419" spans="1:9" x14ac:dyDescent="0.3">
      <c r="A3419" t="s">
        <v>5704</v>
      </c>
      <c r="C3419" t="s">
        <v>1936</v>
      </c>
      <c r="D3419" t="s">
        <v>147</v>
      </c>
      <c r="E3419" t="s">
        <v>490</v>
      </c>
      <c r="F3419" t="s">
        <v>5742</v>
      </c>
      <c r="H3419" t="s">
        <v>17</v>
      </c>
      <c r="I3419" t="s">
        <v>5584</v>
      </c>
    </row>
    <row r="3420" spans="1:9" x14ac:dyDescent="0.3">
      <c r="A3420" t="s">
        <v>5704</v>
      </c>
      <c r="C3420" t="s">
        <v>1936</v>
      </c>
      <c r="D3420" t="s">
        <v>152</v>
      </c>
      <c r="E3420" t="s">
        <v>497</v>
      </c>
      <c r="F3420" t="s">
        <v>5585</v>
      </c>
      <c r="H3420" t="s">
        <v>17</v>
      </c>
      <c r="I3420" t="s">
        <v>5586</v>
      </c>
    </row>
    <row r="3421" spans="1:9" x14ac:dyDescent="0.3">
      <c r="A3421" t="s">
        <v>5704</v>
      </c>
      <c r="C3421" t="s">
        <v>1936</v>
      </c>
      <c r="D3421" t="s">
        <v>157</v>
      </c>
      <c r="E3421" t="s">
        <v>500</v>
      </c>
      <c r="F3421" t="s">
        <v>5743</v>
      </c>
      <c r="H3421" t="s">
        <v>17</v>
      </c>
      <c r="I3421" t="s">
        <v>5588</v>
      </c>
    </row>
    <row r="3422" spans="1:9" x14ac:dyDescent="0.3">
      <c r="A3422" t="s">
        <v>5704</v>
      </c>
      <c r="C3422" t="s">
        <v>1936</v>
      </c>
      <c r="D3422" t="s">
        <v>1100</v>
      </c>
      <c r="E3422" t="s">
        <v>508</v>
      </c>
      <c r="F3422" t="s">
        <v>5589</v>
      </c>
      <c r="H3422" t="s">
        <v>17</v>
      </c>
      <c r="I3422" t="s">
        <v>5744</v>
      </c>
    </row>
    <row r="3423" spans="1:9" x14ac:dyDescent="0.3">
      <c r="A3423" t="s">
        <v>5704</v>
      </c>
      <c r="C3423" t="s">
        <v>1936</v>
      </c>
      <c r="D3423" t="s">
        <v>172</v>
      </c>
      <c r="E3423" t="s">
        <v>512</v>
      </c>
      <c r="F3423" t="s">
        <v>5736</v>
      </c>
      <c r="H3423" t="s">
        <v>17</v>
      </c>
      <c r="I3423" t="s">
        <v>5576</v>
      </c>
    </row>
    <row r="3424" spans="1:9" x14ac:dyDescent="0.3">
      <c r="A3424" t="s">
        <v>5704</v>
      </c>
      <c r="C3424" t="s">
        <v>1936</v>
      </c>
      <c r="D3424" t="s">
        <v>177</v>
      </c>
      <c r="E3424" t="s">
        <v>515</v>
      </c>
      <c r="F3424" t="s">
        <v>5592</v>
      </c>
      <c r="H3424" t="s">
        <v>17</v>
      </c>
      <c r="I3424" t="s">
        <v>5745</v>
      </c>
    </row>
    <row r="3425" spans="1:9" x14ac:dyDescent="0.3">
      <c r="A3425" t="s">
        <v>5704</v>
      </c>
      <c r="C3425" t="s">
        <v>1936</v>
      </c>
      <c r="D3425" t="s">
        <v>1109</v>
      </c>
      <c r="E3425" t="s">
        <v>522</v>
      </c>
      <c r="F3425" t="s">
        <v>5594</v>
      </c>
      <c r="H3425" t="s">
        <v>17</v>
      </c>
      <c r="I3425" t="s">
        <v>5746</v>
      </c>
    </row>
    <row r="3426" spans="1:9" x14ac:dyDescent="0.3">
      <c r="A3426" t="s">
        <v>5704</v>
      </c>
      <c r="C3426" t="s">
        <v>1936</v>
      </c>
      <c r="D3426" t="s">
        <v>1114</v>
      </c>
      <c r="E3426" t="s">
        <v>526</v>
      </c>
      <c r="F3426" t="s">
        <v>5596</v>
      </c>
      <c r="H3426" t="s">
        <v>17</v>
      </c>
      <c r="I3426" t="s">
        <v>5747</v>
      </c>
    </row>
    <row r="3427" spans="1:9" x14ac:dyDescent="0.3">
      <c r="A3427" t="s">
        <v>5704</v>
      </c>
      <c r="C3427" t="s">
        <v>1936</v>
      </c>
      <c r="D3427" t="s">
        <v>1118</v>
      </c>
      <c r="E3427" t="s">
        <v>533</v>
      </c>
      <c r="F3427" t="s">
        <v>5598</v>
      </c>
      <c r="H3427" t="s">
        <v>17</v>
      </c>
      <c r="I3427" t="s">
        <v>5748</v>
      </c>
    </row>
    <row r="3428" spans="1:9" x14ac:dyDescent="0.3">
      <c r="A3428" t="s">
        <v>5704</v>
      </c>
      <c r="C3428" t="s">
        <v>1936</v>
      </c>
      <c r="D3428" t="s">
        <v>1123</v>
      </c>
      <c r="E3428" t="s">
        <v>536</v>
      </c>
      <c r="F3428" t="s">
        <v>5600</v>
      </c>
      <c r="H3428" t="s">
        <v>17</v>
      </c>
      <c r="I3428" t="s">
        <v>5749</v>
      </c>
    </row>
    <row r="3429" spans="1:9" x14ac:dyDescent="0.3">
      <c r="A3429" t="s">
        <v>5704</v>
      </c>
      <c r="C3429" t="s">
        <v>1936</v>
      </c>
      <c r="D3429" t="s">
        <v>1127</v>
      </c>
      <c r="E3429" t="s">
        <v>546</v>
      </c>
      <c r="F3429" t="s">
        <v>5601</v>
      </c>
      <c r="H3429" t="s">
        <v>17</v>
      </c>
      <c r="I3429" t="s">
        <v>5750</v>
      </c>
    </row>
    <row r="3430" spans="1:9" x14ac:dyDescent="0.3">
      <c r="A3430" t="s">
        <v>5704</v>
      </c>
      <c r="C3430" t="s">
        <v>1936</v>
      </c>
      <c r="D3430" t="s">
        <v>1131</v>
      </c>
      <c r="E3430" t="s">
        <v>551</v>
      </c>
      <c r="F3430" t="s">
        <v>5603</v>
      </c>
      <c r="H3430" t="s">
        <v>17</v>
      </c>
      <c r="I3430" t="s">
        <v>5751</v>
      </c>
    </row>
    <row r="3431" spans="1:9" x14ac:dyDescent="0.3">
      <c r="A3431" t="s">
        <v>5704</v>
      </c>
      <c r="C3431" t="s">
        <v>1936</v>
      </c>
      <c r="D3431" t="s">
        <v>236</v>
      </c>
      <c r="E3431" t="s">
        <v>1712</v>
      </c>
      <c r="F3431" t="s">
        <v>5605</v>
      </c>
      <c r="H3431" t="s">
        <v>17</v>
      </c>
      <c r="I3431" t="s">
        <v>5752</v>
      </c>
    </row>
    <row r="3432" spans="1:9" x14ac:dyDescent="0.3">
      <c r="A3432" t="s">
        <v>5704</v>
      </c>
      <c r="C3432" t="s">
        <v>1936</v>
      </c>
      <c r="D3432" t="s">
        <v>239</v>
      </c>
      <c r="E3432" t="s">
        <v>560</v>
      </c>
      <c r="F3432" t="s">
        <v>5753</v>
      </c>
      <c r="H3432" t="s">
        <v>17</v>
      </c>
      <c r="I3432" t="s">
        <v>5752</v>
      </c>
    </row>
    <row r="3433" spans="1:9" x14ac:dyDescent="0.3">
      <c r="A3433" t="s">
        <v>5704</v>
      </c>
      <c r="C3433" t="s">
        <v>1936</v>
      </c>
      <c r="D3433" t="s">
        <v>1881</v>
      </c>
      <c r="E3433" t="s">
        <v>1717</v>
      </c>
      <c r="F3433" t="s">
        <v>5608</v>
      </c>
      <c r="H3433" t="s">
        <v>17</v>
      </c>
      <c r="I3433" t="s">
        <v>5752</v>
      </c>
    </row>
    <row r="3434" spans="1:9" x14ac:dyDescent="0.3">
      <c r="A3434" t="s">
        <v>5704</v>
      </c>
      <c r="C3434" t="s">
        <v>1936</v>
      </c>
      <c r="D3434" t="s">
        <v>1885</v>
      </c>
      <c r="E3434" t="s">
        <v>575</v>
      </c>
      <c r="F3434" t="s">
        <v>5609</v>
      </c>
      <c r="H3434" t="s">
        <v>17</v>
      </c>
      <c r="I3434" t="s">
        <v>5754</v>
      </c>
    </row>
    <row r="3435" spans="1:9" x14ac:dyDescent="0.3">
      <c r="A3435" t="s">
        <v>5704</v>
      </c>
      <c r="C3435" t="s">
        <v>1936</v>
      </c>
      <c r="D3435" t="s">
        <v>1588</v>
      </c>
      <c r="E3435" t="s">
        <v>580</v>
      </c>
      <c r="F3435" t="s">
        <v>5611</v>
      </c>
      <c r="H3435" t="s">
        <v>17</v>
      </c>
      <c r="I3435" t="s">
        <v>5755</v>
      </c>
    </row>
    <row r="3436" spans="1:9" x14ac:dyDescent="0.3">
      <c r="A3436" t="s">
        <v>5704</v>
      </c>
      <c r="C3436" t="s">
        <v>1936</v>
      </c>
      <c r="D3436" t="s">
        <v>1892</v>
      </c>
      <c r="E3436" t="s">
        <v>586</v>
      </c>
      <c r="F3436" t="s">
        <v>5613</v>
      </c>
      <c r="H3436" t="s">
        <v>17</v>
      </c>
      <c r="I3436" t="s">
        <v>5756</v>
      </c>
    </row>
    <row r="3437" spans="1:9" x14ac:dyDescent="0.3">
      <c r="A3437" t="s">
        <v>5704</v>
      </c>
      <c r="C3437" t="s">
        <v>1936</v>
      </c>
      <c r="D3437" t="s">
        <v>1146</v>
      </c>
      <c r="E3437" t="s">
        <v>1724</v>
      </c>
      <c r="F3437" t="s">
        <v>5615</v>
      </c>
      <c r="H3437" t="s">
        <v>17</v>
      </c>
      <c r="I3437" t="s">
        <v>5757</v>
      </c>
    </row>
    <row r="3438" spans="1:9" x14ac:dyDescent="0.3">
      <c r="A3438" t="s">
        <v>5704</v>
      </c>
      <c r="C3438" t="s">
        <v>1936</v>
      </c>
      <c r="D3438" t="s">
        <v>1150</v>
      </c>
      <c r="E3438" t="s">
        <v>596</v>
      </c>
      <c r="F3438" t="s">
        <v>5617</v>
      </c>
      <c r="H3438" t="s">
        <v>17</v>
      </c>
      <c r="I3438" t="s">
        <v>5755</v>
      </c>
    </row>
    <row r="3439" spans="1:9" x14ac:dyDescent="0.3">
      <c r="A3439" t="s">
        <v>5704</v>
      </c>
      <c r="C3439" t="s">
        <v>1936</v>
      </c>
      <c r="D3439" t="s">
        <v>1154</v>
      </c>
      <c r="E3439" t="s">
        <v>1727</v>
      </c>
      <c r="F3439" t="s">
        <v>5618</v>
      </c>
      <c r="H3439" t="s">
        <v>17</v>
      </c>
      <c r="I3439" t="s">
        <v>5758</v>
      </c>
    </row>
    <row r="3440" spans="1:9" x14ac:dyDescent="0.3">
      <c r="A3440" t="s">
        <v>5704</v>
      </c>
      <c r="C3440" t="s">
        <v>1936</v>
      </c>
      <c r="D3440" t="s">
        <v>1158</v>
      </c>
      <c r="E3440" t="s">
        <v>600</v>
      </c>
      <c r="F3440" t="s">
        <v>5620</v>
      </c>
      <c r="H3440" t="s">
        <v>17</v>
      </c>
      <c r="I3440" t="s">
        <v>5757</v>
      </c>
    </row>
    <row r="3441" spans="1:9" x14ac:dyDescent="0.3">
      <c r="A3441" t="s">
        <v>5704</v>
      </c>
      <c r="C3441" t="s">
        <v>1936</v>
      </c>
      <c r="D3441" t="s">
        <v>1162</v>
      </c>
      <c r="E3441" t="s">
        <v>1731</v>
      </c>
      <c r="F3441" t="s">
        <v>5621</v>
      </c>
      <c r="H3441" t="s">
        <v>17</v>
      </c>
      <c r="I3441" t="s">
        <v>5755</v>
      </c>
    </row>
    <row r="3442" spans="1:9" x14ac:dyDescent="0.3">
      <c r="A3442" t="s">
        <v>5704</v>
      </c>
      <c r="C3442" t="s">
        <v>1936</v>
      </c>
      <c r="D3442" t="s">
        <v>1165</v>
      </c>
      <c r="E3442" t="s">
        <v>3461</v>
      </c>
      <c r="F3442" t="s">
        <v>5622</v>
      </c>
      <c r="H3442" t="s">
        <v>17</v>
      </c>
      <c r="I3442" t="s">
        <v>5756</v>
      </c>
    </row>
    <row r="3443" spans="1:9" x14ac:dyDescent="0.3">
      <c r="A3443" t="s">
        <v>5704</v>
      </c>
      <c r="C3443" t="s">
        <v>1936</v>
      </c>
      <c r="D3443" t="s">
        <v>1168</v>
      </c>
      <c r="E3443" t="s">
        <v>3465</v>
      </c>
      <c r="F3443" t="s">
        <v>5759</v>
      </c>
      <c r="H3443" t="s">
        <v>17</v>
      </c>
      <c r="I3443" t="s">
        <v>5760</v>
      </c>
    </row>
    <row r="3444" spans="1:9" x14ac:dyDescent="0.3">
      <c r="A3444" t="s">
        <v>5704</v>
      </c>
      <c r="C3444" t="s">
        <v>1936</v>
      </c>
      <c r="D3444" t="s">
        <v>1172</v>
      </c>
      <c r="E3444" t="s">
        <v>1734</v>
      </c>
      <c r="F3444" t="s">
        <v>5761</v>
      </c>
      <c r="H3444" t="s">
        <v>17</v>
      </c>
      <c r="I3444" t="s">
        <v>5762</v>
      </c>
    </row>
    <row r="3445" spans="1:9" x14ac:dyDescent="0.3">
      <c r="A3445" t="s">
        <v>5704</v>
      </c>
      <c r="C3445" t="s">
        <v>1936</v>
      </c>
      <c r="D3445" t="s">
        <v>1176</v>
      </c>
      <c r="E3445" t="s">
        <v>608</v>
      </c>
      <c r="F3445" t="s">
        <v>5763</v>
      </c>
      <c r="H3445" t="s">
        <v>17</v>
      </c>
      <c r="I3445" t="s">
        <v>5764</v>
      </c>
    </row>
    <row r="3446" spans="1:9" x14ac:dyDescent="0.3">
      <c r="A3446" t="s">
        <v>5704</v>
      </c>
      <c r="C3446" t="s">
        <v>1936</v>
      </c>
      <c r="D3446" t="s">
        <v>1179</v>
      </c>
      <c r="E3446" t="s">
        <v>3471</v>
      </c>
      <c r="F3446" t="s">
        <v>5765</v>
      </c>
      <c r="H3446" t="s">
        <v>17</v>
      </c>
      <c r="I3446" t="s">
        <v>5766</v>
      </c>
    </row>
    <row r="3447" spans="1:9" x14ac:dyDescent="0.3">
      <c r="A3447" t="s">
        <v>5704</v>
      </c>
      <c r="C3447" t="s">
        <v>1936</v>
      </c>
      <c r="D3447" t="s">
        <v>268</v>
      </c>
      <c r="E3447" t="s">
        <v>612</v>
      </c>
      <c r="F3447" t="s">
        <v>5521</v>
      </c>
      <c r="H3447" t="s">
        <v>17</v>
      </c>
      <c r="I3447" t="s">
        <v>5713</v>
      </c>
    </row>
    <row r="3448" spans="1:9" x14ac:dyDescent="0.3">
      <c r="A3448" t="s">
        <v>5704</v>
      </c>
      <c r="C3448" t="s">
        <v>2135</v>
      </c>
      <c r="D3448" t="s">
        <v>13</v>
      </c>
      <c r="E3448" t="s">
        <v>5767</v>
      </c>
      <c r="F3448" t="s">
        <v>5520</v>
      </c>
      <c r="H3448" t="s">
        <v>17</v>
      </c>
    </row>
    <row r="3449" spans="1:9" x14ac:dyDescent="0.3">
      <c r="A3449" t="s">
        <v>5704</v>
      </c>
      <c r="C3449" t="s">
        <v>2135</v>
      </c>
      <c r="D3449" t="s">
        <v>996</v>
      </c>
      <c r="E3449" t="s">
        <v>2138</v>
      </c>
      <c r="F3449" t="s">
        <v>5768</v>
      </c>
      <c r="H3449" t="s">
        <v>17</v>
      </c>
      <c r="I3449" t="s">
        <v>5769</v>
      </c>
    </row>
    <row r="3450" spans="1:9" x14ac:dyDescent="0.3">
      <c r="A3450" t="s">
        <v>5704</v>
      </c>
      <c r="C3450" t="s">
        <v>2135</v>
      </c>
      <c r="D3450" t="s">
        <v>1001</v>
      </c>
      <c r="E3450" t="s">
        <v>2140</v>
      </c>
      <c r="F3450" t="s">
        <v>5770</v>
      </c>
      <c r="H3450" t="s">
        <v>17</v>
      </c>
      <c r="I3450" t="s">
        <v>5771</v>
      </c>
    </row>
    <row r="3451" spans="1:9" x14ac:dyDescent="0.3">
      <c r="A3451" t="s">
        <v>5704</v>
      </c>
      <c r="C3451" t="s">
        <v>2135</v>
      </c>
      <c r="D3451" t="s">
        <v>1942</v>
      </c>
      <c r="E3451" t="s">
        <v>2144</v>
      </c>
      <c r="F3451" t="s">
        <v>5772</v>
      </c>
      <c r="H3451" t="s">
        <v>17</v>
      </c>
      <c r="I3451" t="s">
        <v>5771</v>
      </c>
    </row>
    <row r="3452" spans="1:9" x14ac:dyDescent="0.3">
      <c r="A3452" t="s">
        <v>5704</v>
      </c>
      <c r="C3452" t="s">
        <v>2135</v>
      </c>
      <c r="D3452" t="s">
        <v>22</v>
      </c>
      <c r="E3452" t="s">
        <v>2147</v>
      </c>
      <c r="F3452" t="s">
        <v>5773</v>
      </c>
      <c r="H3452" t="s">
        <v>17</v>
      </c>
      <c r="I3452" t="s">
        <v>5774</v>
      </c>
    </row>
    <row r="3453" spans="1:9" x14ac:dyDescent="0.3">
      <c r="A3453" t="s">
        <v>5704</v>
      </c>
      <c r="C3453" t="s">
        <v>2135</v>
      </c>
      <c r="D3453" t="s">
        <v>27</v>
      </c>
      <c r="E3453" t="s">
        <v>633</v>
      </c>
      <c r="F3453" t="s">
        <v>5775</v>
      </c>
      <c r="H3453" t="s">
        <v>17</v>
      </c>
      <c r="I3453" t="s">
        <v>5776</v>
      </c>
    </row>
    <row r="3454" spans="1:9" x14ac:dyDescent="0.3">
      <c r="A3454" t="s">
        <v>5704</v>
      </c>
      <c r="C3454" t="s">
        <v>2135</v>
      </c>
      <c r="D3454" t="s">
        <v>1014</v>
      </c>
      <c r="E3454" t="s">
        <v>2153</v>
      </c>
      <c r="F3454" t="s">
        <v>5777</v>
      </c>
      <c r="H3454" t="s">
        <v>17</v>
      </c>
      <c r="I3454" t="s">
        <v>5776</v>
      </c>
    </row>
    <row r="3455" spans="1:9" x14ac:dyDescent="0.3">
      <c r="A3455" t="s">
        <v>5704</v>
      </c>
      <c r="C3455" t="s">
        <v>2135</v>
      </c>
      <c r="D3455" t="s">
        <v>1017</v>
      </c>
      <c r="E3455" t="s">
        <v>636</v>
      </c>
      <c r="F3455" t="s">
        <v>5778</v>
      </c>
      <c r="H3455" t="s">
        <v>17</v>
      </c>
      <c r="I3455" t="s">
        <v>5776</v>
      </c>
    </row>
    <row r="3456" spans="1:9" x14ac:dyDescent="0.3">
      <c r="A3456" t="s">
        <v>5704</v>
      </c>
      <c r="C3456" t="s">
        <v>2135</v>
      </c>
      <c r="D3456" t="s">
        <v>36</v>
      </c>
      <c r="E3456" t="s">
        <v>2162</v>
      </c>
      <c r="F3456" t="s">
        <v>5779</v>
      </c>
      <c r="H3456" t="s">
        <v>17</v>
      </c>
      <c r="I3456" t="s">
        <v>5776</v>
      </c>
    </row>
    <row r="3457" spans="1:9" x14ac:dyDescent="0.3">
      <c r="A3457" t="s">
        <v>5704</v>
      </c>
      <c r="C3457" t="s">
        <v>2135</v>
      </c>
      <c r="D3457" t="s">
        <v>41</v>
      </c>
      <c r="E3457" t="s">
        <v>639</v>
      </c>
      <c r="F3457" t="s">
        <v>5780</v>
      </c>
      <c r="H3457" t="s">
        <v>17</v>
      </c>
      <c r="I3457" t="s">
        <v>5776</v>
      </c>
    </row>
    <row r="3458" spans="1:9" x14ac:dyDescent="0.3">
      <c r="A3458" t="s">
        <v>5704</v>
      </c>
      <c r="C3458" t="s">
        <v>2135</v>
      </c>
      <c r="D3458" t="s">
        <v>45</v>
      </c>
      <c r="E3458" t="s">
        <v>2169</v>
      </c>
      <c r="F3458" t="s">
        <v>5781</v>
      </c>
      <c r="H3458" t="s">
        <v>17</v>
      </c>
      <c r="I3458" t="s">
        <v>5782</v>
      </c>
    </row>
    <row r="3459" spans="1:9" x14ac:dyDescent="0.3">
      <c r="A3459" t="s">
        <v>5704</v>
      </c>
      <c r="C3459" t="s">
        <v>2135</v>
      </c>
      <c r="D3459" t="s">
        <v>50</v>
      </c>
      <c r="E3459" t="s">
        <v>642</v>
      </c>
      <c r="F3459" t="s">
        <v>5783</v>
      </c>
      <c r="H3459" t="s">
        <v>17</v>
      </c>
      <c r="I3459" t="s">
        <v>5776</v>
      </c>
    </row>
    <row r="3460" spans="1:9" x14ac:dyDescent="0.3">
      <c r="A3460" t="s">
        <v>5704</v>
      </c>
      <c r="B3460" t="s">
        <v>5784</v>
      </c>
      <c r="C3460" t="s">
        <v>2135</v>
      </c>
      <c r="D3460" t="s">
        <v>53</v>
      </c>
      <c r="E3460" t="s">
        <v>645</v>
      </c>
      <c r="F3460" t="s">
        <v>5785</v>
      </c>
      <c r="H3460" t="s">
        <v>17</v>
      </c>
      <c r="I3460" t="s">
        <v>5786</v>
      </c>
    </row>
    <row r="3461" spans="1:9" x14ac:dyDescent="0.3">
      <c r="A3461" t="s">
        <v>5704</v>
      </c>
      <c r="B3461" t="s">
        <v>5784</v>
      </c>
      <c r="C3461" t="s">
        <v>2135</v>
      </c>
      <c r="D3461" t="s">
        <v>56</v>
      </c>
      <c r="E3461" t="s">
        <v>2179</v>
      </c>
      <c r="F3461" t="s">
        <v>5787</v>
      </c>
      <c r="H3461" t="s">
        <v>17</v>
      </c>
      <c r="I3461" t="s">
        <v>5788</v>
      </c>
    </row>
    <row r="3462" spans="1:9" x14ac:dyDescent="0.3">
      <c r="A3462" t="s">
        <v>5704</v>
      </c>
      <c r="B3462" t="s">
        <v>5784</v>
      </c>
      <c r="C3462" t="s">
        <v>2135</v>
      </c>
      <c r="D3462" t="s">
        <v>61</v>
      </c>
      <c r="E3462" t="s">
        <v>2181</v>
      </c>
      <c r="F3462" t="s">
        <v>5789</v>
      </c>
      <c r="H3462" t="s">
        <v>17</v>
      </c>
      <c r="I3462" t="s">
        <v>5790</v>
      </c>
    </row>
    <row r="3463" spans="1:9" x14ac:dyDescent="0.3">
      <c r="A3463" t="s">
        <v>5704</v>
      </c>
      <c r="B3463" t="s">
        <v>5784</v>
      </c>
      <c r="C3463" t="s">
        <v>2135</v>
      </c>
      <c r="D3463" t="s">
        <v>1039</v>
      </c>
      <c r="E3463" t="s">
        <v>2182</v>
      </c>
      <c r="F3463" t="s">
        <v>5791</v>
      </c>
      <c r="H3463" t="s">
        <v>17</v>
      </c>
      <c r="I3463" t="s">
        <v>5792</v>
      </c>
    </row>
    <row r="3464" spans="1:9" x14ac:dyDescent="0.3">
      <c r="A3464" t="s">
        <v>5704</v>
      </c>
      <c r="B3464" t="s">
        <v>5784</v>
      </c>
      <c r="C3464" t="s">
        <v>2135</v>
      </c>
      <c r="D3464" t="s">
        <v>1043</v>
      </c>
      <c r="E3464" t="s">
        <v>2184</v>
      </c>
      <c r="F3464" t="s">
        <v>5793</v>
      </c>
      <c r="H3464" t="s">
        <v>17</v>
      </c>
      <c r="I3464" t="s">
        <v>5794</v>
      </c>
    </row>
    <row r="3465" spans="1:9" x14ac:dyDescent="0.3">
      <c r="A3465" t="s">
        <v>5704</v>
      </c>
      <c r="B3465" t="s">
        <v>5784</v>
      </c>
      <c r="C3465" t="s">
        <v>2135</v>
      </c>
      <c r="D3465" t="s">
        <v>71</v>
      </c>
      <c r="E3465" t="s">
        <v>651</v>
      </c>
      <c r="F3465" t="s">
        <v>5795</v>
      </c>
      <c r="H3465" t="s">
        <v>17</v>
      </c>
      <c r="I3465" t="s">
        <v>5796</v>
      </c>
    </row>
    <row r="3466" spans="1:9" x14ac:dyDescent="0.3">
      <c r="A3466" t="s">
        <v>5704</v>
      </c>
      <c r="B3466" t="s">
        <v>5784</v>
      </c>
      <c r="C3466" t="s">
        <v>2135</v>
      </c>
      <c r="D3466" t="s">
        <v>1050</v>
      </c>
      <c r="E3466" t="s">
        <v>659</v>
      </c>
      <c r="F3466" t="s">
        <v>5797</v>
      </c>
      <c r="H3466" t="s">
        <v>17</v>
      </c>
      <c r="I3466" t="s">
        <v>5798</v>
      </c>
    </row>
    <row r="3467" spans="1:9" x14ac:dyDescent="0.3">
      <c r="A3467" t="s">
        <v>5704</v>
      </c>
      <c r="B3467" t="s">
        <v>5784</v>
      </c>
      <c r="C3467" t="s">
        <v>2135</v>
      </c>
      <c r="D3467" t="s">
        <v>1055</v>
      </c>
      <c r="E3467" t="s">
        <v>662</v>
      </c>
      <c r="F3467" t="s">
        <v>5656</v>
      </c>
      <c r="H3467" t="s">
        <v>17</v>
      </c>
      <c r="I3467" t="s">
        <v>5799</v>
      </c>
    </row>
    <row r="3468" spans="1:9" x14ac:dyDescent="0.3">
      <c r="A3468" t="s">
        <v>5704</v>
      </c>
      <c r="B3468" t="s">
        <v>5784</v>
      </c>
      <c r="C3468" t="s">
        <v>2135</v>
      </c>
      <c r="D3468" t="s">
        <v>80</v>
      </c>
      <c r="E3468" t="s">
        <v>668</v>
      </c>
      <c r="F3468" t="s">
        <v>5800</v>
      </c>
      <c r="H3468" t="s">
        <v>17</v>
      </c>
      <c r="I3468" t="s">
        <v>5801</v>
      </c>
    </row>
    <row r="3469" spans="1:9" x14ac:dyDescent="0.3">
      <c r="A3469" t="s">
        <v>5704</v>
      </c>
      <c r="B3469" t="s">
        <v>5784</v>
      </c>
      <c r="C3469" t="s">
        <v>2135</v>
      </c>
      <c r="D3469" t="s">
        <v>85</v>
      </c>
      <c r="E3469" t="s">
        <v>671</v>
      </c>
      <c r="F3469" t="s">
        <v>5802</v>
      </c>
      <c r="H3469" t="s">
        <v>17</v>
      </c>
      <c r="I3469" t="s">
        <v>5803</v>
      </c>
    </row>
    <row r="3470" spans="1:9" x14ac:dyDescent="0.3">
      <c r="A3470" t="s">
        <v>5704</v>
      </c>
      <c r="B3470" t="s">
        <v>5784</v>
      </c>
      <c r="C3470" t="s">
        <v>2135</v>
      </c>
      <c r="D3470" t="s">
        <v>90</v>
      </c>
      <c r="E3470" t="s">
        <v>674</v>
      </c>
      <c r="F3470" t="s">
        <v>5804</v>
      </c>
      <c r="H3470" t="s">
        <v>17</v>
      </c>
      <c r="I3470" t="s">
        <v>5805</v>
      </c>
    </row>
    <row r="3471" spans="1:9" x14ac:dyDescent="0.3">
      <c r="A3471" t="s">
        <v>5704</v>
      </c>
      <c r="B3471" t="s">
        <v>5784</v>
      </c>
      <c r="C3471" t="s">
        <v>2135</v>
      </c>
      <c r="D3471" t="s">
        <v>95</v>
      </c>
      <c r="E3471" t="s">
        <v>680</v>
      </c>
      <c r="F3471" t="s">
        <v>5806</v>
      </c>
      <c r="H3471" t="s">
        <v>17</v>
      </c>
      <c r="I3471" t="s">
        <v>5807</v>
      </c>
    </row>
    <row r="3472" spans="1:9" x14ac:dyDescent="0.3">
      <c r="A3472" t="s">
        <v>5704</v>
      </c>
      <c r="B3472" t="s">
        <v>5784</v>
      </c>
      <c r="C3472" t="s">
        <v>2135</v>
      </c>
      <c r="D3472" t="s">
        <v>100</v>
      </c>
      <c r="E3472" t="s">
        <v>2203</v>
      </c>
      <c r="F3472" t="s">
        <v>5808</v>
      </c>
      <c r="H3472" t="s">
        <v>17</v>
      </c>
      <c r="I3472" t="s">
        <v>5809</v>
      </c>
    </row>
    <row r="3473" spans="1:9" x14ac:dyDescent="0.3">
      <c r="A3473" t="s">
        <v>5704</v>
      </c>
      <c r="B3473" t="s">
        <v>5784</v>
      </c>
      <c r="C3473" t="s">
        <v>2135</v>
      </c>
      <c r="D3473" t="s">
        <v>106</v>
      </c>
      <c r="E3473" t="s">
        <v>2208</v>
      </c>
      <c r="F3473" t="s">
        <v>5810</v>
      </c>
      <c r="H3473" t="s">
        <v>17</v>
      </c>
      <c r="I3473" t="s">
        <v>5811</v>
      </c>
    </row>
    <row r="3474" spans="1:9" x14ac:dyDescent="0.3">
      <c r="A3474" t="s">
        <v>5704</v>
      </c>
      <c r="B3474" t="s">
        <v>5784</v>
      </c>
      <c r="C3474" t="s">
        <v>2135</v>
      </c>
      <c r="D3474" t="s">
        <v>111</v>
      </c>
      <c r="E3474" t="s">
        <v>690</v>
      </c>
      <c r="F3474" t="s">
        <v>3616</v>
      </c>
      <c r="H3474" t="s">
        <v>17</v>
      </c>
      <c r="I3474" t="s">
        <v>5812</v>
      </c>
    </row>
    <row r="3475" spans="1:9" x14ac:dyDescent="0.3">
      <c r="A3475" t="s">
        <v>5704</v>
      </c>
      <c r="B3475" t="s">
        <v>5784</v>
      </c>
      <c r="C3475" t="s">
        <v>2135</v>
      </c>
      <c r="D3475" t="s">
        <v>114</v>
      </c>
      <c r="E3475" t="s">
        <v>695</v>
      </c>
      <c r="F3475" t="s">
        <v>5663</v>
      </c>
      <c r="H3475" t="s">
        <v>17</v>
      </c>
      <c r="I3475" t="s">
        <v>5813</v>
      </c>
    </row>
    <row r="3476" spans="1:9" x14ac:dyDescent="0.3">
      <c r="A3476" t="s">
        <v>5704</v>
      </c>
      <c r="B3476" t="s">
        <v>5784</v>
      </c>
      <c r="C3476" t="s">
        <v>2135</v>
      </c>
      <c r="D3476" t="s">
        <v>117</v>
      </c>
      <c r="E3476" t="s">
        <v>706</v>
      </c>
      <c r="F3476" t="s">
        <v>5665</v>
      </c>
      <c r="H3476" t="s">
        <v>17</v>
      </c>
      <c r="I3476" t="s">
        <v>4583</v>
      </c>
    </row>
    <row r="3477" spans="1:9" x14ac:dyDescent="0.3">
      <c r="A3477" t="s">
        <v>5704</v>
      </c>
      <c r="B3477" t="s">
        <v>5784</v>
      </c>
      <c r="C3477" t="s">
        <v>2135</v>
      </c>
      <c r="D3477" t="s">
        <v>2188</v>
      </c>
      <c r="E3477" t="s">
        <v>709</v>
      </c>
      <c r="F3477" t="s">
        <v>5521</v>
      </c>
      <c r="H3477" t="s">
        <v>17</v>
      </c>
      <c r="I3477" t="s">
        <v>5713</v>
      </c>
    </row>
    <row r="3478" spans="1:9" x14ac:dyDescent="0.3">
      <c r="A3478" t="s">
        <v>5704</v>
      </c>
      <c r="B3478" t="s">
        <v>5784</v>
      </c>
      <c r="C3478" t="s">
        <v>3546</v>
      </c>
      <c r="D3478" t="s">
        <v>13</v>
      </c>
      <c r="E3478" t="s">
        <v>5814</v>
      </c>
      <c r="F3478" t="s">
        <v>5520</v>
      </c>
      <c r="H3478" t="s">
        <v>17</v>
      </c>
    </row>
    <row r="3479" spans="1:9" x14ac:dyDescent="0.3">
      <c r="A3479" t="s">
        <v>5704</v>
      </c>
      <c r="B3479" t="s">
        <v>5784</v>
      </c>
      <c r="C3479" t="s">
        <v>3546</v>
      </c>
      <c r="D3479" t="s">
        <v>996</v>
      </c>
      <c r="E3479" t="s">
        <v>4942</v>
      </c>
      <c r="F3479" t="s">
        <v>843</v>
      </c>
      <c r="H3479" t="s">
        <v>17</v>
      </c>
      <c r="I3479" t="s">
        <v>5679</v>
      </c>
    </row>
    <row r="3480" spans="1:9" x14ac:dyDescent="0.3">
      <c r="A3480" t="s">
        <v>5704</v>
      </c>
      <c r="B3480" t="s">
        <v>5784</v>
      </c>
      <c r="C3480" t="s">
        <v>3546</v>
      </c>
      <c r="D3480" t="s">
        <v>1001</v>
      </c>
      <c r="E3480" t="s">
        <v>871</v>
      </c>
      <c r="F3480" t="s">
        <v>756</v>
      </c>
      <c r="H3480" t="s">
        <v>17</v>
      </c>
      <c r="I3480" t="s">
        <v>5680</v>
      </c>
    </row>
    <row r="3481" spans="1:9" x14ac:dyDescent="0.3">
      <c r="A3481" t="s">
        <v>5704</v>
      </c>
      <c r="B3481" t="s">
        <v>5784</v>
      </c>
      <c r="C3481" t="s">
        <v>3546</v>
      </c>
      <c r="D3481" t="s">
        <v>1942</v>
      </c>
      <c r="E3481" t="s">
        <v>4945</v>
      </c>
      <c r="F3481" t="s">
        <v>5681</v>
      </c>
      <c r="H3481" t="s">
        <v>17</v>
      </c>
      <c r="I3481" t="s">
        <v>5680</v>
      </c>
    </row>
    <row r="3482" spans="1:9" x14ac:dyDescent="0.3">
      <c r="A3482" t="s">
        <v>5704</v>
      </c>
      <c r="B3482" t="s">
        <v>5784</v>
      </c>
      <c r="C3482" t="s">
        <v>3546</v>
      </c>
      <c r="D3482" t="s">
        <v>22</v>
      </c>
      <c r="E3482" t="s">
        <v>880</v>
      </c>
      <c r="F3482" t="s">
        <v>5682</v>
      </c>
      <c r="H3482" t="s">
        <v>17</v>
      </c>
      <c r="I3482" t="s">
        <v>5815</v>
      </c>
    </row>
    <row r="3483" spans="1:9" x14ac:dyDescent="0.3">
      <c r="A3483" t="s">
        <v>5704</v>
      </c>
      <c r="B3483" t="s">
        <v>5784</v>
      </c>
      <c r="C3483" t="s">
        <v>3546</v>
      </c>
      <c r="D3483" t="s">
        <v>27</v>
      </c>
      <c r="E3483" t="s">
        <v>884</v>
      </c>
      <c r="F3483" t="s">
        <v>5684</v>
      </c>
      <c r="H3483" t="s">
        <v>17</v>
      </c>
      <c r="I3483" t="s">
        <v>5685</v>
      </c>
    </row>
    <row r="3484" spans="1:9" x14ac:dyDescent="0.3">
      <c r="A3484" t="s">
        <v>5704</v>
      </c>
      <c r="B3484" t="s">
        <v>5784</v>
      </c>
      <c r="C3484" t="s">
        <v>3546</v>
      </c>
      <c r="D3484" t="s">
        <v>1014</v>
      </c>
      <c r="E3484" t="s">
        <v>889</v>
      </c>
      <c r="F3484" t="s">
        <v>747</v>
      </c>
      <c r="H3484" t="s">
        <v>17</v>
      </c>
      <c r="I3484" t="s">
        <v>5816</v>
      </c>
    </row>
    <row r="3485" spans="1:9" x14ac:dyDescent="0.3">
      <c r="A3485" t="s">
        <v>5704</v>
      </c>
      <c r="B3485" t="s">
        <v>5784</v>
      </c>
      <c r="C3485" t="s">
        <v>3546</v>
      </c>
      <c r="D3485" t="s">
        <v>1017</v>
      </c>
      <c r="E3485" t="s">
        <v>894</v>
      </c>
      <c r="F3485" t="s">
        <v>2926</v>
      </c>
      <c r="H3485" t="s">
        <v>17</v>
      </c>
      <c r="I3485" t="s">
        <v>5817</v>
      </c>
    </row>
    <row r="3486" spans="1:9" x14ac:dyDescent="0.3">
      <c r="A3486" t="s">
        <v>5704</v>
      </c>
      <c r="B3486" t="s">
        <v>5784</v>
      </c>
      <c r="C3486" t="s">
        <v>3546</v>
      </c>
      <c r="D3486" t="s">
        <v>2684</v>
      </c>
      <c r="E3486" t="s">
        <v>899</v>
      </c>
      <c r="F3486" t="s">
        <v>5689</v>
      </c>
      <c r="H3486" t="s">
        <v>17</v>
      </c>
      <c r="I3486" t="s">
        <v>5690</v>
      </c>
    </row>
    <row r="3487" spans="1:9" x14ac:dyDescent="0.3">
      <c r="A3487" t="s">
        <v>5704</v>
      </c>
      <c r="B3487" t="s">
        <v>5784</v>
      </c>
      <c r="C3487" t="s">
        <v>3546</v>
      </c>
      <c r="D3487" t="s">
        <v>45</v>
      </c>
      <c r="E3487" t="s">
        <v>904</v>
      </c>
      <c r="F3487" t="s">
        <v>5691</v>
      </c>
      <c r="H3487" t="s">
        <v>17</v>
      </c>
      <c r="I3487" t="s">
        <v>5818</v>
      </c>
    </row>
    <row r="3488" spans="1:9" x14ac:dyDescent="0.3">
      <c r="A3488" t="s">
        <v>5704</v>
      </c>
      <c r="B3488" t="s">
        <v>5784</v>
      </c>
      <c r="C3488" t="s">
        <v>3546</v>
      </c>
      <c r="D3488" t="s">
        <v>50</v>
      </c>
      <c r="E3488" t="s">
        <v>909</v>
      </c>
      <c r="F3488" t="s">
        <v>2775</v>
      </c>
      <c r="H3488" t="s">
        <v>17</v>
      </c>
      <c r="I3488" t="s">
        <v>5819</v>
      </c>
    </row>
    <row r="3489" spans="1:9" x14ac:dyDescent="0.3">
      <c r="A3489" t="s">
        <v>5704</v>
      </c>
      <c r="B3489" t="s">
        <v>5784</v>
      </c>
      <c r="C3489" t="s">
        <v>3546</v>
      </c>
      <c r="D3489" t="s">
        <v>53</v>
      </c>
      <c r="E3489" t="s">
        <v>917</v>
      </c>
      <c r="F3489" t="s">
        <v>5695</v>
      </c>
      <c r="H3489" t="s">
        <v>17</v>
      </c>
      <c r="I3489" t="s">
        <v>5820</v>
      </c>
    </row>
    <row r="3490" spans="1:9" x14ac:dyDescent="0.3">
      <c r="A3490" t="s">
        <v>5704</v>
      </c>
      <c r="B3490" t="s">
        <v>5784</v>
      </c>
      <c r="C3490" t="s">
        <v>3546</v>
      </c>
      <c r="D3490" t="s">
        <v>56</v>
      </c>
      <c r="E3490" t="s">
        <v>921</v>
      </c>
      <c r="F3490" t="s">
        <v>5697</v>
      </c>
      <c r="H3490" t="s">
        <v>17</v>
      </c>
      <c r="I3490" t="s">
        <v>5821</v>
      </c>
    </row>
    <row r="3491" spans="1:9" x14ac:dyDescent="0.3">
      <c r="A3491" t="s">
        <v>5704</v>
      </c>
      <c r="B3491" t="s">
        <v>5784</v>
      </c>
      <c r="C3491" t="s">
        <v>3546</v>
      </c>
      <c r="D3491" t="s">
        <v>61</v>
      </c>
      <c r="E3491" t="s">
        <v>929</v>
      </c>
      <c r="F3491" t="s">
        <v>5699</v>
      </c>
      <c r="H3491" t="s">
        <v>17</v>
      </c>
      <c r="I3491" t="s">
        <v>5819</v>
      </c>
    </row>
    <row r="3492" spans="1:9" x14ac:dyDescent="0.3">
      <c r="A3492" t="s">
        <v>5704</v>
      </c>
      <c r="B3492" t="s">
        <v>5784</v>
      </c>
      <c r="C3492" t="s">
        <v>3546</v>
      </c>
      <c r="D3492" t="s">
        <v>1039</v>
      </c>
      <c r="E3492" t="s">
        <v>934</v>
      </c>
      <c r="F3492" t="s">
        <v>5701</v>
      </c>
      <c r="H3492" t="s">
        <v>17</v>
      </c>
      <c r="I3492" t="s">
        <v>5822</v>
      </c>
    </row>
    <row r="3493" spans="1:9" x14ac:dyDescent="0.3">
      <c r="A3493" t="s">
        <v>5704</v>
      </c>
      <c r="B3493" t="s">
        <v>5784</v>
      </c>
      <c r="C3493" t="s">
        <v>3546</v>
      </c>
      <c r="D3493" t="s">
        <v>1043</v>
      </c>
      <c r="E3493" t="s">
        <v>939</v>
      </c>
      <c r="F3493" t="s">
        <v>4819</v>
      </c>
      <c r="H3493" t="s">
        <v>17</v>
      </c>
      <c r="I3493" t="s">
        <v>5823</v>
      </c>
    </row>
    <row r="3494" spans="1:9" x14ac:dyDescent="0.3">
      <c r="A3494" t="s">
        <v>5704</v>
      </c>
      <c r="B3494" t="s">
        <v>5784</v>
      </c>
      <c r="C3494" t="s">
        <v>3546</v>
      </c>
      <c r="D3494" t="s">
        <v>71</v>
      </c>
      <c r="E3494" t="s">
        <v>947</v>
      </c>
      <c r="F3494" t="s">
        <v>4841</v>
      </c>
      <c r="H3494" t="s">
        <v>17</v>
      </c>
      <c r="I3494" t="s">
        <v>5824</v>
      </c>
    </row>
    <row r="3495" spans="1:9" x14ac:dyDescent="0.3">
      <c r="A3495" t="s">
        <v>5704</v>
      </c>
      <c r="B3495" t="s">
        <v>5784</v>
      </c>
      <c r="C3495" t="s">
        <v>3546</v>
      </c>
      <c r="D3495" t="s">
        <v>1050</v>
      </c>
      <c r="E3495" t="s">
        <v>951</v>
      </c>
      <c r="F3495" t="s">
        <v>5674</v>
      </c>
      <c r="H3495" t="s">
        <v>17</v>
      </c>
      <c r="I3495" t="s">
        <v>5675</v>
      </c>
    </row>
    <row r="3496" spans="1:9" x14ac:dyDescent="0.3">
      <c r="A3496" t="s">
        <v>5704</v>
      </c>
      <c r="B3496" t="s">
        <v>5784</v>
      </c>
      <c r="C3496" t="s">
        <v>3546</v>
      </c>
      <c r="D3496" t="s">
        <v>1055</v>
      </c>
      <c r="E3496" t="s">
        <v>960</v>
      </c>
      <c r="F3496" t="s">
        <v>4453</v>
      </c>
      <c r="H3496" t="s">
        <v>17</v>
      </c>
      <c r="I3496" t="s">
        <v>5825</v>
      </c>
    </row>
    <row r="3497" spans="1:9" x14ac:dyDescent="0.3">
      <c r="A3497" t="s">
        <v>5704</v>
      </c>
      <c r="B3497" t="s">
        <v>5784</v>
      </c>
      <c r="C3497" t="s">
        <v>3546</v>
      </c>
      <c r="D3497" t="s">
        <v>80</v>
      </c>
      <c r="E3497" t="s">
        <v>965</v>
      </c>
      <c r="F3497" t="s">
        <v>5826</v>
      </c>
      <c r="H3497" t="s">
        <v>17</v>
      </c>
      <c r="I3497" t="s">
        <v>5827</v>
      </c>
    </row>
    <row r="3498" spans="1:9" x14ac:dyDescent="0.3">
      <c r="A3498" t="s">
        <v>5704</v>
      </c>
      <c r="B3498" t="s">
        <v>5784</v>
      </c>
      <c r="C3498" t="s">
        <v>3546</v>
      </c>
      <c r="D3498" t="s">
        <v>85</v>
      </c>
      <c r="E3498" t="s">
        <v>4979</v>
      </c>
      <c r="F3498" t="s">
        <v>861</v>
      </c>
      <c r="H3498" t="s">
        <v>17</v>
      </c>
      <c r="I3498" t="s">
        <v>5828</v>
      </c>
    </row>
    <row r="3499" spans="1:9" x14ac:dyDescent="0.3">
      <c r="A3499" t="s">
        <v>5704</v>
      </c>
      <c r="B3499" t="s">
        <v>5784</v>
      </c>
      <c r="C3499" t="s">
        <v>3546</v>
      </c>
      <c r="D3499" t="s">
        <v>90</v>
      </c>
      <c r="E3499" t="s">
        <v>976</v>
      </c>
      <c r="F3499" t="s">
        <v>5829</v>
      </c>
      <c r="H3499" t="s">
        <v>17</v>
      </c>
      <c r="I3499" t="s">
        <v>5830</v>
      </c>
    </row>
    <row r="3500" spans="1:9" x14ac:dyDescent="0.3">
      <c r="A3500" t="s">
        <v>5704</v>
      </c>
      <c r="B3500" t="s">
        <v>5784</v>
      </c>
      <c r="C3500" t="s">
        <v>3546</v>
      </c>
      <c r="D3500" t="s">
        <v>95</v>
      </c>
      <c r="E3500" t="s">
        <v>4984</v>
      </c>
      <c r="F3500" t="s">
        <v>5831</v>
      </c>
      <c r="H3500" t="s">
        <v>17</v>
      </c>
      <c r="I3500" t="s">
        <v>5832</v>
      </c>
    </row>
    <row r="3501" spans="1:9" x14ac:dyDescent="0.3">
      <c r="A3501" t="s">
        <v>5704</v>
      </c>
      <c r="B3501" t="s">
        <v>5784</v>
      </c>
      <c r="C3501" t="s">
        <v>3546</v>
      </c>
      <c r="D3501" t="s">
        <v>100</v>
      </c>
      <c r="E3501" t="s">
        <v>982</v>
      </c>
      <c r="F3501" t="s">
        <v>5833</v>
      </c>
      <c r="H3501" t="s">
        <v>17</v>
      </c>
      <c r="I3501" t="s">
        <v>5834</v>
      </c>
    </row>
    <row r="3502" spans="1:9" x14ac:dyDescent="0.3">
      <c r="A3502" t="s">
        <v>5704</v>
      </c>
      <c r="B3502" t="s">
        <v>5784</v>
      </c>
      <c r="C3502" t="s">
        <v>3546</v>
      </c>
      <c r="D3502" t="s">
        <v>1556</v>
      </c>
      <c r="E3502" t="s">
        <v>4992</v>
      </c>
      <c r="F3502" t="s">
        <v>5521</v>
      </c>
      <c r="H3502" t="s">
        <v>17</v>
      </c>
      <c r="I3502" t="s">
        <v>5713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5B9C3-5379-4434-ACA3-C8C0BFB946B9}">
  <sheetPr codeName="Sheet2"/>
  <dimension ref="A1:I3502"/>
  <sheetViews>
    <sheetView topLeftCell="A3046" workbookViewId="0">
      <selection activeCell="A3476" sqref="A3476"/>
    </sheetView>
  </sheetViews>
  <sheetFormatPr defaultRowHeight="14.4" x14ac:dyDescent="0.3"/>
  <cols>
    <col min="1" max="1" width="14.21875" customWidth="1"/>
    <col min="2" max="2" width="17.21875" bestFit="1" customWidth="1"/>
    <col min="3" max="3" width="26" customWidth="1"/>
    <col min="4" max="4" width="10" customWidth="1"/>
    <col min="5" max="5" width="12.77734375" customWidth="1"/>
    <col min="6" max="6" width="14.44140625" customWidth="1"/>
    <col min="7" max="7" width="20.5546875" customWidth="1"/>
    <col min="8" max="8" width="19.77734375" customWidth="1"/>
    <col min="9" max="9" width="9.6640625" customWidth="1"/>
  </cols>
  <sheetData>
    <row r="1" spans="1:9" x14ac:dyDescent="0.3">
      <c r="A1" t="s">
        <v>9159</v>
      </c>
      <c r="B1" s="4" t="s">
        <v>10</v>
      </c>
      <c r="C1" s="5" t="s">
        <v>9391</v>
      </c>
      <c r="D1" s="5" t="s">
        <v>2</v>
      </c>
      <c r="E1" s="5" t="s">
        <v>3</v>
      </c>
      <c r="F1" s="4" t="s">
        <v>5</v>
      </c>
      <c r="G1" s="4" t="s">
        <v>6</v>
      </c>
      <c r="H1" s="4" t="s">
        <v>7</v>
      </c>
      <c r="I1" s="4" t="s">
        <v>8</v>
      </c>
    </row>
    <row r="2" spans="1:9" hidden="1" x14ac:dyDescent="0.3">
      <c r="A2" t="s">
        <v>15</v>
      </c>
      <c r="B2" t="s">
        <v>9</v>
      </c>
      <c r="F2" t="s">
        <v>11</v>
      </c>
    </row>
    <row r="3" spans="1:9" hidden="1" x14ac:dyDescent="0.3">
      <c r="A3" t="s">
        <v>19</v>
      </c>
      <c r="B3" t="s">
        <v>9</v>
      </c>
      <c r="C3" t="s">
        <v>12</v>
      </c>
      <c r="D3" t="s">
        <v>13</v>
      </c>
      <c r="E3" t="s">
        <v>14</v>
      </c>
      <c r="F3" t="s">
        <v>16</v>
      </c>
      <c r="H3" t="s">
        <v>17</v>
      </c>
    </row>
    <row r="4" spans="1:9" hidden="1" x14ac:dyDescent="0.3">
      <c r="A4" t="s">
        <v>23</v>
      </c>
      <c r="B4" t="s">
        <v>9</v>
      </c>
      <c r="C4" t="s">
        <v>12</v>
      </c>
      <c r="D4" t="s">
        <v>13</v>
      </c>
      <c r="E4" t="s">
        <v>18</v>
      </c>
      <c r="F4" t="s">
        <v>20</v>
      </c>
      <c r="H4" t="s">
        <v>17</v>
      </c>
    </row>
    <row r="5" spans="1:9" hidden="1" x14ac:dyDescent="0.3">
      <c r="A5" t="s">
        <v>28</v>
      </c>
      <c r="B5" t="s">
        <v>9</v>
      </c>
      <c r="C5" t="s">
        <v>21</v>
      </c>
      <c r="D5" t="s">
        <v>13</v>
      </c>
      <c r="E5" t="s">
        <v>22</v>
      </c>
      <c r="F5" t="s">
        <v>24</v>
      </c>
      <c r="G5" t="s">
        <v>25</v>
      </c>
      <c r="H5" t="s">
        <v>17</v>
      </c>
      <c r="I5" t="s">
        <v>26</v>
      </c>
    </row>
    <row r="6" spans="1:9" hidden="1" x14ac:dyDescent="0.3">
      <c r="A6" t="s">
        <v>33</v>
      </c>
      <c r="B6" t="s">
        <v>9</v>
      </c>
      <c r="C6" t="s">
        <v>21</v>
      </c>
      <c r="D6" t="s">
        <v>13</v>
      </c>
      <c r="E6" t="s">
        <v>27</v>
      </c>
      <c r="F6" t="s">
        <v>29</v>
      </c>
      <c r="G6" t="s">
        <v>30</v>
      </c>
      <c r="H6" t="s">
        <v>17</v>
      </c>
      <c r="I6" t="s">
        <v>31</v>
      </c>
    </row>
    <row r="7" spans="1:9" hidden="1" x14ac:dyDescent="0.3">
      <c r="A7" t="s">
        <v>37</v>
      </c>
      <c r="B7" t="s">
        <v>9</v>
      </c>
      <c r="C7" t="s">
        <v>21</v>
      </c>
      <c r="D7" t="s">
        <v>13</v>
      </c>
      <c r="E7" t="s">
        <v>32</v>
      </c>
      <c r="F7" t="s">
        <v>34</v>
      </c>
      <c r="G7" t="s">
        <v>35</v>
      </c>
      <c r="H7" t="s">
        <v>17</v>
      </c>
    </row>
    <row r="8" spans="1:9" hidden="1" x14ac:dyDescent="0.3">
      <c r="A8" t="s">
        <v>42</v>
      </c>
      <c r="B8" t="s">
        <v>9</v>
      </c>
      <c r="C8" t="s">
        <v>21</v>
      </c>
      <c r="D8" t="s">
        <v>13</v>
      </c>
      <c r="E8" t="s">
        <v>36</v>
      </c>
      <c r="F8" t="s">
        <v>38</v>
      </c>
      <c r="G8" t="s">
        <v>39</v>
      </c>
      <c r="H8" t="s">
        <v>17</v>
      </c>
      <c r="I8" t="s">
        <v>40</v>
      </c>
    </row>
    <row r="9" spans="1:9" hidden="1" x14ac:dyDescent="0.3">
      <c r="A9" t="s">
        <v>46</v>
      </c>
      <c r="B9" t="s">
        <v>9</v>
      </c>
      <c r="C9" t="s">
        <v>21</v>
      </c>
      <c r="D9" t="s">
        <v>13</v>
      </c>
      <c r="E9" t="s">
        <v>41</v>
      </c>
      <c r="F9" t="s">
        <v>43</v>
      </c>
      <c r="G9" t="s">
        <v>44</v>
      </c>
      <c r="H9" t="s">
        <v>17</v>
      </c>
      <c r="I9" t="s">
        <v>40</v>
      </c>
    </row>
    <row r="10" spans="1:9" hidden="1" x14ac:dyDescent="0.3">
      <c r="A10" t="s">
        <v>51</v>
      </c>
      <c r="B10" t="s">
        <v>9</v>
      </c>
      <c r="C10" t="s">
        <v>21</v>
      </c>
      <c r="D10" t="s">
        <v>13</v>
      </c>
      <c r="E10" t="s">
        <v>45</v>
      </c>
      <c r="F10" t="s">
        <v>47</v>
      </c>
      <c r="G10" t="s">
        <v>48</v>
      </c>
      <c r="H10" t="s">
        <v>17</v>
      </c>
      <c r="I10" t="s">
        <v>49</v>
      </c>
    </row>
    <row r="11" spans="1:9" hidden="1" x14ac:dyDescent="0.3">
      <c r="A11" t="s">
        <v>54</v>
      </c>
      <c r="B11" t="s">
        <v>9</v>
      </c>
      <c r="C11" t="s">
        <v>21</v>
      </c>
      <c r="D11" t="s">
        <v>13</v>
      </c>
      <c r="E11" t="s">
        <v>50</v>
      </c>
      <c r="F11" t="s">
        <v>52</v>
      </c>
      <c r="G11" t="s">
        <v>48</v>
      </c>
      <c r="H11" t="s">
        <v>17</v>
      </c>
      <c r="I11" t="s">
        <v>49</v>
      </c>
    </row>
    <row r="12" spans="1:9" hidden="1" x14ac:dyDescent="0.3">
      <c r="A12" t="s">
        <v>57</v>
      </c>
      <c r="B12" t="s">
        <v>9</v>
      </c>
      <c r="C12" t="s">
        <v>21</v>
      </c>
      <c r="D12" t="s">
        <v>13</v>
      </c>
      <c r="E12" t="s">
        <v>53</v>
      </c>
      <c r="F12" t="s">
        <v>55</v>
      </c>
      <c r="G12" t="s">
        <v>48</v>
      </c>
      <c r="H12" t="s">
        <v>17</v>
      </c>
      <c r="I12" t="s">
        <v>49</v>
      </c>
    </row>
    <row r="13" spans="1:9" hidden="1" x14ac:dyDescent="0.3">
      <c r="A13" t="s">
        <v>62</v>
      </c>
      <c r="B13" t="s">
        <v>9</v>
      </c>
      <c r="C13" t="s">
        <v>21</v>
      </c>
      <c r="D13" t="s">
        <v>13</v>
      </c>
      <c r="E13" t="s">
        <v>56</v>
      </c>
      <c r="F13" t="s">
        <v>58</v>
      </c>
      <c r="G13" t="s">
        <v>59</v>
      </c>
      <c r="H13" t="s">
        <v>17</v>
      </c>
      <c r="I13" t="s">
        <v>60</v>
      </c>
    </row>
    <row r="14" spans="1:9" hidden="1" x14ac:dyDescent="0.3">
      <c r="A14" t="s">
        <v>67</v>
      </c>
      <c r="B14" t="s">
        <v>9</v>
      </c>
      <c r="C14" t="s">
        <v>21</v>
      </c>
      <c r="D14" t="s">
        <v>13</v>
      </c>
      <c r="E14" t="s">
        <v>61</v>
      </c>
      <c r="F14" t="s">
        <v>63</v>
      </c>
      <c r="G14" t="s">
        <v>64</v>
      </c>
      <c r="H14" t="s">
        <v>17</v>
      </c>
      <c r="I14" t="s">
        <v>65</v>
      </c>
    </row>
    <row r="15" spans="1:9" hidden="1" x14ac:dyDescent="0.3">
      <c r="A15" t="s">
        <v>72</v>
      </c>
      <c r="B15" t="s">
        <v>9</v>
      </c>
      <c r="C15" t="s">
        <v>21</v>
      </c>
      <c r="D15" t="s">
        <v>13</v>
      </c>
      <c r="E15" t="s">
        <v>66</v>
      </c>
      <c r="F15" t="s">
        <v>68</v>
      </c>
      <c r="G15" t="s">
        <v>69</v>
      </c>
      <c r="H15" t="s">
        <v>17</v>
      </c>
      <c r="I15" t="s">
        <v>70</v>
      </c>
    </row>
    <row r="16" spans="1:9" hidden="1" x14ac:dyDescent="0.3">
      <c r="A16" t="s">
        <v>77</v>
      </c>
      <c r="B16" t="s">
        <v>9</v>
      </c>
      <c r="C16" t="s">
        <v>21</v>
      </c>
      <c r="D16" t="s">
        <v>13</v>
      </c>
      <c r="E16" t="s">
        <v>71</v>
      </c>
      <c r="F16" t="s">
        <v>73</v>
      </c>
      <c r="G16" t="s">
        <v>74</v>
      </c>
      <c r="H16" t="s">
        <v>17</v>
      </c>
      <c r="I16" t="s">
        <v>75</v>
      </c>
    </row>
    <row r="17" spans="1:9" hidden="1" x14ac:dyDescent="0.3">
      <c r="A17" t="s">
        <v>81</v>
      </c>
      <c r="B17" t="s">
        <v>9</v>
      </c>
      <c r="C17" t="s">
        <v>21</v>
      </c>
      <c r="D17" t="s">
        <v>13</v>
      </c>
      <c r="E17" t="s">
        <v>76</v>
      </c>
      <c r="F17" t="s">
        <v>78</v>
      </c>
      <c r="G17" t="s">
        <v>79</v>
      </c>
      <c r="H17" t="s">
        <v>17</v>
      </c>
      <c r="I17" t="s">
        <v>75</v>
      </c>
    </row>
    <row r="18" spans="1:9" hidden="1" x14ac:dyDescent="0.3">
      <c r="A18" t="s">
        <v>86</v>
      </c>
      <c r="B18" t="s">
        <v>9</v>
      </c>
      <c r="C18" t="s">
        <v>21</v>
      </c>
      <c r="D18" t="s">
        <v>13</v>
      </c>
      <c r="E18" t="s">
        <v>80</v>
      </c>
      <c r="F18" t="s">
        <v>82</v>
      </c>
      <c r="G18" t="s">
        <v>83</v>
      </c>
      <c r="H18" t="s">
        <v>17</v>
      </c>
      <c r="I18" t="s">
        <v>84</v>
      </c>
    </row>
    <row r="19" spans="1:9" hidden="1" x14ac:dyDescent="0.3">
      <c r="A19" t="s">
        <v>91</v>
      </c>
      <c r="B19" t="s">
        <v>9</v>
      </c>
      <c r="C19" t="s">
        <v>21</v>
      </c>
      <c r="D19" t="s">
        <v>13</v>
      </c>
      <c r="E19" t="s">
        <v>85</v>
      </c>
      <c r="F19" t="s">
        <v>87</v>
      </c>
      <c r="G19" t="s">
        <v>88</v>
      </c>
      <c r="H19" t="s">
        <v>17</v>
      </c>
      <c r="I19" t="s">
        <v>89</v>
      </c>
    </row>
    <row r="20" spans="1:9" hidden="1" x14ac:dyDescent="0.3">
      <c r="A20" t="s">
        <v>96</v>
      </c>
      <c r="B20" t="s">
        <v>9</v>
      </c>
      <c r="C20" t="s">
        <v>21</v>
      </c>
      <c r="D20" t="s">
        <v>13</v>
      </c>
      <c r="E20" t="s">
        <v>90</v>
      </c>
      <c r="F20" t="s">
        <v>92</v>
      </c>
      <c r="G20" t="s">
        <v>93</v>
      </c>
      <c r="H20" t="s">
        <v>17</v>
      </c>
      <c r="I20" t="s">
        <v>94</v>
      </c>
    </row>
    <row r="21" spans="1:9" hidden="1" x14ac:dyDescent="0.3">
      <c r="A21" t="s">
        <v>101</v>
      </c>
      <c r="B21" t="s">
        <v>9</v>
      </c>
      <c r="C21" t="s">
        <v>21</v>
      </c>
      <c r="D21" t="s">
        <v>13</v>
      </c>
      <c r="E21" t="s">
        <v>95</v>
      </c>
      <c r="F21" t="s">
        <v>97</v>
      </c>
      <c r="G21" t="s">
        <v>98</v>
      </c>
      <c r="H21" t="s">
        <v>17</v>
      </c>
      <c r="I21" t="s">
        <v>99</v>
      </c>
    </row>
    <row r="22" spans="1:9" hidden="1" x14ac:dyDescent="0.3">
      <c r="A22" t="s">
        <v>107</v>
      </c>
      <c r="B22" t="s">
        <v>9</v>
      </c>
      <c r="C22" t="s">
        <v>21</v>
      </c>
      <c r="D22" t="s">
        <v>13</v>
      </c>
      <c r="E22" t="s">
        <v>100</v>
      </c>
      <c r="F22" t="s">
        <v>102</v>
      </c>
      <c r="G22" t="s">
        <v>103</v>
      </c>
      <c r="H22" t="s">
        <v>17</v>
      </c>
      <c r="I22" t="s">
        <v>104</v>
      </c>
    </row>
    <row r="23" spans="1:9" hidden="1" x14ac:dyDescent="0.3">
      <c r="A23" t="s">
        <v>112</v>
      </c>
      <c r="B23" t="s">
        <v>9</v>
      </c>
      <c r="C23" t="s">
        <v>105</v>
      </c>
      <c r="D23" t="s">
        <v>13</v>
      </c>
      <c r="E23" t="s">
        <v>106</v>
      </c>
      <c r="F23" t="s">
        <v>108</v>
      </c>
      <c r="G23" t="s">
        <v>109</v>
      </c>
      <c r="H23" t="s">
        <v>17</v>
      </c>
      <c r="I23" t="s">
        <v>110</v>
      </c>
    </row>
    <row r="24" spans="1:9" hidden="1" x14ac:dyDescent="0.3">
      <c r="A24" t="s">
        <v>115</v>
      </c>
      <c r="B24" t="s">
        <v>9</v>
      </c>
      <c r="C24" t="s">
        <v>105</v>
      </c>
      <c r="D24" t="s">
        <v>13</v>
      </c>
      <c r="E24" t="s">
        <v>111</v>
      </c>
      <c r="F24" t="s">
        <v>113</v>
      </c>
      <c r="G24" t="s">
        <v>109</v>
      </c>
      <c r="H24" t="s">
        <v>17</v>
      </c>
      <c r="I24" t="s">
        <v>110</v>
      </c>
    </row>
    <row r="25" spans="1:9" hidden="1" x14ac:dyDescent="0.3">
      <c r="A25" t="s">
        <v>118</v>
      </c>
      <c r="B25" t="s">
        <v>9</v>
      </c>
      <c r="C25" t="s">
        <v>105</v>
      </c>
      <c r="D25" t="s">
        <v>13</v>
      </c>
      <c r="E25" t="s">
        <v>114</v>
      </c>
      <c r="F25" t="s">
        <v>116</v>
      </c>
      <c r="G25" t="s">
        <v>109</v>
      </c>
      <c r="H25" t="s">
        <v>17</v>
      </c>
      <c r="I25" t="s">
        <v>110</v>
      </c>
    </row>
    <row r="26" spans="1:9" hidden="1" x14ac:dyDescent="0.3">
      <c r="A26" t="s">
        <v>122</v>
      </c>
      <c r="B26" t="s">
        <v>9</v>
      </c>
      <c r="C26" t="s">
        <v>105</v>
      </c>
      <c r="D26" t="s">
        <v>13</v>
      </c>
      <c r="E26" t="s">
        <v>117</v>
      </c>
      <c r="F26" t="s">
        <v>119</v>
      </c>
      <c r="G26" t="s">
        <v>109</v>
      </c>
      <c r="H26" t="s">
        <v>17</v>
      </c>
      <c r="I26" t="s">
        <v>110</v>
      </c>
    </row>
    <row r="27" spans="1:9" hidden="1" x14ac:dyDescent="0.3">
      <c r="A27" t="s">
        <v>127</v>
      </c>
      <c r="B27" t="s">
        <v>9</v>
      </c>
      <c r="C27" t="s">
        <v>120</v>
      </c>
      <c r="D27" t="s">
        <v>13</v>
      </c>
      <c r="E27" t="s">
        <v>121</v>
      </c>
      <c r="F27" t="s">
        <v>123</v>
      </c>
      <c r="G27" t="s">
        <v>124</v>
      </c>
      <c r="H27" t="s">
        <v>17</v>
      </c>
      <c r="I27" t="s">
        <v>125</v>
      </c>
    </row>
    <row r="28" spans="1:9" hidden="1" x14ac:dyDescent="0.3">
      <c r="A28" t="s">
        <v>130</v>
      </c>
      <c r="B28" t="s">
        <v>9</v>
      </c>
      <c r="C28" t="s">
        <v>120</v>
      </c>
      <c r="D28" t="s">
        <v>13</v>
      </c>
      <c r="E28" t="s">
        <v>126</v>
      </c>
      <c r="F28" t="s">
        <v>128</v>
      </c>
      <c r="G28" t="s">
        <v>124</v>
      </c>
      <c r="H28" t="s">
        <v>17</v>
      </c>
      <c r="I28" t="s">
        <v>125</v>
      </c>
    </row>
    <row r="29" spans="1:9" hidden="1" x14ac:dyDescent="0.3">
      <c r="A29" t="s">
        <v>133</v>
      </c>
      <c r="B29" t="s">
        <v>9</v>
      </c>
      <c r="C29" t="s">
        <v>120</v>
      </c>
      <c r="D29" t="s">
        <v>13</v>
      </c>
      <c r="E29" t="s">
        <v>129</v>
      </c>
      <c r="F29" t="s">
        <v>131</v>
      </c>
      <c r="G29" t="s">
        <v>124</v>
      </c>
      <c r="H29" t="s">
        <v>17</v>
      </c>
      <c r="I29" t="s">
        <v>125</v>
      </c>
    </row>
    <row r="30" spans="1:9" hidden="1" x14ac:dyDescent="0.3">
      <c r="A30" t="s">
        <v>136</v>
      </c>
      <c r="B30" t="s">
        <v>9</v>
      </c>
      <c r="C30" t="s">
        <v>120</v>
      </c>
      <c r="D30" t="s">
        <v>13</v>
      </c>
      <c r="E30" t="s">
        <v>132</v>
      </c>
      <c r="F30" t="s">
        <v>134</v>
      </c>
      <c r="G30" t="s">
        <v>124</v>
      </c>
      <c r="H30" t="s">
        <v>17</v>
      </c>
      <c r="I30" t="s">
        <v>125</v>
      </c>
    </row>
    <row r="31" spans="1:9" hidden="1" x14ac:dyDescent="0.3">
      <c r="A31" t="s">
        <v>139</v>
      </c>
      <c r="B31" t="s">
        <v>9</v>
      </c>
      <c r="C31" t="s">
        <v>120</v>
      </c>
      <c r="D31" t="s">
        <v>13</v>
      </c>
      <c r="E31" t="s">
        <v>135</v>
      </c>
      <c r="F31" t="s">
        <v>137</v>
      </c>
      <c r="G31" t="s">
        <v>124</v>
      </c>
      <c r="H31" t="s">
        <v>17</v>
      </c>
      <c r="I31" t="s">
        <v>125</v>
      </c>
    </row>
    <row r="32" spans="1:9" hidden="1" x14ac:dyDescent="0.3">
      <c r="A32" t="s">
        <v>142</v>
      </c>
      <c r="B32" t="s">
        <v>9</v>
      </c>
      <c r="C32" t="s">
        <v>120</v>
      </c>
      <c r="D32" t="s">
        <v>13</v>
      </c>
      <c r="E32" t="s">
        <v>138</v>
      </c>
      <c r="F32" t="s">
        <v>140</v>
      </c>
      <c r="G32" t="s">
        <v>124</v>
      </c>
      <c r="H32" t="s">
        <v>17</v>
      </c>
      <c r="I32" t="s">
        <v>125</v>
      </c>
    </row>
    <row r="33" spans="1:9" hidden="1" x14ac:dyDescent="0.3">
      <c r="A33" t="s">
        <v>145</v>
      </c>
      <c r="B33" t="s">
        <v>9</v>
      </c>
      <c r="C33" t="s">
        <v>120</v>
      </c>
      <c r="D33" t="s">
        <v>13</v>
      </c>
      <c r="E33" t="s">
        <v>141</v>
      </c>
      <c r="F33" t="s">
        <v>143</v>
      </c>
      <c r="G33" t="s">
        <v>124</v>
      </c>
      <c r="H33" t="s">
        <v>17</v>
      </c>
      <c r="I33" t="s">
        <v>125</v>
      </c>
    </row>
    <row r="34" spans="1:9" hidden="1" x14ac:dyDescent="0.3">
      <c r="A34" t="s">
        <v>148</v>
      </c>
      <c r="B34" t="s">
        <v>9</v>
      </c>
      <c r="C34" t="s">
        <v>120</v>
      </c>
      <c r="D34" t="s">
        <v>13</v>
      </c>
      <c r="E34" t="s">
        <v>144</v>
      </c>
      <c r="F34" t="s">
        <v>146</v>
      </c>
      <c r="G34" t="s">
        <v>124</v>
      </c>
      <c r="H34" t="s">
        <v>17</v>
      </c>
      <c r="I34" t="s">
        <v>125</v>
      </c>
    </row>
    <row r="35" spans="1:9" hidden="1" x14ac:dyDescent="0.3">
      <c r="A35" t="s">
        <v>153</v>
      </c>
      <c r="B35" t="s">
        <v>9</v>
      </c>
      <c r="C35" t="s">
        <v>120</v>
      </c>
      <c r="D35" t="s">
        <v>13</v>
      </c>
      <c r="E35" t="s">
        <v>147</v>
      </c>
      <c r="F35" t="s">
        <v>149</v>
      </c>
      <c r="G35" t="s">
        <v>150</v>
      </c>
      <c r="H35" t="s">
        <v>17</v>
      </c>
      <c r="I35" t="s">
        <v>151</v>
      </c>
    </row>
    <row r="36" spans="1:9" hidden="1" x14ac:dyDescent="0.3">
      <c r="A36" t="s">
        <v>158</v>
      </c>
      <c r="B36" t="s">
        <v>9</v>
      </c>
      <c r="C36" t="s">
        <v>120</v>
      </c>
      <c r="D36" t="s">
        <v>13</v>
      </c>
      <c r="E36" t="s">
        <v>152</v>
      </c>
      <c r="F36" t="s">
        <v>154</v>
      </c>
      <c r="G36" t="s">
        <v>155</v>
      </c>
      <c r="H36" t="s">
        <v>17</v>
      </c>
      <c r="I36" t="s">
        <v>156</v>
      </c>
    </row>
    <row r="37" spans="1:9" hidden="1" x14ac:dyDescent="0.3">
      <c r="A37" t="s">
        <v>163</v>
      </c>
      <c r="B37" t="s">
        <v>9</v>
      </c>
      <c r="C37" t="s">
        <v>120</v>
      </c>
      <c r="D37" t="s">
        <v>13</v>
      </c>
      <c r="E37" t="s">
        <v>157</v>
      </c>
      <c r="F37" t="s">
        <v>159</v>
      </c>
      <c r="G37" t="s">
        <v>160</v>
      </c>
      <c r="H37" t="s">
        <v>17</v>
      </c>
      <c r="I37" t="s">
        <v>161</v>
      </c>
    </row>
    <row r="38" spans="1:9" hidden="1" x14ac:dyDescent="0.3">
      <c r="A38" t="s">
        <v>168</v>
      </c>
      <c r="B38" t="s">
        <v>9</v>
      </c>
      <c r="C38" t="s">
        <v>120</v>
      </c>
      <c r="D38" t="s">
        <v>13</v>
      </c>
      <c r="E38" t="s">
        <v>162</v>
      </c>
      <c r="F38" t="s">
        <v>164</v>
      </c>
      <c r="G38" t="s">
        <v>165</v>
      </c>
      <c r="H38" t="s">
        <v>17</v>
      </c>
      <c r="I38" t="s">
        <v>166</v>
      </c>
    </row>
    <row r="39" spans="1:9" hidden="1" x14ac:dyDescent="0.3">
      <c r="A39" t="s">
        <v>173</v>
      </c>
      <c r="B39" t="s">
        <v>9</v>
      </c>
      <c r="C39" t="s">
        <v>120</v>
      </c>
      <c r="D39" t="s">
        <v>13</v>
      </c>
      <c r="E39" t="s">
        <v>167</v>
      </c>
      <c r="F39" t="s">
        <v>169</v>
      </c>
      <c r="G39" t="s">
        <v>170</v>
      </c>
      <c r="H39" t="s">
        <v>17</v>
      </c>
      <c r="I39" t="s">
        <v>171</v>
      </c>
    </row>
    <row r="40" spans="1:9" hidden="1" x14ac:dyDescent="0.3">
      <c r="A40" t="s">
        <v>178</v>
      </c>
      <c r="B40" t="s">
        <v>9</v>
      </c>
      <c r="C40" t="s">
        <v>120</v>
      </c>
      <c r="D40" t="s">
        <v>13</v>
      </c>
      <c r="E40" t="s">
        <v>172</v>
      </c>
      <c r="F40" t="s">
        <v>174</v>
      </c>
      <c r="G40" t="s">
        <v>175</v>
      </c>
      <c r="H40" t="s">
        <v>17</v>
      </c>
      <c r="I40" t="s">
        <v>176</v>
      </c>
    </row>
    <row r="41" spans="1:9" hidden="1" x14ac:dyDescent="0.3">
      <c r="A41" t="s">
        <v>183</v>
      </c>
      <c r="B41" t="s">
        <v>9</v>
      </c>
      <c r="C41" t="s">
        <v>120</v>
      </c>
      <c r="D41" t="s">
        <v>13</v>
      </c>
      <c r="E41" t="s">
        <v>177</v>
      </c>
      <c r="F41" t="s">
        <v>179</v>
      </c>
      <c r="G41" t="s">
        <v>180</v>
      </c>
      <c r="H41" t="s">
        <v>17</v>
      </c>
      <c r="I41" t="s">
        <v>181</v>
      </c>
    </row>
    <row r="42" spans="1:9" hidden="1" x14ac:dyDescent="0.3">
      <c r="A42" t="s">
        <v>188</v>
      </c>
      <c r="B42" t="s">
        <v>9</v>
      </c>
      <c r="C42" t="s">
        <v>120</v>
      </c>
      <c r="D42" t="s">
        <v>13</v>
      </c>
      <c r="E42" t="s">
        <v>182</v>
      </c>
      <c r="F42" t="s">
        <v>184</v>
      </c>
      <c r="G42" t="s">
        <v>185</v>
      </c>
      <c r="H42" t="s">
        <v>17</v>
      </c>
      <c r="I42" t="s">
        <v>186</v>
      </c>
    </row>
    <row r="43" spans="1:9" hidden="1" x14ac:dyDescent="0.3">
      <c r="A43" t="s">
        <v>194</v>
      </c>
      <c r="B43" t="s">
        <v>9</v>
      </c>
      <c r="C43" t="s">
        <v>120</v>
      </c>
      <c r="D43" t="s">
        <v>13</v>
      </c>
      <c r="E43" t="s">
        <v>187</v>
      </c>
      <c r="F43" t="s">
        <v>189</v>
      </c>
      <c r="G43" t="s">
        <v>190</v>
      </c>
      <c r="H43" t="s">
        <v>17</v>
      </c>
      <c r="I43" t="s">
        <v>191</v>
      </c>
    </row>
    <row r="44" spans="1:9" hidden="1" x14ac:dyDescent="0.3">
      <c r="A44" t="s">
        <v>199</v>
      </c>
      <c r="B44" t="s">
        <v>9</v>
      </c>
      <c r="C44" t="s">
        <v>192</v>
      </c>
      <c r="D44" t="s">
        <v>13</v>
      </c>
      <c r="E44" t="s">
        <v>193</v>
      </c>
      <c r="F44" t="s">
        <v>195</v>
      </c>
      <c r="G44" t="s">
        <v>196</v>
      </c>
      <c r="H44" t="s">
        <v>17</v>
      </c>
      <c r="I44" t="s">
        <v>197</v>
      </c>
    </row>
    <row r="45" spans="1:9" hidden="1" x14ac:dyDescent="0.3">
      <c r="A45" t="s">
        <v>203</v>
      </c>
      <c r="B45" t="s">
        <v>9</v>
      </c>
      <c r="C45" t="s">
        <v>192</v>
      </c>
      <c r="D45" t="s">
        <v>13</v>
      </c>
      <c r="E45" t="s">
        <v>198</v>
      </c>
      <c r="F45" t="s">
        <v>200</v>
      </c>
      <c r="G45" t="s">
        <v>201</v>
      </c>
      <c r="H45" t="s">
        <v>17</v>
      </c>
      <c r="I45" t="s">
        <v>197</v>
      </c>
    </row>
    <row r="46" spans="1:9" hidden="1" x14ac:dyDescent="0.3">
      <c r="A46" t="s">
        <v>207</v>
      </c>
      <c r="B46" t="s">
        <v>9</v>
      </c>
      <c r="C46" t="s">
        <v>192</v>
      </c>
      <c r="D46" t="s">
        <v>13</v>
      </c>
      <c r="E46" t="s">
        <v>202</v>
      </c>
      <c r="F46" t="s">
        <v>204</v>
      </c>
      <c r="G46" t="s">
        <v>205</v>
      </c>
      <c r="H46" t="s">
        <v>17</v>
      </c>
      <c r="I46" t="s">
        <v>197</v>
      </c>
    </row>
    <row r="47" spans="1:9" hidden="1" x14ac:dyDescent="0.3">
      <c r="A47" t="s">
        <v>211</v>
      </c>
      <c r="B47" t="s">
        <v>9</v>
      </c>
      <c r="C47" t="s">
        <v>192</v>
      </c>
      <c r="D47" t="s">
        <v>13</v>
      </c>
      <c r="E47" t="s">
        <v>206</v>
      </c>
      <c r="F47" t="s">
        <v>208</v>
      </c>
      <c r="G47" t="s">
        <v>209</v>
      </c>
      <c r="H47" t="s">
        <v>17</v>
      </c>
      <c r="I47" t="s">
        <v>197</v>
      </c>
    </row>
    <row r="48" spans="1:9" hidden="1" x14ac:dyDescent="0.3">
      <c r="A48" t="s">
        <v>215</v>
      </c>
      <c r="B48" t="s">
        <v>9</v>
      </c>
      <c r="C48" t="s">
        <v>192</v>
      </c>
      <c r="D48" t="s">
        <v>13</v>
      </c>
      <c r="E48" t="s">
        <v>210</v>
      </c>
      <c r="F48" t="s">
        <v>212</v>
      </c>
      <c r="G48" t="s">
        <v>213</v>
      </c>
      <c r="H48" t="s">
        <v>17</v>
      </c>
      <c r="I48" t="s">
        <v>197</v>
      </c>
    </row>
    <row r="49" spans="1:9" hidden="1" x14ac:dyDescent="0.3">
      <c r="A49" t="s">
        <v>219</v>
      </c>
      <c r="B49" t="s">
        <v>9</v>
      </c>
      <c r="C49" t="s">
        <v>192</v>
      </c>
      <c r="D49" t="s">
        <v>13</v>
      </c>
      <c r="E49" t="s">
        <v>214</v>
      </c>
      <c r="F49" t="s">
        <v>216</v>
      </c>
      <c r="G49" t="s">
        <v>217</v>
      </c>
      <c r="H49" t="s">
        <v>17</v>
      </c>
      <c r="I49" t="s">
        <v>197</v>
      </c>
    </row>
    <row r="50" spans="1:9" hidden="1" x14ac:dyDescent="0.3">
      <c r="A50" t="s">
        <v>224</v>
      </c>
      <c r="B50" t="s">
        <v>9</v>
      </c>
      <c r="C50" t="s">
        <v>192</v>
      </c>
      <c r="D50" t="s">
        <v>13</v>
      </c>
      <c r="E50" t="s">
        <v>218</v>
      </c>
      <c r="F50" t="s">
        <v>220</v>
      </c>
      <c r="G50" t="s">
        <v>221</v>
      </c>
      <c r="H50" t="s">
        <v>17</v>
      </c>
      <c r="I50" t="s">
        <v>222</v>
      </c>
    </row>
    <row r="51" spans="1:9" hidden="1" x14ac:dyDescent="0.3">
      <c r="A51" t="s">
        <v>229</v>
      </c>
      <c r="B51" t="s">
        <v>9</v>
      </c>
      <c r="C51" t="s">
        <v>192</v>
      </c>
      <c r="D51" t="s">
        <v>13</v>
      </c>
      <c r="E51" t="s">
        <v>223</v>
      </c>
      <c r="F51" t="s">
        <v>225</v>
      </c>
      <c r="G51" t="s">
        <v>226</v>
      </c>
      <c r="H51" t="s">
        <v>17</v>
      </c>
      <c r="I51" t="s">
        <v>222</v>
      </c>
    </row>
    <row r="52" spans="1:9" hidden="1" x14ac:dyDescent="0.3">
      <c r="A52" t="s">
        <v>234</v>
      </c>
      <c r="B52" t="s">
        <v>9</v>
      </c>
      <c r="C52" t="s">
        <v>227</v>
      </c>
      <c r="D52" t="s">
        <v>13</v>
      </c>
      <c r="E52" t="s">
        <v>228</v>
      </c>
      <c r="F52" t="s">
        <v>230</v>
      </c>
      <c r="G52" t="s">
        <v>231</v>
      </c>
      <c r="H52" t="s">
        <v>17</v>
      </c>
      <c r="I52" t="s">
        <v>232</v>
      </c>
    </row>
    <row r="53" spans="1:9" hidden="1" x14ac:dyDescent="0.3">
      <c r="A53" t="s">
        <v>237</v>
      </c>
      <c r="B53" t="s">
        <v>9</v>
      </c>
      <c r="C53" t="s">
        <v>227</v>
      </c>
      <c r="D53" t="s">
        <v>13</v>
      </c>
      <c r="E53" t="s">
        <v>233</v>
      </c>
      <c r="F53" t="s">
        <v>235</v>
      </c>
      <c r="G53" t="s">
        <v>231</v>
      </c>
      <c r="H53" t="s">
        <v>17</v>
      </c>
      <c r="I53" t="s">
        <v>232</v>
      </c>
    </row>
    <row r="54" spans="1:9" hidden="1" x14ac:dyDescent="0.3">
      <c r="A54" t="s">
        <v>240</v>
      </c>
      <c r="B54" t="s">
        <v>9</v>
      </c>
      <c r="C54" t="s">
        <v>227</v>
      </c>
      <c r="D54" t="s">
        <v>13</v>
      </c>
      <c r="E54" t="s">
        <v>236</v>
      </c>
      <c r="F54" t="s">
        <v>238</v>
      </c>
      <c r="G54" t="s">
        <v>231</v>
      </c>
      <c r="H54" t="s">
        <v>17</v>
      </c>
      <c r="I54" t="s">
        <v>232</v>
      </c>
    </row>
    <row r="55" spans="1:9" hidden="1" x14ac:dyDescent="0.3">
      <c r="A55" t="s">
        <v>246</v>
      </c>
      <c r="B55" t="s">
        <v>9</v>
      </c>
      <c r="C55" t="s">
        <v>227</v>
      </c>
      <c r="D55" t="s">
        <v>13</v>
      </c>
      <c r="E55" t="s">
        <v>239</v>
      </c>
      <c r="F55" t="s">
        <v>241</v>
      </c>
      <c r="G55" t="s">
        <v>242</v>
      </c>
      <c r="H55" t="s">
        <v>17</v>
      </c>
      <c r="I55" t="s">
        <v>243</v>
      </c>
    </row>
    <row r="56" spans="1:9" hidden="1" x14ac:dyDescent="0.3">
      <c r="A56" t="s">
        <v>251</v>
      </c>
      <c r="B56" t="s">
        <v>9</v>
      </c>
      <c r="C56" t="s">
        <v>244</v>
      </c>
      <c r="D56" t="s">
        <v>13</v>
      </c>
      <c r="E56" t="s">
        <v>245</v>
      </c>
      <c r="F56" t="s">
        <v>247</v>
      </c>
      <c r="G56" t="s">
        <v>248</v>
      </c>
      <c r="H56" t="s">
        <v>17</v>
      </c>
      <c r="I56" t="s">
        <v>249</v>
      </c>
    </row>
    <row r="57" spans="1:9" hidden="1" x14ac:dyDescent="0.3">
      <c r="A57" t="s">
        <v>254</v>
      </c>
      <c r="B57" t="s">
        <v>9</v>
      </c>
      <c r="C57" t="s">
        <v>244</v>
      </c>
      <c r="D57" t="s">
        <v>13</v>
      </c>
      <c r="E57" t="s">
        <v>250</v>
      </c>
      <c r="F57" t="s">
        <v>252</v>
      </c>
      <c r="G57" t="s">
        <v>248</v>
      </c>
      <c r="H57" t="s">
        <v>17</v>
      </c>
      <c r="I57" t="s">
        <v>249</v>
      </c>
    </row>
    <row r="58" spans="1:9" hidden="1" x14ac:dyDescent="0.3">
      <c r="A58" t="s">
        <v>257</v>
      </c>
      <c r="B58" t="s">
        <v>9</v>
      </c>
      <c r="C58" t="s">
        <v>244</v>
      </c>
      <c r="D58" t="s">
        <v>13</v>
      </c>
      <c r="E58" t="s">
        <v>253</v>
      </c>
      <c r="F58" t="s">
        <v>255</v>
      </c>
      <c r="G58" t="s">
        <v>248</v>
      </c>
      <c r="H58" t="s">
        <v>17</v>
      </c>
      <c r="I58" t="s">
        <v>249</v>
      </c>
    </row>
    <row r="59" spans="1:9" hidden="1" x14ac:dyDescent="0.3">
      <c r="A59" t="s">
        <v>260</v>
      </c>
      <c r="B59" t="s">
        <v>9</v>
      </c>
      <c r="C59" t="s">
        <v>244</v>
      </c>
      <c r="D59" t="s">
        <v>13</v>
      </c>
      <c r="E59" t="s">
        <v>256</v>
      </c>
      <c r="F59" t="s">
        <v>258</v>
      </c>
      <c r="G59" t="s">
        <v>248</v>
      </c>
      <c r="H59" t="s">
        <v>17</v>
      </c>
      <c r="I59" t="s">
        <v>249</v>
      </c>
    </row>
    <row r="60" spans="1:9" hidden="1" x14ac:dyDescent="0.3">
      <c r="A60" t="s">
        <v>263</v>
      </c>
      <c r="B60" t="s">
        <v>9</v>
      </c>
      <c r="C60" t="s">
        <v>244</v>
      </c>
      <c r="D60" t="s">
        <v>13</v>
      </c>
      <c r="E60" t="s">
        <v>259</v>
      </c>
      <c r="F60" t="s">
        <v>261</v>
      </c>
      <c r="G60" t="s">
        <v>248</v>
      </c>
      <c r="H60" t="s">
        <v>17</v>
      </c>
      <c r="I60" t="s">
        <v>249</v>
      </c>
    </row>
    <row r="61" spans="1:9" hidden="1" x14ac:dyDescent="0.3">
      <c r="A61" t="s">
        <v>266</v>
      </c>
      <c r="B61" t="s">
        <v>9</v>
      </c>
      <c r="C61" t="s">
        <v>244</v>
      </c>
      <c r="D61" t="s">
        <v>13</v>
      </c>
      <c r="E61" t="s">
        <v>262</v>
      </c>
      <c r="F61" t="s">
        <v>264</v>
      </c>
      <c r="G61" t="s">
        <v>248</v>
      </c>
      <c r="H61" t="s">
        <v>17</v>
      </c>
      <c r="I61" t="s">
        <v>249</v>
      </c>
    </row>
    <row r="62" spans="1:9" hidden="1" x14ac:dyDescent="0.3">
      <c r="A62" t="s">
        <v>269</v>
      </c>
      <c r="B62" t="s">
        <v>9</v>
      </c>
      <c r="C62" t="s">
        <v>244</v>
      </c>
      <c r="D62" t="s">
        <v>13</v>
      </c>
      <c r="E62" t="s">
        <v>265</v>
      </c>
      <c r="F62" t="s">
        <v>267</v>
      </c>
      <c r="G62" t="s">
        <v>248</v>
      </c>
      <c r="H62" t="s">
        <v>17</v>
      </c>
      <c r="I62" t="s">
        <v>249</v>
      </c>
    </row>
    <row r="63" spans="1:9" hidden="1" x14ac:dyDescent="0.3">
      <c r="A63" t="s">
        <v>274</v>
      </c>
      <c r="B63" t="s">
        <v>9</v>
      </c>
      <c r="C63" t="s">
        <v>244</v>
      </c>
      <c r="D63" t="s">
        <v>13</v>
      </c>
      <c r="E63" t="s">
        <v>268</v>
      </c>
      <c r="F63" t="s">
        <v>270</v>
      </c>
      <c r="G63" t="s">
        <v>271</v>
      </c>
      <c r="H63" t="s">
        <v>17</v>
      </c>
      <c r="I63" t="s">
        <v>272</v>
      </c>
    </row>
    <row r="64" spans="1:9" hidden="1" x14ac:dyDescent="0.3">
      <c r="A64" t="s">
        <v>277</v>
      </c>
      <c r="B64" t="s">
        <v>9</v>
      </c>
      <c r="C64" t="s">
        <v>244</v>
      </c>
      <c r="D64" t="s">
        <v>13</v>
      </c>
      <c r="E64" t="s">
        <v>273</v>
      </c>
      <c r="F64" t="s">
        <v>275</v>
      </c>
      <c r="H64" t="s">
        <v>17</v>
      </c>
      <c r="I64" t="s">
        <v>249</v>
      </c>
    </row>
    <row r="65" spans="1:9" hidden="1" x14ac:dyDescent="0.3">
      <c r="A65" t="s">
        <v>280</v>
      </c>
      <c r="B65" t="s">
        <v>9</v>
      </c>
      <c r="C65" t="s">
        <v>244</v>
      </c>
      <c r="D65" t="s">
        <v>13</v>
      </c>
      <c r="E65" t="s">
        <v>276</v>
      </c>
      <c r="F65" t="s">
        <v>278</v>
      </c>
      <c r="H65" t="s">
        <v>17</v>
      </c>
      <c r="I65" t="s">
        <v>249</v>
      </c>
    </row>
    <row r="66" spans="1:9" hidden="1" x14ac:dyDescent="0.3">
      <c r="A66" t="s">
        <v>283</v>
      </c>
      <c r="B66" t="s">
        <v>9</v>
      </c>
      <c r="C66" t="s">
        <v>244</v>
      </c>
      <c r="D66" t="s">
        <v>13</v>
      </c>
      <c r="E66" t="s">
        <v>279</v>
      </c>
      <c r="F66" t="s">
        <v>281</v>
      </c>
      <c r="H66" t="s">
        <v>17</v>
      </c>
      <c r="I66" t="s">
        <v>249</v>
      </c>
    </row>
    <row r="67" spans="1:9" hidden="1" x14ac:dyDescent="0.3">
      <c r="A67" t="s">
        <v>286</v>
      </c>
      <c r="B67" t="s">
        <v>9</v>
      </c>
      <c r="C67" t="s">
        <v>244</v>
      </c>
      <c r="D67" t="s">
        <v>13</v>
      </c>
      <c r="E67" t="s">
        <v>282</v>
      </c>
      <c r="F67" t="s">
        <v>284</v>
      </c>
      <c r="H67" t="s">
        <v>17</v>
      </c>
      <c r="I67" t="s">
        <v>249</v>
      </c>
    </row>
    <row r="68" spans="1:9" hidden="1" x14ac:dyDescent="0.3">
      <c r="A68" t="s">
        <v>289</v>
      </c>
      <c r="B68" t="s">
        <v>9</v>
      </c>
      <c r="C68" t="s">
        <v>244</v>
      </c>
      <c r="D68" t="s">
        <v>13</v>
      </c>
      <c r="E68" t="s">
        <v>285</v>
      </c>
      <c r="F68" t="s">
        <v>287</v>
      </c>
      <c r="H68" t="s">
        <v>17</v>
      </c>
      <c r="I68" t="s">
        <v>249</v>
      </c>
    </row>
    <row r="69" spans="1:9" hidden="1" x14ac:dyDescent="0.3">
      <c r="A69" t="s">
        <v>292</v>
      </c>
      <c r="B69" t="s">
        <v>9</v>
      </c>
      <c r="C69" t="s">
        <v>244</v>
      </c>
      <c r="D69" t="s">
        <v>13</v>
      </c>
      <c r="E69" t="s">
        <v>288</v>
      </c>
      <c r="F69" t="s">
        <v>290</v>
      </c>
      <c r="H69" t="s">
        <v>17</v>
      </c>
      <c r="I69" t="s">
        <v>249</v>
      </c>
    </row>
    <row r="70" spans="1:9" hidden="1" x14ac:dyDescent="0.3">
      <c r="A70" t="s">
        <v>295</v>
      </c>
      <c r="B70" t="s">
        <v>9</v>
      </c>
      <c r="C70" t="s">
        <v>244</v>
      </c>
      <c r="D70" t="s">
        <v>13</v>
      </c>
      <c r="E70" t="s">
        <v>291</v>
      </c>
      <c r="F70" t="s">
        <v>293</v>
      </c>
      <c r="H70" t="s">
        <v>17</v>
      </c>
      <c r="I70" t="s">
        <v>249</v>
      </c>
    </row>
    <row r="71" spans="1:9" hidden="1" x14ac:dyDescent="0.3">
      <c r="A71" t="s">
        <v>298</v>
      </c>
      <c r="B71" t="s">
        <v>9</v>
      </c>
      <c r="C71" t="s">
        <v>244</v>
      </c>
      <c r="D71" t="s">
        <v>13</v>
      </c>
      <c r="E71" t="s">
        <v>294</v>
      </c>
      <c r="F71" t="s">
        <v>296</v>
      </c>
      <c r="H71" t="s">
        <v>17</v>
      </c>
      <c r="I71" t="s">
        <v>249</v>
      </c>
    </row>
    <row r="72" spans="1:9" hidden="1" x14ac:dyDescent="0.3">
      <c r="A72" t="s">
        <v>301</v>
      </c>
      <c r="B72" t="s">
        <v>9</v>
      </c>
      <c r="C72" t="s">
        <v>244</v>
      </c>
      <c r="D72" t="s">
        <v>13</v>
      </c>
      <c r="E72" t="s">
        <v>297</v>
      </c>
      <c r="F72" t="s">
        <v>299</v>
      </c>
      <c r="H72" t="s">
        <v>17</v>
      </c>
      <c r="I72" t="s">
        <v>249</v>
      </c>
    </row>
    <row r="73" spans="1:9" hidden="1" x14ac:dyDescent="0.3">
      <c r="A73" t="s">
        <v>304</v>
      </c>
      <c r="B73" t="s">
        <v>9</v>
      </c>
      <c r="C73" t="s">
        <v>244</v>
      </c>
      <c r="D73" t="s">
        <v>13</v>
      </c>
      <c r="E73" t="s">
        <v>300</v>
      </c>
      <c r="F73" t="s">
        <v>302</v>
      </c>
      <c r="H73" t="s">
        <v>17</v>
      </c>
      <c r="I73" t="s">
        <v>249</v>
      </c>
    </row>
    <row r="74" spans="1:9" hidden="1" x14ac:dyDescent="0.3">
      <c r="A74" t="s">
        <v>309</v>
      </c>
      <c r="B74" t="s">
        <v>9</v>
      </c>
      <c r="C74" t="s">
        <v>244</v>
      </c>
      <c r="D74" t="s">
        <v>13</v>
      </c>
      <c r="E74" t="s">
        <v>303</v>
      </c>
      <c r="F74" t="s">
        <v>305</v>
      </c>
      <c r="G74" t="s">
        <v>306</v>
      </c>
      <c r="H74" t="s">
        <v>17</v>
      </c>
      <c r="I74" t="s">
        <v>307</v>
      </c>
    </row>
    <row r="75" spans="1:9" hidden="1" x14ac:dyDescent="0.3">
      <c r="A75" t="s">
        <v>313</v>
      </c>
      <c r="B75" t="s">
        <v>9</v>
      </c>
      <c r="C75" t="s">
        <v>244</v>
      </c>
      <c r="D75" t="s">
        <v>13</v>
      </c>
      <c r="E75" t="s">
        <v>308</v>
      </c>
      <c r="F75" t="s">
        <v>310</v>
      </c>
      <c r="G75" t="s">
        <v>311</v>
      </c>
      <c r="H75" t="s">
        <v>17</v>
      </c>
      <c r="I75" t="s">
        <v>307</v>
      </c>
    </row>
    <row r="76" spans="1:9" hidden="1" x14ac:dyDescent="0.3">
      <c r="A76" t="s">
        <v>317</v>
      </c>
      <c r="B76" t="s">
        <v>9</v>
      </c>
      <c r="C76" t="s">
        <v>244</v>
      </c>
      <c r="D76" t="s">
        <v>13</v>
      </c>
      <c r="E76" t="s">
        <v>312</v>
      </c>
      <c r="F76" t="s">
        <v>314</v>
      </c>
      <c r="G76" t="s">
        <v>315</v>
      </c>
      <c r="H76" t="s">
        <v>17</v>
      </c>
      <c r="I76" t="s">
        <v>307</v>
      </c>
    </row>
    <row r="77" spans="1:9" hidden="1" x14ac:dyDescent="0.3">
      <c r="A77" t="s">
        <v>320</v>
      </c>
      <c r="B77" t="s">
        <v>9</v>
      </c>
      <c r="C77" t="s">
        <v>244</v>
      </c>
      <c r="D77" t="s">
        <v>13</v>
      </c>
      <c r="E77" t="s">
        <v>316</v>
      </c>
      <c r="F77" t="s">
        <v>310</v>
      </c>
      <c r="G77" t="s">
        <v>318</v>
      </c>
      <c r="H77" t="s">
        <v>17</v>
      </c>
      <c r="I77" t="s">
        <v>307</v>
      </c>
    </row>
    <row r="78" spans="1:9" hidden="1" x14ac:dyDescent="0.3">
      <c r="A78" t="s">
        <v>324</v>
      </c>
      <c r="B78" t="s">
        <v>9</v>
      </c>
      <c r="C78" t="s">
        <v>244</v>
      </c>
      <c r="D78" t="s">
        <v>13</v>
      </c>
      <c r="E78" t="s">
        <v>319</v>
      </c>
      <c r="F78" t="s">
        <v>321</v>
      </c>
      <c r="G78" t="s">
        <v>322</v>
      </c>
      <c r="H78" t="s">
        <v>17</v>
      </c>
      <c r="I78" t="s">
        <v>307</v>
      </c>
    </row>
    <row r="79" spans="1:9" hidden="1" x14ac:dyDescent="0.3">
      <c r="A79" t="s">
        <v>328</v>
      </c>
      <c r="B79" t="s">
        <v>9</v>
      </c>
      <c r="C79" t="s">
        <v>244</v>
      </c>
      <c r="D79" t="s">
        <v>13</v>
      </c>
      <c r="E79" t="s">
        <v>323</v>
      </c>
      <c r="F79" t="s">
        <v>310</v>
      </c>
      <c r="G79" t="s">
        <v>325</v>
      </c>
      <c r="H79" t="s">
        <v>17</v>
      </c>
      <c r="I79" t="s">
        <v>307</v>
      </c>
    </row>
    <row r="80" spans="1:9" hidden="1" x14ac:dyDescent="0.3">
      <c r="A80" t="s">
        <v>333</v>
      </c>
      <c r="B80" t="s">
        <v>9</v>
      </c>
      <c r="C80" t="s">
        <v>326</v>
      </c>
      <c r="D80" t="s">
        <v>13</v>
      </c>
      <c r="E80" t="s">
        <v>327</v>
      </c>
      <c r="F80" t="s">
        <v>329</v>
      </c>
      <c r="G80" t="s">
        <v>330</v>
      </c>
      <c r="H80" t="s">
        <v>17</v>
      </c>
      <c r="I80" t="s">
        <v>331</v>
      </c>
    </row>
    <row r="81" spans="1:9" hidden="1" x14ac:dyDescent="0.3">
      <c r="A81" t="s">
        <v>336</v>
      </c>
      <c r="B81" t="s">
        <v>9</v>
      </c>
      <c r="C81" t="s">
        <v>326</v>
      </c>
      <c r="D81" t="s">
        <v>13</v>
      </c>
      <c r="E81" t="s">
        <v>332</v>
      </c>
      <c r="F81" t="s">
        <v>334</v>
      </c>
      <c r="G81" t="s">
        <v>330</v>
      </c>
      <c r="H81" t="s">
        <v>17</v>
      </c>
      <c r="I81" t="s">
        <v>331</v>
      </c>
    </row>
    <row r="82" spans="1:9" hidden="1" x14ac:dyDescent="0.3">
      <c r="A82" t="s">
        <v>339</v>
      </c>
      <c r="B82" t="s">
        <v>9</v>
      </c>
      <c r="C82" t="s">
        <v>326</v>
      </c>
      <c r="D82" t="s">
        <v>13</v>
      </c>
      <c r="E82" t="s">
        <v>335</v>
      </c>
      <c r="F82" t="s">
        <v>337</v>
      </c>
      <c r="G82" t="s">
        <v>330</v>
      </c>
      <c r="H82" t="s">
        <v>17</v>
      </c>
      <c r="I82" t="s">
        <v>331</v>
      </c>
    </row>
    <row r="83" spans="1:9" hidden="1" x14ac:dyDescent="0.3">
      <c r="A83" t="s">
        <v>342</v>
      </c>
      <c r="B83" t="s">
        <v>9</v>
      </c>
      <c r="C83" t="s">
        <v>326</v>
      </c>
      <c r="D83" t="s">
        <v>13</v>
      </c>
      <c r="E83" t="s">
        <v>338</v>
      </c>
      <c r="F83" t="s">
        <v>340</v>
      </c>
      <c r="G83" t="s">
        <v>330</v>
      </c>
      <c r="H83" t="s">
        <v>17</v>
      </c>
      <c r="I83" t="s">
        <v>331</v>
      </c>
    </row>
    <row r="84" spans="1:9" hidden="1" x14ac:dyDescent="0.3">
      <c r="A84" t="s">
        <v>345</v>
      </c>
      <c r="B84" t="s">
        <v>9</v>
      </c>
      <c r="C84" t="s">
        <v>326</v>
      </c>
      <c r="D84" t="s">
        <v>13</v>
      </c>
      <c r="E84" t="s">
        <v>341</v>
      </c>
      <c r="F84" t="s">
        <v>343</v>
      </c>
      <c r="G84" t="s">
        <v>330</v>
      </c>
      <c r="H84" t="s">
        <v>17</v>
      </c>
      <c r="I84" t="s">
        <v>331</v>
      </c>
    </row>
    <row r="85" spans="1:9" hidden="1" x14ac:dyDescent="0.3">
      <c r="A85" t="s">
        <v>348</v>
      </c>
      <c r="B85" t="s">
        <v>9</v>
      </c>
      <c r="C85" t="s">
        <v>326</v>
      </c>
      <c r="D85" t="s">
        <v>13</v>
      </c>
      <c r="E85" t="s">
        <v>344</v>
      </c>
      <c r="F85" t="s">
        <v>346</v>
      </c>
      <c r="G85" t="s">
        <v>330</v>
      </c>
      <c r="H85" t="s">
        <v>17</v>
      </c>
      <c r="I85" t="s">
        <v>331</v>
      </c>
    </row>
    <row r="86" spans="1:9" hidden="1" x14ac:dyDescent="0.3">
      <c r="A86" t="s">
        <v>354</v>
      </c>
      <c r="B86" t="s">
        <v>9</v>
      </c>
      <c r="C86" t="s">
        <v>326</v>
      </c>
      <c r="D86" t="s">
        <v>13</v>
      </c>
      <c r="E86" t="s">
        <v>347</v>
      </c>
      <c r="F86" t="s">
        <v>349</v>
      </c>
      <c r="G86" t="s">
        <v>350</v>
      </c>
      <c r="H86" t="s">
        <v>17</v>
      </c>
      <c r="I86" t="s">
        <v>351</v>
      </c>
    </row>
    <row r="87" spans="1:9" hidden="1" x14ac:dyDescent="0.3">
      <c r="A87" t="s">
        <v>359</v>
      </c>
      <c r="B87" t="s">
        <v>9</v>
      </c>
      <c r="C87" t="s">
        <v>352</v>
      </c>
      <c r="D87" t="s">
        <v>13</v>
      </c>
      <c r="E87" t="s">
        <v>353</v>
      </c>
      <c r="F87" t="s">
        <v>355</v>
      </c>
      <c r="G87" t="s">
        <v>356</v>
      </c>
      <c r="H87" t="s">
        <v>17</v>
      </c>
      <c r="I87" t="s">
        <v>357</v>
      </c>
    </row>
    <row r="88" spans="1:9" hidden="1" x14ac:dyDescent="0.3">
      <c r="A88" t="s">
        <v>362</v>
      </c>
      <c r="B88" t="s">
        <v>9</v>
      </c>
      <c r="C88" t="s">
        <v>352</v>
      </c>
      <c r="D88" t="s">
        <v>13</v>
      </c>
      <c r="E88" t="s">
        <v>358</v>
      </c>
      <c r="F88" t="s">
        <v>360</v>
      </c>
      <c r="G88" t="s">
        <v>356</v>
      </c>
      <c r="H88" t="s">
        <v>17</v>
      </c>
      <c r="I88" t="s">
        <v>357</v>
      </c>
    </row>
    <row r="89" spans="1:9" hidden="1" x14ac:dyDescent="0.3">
      <c r="A89" t="s">
        <v>365</v>
      </c>
      <c r="B89" t="s">
        <v>9</v>
      </c>
      <c r="C89" t="s">
        <v>352</v>
      </c>
      <c r="D89" t="s">
        <v>13</v>
      </c>
      <c r="E89" t="s">
        <v>361</v>
      </c>
      <c r="F89" t="s">
        <v>363</v>
      </c>
      <c r="G89" t="s">
        <v>356</v>
      </c>
      <c r="H89" t="s">
        <v>17</v>
      </c>
      <c r="I89" t="s">
        <v>357</v>
      </c>
    </row>
    <row r="90" spans="1:9" hidden="1" x14ac:dyDescent="0.3">
      <c r="A90" t="s">
        <v>368</v>
      </c>
      <c r="B90" t="s">
        <v>9</v>
      </c>
      <c r="C90" t="s">
        <v>352</v>
      </c>
      <c r="D90" t="s">
        <v>13</v>
      </c>
      <c r="E90" t="s">
        <v>364</v>
      </c>
      <c r="F90" t="s">
        <v>366</v>
      </c>
      <c r="G90" t="s">
        <v>356</v>
      </c>
      <c r="H90" t="s">
        <v>17</v>
      </c>
      <c r="I90" t="s">
        <v>357</v>
      </c>
    </row>
    <row r="91" spans="1:9" hidden="1" x14ac:dyDescent="0.3">
      <c r="A91" t="s">
        <v>371</v>
      </c>
      <c r="B91" t="s">
        <v>9</v>
      </c>
      <c r="C91" t="s">
        <v>352</v>
      </c>
      <c r="D91" t="s">
        <v>13</v>
      </c>
      <c r="E91" t="s">
        <v>367</v>
      </c>
      <c r="F91" t="s">
        <v>369</v>
      </c>
      <c r="G91" t="s">
        <v>356</v>
      </c>
      <c r="H91" t="s">
        <v>17</v>
      </c>
      <c r="I91" t="s">
        <v>357</v>
      </c>
    </row>
    <row r="92" spans="1:9" hidden="1" x14ac:dyDescent="0.3">
      <c r="A92" t="s">
        <v>374</v>
      </c>
      <c r="B92" t="s">
        <v>9</v>
      </c>
      <c r="C92" t="s">
        <v>352</v>
      </c>
      <c r="D92" t="s">
        <v>13</v>
      </c>
      <c r="E92" t="s">
        <v>370</v>
      </c>
      <c r="F92" t="s">
        <v>372</v>
      </c>
      <c r="G92" t="s">
        <v>356</v>
      </c>
      <c r="H92" t="s">
        <v>17</v>
      </c>
      <c r="I92" t="s">
        <v>357</v>
      </c>
    </row>
    <row r="93" spans="1:9" hidden="1" x14ac:dyDescent="0.3">
      <c r="A93" t="s">
        <v>377</v>
      </c>
      <c r="B93" t="s">
        <v>9</v>
      </c>
      <c r="C93" t="s">
        <v>352</v>
      </c>
      <c r="D93" t="s">
        <v>13</v>
      </c>
      <c r="E93" t="s">
        <v>373</v>
      </c>
      <c r="F93" t="s">
        <v>375</v>
      </c>
      <c r="G93" t="s">
        <v>356</v>
      </c>
      <c r="H93" t="s">
        <v>17</v>
      </c>
      <c r="I93" t="s">
        <v>357</v>
      </c>
    </row>
    <row r="94" spans="1:9" hidden="1" x14ac:dyDescent="0.3">
      <c r="A94" t="s">
        <v>383</v>
      </c>
      <c r="B94" t="s">
        <v>9</v>
      </c>
      <c r="C94" t="s">
        <v>352</v>
      </c>
      <c r="D94" t="s">
        <v>13</v>
      </c>
      <c r="E94" t="s">
        <v>376</v>
      </c>
      <c r="F94" t="s">
        <v>378</v>
      </c>
      <c r="G94" t="s">
        <v>379</v>
      </c>
      <c r="H94" t="s">
        <v>17</v>
      </c>
      <c r="I94" t="s">
        <v>380</v>
      </c>
    </row>
    <row r="95" spans="1:9" hidden="1" x14ac:dyDescent="0.3">
      <c r="A95" t="s">
        <v>388</v>
      </c>
      <c r="B95" t="s">
        <v>9</v>
      </c>
      <c r="C95" t="s">
        <v>381</v>
      </c>
      <c r="D95" t="s">
        <v>13</v>
      </c>
      <c r="E95" t="s">
        <v>382</v>
      </c>
      <c r="F95" t="s">
        <v>384</v>
      </c>
      <c r="G95" t="s">
        <v>385</v>
      </c>
      <c r="H95" t="s">
        <v>17</v>
      </c>
      <c r="I95" t="s">
        <v>386</v>
      </c>
    </row>
    <row r="96" spans="1:9" hidden="1" x14ac:dyDescent="0.3">
      <c r="A96" t="s">
        <v>392</v>
      </c>
      <c r="B96" t="s">
        <v>9</v>
      </c>
      <c r="C96" t="s">
        <v>381</v>
      </c>
      <c r="D96" t="s">
        <v>13</v>
      </c>
      <c r="E96" t="s">
        <v>387</v>
      </c>
      <c r="F96" t="s">
        <v>389</v>
      </c>
      <c r="G96" t="s">
        <v>390</v>
      </c>
      <c r="H96" t="s">
        <v>17</v>
      </c>
      <c r="I96" t="s">
        <v>386</v>
      </c>
    </row>
    <row r="97" spans="1:9" hidden="1" x14ac:dyDescent="0.3">
      <c r="A97" t="s">
        <v>395</v>
      </c>
      <c r="B97" t="s">
        <v>9</v>
      </c>
      <c r="C97" t="s">
        <v>381</v>
      </c>
      <c r="D97" t="s">
        <v>13</v>
      </c>
      <c r="E97" t="s">
        <v>391</v>
      </c>
      <c r="F97" t="s">
        <v>393</v>
      </c>
      <c r="G97" t="s">
        <v>390</v>
      </c>
      <c r="H97" t="s">
        <v>17</v>
      </c>
      <c r="I97" t="s">
        <v>386</v>
      </c>
    </row>
    <row r="98" spans="1:9" hidden="1" x14ac:dyDescent="0.3">
      <c r="A98" t="s">
        <v>398</v>
      </c>
      <c r="B98" t="s">
        <v>9</v>
      </c>
      <c r="C98" t="s">
        <v>381</v>
      </c>
      <c r="D98" t="s">
        <v>13</v>
      </c>
      <c r="E98" t="s">
        <v>394</v>
      </c>
      <c r="F98" t="s">
        <v>396</v>
      </c>
      <c r="G98" t="s">
        <v>390</v>
      </c>
      <c r="H98" t="s">
        <v>17</v>
      </c>
      <c r="I98" t="s">
        <v>386</v>
      </c>
    </row>
    <row r="99" spans="1:9" hidden="1" x14ac:dyDescent="0.3">
      <c r="A99" t="s">
        <v>401</v>
      </c>
      <c r="B99" t="s">
        <v>9</v>
      </c>
      <c r="C99" t="s">
        <v>381</v>
      </c>
      <c r="D99" t="s">
        <v>13</v>
      </c>
      <c r="E99" t="s">
        <v>397</v>
      </c>
      <c r="F99" t="s">
        <v>399</v>
      </c>
      <c r="G99" t="s">
        <v>390</v>
      </c>
      <c r="H99" t="s">
        <v>17</v>
      </c>
      <c r="I99" t="s">
        <v>386</v>
      </c>
    </row>
    <row r="100" spans="1:9" hidden="1" x14ac:dyDescent="0.3">
      <c r="A100" t="s">
        <v>404</v>
      </c>
      <c r="B100" t="s">
        <v>9</v>
      </c>
      <c r="C100" t="s">
        <v>381</v>
      </c>
      <c r="D100" t="s">
        <v>13</v>
      </c>
      <c r="E100" t="s">
        <v>400</v>
      </c>
      <c r="F100" t="s">
        <v>402</v>
      </c>
      <c r="G100" t="s">
        <v>390</v>
      </c>
      <c r="H100" t="s">
        <v>17</v>
      </c>
      <c r="I100" t="s">
        <v>386</v>
      </c>
    </row>
    <row r="101" spans="1:9" hidden="1" x14ac:dyDescent="0.3">
      <c r="A101" t="s">
        <v>407</v>
      </c>
      <c r="B101" t="s">
        <v>9</v>
      </c>
      <c r="C101" t="s">
        <v>381</v>
      </c>
      <c r="D101" t="s">
        <v>13</v>
      </c>
      <c r="E101" t="s">
        <v>403</v>
      </c>
      <c r="F101" t="s">
        <v>405</v>
      </c>
      <c r="G101" t="s">
        <v>390</v>
      </c>
      <c r="H101" t="s">
        <v>17</v>
      </c>
      <c r="I101" t="s">
        <v>386</v>
      </c>
    </row>
    <row r="102" spans="1:9" hidden="1" x14ac:dyDescent="0.3">
      <c r="A102" t="s">
        <v>411</v>
      </c>
      <c r="B102" t="s">
        <v>9</v>
      </c>
      <c r="C102" t="s">
        <v>381</v>
      </c>
      <c r="D102" t="s">
        <v>13</v>
      </c>
      <c r="E102" t="s">
        <v>406</v>
      </c>
      <c r="F102" t="s">
        <v>408</v>
      </c>
      <c r="G102" t="s">
        <v>390</v>
      </c>
      <c r="H102" t="s">
        <v>17</v>
      </c>
      <c r="I102" t="s">
        <v>386</v>
      </c>
    </row>
    <row r="103" spans="1:9" hidden="1" x14ac:dyDescent="0.3">
      <c r="A103" t="s">
        <v>416</v>
      </c>
      <c r="B103" t="s">
        <v>9</v>
      </c>
      <c r="C103" t="s">
        <v>409</v>
      </c>
      <c r="D103" t="s">
        <v>13</v>
      </c>
      <c r="E103" t="s">
        <v>410</v>
      </c>
      <c r="F103" t="s">
        <v>412</v>
      </c>
      <c r="G103" t="s">
        <v>413</v>
      </c>
      <c r="H103" t="s">
        <v>17</v>
      </c>
      <c r="I103" t="s">
        <v>414</v>
      </c>
    </row>
    <row r="104" spans="1:9" hidden="1" x14ac:dyDescent="0.3">
      <c r="A104" t="s">
        <v>421</v>
      </c>
      <c r="B104" t="s">
        <v>9</v>
      </c>
      <c r="C104" t="s">
        <v>409</v>
      </c>
      <c r="D104" t="s">
        <v>13</v>
      </c>
      <c r="E104" t="s">
        <v>415</v>
      </c>
      <c r="F104" t="s">
        <v>417</v>
      </c>
      <c r="G104" t="s">
        <v>418</v>
      </c>
      <c r="H104" t="s">
        <v>17</v>
      </c>
      <c r="I104" t="s">
        <v>419</v>
      </c>
    </row>
    <row r="105" spans="1:9" hidden="1" x14ac:dyDescent="0.3">
      <c r="A105" t="s">
        <v>424</v>
      </c>
      <c r="B105" t="s">
        <v>9</v>
      </c>
      <c r="C105" t="s">
        <v>409</v>
      </c>
      <c r="D105" t="s">
        <v>13</v>
      </c>
      <c r="E105" t="s">
        <v>420</v>
      </c>
      <c r="F105" t="s">
        <v>422</v>
      </c>
      <c r="G105" t="s">
        <v>418</v>
      </c>
      <c r="H105" t="s">
        <v>17</v>
      </c>
      <c r="I105" t="s">
        <v>419</v>
      </c>
    </row>
    <row r="106" spans="1:9" hidden="1" x14ac:dyDescent="0.3">
      <c r="A106" t="s">
        <v>427</v>
      </c>
      <c r="B106" t="s">
        <v>9</v>
      </c>
      <c r="C106" t="s">
        <v>409</v>
      </c>
      <c r="D106" t="s">
        <v>13</v>
      </c>
      <c r="E106" t="s">
        <v>423</v>
      </c>
      <c r="F106" t="s">
        <v>425</v>
      </c>
      <c r="G106" t="s">
        <v>418</v>
      </c>
      <c r="H106" t="s">
        <v>17</v>
      </c>
      <c r="I106" t="s">
        <v>419</v>
      </c>
    </row>
    <row r="107" spans="1:9" hidden="1" x14ac:dyDescent="0.3">
      <c r="A107" t="s">
        <v>430</v>
      </c>
      <c r="B107" t="s">
        <v>9</v>
      </c>
      <c r="C107" t="s">
        <v>409</v>
      </c>
      <c r="D107" t="s">
        <v>13</v>
      </c>
      <c r="E107" t="s">
        <v>426</v>
      </c>
      <c r="F107" t="s">
        <v>428</v>
      </c>
      <c r="G107" t="s">
        <v>418</v>
      </c>
      <c r="H107" t="s">
        <v>17</v>
      </c>
      <c r="I107" t="s">
        <v>419</v>
      </c>
    </row>
    <row r="108" spans="1:9" hidden="1" x14ac:dyDescent="0.3">
      <c r="A108" t="s">
        <v>433</v>
      </c>
      <c r="B108" t="s">
        <v>9</v>
      </c>
      <c r="C108" t="s">
        <v>409</v>
      </c>
      <c r="D108" t="s">
        <v>13</v>
      </c>
      <c r="E108" t="s">
        <v>429</v>
      </c>
      <c r="F108" t="s">
        <v>431</v>
      </c>
      <c r="G108" t="s">
        <v>418</v>
      </c>
      <c r="H108" t="s">
        <v>17</v>
      </c>
      <c r="I108" t="s">
        <v>419</v>
      </c>
    </row>
    <row r="109" spans="1:9" hidden="1" x14ac:dyDescent="0.3">
      <c r="A109" t="s">
        <v>436</v>
      </c>
      <c r="B109" t="s">
        <v>9</v>
      </c>
      <c r="C109" t="s">
        <v>409</v>
      </c>
      <c r="D109" t="s">
        <v>13</v>
      </c>
      <c r="E109" t="s">
        <v>432</v>
      </c>
      <c r="F109" t="s">
        <v>434</v>
      </c>
      <c r="G109" t="s">
        <v>418</v>
      </c>
      <c r="H109" t="s">
        <v>17</v>
      </c>
      <c r="I109" t="s">
        <v>419</v>
      </c>
    </row>
    <row r="110" spans="1:9" hidden="1" x14ac:dyDescent="0.3">
      <c r="A110" t="s">
        <v>439</v>
      </c>
      <c r="B110" t="s">
        <v>9</v>
      </c>
      <c r="C110" t="s">
        <v>409</v>
      </c>
      <c r="D110" t="s">
        <v>13</v>
      </c>
      <c r="E110" t="s">
        <v>435</v>
      </c>
      <c r="F110" t="s">
        <v>437</v>
      </c>
      <c r="G110" t="s">
        <v>418</v>
      </c>
      <c r="H110" t="s">
        <v>17</v>
      </c>
      <c r="I110" t="s">
        <v>419</v>
      </c>
    </row>
    <row r="111" spans="1:9" hidden="1" x14ac:dyDescent="0.3">
      <c r="A111" t="s">
        <v>442</v>
      </c>
      <c r="B111" t="s">
        <v>9</v>
      </c>
      <c r="C111" t="s">
        <v>409</v>
      </c>
      <c r="D111" t="s">
        <v>13</v>
      </c>
      <c r="E111" t="s">
        <v>438</v>
      </c>
      <c r="F111" t="s">
        <v>440</v>
      </c>
      <c r="G111" t="s">
        <v>418</v>
      </c>
      <c r="H111" t="s">
        <v>17</v>
      </c>
      <c r="I111" t="s">
        <v>419</v>
      </c>
    </row>
    <row r="112" spans="1:9" hidden="1" x14ac:dyDescent="0.3">
      <c r="A112" t="s">
        <v>445</v>
      </c>
      <c r="B112" t="s">
        <v>9</v>
      </c>
      <c r="C112" t="s">
        <v>409</v>
      </c>
      <c r="D112" t="s">
        <v>13</v>
      </c>
      <c r="E112" t="s">
        <v>441</v>
      </c>
      <c r="F112" t="s">
        <v>443</v>
      </c>
      <c r="G112" t="s">
        <v>418</v>
      </c>
      <c r="H112" t="s">
        <v>17</v>
      </c>
      <c r="I112" t="s">
        <v>419</v>
      </c>
    </row>
    <row r="113" spans="1:9" hidden="1" x14ac:dyDescent="0.3">
      <c r="A113" t="s">
        <v>449</v>
      </c>
      <c r="B113" t="s">
        <v>9</v>
      </c>
      <c r="C113" t="s">
        <v>409</v>
      </c>
      <c r="D113" t="s">
        <v>13</v>
      </c>
      <c r="E113" t="s">
        <v>444</v>
      </c>
      <c r="F113" t="s">
        <v>446</v>
      </c>
      <c r="G113" t="s">
        <v>418</v>
      </c>
      <c r="H113" t="s">
        <v>17</v>
      </c>
      <c r="I113" t="s">
        <v>419</v>
      </c>
    </row>
    <row r="114" spans="1:9" hidden="1" x14ac:dyDescent="0.3">
      <c r="A114" t="s">
        <v>454</v>
      </c>
      <c r="B114" t="s">
        <v>9</v>
      </c>
      <c r="C114" t="s">
        <v>447</v>
      </c>
      <c r="D114" t="s">
        <v>13</v>
      </c>
      <c r="E114" t="s">
        <v>448</v>
      </c>
      <c r="F114" t="s">
        <v>450</v>
      </c>
      <c r="G114" t="s">
        <v>451</v>
      </c>
      <c r="H114" t="s">
        <v>17</v>
      </c>
      <c r="I114" t="s">
        <v>452</v>
      </c>
    </row>
    <row r="115" spans="1:9" hidden="1" x14ac:dyDescent="0.3">
      <c r="A115" t="s">
        <v>458</v>
      </c>
      <c r="B115" t="s">
        <v>9</v>
      </c>
      <c r="C115" t="s">
        <v>447</v>
      </c>
      <c r="D115" t="s">
        <v>13</v>
      </c>
      <c r="E115" t="s">
        <v>453</v>
      </c>
      <c r="F115" t="s">
        <v>455</v>
      </c>
      <c r="G115" t="s">
        <v>451</v>
      </c>
      <c r="H115" t="s">
        <v>17</v>
      </c>
      <c r="I115" t="s">
        <v>456</v>
      </c>
    </row>
    <row r="116" spans="1:9" hidden="1" x14ac:dyDescent="0.3">
      <c r="A116" t="s">
        <v>462</v>
      </c>
      <c r="B116" t="s">
        <v>9</v>
      </c>
      <c r="C116" t="s">
        <v>447</v>
      </c>
      <c r="D116" t="s">
        <v>13</v>
      </c>
      <c r="E116" t="s">
        <v>457</v>
      </c>
      <c r="F116" t="s">
        <v>459</v>
      </c>
      <c r="G116" t="s">
        <v>460</v>
      </c>
      <c r="H116" t="s">
        <v>17</v>
      </c>
      <c r="I116" t="s">
        <v>452</v>
      </c>
    </row>
    <row r="117" spans="1:9" hidden="1" x14ac:dyDescent="0.3">
      <c r="A117" t="s">
        <v>465</v>
      </c>
      <c r="B117" t="s">
        <v>9</v>
      </c>
      <c r="C117" t="s">
        <v>447</v>
      </c>
      <c r="D117" t="s">
        <v>13</v>
      </c>
      <c r="E117" t="s">
        <v>461</v>
      </c>
      <c r="F117" t="s">
        <v>463</v>
      </c>
      <c r="G117" t="s">
        <v>460</v>
      </c>
      <c r="H117" t="s">
        <v>17</v>
      </c>
      <c r="I117" t="s">
        <v>456</v>
      </c>
    </row>
    <row r="118" spans="1:9" hidden="1" x14ac:dyDescent="0.3">
      <c r="A118" t="s">
        <v>469</v>
      </c>
      <c r="B118" t="s">
        <v>9</v>
      </c>
      <c r="C118" t="s">
        <v>447</v>
      </c>
      <c r="D118" t="s">
        <v>13</v>
      </c>
      <c r="E118" t="s">
        <v>464</v>
      </c>
      <c r="F118" t="s">
        <v>466</v>
      </c>
      <c r="G118" t="s">
        <v>467</v>
      </c>
      <c r="H118" t="s">
        <v>17</v>
      </c>
      <c r="I118" t="s">
        <v>452</v>
      </c>
    </row>
    <row r="119" spans="1:9" hidden="1" x14ac:dyDescent="0.3">
      <c r="A119" t="s">
        <v>472</v>
      </c>
      <c r="B119" t="s">
        <v>9</v>
      </c>
      <c r="C119" t="s">
        <v>447</v>
      </c>
      <c r="D119" t="s">
        <v>13</v>
      </c>
      <c r="E119" t="s">
        <v>468</v>
      </c>
      <c r="F119" t="s">
        <v>470</v>
      </c>
      <c r="G119" t="s">
        <v>467</v>
      </c>
      <c r="H119" t="s">
        <v>17</v>
      </c>
      <c r="I119" t="s">
        <v>456</v>
      </c>
    </row>
    <row r="120" spans="1:9" hidden="1" x14ac:dyDescent="0.3">
      <c r="A120" t="s">
        <v>476</v>
      </c>
      <c r="B120" t="s">
        <v>9</v>
      </c>
      <c r="C120" t="s">
        <v>447</v>
      </c>
      <c r="D120" t="s">
        <v>13</v>
      </c>
      <c r="E120" t="s">
        <v>471</v>
      </c>
      <c r="F120" t="s">
        <v>473</v>
      </c>
      <c r="G120" t="s">
        <v>474</v>
      </c>
      <c r="H120" t="s">
        <v>17</v>
      </c>
      <c r="I120" t="s">
        <v>452</v>
      </c>
    </row>
    <row r="121" spans="1:9" hidden="1" x14ac:dyDescent="0.3">
      <c r="A121" t="s">
        <v>479</v>
      </c>
      <c r="B121" t="s">
        <v>9</v>
      </c>
      <c r="C121" t="s">
        <v>447</v>
      </c>
      <c r="D121" t="s">
        <v>13</v>
      </c>
      <c r="E121" t="s">
        <v>475</v>
      </c>
      <c r="F121" t="s">
        <v>477</v>
      </c>
      <c r="G121" t="s">
        <v>474</v>
      </c>
      <c r="H121" t="s">
        <v>17</v>
      </c>
      <c r="I121" t="s">
        <v>456</v>
      </c>
    </row>
    <row r="122" spans="1:9" hidden="1" x14ac:dyDescent="0.3">
      <c r="A122" t="s">
        <v>483</v>
      </c>
      <c r="B122" t="s">
        <v>9</v>
      </c>
      <c r="C122" t="s">
        <v>447</v>
      </c>
      <c r="D122" t="s">
        <v>13</v>
      </c>
      <c r="E122" t="s">
        <v>478</v>
      </c>
      <c r="F122" t="s">
        <v>480</v>
      </c>
      <c r="G122" t="s">
        <v>481</v>
      </c>
      <c r="H122" t="s">
        <v>17</v>
      </c>
      <c r="I122" t="s">
        <v>452</v>
      </c>
    </row>
    <row r="123" spans="1:9" hidden="1" x14ac:dyDescent="0.3">
      <c r="A123" t="s">
        <v>486</v>
      </c>
      <c r="B123" t="s">
        <v>9</v>
      </c>
      <c r="C123" t="s">
        <v>447</v>
      </c>
      <c r="D123" t="s">
        <v>13</v>
      </c>
      <c r="E123" t="s">
        <v>482</v>
      </c>
      <c r="F123" t="s">
        <v>484</v>
      </c>
      <c r="G123" t="s">
        <v>481</v>
      </c>
      <c r="H123" t="s">
        <v>17</v>
      </c>
      <c r="I123" t="s">
        <v>456</v>
      </c>
    </row>
    <row r="124" spans="1:9" hidden="1" x14ac:dyDescent="0.3">
      <c r="A124" t="s">
        <v>490</v>
      </c>
      <c r="B124" t="s">
        <v>9</v>
      </c>
      <c r="C124" t="s">
        <v>447</v>
      </c>
      <c r="D124" t="s">
        <v>13</v>
      </c>
      <c r="E124" t="s">
        <v>485</v>
      </c>
      <c r="F124" t="s">
        <v>487</v>
      </c>
      <c r="G124" t="s">
        <v>488</v>
      </c>
      <c r="H124" t="s">
        <v>17</v>
      </c>
      <c r="I124" t="s">
        <v>452</v>
      </c>
    </row>
    <row r="125" spans="1:9" hidden="1" x14ac:dyDescent="0.3">
      <c r="A125" t="s">
        <v>493</v>
      </c>
      <c r="B125" t="s">
        <v>9</v>
      </c>
      <c r="C125" t="s">
        <v>447</v>
      </c>
      <c r="D125" t="s">
        <v>13</v>
      </c>
      <c r="E125" t="s">
        <v>489</v>
      </c>
      <c r="F125" t="s">
        <v>491</v>
      </c>
      <c r="G125" t="s">
        <v>488</v>
      </c>
      <c r="H125" t="s">
        <v>17</v>
      </c>
      <c r="I125" t="s">
        <v>456</v>
      </c>
    </row>
    <row r="126" spans="1:9" hidden="1" x14ac:dyDescent="0.3">
      <c r="A126" t="s">
        <v>497</v>
      </c>
      <c r="B126" t="s">
        <v>9</v>
      </c>
      <c r="C126" t="s">
        <v>447</v>
      </c>
      <c r="D126" t="s">
        <v>13</v>
      </c>
      <c r="E126" t="s">
        <v>492</v>
      </c>
      <c r="F126" t="s">
        <v>494</v>
      </c>
      <c r="G126" t="s">
        <v>495</v>
      </c>
      <c r="H126" t="s">
        <v>17</v>
      </c>
      <c r="I126" t="s">
        <v>452</v>
      </c>
    </row>
    <row r="127" spans="1:9" hidden="1" x14ac:dyDescent="0.3">
      <c r="A127" t="s">
        <v>500</v>
      </c>
      <c r="B127" t="s">
        <v>9</v>
      </c>
      <c r="C127" t="s">
        <v>447</v>
      </c>
      <c r="D127" t="s">
        <v>13</v>
      </c>
      <c r="E127" t="s">
        <v>496</v>
      </c>
      <c r="F127" t="s">
        <v>498</v>
      </c>
      <c r="G127" t="s">
        <v>495</v>
      </c>
      <c r="H127" t="s">
        <v>17</v>
      </c>
      <c r="I127" t="s">
        <v>456</v>
      </c>
    </row>
    <row r="128" spans="1:9" hidden="1" x14ac:dyDescent="0.3">
      <c r="A128" t="s">
        <v>505</v>
      </c>
      <c r="B128" t="s">
        <v>9</v>
      </c>
      <c r="C128" t="s">
        <v>447</v>
      </c>
      <c r="D128" t="s">
        <v>13</v>
      </c>
      <c r="E128" t="s">
        <v>499</v>
      </c>
      <c r="F128" t="s">
        <v>501</v>
      </c>
      <c r="G128" t="s">
        <v>502</v>
      </c>
      <c r="H128" t="s">
        <v>17</v>
      </c>
      <c r="I128" t="s">
        <v>503</v>
      </c>
    </row>
    <row r="129" spans="1:9" hidden="1" x14ac:dyDescent="0.3">
      <c r="A129" t="s">
        <v>508</v>
      </c>
      <c r="B129" t="s">
        <v>9</v>
      </c>
      <c r="C129" t="s">
        <v>447</v>
      </c>
      <c r="D129" t="s">
        <v>13</v>
      </c>
      <c r="E129" t="s">
        <v>504</v>
      </c>
      <c r="F129" t="s">
        <v>506</v>
      </c>
      <c r="G129" t="s">
        <v>502</v>
      </c>
      <c r="H129" t="s">
        <v>17</v>
      </c>
      <c r="I129" t="s">
        <v>503</v>
      </c>
    </row>
    <row r="130" spans="1:9" hidden="1" x14ac:dyDescent="0.3">
      <c r="A130" t="s">
        <v>512</v>
      </c>
      <c r="B130" t="s">
        <v>9</v>
      </c>
      <c r="C130" t="s">
        <v>447</v>
      </c>
      <c r="D130" t="s">
        <v>13</v>
      </c>
      <c r="E130" t="s">
        <v>507</v>
      </c>
      <c r="F130" t="s">
        <v>509</v>
      </c>
      <c r="G130" t="s">
        <v>510</v>
      </c>
      <c r="H130" t="s">
        <v>17</v>
      </c>
      <c r="I130" t="s">
        <v>503</v>
      </c>
    </row>
    <row r="131" spans="1:9" hidden="1" x14ac:dyDescent="0.3">
      <c r="A131" t="s">
        <v>515</v>
      </c>
      <c r="B131" t="s">
        <v>9</v>
      </c>
      <c r="C131" t="s">
        <v>447</v>
      </c>
      <c r="D131" t="s">
        <v>13</v>
      </c>
      <c r="E131" t="s">
        <v>511</v>
      </c>
      <c r="F131" t="s">
        <v>513</v>
      </c>
      <c r="G131" t="s">
        <v>510</v>
      </c>
      <c r="H131" t="s">
        <v>17</v>
      </c>
      <c r="I131" t="s">
        <v>503</v>
      </c>
    </row>
    <row r="132" spans="1:9" hidden="1" x14ac:dyDescent="0.3">
      <c r="A132" t="s">
        <v>519</v>
      </c>
      <c r="B132" t="s">
        <v>9</v>
      </c>
      <c r="C132" t="s">
        <v>447</v>
      </c>
      <c r="D132" t="s">
        <v>13</v>
      </c>
      <c r="E132" t="s">
        <v>514</v>
      </c>
      <c r="F132" t="s">
        <v>516</v>
      </c>
      <c r="G132" t="s">
        <v>517</v>
      </c>
      <c r="H132" t="s">
        <v>17</v>
      </c>
      <c r="I132" t="s">
        <v>503</v>
      </c>
    </row>
    <row r="133" spans="1:9" hidden="1" x14ac:dyDescent="0.3">
      <c r="A133" t="s">
        <v>522</v>
      </c>
      <c r="B133" t="s">
        <v>9</v>
      </c>
      <c r="C133" t="s">
        <v>447</v>
      </c>
      <c r="D133" t="s">
        <v>13</v>
      </c>
      <c r="E133" t="s">
        <v>518</v>
      </c>
      <c r="F133" t="s">
        <v>520</v>
      </c>
      <c r="G133" t="s">
        <v>517</v>
      </c>
      <c r="H133" t="s">
        <v>17</v>
      </c>
      <c r="I133" t="s">
        <v>503</v>
      </c>
    </row>
    <row r="134" spans="1:9" hidden="1" x14ac:dyDescent="0.3">
      <c r="A134" t="s">
        <v>526</v>
      </c>
      <c r="B134" t="s">
        <v>9</v>
      </c>
      <c r="C134" t="s">
        <v>447</v>
      </c>
      <c r="D134" t="s">
        <v>13</v>
      </c>
      <c r="E134" t="s">
        <v>521</v>
      </c>
      <c r="F134" t="s">
        <v>523</v>
      </c>
      <c r="G134" t="s">
        <v>524</v>
      </c>
      <c r="H134" t="s">
        <v>17</v>
      </c>
      <c r="I134" t="s">
        <v>503</v>
      </c>
    </row>
    <row r="135" spans="1:9" hidden="1" x14ac:dyDescent="0.3">
      <c r="A135" t="s">
        <v>529</v>
      </c>
      <c r="B135" t="s">
        <v>9</v>
      </c>
      <c r="C135" t="s">
        <v>447</v>
      </c>
      <c r="D135" t="s">
        <v>13</v>
      </c>
      <c r="E135" t="s">
        <v>525</v>
      </c>
      <c r="F135" t="s">
        <v>527</v>
      </c>
      <c r="G135" t="s">
        <v>524</v>
      </c>
      <c r="H135" t="s">
        <v>17</v>
      </c>
      <c r="I135" t="s">
        <v>503</v>
      </c>
    </row>
    <row r="136" spans="1:9" hidden="1" x14ac:dyDescent="0.3">
      <c r="A136" t="s">
        <v>533</v>
      </c>
      <c r="B136" t="s">
        <v>9</v>
      </c>
      <c r="C136" t="s">
        <v>447</v>
      </c>
      <c r="D136" t="s">
        <v>13</v>
      </c>
      <c r="E136" t="s">
        <v>528</v>
      </c>
      <c r="F136" t="s">
        <v>530</v>
      </c>
      <c r="G136" t="s">
        <v>531</v>
      </c>
      <c r="H136" t="s">
        <v>17</v>
      </c>
      <c r="I136" t="s">
        <v>503</v>
      </c>
    </row>
    <row r="137" spans="1:9" hidden="1" x14ac:dyDescent="0.3">
      <c r="A137" t="s">
        <v>536</v>
      </c>
      <c r="B137" t="s">
        <v>9</v>
      </c>
      <c r="C137" t="s">
        <v>447</v>
      </c>
      <c r="D137" t="s">
        <v>13</v>
      </c>
      <c r="E137" t="s">
        <v>532</v>
      </c>
      <c r="F137" t="s">
        <v>534</v>
      </c>
      <c r="G137" t="s">
        <v>531</v>
      </c>
      <c r="H137" t="s">
        <v>17</v>
      </c>
      <c r="I137" t="s">
        <v>503</v>
      </c>
    </row>
    <row r="138" spans="1:9" hidden="1" x14ac:dyDescent="0.3">
      <c r="A138" t="s">
        <v>541</v>
      </c>
      <c r="B138" t="s">
        <v>9</v>
      </c>
      <c r="C138" t="s">
        <v>447</v>
      </c>
      <c r="D138" t="s">
        <v>13</v>
      </c>
      <c r="E138" t="s">
        <v>535</v>
      </c>
      <c r="F138" t="s">
        <v>537</v>
      </c>
      <c r="G138" t="s">
        <v>538</v>
      </c>
      <c r="H138" t="s">
        <v>17</v>
      </c>
      <c r="I138" t="s">
        <v>539</v>
      </c>
    </row>
    <row r="139" spans="1:9" hidden="1" x14ac:dyDescent="0.3">
      <c r="A139" t="s">
        <v>546</v>
      </c>
      <c r="B139" t="s">
        <v>9</v>
      </c>
      <c r="C139" t="s">
        <v>447</v>
      </c>
      <c r="D139" t="s">
        <v>13</v>
      </c>
      <c r="E139" t="s">
        <v>540</v>
      </c>
      <c r="F139" t="s">
        <v>542</v>
      </c>
      <c r="G139" t="s">
        <v>543</v>
      </c>
      <c r="H139" t="s">
        <v>17</v>
      </c>
      <c r="I139" t="s">
        <v>544</v>
      </c>
    </row>
    <row r="140" spans="1:9" hidden="1" x14ac:dyDescent="0.3">
      <c r="A140" t="s">
        <v>551</v>
      </c>
      <c r="B140" t="s">
        <v>9</v>
      </c>
      <c r="C140" t="s">
        <v>447</v>
      </c>
      <c r="D140" t="s">
        <v>13</v>
      </c>
      <c r="E140" t="s">
        <v>545</v>
      </c>
      <c r="F140" t="s">
        <v>384</v>
      </c>
      <c r="G140" t="s">
        <v>547</v>
      </c>
      <c r="H140" t="s">
        <v>17</v>
      </c>
      <c r="I140" t="s">
        <v>548</v>
      </c>
    </row>
    <row r="141" spans="1:9" hidden="1" x14ac:dyDescent="0.3">
      <c r="A141" t="s">
        <v>556</v>
      </c>
      <c r="B141" t="s">
        <v>9</v>
      </c>
      <c r="C141" t="s">
        <v>549</v>
      </c>
      <c r="D141" t="s">
        <v>13</v>
      </c>
      <c r="E141" t="s">
        <v>550</v>
      </c>
      <c r="F141" t="s">
        <v>552</v>
      </c>
      <c r="G141" t="s">
        <v>553</v>
      </c>
      <c r="H141" t="s">
        <v>17</v>
      </c>
      <c r="I141" t="s">
        <v>554</v>
      </c>
    </row>
    <row r="142" spans="1:9" hidden="1" x14ac:dyDescent="0.3">
      <c r="A142" t="s">
        <v>560</v>
      </c>
      <c r="B142" t="s">
        <v>9</v>
      </c>
      <c r="C142" t="s">
        <v>549</v>
      </c>
      <c r="D142" t="s">
        <v>13</v>
      </c>
      <c r="E142" t="s">
        <v>555</v>
      </c>
      <c r="F142" t="s">
        <v>557</v>
      </c>
      <c r="G142" t="s">
        <v>558</v>
      </c>
      <c r="H142" t="s">
        <v>17</v>
      </c>
    </row>
    <row r="143" spans="1:9" hidden="1" x14ac:dyDescent="0.3">
      <c r="A143" t="s">
        <v>565</v>
      </c>
      <c r="B143" t="s">
        <v>9</v>
      </c>
      <c r="C143" t="s">
        <v>549</v>
      </c>
      <c r="D143" t="s">
        <v>13</v>
      </c>
      <c r="E143" t="s">
        <v>559</v>
      </c>
      <c r="F143" t="s">
        <v>561</v>
      </c>
      <c r="G143" t="s">
        <v>562</v>
      </c>
      <c r="H143" t="s">
        <v>17</v>
      </c>
      <c r="I143" t="s">
        <v>563</v>
      </c>
    </row>
    <row r="144" spans="1:9" hidden="1" x14ac:dyDescent="0.3">
      <c r="A144" t="s">
        <v>570</v>
      </c>
      <c r="B144" t="s">
        <v>9</v>
      </c>
      <c r="C144" t="s">
        <v>549</v>
      </c>
      <c r="D144" t="s">
        <v>13</v>
      </c>
      <c r="E144" t="s">
        <v>564</v>
      </c>
      <c r="F144" t="s">
        <v>566</v>
      </c>
      <c r="G144" t="s">
        <v>567</v>
      </c>
      <c r="H144" t="s">
        <v>17</v>
      </c>
      <c r="I144" t="s">
        <v>568</v>
      </c>
    </row>
    <row r="145" spans="1:9" hidden="1" x14ac:dyDescent="0.3">
      <c r="A145" t="s">
        <v>575</v>
      </c>
      <c r="B145" t="s">
        <v>9</v>
      </c>
      <c r="C145" t="s">
        <v>549</v>
      </c>
      <c r="D145" t="s">
        <v>13</v>
      </c>
      <c r="E145" t="s">
        <v>569</v>
      </c>
      <c r="F145" t="s">
        <v>571</v>
      </c>
      <c r="G145" t="s">
        <v>572</v>
      </c>
      <c r="H145" t="s">
        <v>17</v>
      </c>
      <c r="I145" t="s">
        <v>573</v>
      </c>
    </row>
    <row r="146" spans="1:9" hidden="1" x14ac:dyDescent="0.3">
      <c r="A146" t="s">
        <v>580</v>
      </c>
      <c r="B146" t="s">
        <v>9</v>
      </c>
      <c r="C146" t="s">
        <v>549</v>
      </c>
      <c r="D146" t="s">
        <v>13</v>
      </c>
      <c r="E146" t="s">
        <v>574</v>
      </c>
      <c r="F146" t="s">
        <v>576</v>
      </c>
      <c r="G146" t="s">
        <v>577</v>
      </c>
      <c r="H146" t="s">
        <v>17</v>
      </c>
      <c r="I146" t="s">
        <v>578</v>
      </c>
    </row>
    <row r="147" spans="1:9" hidden="1" x14ac:dyDescent="0.3">
      <c r="A147" t="s">
        <v>586</v>
      </c>
      <c r="B147" t="s">
        <v>9</v>
      </c>
      <c r="C147" t="s">
        <v>549</v>
      </c>
      <c r="D147" t="s">
        <v>13</v>
      </c>
      <c r="E147" t="s">
        <v>579</v>
      </c>
      <c r="F147" t="s">
        <v>581</v>
      </c>
      <c r="G147" t="s">
        <v>582</v>
      </c>
      <c r="H147" t="s">
        <v>17</v>
      </c>
      <c r="I147" t="s">
        <v>583</v>
      </c>
    </row>
    <row r="148" spans="1:9" hidden="1" x14ac:dyDescent="0.3">
      <c r="A148" t="s">
        <v>591</v>
      </c>
      <c r="B148" t="s">
        <v>9</v>
      </c>
      <c r="C148" t="s">
        <v>584</v>
      </c>
      <c r="D148" t="s">
        <v>13</v>
      </c>
      <c r="E148" t="s">
        <v>585</v>
      </c>
      <c r="F148" t="s">
        <v>587</v>
      </c>
      <c r="G148" t="s">
        <v>588</v>
      </c>
      <c r="H148" t="s">
        <v>17</v>
      </c>
      <c r="I148" t="s">
        <v>589</v>
      </c>
    </row>
    <row r="149" spans="1:9" hidden="1" x14ac:dyDescent="0.3">
      <c r="A149" t="s">
        <v>596</v>
      </c>
      <c r="B149" t="s">
        <v>9</v>
      </c>
      <c r="C149" t="s">
        <v>584</v>
      </c>
      <c r="D149" t="s">
        <v>13</v>
      </c>
      <c r="E149" t="s">
        <v>590</v>
      </c>
      <c r="F149" t="s">
        <v>592</v>
      </c>
      <c r="G149" t="s">
        <v>593</v>
      </c>
      <c r="H149" t="s">
        <v>17</v>
      </c>
      <c r="I149" t="s">
        <v>594</v>
      </c>
    </row>
    <row r="150" spans="1:9" hidden="1" x14ac:dyDescent="0.3">
      <c r="A150" t="s">
        <v>600</v>
      </c>
      <c r="B150" t="s">
        <v>9</v>
      </c>
      <c r="C150" t="s">
        <v>584</v>
      </c>
      <c r="D150" t="s">
        <v>13</v>
      </c>
      <c r="E150" t="s">
        <v>595</v>
      </c>
      <c r="F150" t="s">
        <v>597</v>
      </c>
      <c r="G150" t="s">
        <v>598</v>
      </c>
      <c r="H150" t="s">
        <v>17</v>
      </c>
    </row>
    <row r="151" spans="1:9" hidden="1" x14ac:dyDescent="0.3">
      <c r="A151" t="s">
        <v>604</v>
      </c>
      <c r="B151" t="s">
        <v>9</v>
      </c>
      <c r="C151" t="s">
        <v>584</v>
      </c>
      <c r="D151" t="s">
        <v>13</v>
      </c>
      <c r="E151" t="s">
        <v>599</v>
      </c>
      <c r="F151" t="s">
        <v>601</v>
      </c>
      <c r="G151" t="s">
        <v>602</v>
      </c>
      <c r="H151" t="s">
        <v>17</v>
      </c>
    </row>
    <row r="152" spans="1:9" hidden="1" x14ac:dyDescent="0.3">
      <c r="A152" t="s">
        <v>608</v>
      </c>
      <c r="B152" t="s">
        <v>9</v>
      </c>
      <c r="C152" t="s">
        <v>584</v>
      </c>
      <c r="D152" t="s">
        <v>13</v>
      </c>
      <c r="E152" t="s">
        <v>603</v>
      </c>
      <c r="F152" t="s">
        <v>605</v>
      </c>
      <c r="G152" t="s">
        <v>606</v>
      </c>
      <c r="H152" t="s">
        <v>17</v>
      </c>
    </row>
    <row r="153" spans="1:9" hidden="1" x14ac:dyDescent="0.3">
      <c r="A153" t="s">
        <v>612</v>
      </c>
      <c r="B153" t="s">
        <v>9</v>
      </c>
      <c r="C153" t="s">
        <v>584</v>
      </c>
      <c r="D153" t="s">
        <v>13</v>
      </c>
      <c r="E153" t="s">
        <v>607</v>
      </c>
      <c r="F153" t="s">
        <v>609</v>
      </c>
      <c r="G153" t="s">
        <v>610</v>
      </c>
      <c r="H153" t="s">
        <v>17</v>
      </c>
    </row>
    <row r="154" spans="1:9" hidden="1" x14ac:dyDescent="0.3">
      <c r="A154" t="s">
        <v>616</v>
      </c>
      <c r="B154" t="s">
        <v>9</v>
      </c>
      <c r="C154" t="s">
        <v>584</v>
      </c>
      <c r="D154" t="s">
        <v>13</v>
      </c>
      <c r="E154" t="s">
        <v>611</v>
      </c>
      <c r="F154" t="s">
        <v>613</v>
      </c>
      <c r="G154" t="s">
        <v>614</v>
      </c>
      <c r="H154" t="s">
        <v>17</v>
      </c>
    </row>
    <row r="155" spans="1:9" hidden="1" x14ac:dyDescent="0.3">
      <c r="A155" t="s">
        <v>620</v>
      </c>
      <c r="B155" t="s">
        <v>9</v>
      </c>
      <c r="C155" t="s">
        <v>584</v>
      </c>
      <c r="D155" t="s">
        <v>13</v>
      </c>
      <c r="E155" t="s">
        <v>615</v>
      </c>
      <c r="F155" t="s">
        <v>617</v>
      </c>
      <c r="G155" t="s">
        <v>618</v>
      </c>
      <c r="H155" t="s">
        <v>17</v>
      </c>
    </row>
    <row r="156" spans="1:9" hidden="1" x14ac:dyDescent="0.3">
      <c r="A156" t="s">
        <v>624</v>
      </c>
      <c r="B156" t="s">
        <v>9</v>
      </c>
      <c r="C156" t="s">
        <v>584</v>
      </c>
      <c r="D156" t="s">
        <v>13</v>
      </c>
      <c r="E156" t="s">
        <v>619</v>
      </c>
      <c r="F156" t="s">
        <v>621</v>
      </c>
      <c r="G156" t="s">
        <v>622</v>
      </c>
      <c r="H156" t="s">
        <v>17</v>
      </c>
    </row>
    <row r="157" spans="1:9" hidden="1" x14ac:dyDescent="0.3">
      <c r="A157" t="s">
        <v>629</v>
      </c>
      <c r="B157" t="s">
        <v>9</v>
      </c>
      <c r="C157" t="s">
        <v>584</v>
      </c>
      <c r="D157" t="s">
        <v>13</v>
      </c>
      <c r="E157" t="s">
        <v>623</v>
      </c>
      <c r="F157" t="s">
        <v>625</v>
      </c>
      <c r="G157" t="s">
        <v>626</v>
      </c>
      <c r="H157" t="s">
        <v>17</v>
      </c>
    </row>
    <row r="158" spans="1:9" hidden="1" x14ac:dyDescent="0.3">
      <c r="A158" t="s">
        <v>633</v>
      </c>
      <c r="B158" t="s">
        <v>9</v>
      </c>
      <c r="C158" t="s">
        <v>627</v>
      </c>
      <c r="D158" t="s">
        <v>13</v>
      </c>
      <c r="E158" t="s">
        <v>628</v>
      </c>
      <c r="F158" t="s">
        <v>630</v>
      </c>
      <c r="G158" t="s">
        <v>631</v>
      </c>
      <c r="H158" t="s">
        <v>17</v>
      </c>
    </row>
    <row r="159" spans="1:9" hidden="1" x14ac:dyDescent="0.3">
      <c r="A159" t="s">
        <v>636</v>
      </c>
      <c r="B159" t="s">
        <v>9</v>
      </c>
      <c r="C159" t="s">
        <v>627</v>
      </c>
      <c r="D159" t="s">
        <v>13</v>
      </c>
      <c r="E159" t="s">
        <v>632</v>
      </c>
      <c r="F159" t="s">
        <v>634</v>
      </c>
      <c r="G159" t="s">
        <v>631</v>
      </c>
      <c r="H159" t="s">
        <v>17</v>
      </c>
    </row>
    <row r="160" spans="1:9" hidden="1" x14ac:dyDescent="0.3">
      <c r="A160" t="s">
        <v>639</v>
      </c>
      <c r="B160" t="s">
        <v>9</v>
      </c>
      <c r="C160" t="s">
        <v>627</v>
      </c>
      <c r="D160" t="s">
        <v>13</v>
      </c>
      <c r="E160" t="s">
        <v>635</v>
      </c>
      <c r="F160" t="s">
        <v>637</v>
      </c>
      <c r="G160" t="s">
        <v>631</v>
      </c>
      <c r="H160" t="s">
        <v>17</v>
      </c>
    </row>
    <row r="161" spans="1:9" hidden="1" x14ac:dyDescent="0.3">
      <c r="A161" t="s">
        <v>642</v>
      </c>
      <c r="B161" t="s">
        <v>9</v>
      </c>
      <c r="C161" t="s">
        <v>627</v>
      </c>
      <c r="D161" t="s">
        <v>13</v>
      </c>
      <c r="E161" t="s">
        <v>638</v>
      </c>
      <c r="F161" t="s">
        <v>640</v>
      </c>
      <c r="G161" t="s">
        <v>631</v>
      </c>
      <c r="H161" t="s">
        <v>17</v>
      </c>
    </row>
    <row r="162" spans="1:9" hidden="1" x14ac:dyDescent="0.3">
      <c r="A162" t="s">
        <v>645</v>
      </c>
      <c r="B162" t="s">
        <v>9</v>
      </c>
      <c r="C162" t="s">
        <v>627</v>
      </c>
      <c r="D162" t="s">
        <v>13</v>
      </c>
      <c r="E162" t="s">
        <v>641</v>
      </c>
      <c r="F162" t="s">
        <v>643</v>
      </c>
      <c r="G162" t="s">
        <v>631</v>
      </c>
      <c r="H162" t="s">
        <v>17</v>
      </c>
    </row>
    <row r="163" spans="1:9" hidden="1" x14ac:dyDescent="0.3">
      <c r="A163" t="s">
        <v>648</v>
      </c>
      <c r="B163" t="s">
        <v>9</v>
      </c>
      <c r="C163" t="s">
        <v>627</v>
      </c>
      <c r="D163" t="s">
        <v>13</v>
      </c>
      <c r="E163" t="s">
        <v>644</v>
      </c>
      <c r="F163" t="s">
        <v>646</v>
      </c>
      <c r="G163" t="s">
        <v>631</v>
      </c>
      <c r="H163" t="s">
        <v>17</v>
      </c>
    </row>
    <row r="164" spans="1:9" hidden="1" x14ac:dyDescent="0.3">
      <c r="A164" t="s">
        <v>651</v>
      </c>
      <c r="B164" t="s">
        <v>9</v>
      </c>
      <c r="C164" t="s">
        <v>627</v>
      </c>
      <c r="D164" t="s">
        <v>13</v>
      </c>
      <c r="E164" t="s">
        <v>647</v>
      </c>
      <c r="F164" t="s">
        <v>649</v>
      </c>
      <c r="G164" t="s">
        <v>631</v>
      </c>
      <c r="H164" t="s">
        <v>17</v>
      </c>
    </row>
    <row r="165" spans="1:9" hidden="1" x14ac:dyDescent="0.3">
      <c r="A165" t="s">
        <v>656</v>
      </c>
      <c r="B165" t="s">
        <v>9</v>
      </c>
      <c r="C165" t="s">
        <v>627</v>
      </c>
      <c r="D165" t="s">
        <v>13</v>
      </c>
      <c r="E165" t="s">
        <v>650</v>
      </c>
      <c r="F165" t="s">
        <v>652</v>
      </c>
      <c r="G165" t="s">
        <v>653</v>
      </c>
      <c r="H165" t="s">
        <v>17</v>
      </c>
      <c r="I165" t="s">
        <v>654</v>
      </c>
    </row>
    <row r="166" spans="1:9" hidden="1" x14ac:dyDescent="0.3">
      <c r="A166" t="s">
        <v>659</v>
      </c>
      <c r="B166" t="s">
        <v>9</v>
      </c>
      <c r="C166" t="s">
        <v>627</v>
      </c>
      <c r="D166" t="s">
        <v>13</v>
      </c>
      <c r="E166" t="s">
        <v>655</v>
      </c>
      <c r="F166" t="s">
        <v>657</v>
      </c>
      <c r="G166" t="s">
        <v>653</v>
      </c>
      <c r="H166" t="s">
        <v>17</v>
      </c>
      <c r="I166" t="s">
        <v>654</v>
      </c>
    </row>
    <row r="167" spans="1:9" hidden="1" x14ac:dyDescent="0.3">
      <c r="A167" t="s">
        <v>662</v>
      </c>
      <c r="B167" t="s">
        <v>9</v>
      </c>
      <c r="C167" t="s">
        <v>627</v>
      </c>
      <c r="D167" t="s">
        <v>13</v>
      </c>
      <c r="E167" t="s">
        <v>658</v>
      </c>
      <c r="F167" t="s">
        <v>660</v>
      </c>
      <c r="G167" t="s">
        <v>653</v>
      </c>
      <c r="H167" t="s">
        <v>17</v>
      </c>
      <c r="I167" t="s">
        <v>654</v>
      </c>
    </row>
    <row r="168" spans="1:9" hidden="1" x14ac:dyDescent="0.3">
      <c r="A168" t="s">
        <v>665</v>
      </c>
      <c r="B168" t="s">
        <v>9</v>
      </c>
      <c r="C168" t="s">
        <v>627</v>
      </c>
      <c r="D168" t="s">
        <v>13</v>
      </c>
      <c r="E168" t="s">
        <v>661</v>
      </c>
      <c r="F168" t="s">
        <v>663</v>
      </c>
      <c r="G168" t="s">
        <v>653</v>
      </c>
      <c r="H168" t="s">
        <v>17</v>
      </c>
      <c r="I168" t="s">
        <v>654</v>
      </c>
    </row>
    <row r="169" spans="1:9" hidden="1" x14ac:dyDescent="0.3">
      <c r="A169" t="s">
        <v>668</v>
      </c>
      <c r="B169" t="s">
        <v>9</v>
      </c>
      <c r="C169" t="s">
        <v>627</v>
      </c>
      <c r="D169" t="s">
        <v>13</v>
      </c>
      <c r="E169" t="s">
        <v>664</v>
      </c>
      <c r="F169" t="s">
        <v>666</v>
      </c>
      <c r="G169" t="s">
        <v>653</v>
      </c>
      <c r="H169" t="s">
        <v>17</v>
      </c>
      <c r="I169" t="s">
        <v>654</v>
      </c>
    </row>
    <row r="170" spans="1:9" hidden="1" x14ac:dyDescent="0.3">
      <c r="A170" t="s">
        <v>671</v>
      </c>
      <c r="B170" t="s">
        <v>9</v>
      </c>
      <c r="C170" t="s">
        <v>627</v>
      </c>
      <c r="D170" t="s">
        <v>13</v>
      </c>
      <c r="E170" t="s">
        <v>667</v>
      </c>
      <c r="F170" t="s">
        <v>669</v>
      </c>
      <c r="G170" t="s">
        <v>653</v>
      </c>
      <c r="H170" t="s">
        <v>17</v>
      </c>
      <c r="I170" t="s">
        <v>654</v>
      </c>
    </row>
    <row r="171" spans="1:9" hidden="1" x14ac:dyDescent="0.3">
      <c r="A171" t="s">
        <v>674</v>
      </c>
      <c r="B171" t="s">
        <v>9</v>
      </c>
      <c r="C171" t="s">
        <v>627</v>
      </c>
      <c r="D171" t="s">
        <v>13</v>
      </c>
      <c r="E171" t="s">
        <v>670</v>
      </c>
      <c r="F171" t="s">
        <v>672</v>
      </c>
      <c r="G171" t="s">
        <v>653</v>
      </c>
      <c r="H171" t="s">
        <v>17</v>
      </c>
      <c r="I171" t="s">
        <v>654</v>
      </c>
    </row>
    <row r="172" spans="1:9" hidden="1" x14ac:dyDescent="0.3">
      <c r="A172" t="s">
        <v>680</v>
      </c>
      <c r="B172" t="s">
        <v>9</v>
      </c>
      <c r="C172" t="s">
        <v>627</v>
      </c>
      <c r="D172" t="s">
        <v>13</v>
      </c>
      <c r="E172" t="s">
        <v>673</v>
      </c>
      <c r="F172" t="s">
        <v>675</v>
      </c>
      <c r="G172" t="s">
        <v>676</v>
      </c>
      <c r="H172" t="s">
        <v>17</v>
      </c>
      <c r="I172" t="s">
        <v>677</v>
      </c>
    </row>
    <row r="173" spans="1:9" hidden="1" x14ac:dyDescent="0.3">
      <c r="A173" t="s">
        <v>685</v>
      </c>
      <c r="B173" t="s">
        <v>9</v>
      </c>
      <c r="C173" t="s">
        <v>678</v>
      </c>
      <c r="D173" t="s">
        <v>13</v>
      </c>
      <c r="E173" t="s">
        <v>679</v>
      </c>
      <c r="F173" t="s">
        <v>681</v>
      </c>
      <c r="G173" t="s">
        <v>682</v>
      </c>
      <c r="H173" t="s">
        <v>17</v>
      </c>
      <c r="I173" t="s">
        <v>683</v>
      </c>
    </row>
    <row r="174" spans="1:9" hidden="1" x14ac:dyDescent="0.3">
      <c r="A174" t="s">
        <v>690</v>
      </c>
      <c r="B174" t="s">
        <v>9</v>
      </c>
      <c r="C174" t="s">
        <v>678</v>
      </c>
      <c r="D174" t="s">
        <v>13</v>
      </c>
      <c r="E174" t="s">
        <v>684</v>
      </c>
      <c r="F174" t="s">
        <v>686</v>
      </c>
      <c r="G174" t="s">
        <v>687</v>
      </c>
      <c r="H174" t="s">
        <v>17</v>
      </c>
      <c r="I174" t="s">
        <v>688</v>
      </c>
    </row>
    <row r="175" spans="1:9" hidden="1" x14ac:dyDescent="0.3">
      <c r="A175" t="s">
        <v>695</v>
      </c>
      <c r="B175" t="s">
        <v>9</v>
      </c>
      <c r="C175" t="s">
        <v>678</v>
      </c>
      <c r="D175" t="s">
        <v>13</v>
      </c>
      <c r="E175" t="s">
        <v>689</v>
      </c>
      <c r="F175" t="s">
        <v>691</v>
      </c>
      <c r="G175" t="s">
        <v>692</v>
      </c>
      <c r="H175" t="s">
        <v>17</v>
      </c>
      <c r="I175" t="s">
        <v>693</v>
      </c>
    </row>
    <row r="176" spans="1:9" hidden="1" x14ac:dyDescent="0.3">
      <c r="A176" t="s">
        <v>701</v>
      </c>
      <c r="B176" t="s">
        <v>9</v>
      </c>
      <c r="C176" t="s">
        <v>678</v>
      </c>
      <c r="D176" t="s">
        <v>13</v>
      </c>
      <c r="E176" t="s">
        <v>694</v>
      </c>
      <c r="F176" t="s">
        <v>696</v>
      </c>
      <c r="G176" t="s">
        <v>697</v>
      </c>
      <c r="H176" t="s">
        <v>17</v>
      </c>
      <c r="I176" t="s">
        <v>698</v>
      </c>
    </row>
    <row r="177" spans="1:9" hidden="1" x14ac:dyDescent="0.3">
      <c r="A177" t="s">
        <v>706</v>
      </c>
      <c r="B177" t="s">
        <v>9</v>
      </c>
      <c r="C177" t="s">
        <v>699</v>
      </c>
      <c r="D177" t="s">
        <v>13</v>
      </c>
      <c r="E177" t="s">
        <v>700</v>
      </c>
      <c r="F177" t="s">
        <v>702</v>
      </c>
      <c r="G177" t="s">
        <v>703</v>
      </c>
      <c r="H177" t="s">
        <v>17</v>
      </c>
      <c r="I177" t="s">
        <v>704</v>
      </c>
    </row>
    <row r="178" spans="1:9" hidden="1" x14ac:dyDescent="0.3">
      <c r="A178" t="s">
        <v>709</v>
      </c>
      <c r="B178" t="s">
        <v>9</v>
      </c>
      <c r="C178" t="s">
        <v>699</v>
      </c>
      <c r="D178" t="s">
        <v>13</v>
      </c>
      <c r="E178" t="s">
        <v>705</v>
      </c>
      <c r="F178" t="s">
        <v>707</v>
      </c>
      <c r="G178" t="s">
        <v>703</v>
      </c>
      <c r="H178" t="s">
        <v>17</v>
      </c>
      <c r="I178" t="s">
        <v>704</v>
      </c>
    </row>
    <row r="179" spans="1:9" hidden="1" x14ac:dyDescent="0.3">
      <c r="A179" t="s">
        <v>713</v>
      </c>
      <c r="B179" t="s">
        <v>9</v>
      </c>
      <c r="C179" t="s">
        <v>699</v>
      </c>
      <c r="D179" t="s">
        <v>13</v>
      </c>
      <c r="E179" t="s">
        <v>708</v>
      </c>
      <c r="F179" t="s">
        <v>710</v>
      </c>
      <c r="G179" t="s">
        <v>703</v>
      </c>
      <c r="H179" t="s">
        <v>17</v>
      </c>
      <c r="I179" t="s">
        <v>711</v>
      </c>
    </row>
    <row r="180" spans="1:9" hidden="1" x14ac:dyDescent="0.3">
      <c r="A180" t="s">
        <v>716</v>
      </c>
      <c r="B180" t="s">
        <v>9</v>
      </c>
      <c r="C180" t="s">
        <v>699</v>
      </c>
      <c r="D180" t="s">
        <v>13</v>
      </c>
      <c r="E180" t="s">
        <v>712</v>
      </c>
      <c r="F180" t="s">
        <v>714</v>
      </c>
      <c r="G180" t="s">
        <v>703</v>
      </c>
      <c r="H180" t="s">
        <v>17</v>
      </c>
      <c r="I180" t="s">
        <v>711</v>
      </c>
    </row>
    <row r="181" spans="1:9" hidden="1" x14ac:dyDescent="0.3">
      <c r="A181" t="s">
        <v>721</v>
      </c>
      <c r="B181" t="s">
        <v>9</v>
      </c>
      <c r="C181" t="s">
        <v>699</v>
      </c>
      <c r="D181" t="s">
        <v>13</v>
      </c>
      <c r="E181" t="s">
        <v>715</v>
      </c>
      <c r="F181" t="s">
        <v>717</v>
      </c>
      <c r="G181" t="s">
        <v>718</v>
      </c>
      <c r="H181" t="s">
        <v>17</v>
      </c>
      <c r="I181" t="s">
        <v>719</v>
      </c>
    </row>
    <row r="182" spans="1:9" hidden="1" x14ac:dyDescent="0.3">
      <c r="A182" t="s">
        <v>724</v>
      </c>
      <c r="B182" t="s">
        <v>9</v>
      </c>
      <c r="C182" t="s">
        <v>699</v>
      </c>
      <c r="D182" t="s">
        <v>13</v>
      </c>
      <c r="E182" t="s">
        <v>720</v>
      </c>
      <c r="F182" t="s">
        <v>722</v>
      </c>
      <c r="G182" t="s">
        <v>718</v>
      </c>
      <c r="H182" t="s">
        <v>17</v>
      </c>
      <c r="I182" t="s">
        <v>719</v>
      </c>
    </row>
    <row r="183" spans="1:9" hidden="1" x14ac:dyDescent="0.3">
      <c r="A183" t="s">
        <v>727</v>
      </c>
      <c r="B183" t="s">
        <v>9</v>
      </c>
      <c r="C183" t="s">
        <v>699</v>
      </c>
      <c r="D183" t="s">
        <v>13</v>
      </c>
      <c r="E183" t="s">
        <v>723</v>
      </c>
      <c r="F183" t="s">
        <v>725</v>
      </c>
      <c r="G183" t="s">
        <v>718</v>
      </c>
      <c r="H183" t="s">
        <v>17</v>
      </c>
      <c r="I183" t="s">
        <v>719</v>
      </c>
    </row>
    <row r="184" spans="1:9" hidden="1" x14ac:dyDescent="0.3">
      <c r="A184" t="s">
        <v>730</v>
      </c>
      <c r="B184" t="s">
        <v>9</v>
      </c>
      <c r="C184" t="s">
        <v>699</v>
      </c>
      <c r="D184" t="s">
        <v>13</v>
      </c>
      <c r="E184" t="s">
        <v>726</v>
      </c>
      <c r="F184" t="s">
        <v>728</v>
      </c>
      <c r="G184" t="s">
        <v>718</v>
      </c>
      <c r="H184" t="s">
        <v>17</v>
      </c>
      <c r="I184" t="s">
        <v>719</v>
      </c>
    </row>
    <row r="185" spans="1:9" hidden="1" x14ac:dyDescent="0.3">
      <c r="A185" t="s">
        <v>735</v>
      </c>
      <c r="B185" t="s">
        <v>9</v>
      </c>
      <c r="C185" t="s">
        <v>699</v>
      </c>
      <c r="D185" t="s">
        <v>13</v>
      </c>
      <c r="E185" t="s">
        <v>729</v>
      </c>
      <c r="F185" t="s">
        <v>731</v>
      </c>
      <c r="G185" t="s">
        <v>732</v>
      </c>
      <c r="H185" t="s">
        <v>17</v>
      </c>
      <c r="I185" t="s">
        <v>733</v>
      </c>
    </row>
    <row r="186" spans="1:9" hidden="1" x14ac:dyDescent="0.3">
      <c r="A186" t="s">
        <v>740</v>
      </c>
      <c r="B186" t="s">
        <v>9</v>
      </c>
      <c r="C186" t="s">
        <v>699</v>
      </c>
      <c r="D186" t="s">
        <v>13</v>
      </c>
      <c r="E186" t="s">
        <v>734</v>
      </c>
      <c r="F186" t="s">
        <v>736</v>
      </c>
      <c r="G186" t="s">
        <v>737</v>
      </c>
      <c r="H186" t="s">
        <v>17</v>
      </c>
      <c r="I186" t="s">
        <v>738</v>
      </c>
    </row>
    <row r="187" spans="1:9" hidden="1" x14ac:dyDescent="0.3">
      <c r="A187" t="s">
        <v>746</v>
      </c>
      <c r="B187" t="s">
        <v>9</v>
      </c>
      <c r="C187" t="s">
        <v>699</v>
      </c>
      <c r="D187" t="s">
        <v>13</v>
      </c>
      <c r="E187" t="s">
        <v>739</v>
      </c>
      <c r="F187" t="s">
        <v>741</v>
      </c>
      <c r="G187" t="s">
        <v>742</v>
      </c>
      <c r="H187" t="s">
        <v>17</v>
      </c>
      <c r="I187" t="s">
        <v>743</v>
      </c>
    </row>
    <row r="188" spans="1:9" hidden="1" x14ac:dyDescent="0.3">
      <c r="A188" t="s">
        <v>750</v>
      </c>
      <c r="B188" t="s">
        <v>9</v>
      </c>
      <c r="C188" t="s">
        <v>744</v>
      </c>
      <c r="D188" t="s">
        <v>13</v>
      </c>
      <c r="E188" t="s">
        <v>745</v>
      </c>
      <c r="F188" t="s">
        <v>747</v>
      </c>
      <c r="G188" t="s">
        <v>748</v>
      </c>
      <c r="H188" t="s">
        <v>17</v>
      </c>
    </row>
    <row r="189" spans="1:9" hidden="1" x14ac:dyDescent="0.3">
      <c r="A189" t="s">
        <v>755</v>
      </c>
      <c r="B189" t="s">
        <v>9</v>
      </c>
      <c r="C189" t="s">
        <v>744</v>
      </c>
      <c r="D189" t="s">
        <v>13</v>
      </c>
      <c r="E189" t="s">
        <v>749</v>
      </c>
      <c r="F189" t="s">
        <v>751</v>
      </c>
      <c r="G189" t="s">
        <v>752</v>
      </c>
      <c r="H189" t="s">
        <v>17</v>
      </c>
      <c r="I189" t="s">
        <v>753</v>
      </c>
    </row>
    <row r="190" spans="1:9" hidden="1" x14ac:dyDescent="0.3">
      <c r="A190" t="s">
        <v>759</v>
      </c>
      <c r="B190" t="s">
        <v>9</v>
      </c>
      <c r="C190" t="s">
        <v>744</v>
      </c>
      <c r="D190" t="s">
        <v>13</v>
      </c>
      <c r="E190" t="s">
        <v>754</v>
      </c>
      <c r="F190" t="s">
        <v>756</v>
      </c>
      <c r="G190" t="s">
        <v>757</v>
      </c>
      <c r="H190" t="s">
        <v>17</v>
      </c>
    </row>
    <row r="191" spans="1:9" hidden="1" x14ac:dyDescent="0.3">
      <c r="A191" t="s">
        <v>763</v>
      </c>
      <c r="B191" t="s">
        <v>9</v>
      </c>
      <c r="C191" t="s">
        <v>744</v>
      </c>
      <c r="D191" t="s">
        <v>13</v>
      </c>
      <c r="E191" t="s">
        <v>758</v>
      </c>
      <c r="F191" t="s">
        <v>760</v>
      </c>
      <c r="G191" t="s">
        <v>761</v>
      </c>
      <c r="H191" t="s">
        <v>17</v>
      </c>
    </row>
    <row r="192" spans="1:9" hidden="1" x14ac:dyDescent="0.3">
      <c r="A192" t="s">
        <v>768</v>
      </c>
      <c r="B192" t="s">
        <v>9</v>
      </c>
      <c r="C192" t="s">
        <v>744</v>
      </c>
      <c r="D192" t="s">
        <v>13</v>
      </c>
      <c r="E192" t="s">
        <v>762</v>
      </c>
      <c r="F192" t="s">
        <v>764</v>
      </c>
      <c r="G192" t="s">
        <v>765</v>
      </c>
      <c r="H192" t="s">
        <v>17</v>
      </c>
      <c r="I192" t="s">
        <v>766</v>
      </c>
    </row>
    <row r="193" spans="1:9" hidden="1" x14ac:dyDescent="0.3">
      <c r="A193" t="s">
        <v>773</v>
      </c>
      <c r="B193" t="s">
        <v>9</v>
      </c>
      <c r="C193" t="s">
        <v>744</v>
      </c>
      <c r="D193" t="s">
        <v>13</v>
      </c>
      <c r="E193" t="s">
        <v>767</v>
      </c>
      <c r="F193" t="s">
        <v>769</v>
      </c>
      <c r="G193" t="s">
        <v>770</v>
      </c>
      <c r="H193" t="s">
        <v>17</v>
      </c>
      <c r="I193" t="s">
        <v>771</v>
      </c>
    </row>
    <row r="194" spans="1:9" hidden="1" x14ac:dyDescent="0.3">
      <c r="A194" t="s">
        <v>778</v>
      </c>
      <c r="B194" t="s">
        <v>9</v>
      </c>
      <c r="C194" t="s">
        <v>744</v>
      </c>
      <c r="D194" t="s">
        <v>13</v>
      </c>
      <c r="E194" t="s">
        <v>772</v>
      </c>
      <c r="F194" t="s">
        <v>774</v>
      </c>
      <c r="G194" t="s">
        <v>775</v>
      </c>
      <c r="H194" t="s">
        <v>17</v>
      </c>
      <c r="I194" t="s">
        <v>776</v>
      </c>
    </row>
    <row r="195" spans="1:9" hidden="1" x14ac:dyDescent="0.3">
      <c r="A195" t="s">
        <v>783</v>
      </c>
      <c r="B195" t="s">
        <v>9</v>
      </c>
      <c r="C195" t="s">
        <v>744</v>
      </c>
      <c r="D195" t="s">
        <v>13</v>
      </c>
      <c r="E195" t="s">
        <v>777</v>
      </c>
      <c r="F195" t="s">
        <v>779</v>
      </c>
      <c r="G195" t="s">
        <v>780</v>
      </c>
      <c r="H195" t="s">
        <v>17</v>
      </c>
      <c r="I195" t="s">
        <v>781</v>
      </c>
    </row>
    <row r="196" spans="1:9" hidden="1" x14ac:dyDescent="0.3">
      <c r="A196" t="s">
        <v>788</v>
      </c>
      <c r="B196" t="s">
        <v>9</v>
      </c>
      <c r="C196" t="s">
        <v>744</v>
      </c>
      <c r="D196" t="s">
        <v>13</v>
      </c>
      <c r="E196" t="s">
        <v>782</v>
      </c>
      <c r="F196" t="s">
        <v>784</v>
      </c>
      <c r="G196" t="s">
        <v>785</v>
      </c>
      <c r="H196" t="s">
        <v>17</v>
      </c>
      <c r="I196" t="s">
        <v>786</v>
      </c>
    </row>
    <row r="197" spans="1:9" hidden="1" x14ac:dyDescent="0.3">
      <c r="A197" t="s">
        <v>792</v>
      </c>
      <c r="B197" t="s">
        <v>9</v>
      </c>
      <c r="C197" t="s">
        <v>744</v>
      </c>
      <c r="D197" t="s">
        <v>13</v>
      </c>
      <c r="E197" t="s">
        <v>787</v>
      </c>
      <c r="F197" t="s">
        <v>789</v>
      </c>
      <c r="G197" t="s">
        <v>790</v>
      </c>
      <c r="H197" t="s">
        <v>17</v>
      </c>
    </row>
    <row r="198" spans="1:9" hidden="1" x14ac:dyDescent="0.3">
      <c r="A198" t="s">
        <v>796</v>
      </c>
      <c r="B198" t="s">
        <v>9</v>
      </c>
      <c r="C198" t="s">
        <v>744</v>
      </c>
      <c r="D198" t="s">
        <v>13</v>
      </c>
      <c r="E198" t="s">
        <v>791</v>
      </c>
      <c r="F198" t="s">
        <v>793</v>
      </c>
      <c r="G198" t="s">
        <v>794</v>
      </c>
      <c r="H198" t="s">
        <v>17</v>
      </c>
    </row>
    <row r="199" spans="1:9" hidden="1" x14ac:dyDescent="0.3">
      <c r="A199" t="s">
        <v>800</v>
      </c>
      <c r="B199" t="s">
        <v>9</v>
      </c>
      <c r="C199" t="s">
        <v>744</v>
      </c>
      <c r="D199" t="s">
        <v>13</v>
      </c>
      <c r="E199" t="s">
        <v>795</v>
      </c>
      <c r="F199" t="s">
        <v>797</v>
      </c>
      <c r="G199" t="s">
        <v>798</v>
      </c>
      <c r="H199" t="s">
        <v>17</v>
      </c>
    </row>
    <row r="200" spans="1:9" hidden="1" x14ac:dyDescent="0.3">
      <c r="A200" t="s">
        <v>804</v>
      </c>
      <c r="B200" t="s">
        <v>9</v>
      </c>
      <c r="C200" t="s">
        <v>744</v>
      </c>
      <c r="D200" t="s">
        <v>13</v>
      </c>
      <c r="E200" t="s">
        <v>799</v>
      </c>
      <c r="F200" t="s">
        <v>801</v>
      </c>
      <c r="G200" t="s">
        <v>802</v>
      </c>
      <c r="H200" t="s">
        <v>17</v>
      </c>
      <c r="I200" t="s">
        <v>414</v>
      </c>
    </row>
    <row r="201" spans="1:9" hidden="1" x14ac:dyDescent="0.3">
      <c r="A201" t="s">
        <v>809</v>
      </c>
      <c r="B201" t="s">
        <v>9</v>
      </c>
      <c r="C201" t="s">
        <v>744</v>
      </c>
      <c r="D201" t="s">
        <v>13</v>
      </c>
      <c r="E201" t="s">
        <v>803</v>
      </c>
      <c r="F201" t="s">
        <v>805</v>
      </c>
      <c r="G201" t="s">
        <v>806</v>
      </c>
      <c r="H201" t="s">
        <v>807</v>
      </c>
    </row>
    <row r="202" spans="1:9" hidden="1" x14ac:dyDescent="0.3">
      <c r="A202" t="s">
        <v>814</v>
      </c>
      <c r="B202" t="s">
        <v>9</v>
      </c>
      <c r="C202" t="s">
        <v>744</v>
      </c>
      <c r="D202" t="s">
        <v>13</v>
      </c>
      <c r="E202" t="s">
        <v>808</v>
      </c>
      <c r="F202" t="s">
        <v>810</v>
      </c>
      <c r="G202" t="s">
        <v>811</v>
      </c>
      <c r="H202" t="s">
        <v>17</v>
      </c>
      <c r="I202" t="s">
        <v>812</v>
      </c>
    </row>
    <row r="203" spans="1:9" hidden="1" x14ac:dyDescent="0.3">
      <c r="A203" t="s">
        <v>819</v>
      </c>
      <c r="B203" t="s">
        <v>9</v>
      </c>
      <c r="C203" t="s">
        <v>744</v>
      </c>
      <c r="D203" t="s">
        <v>13</v>
      </c>
      <c r="E203" t="s">
        <v>813</v>
      </c>
      <c r="F203" t="s">
        <v>815</v>
      </c>
      <c r="G203" t="s">
        <v>816</v>
      </c>
      <c r="H203" t="s">
        <v>17</v>
      </c>
      <c r="I203" t="s">
        <v>817</v>
      </c>
    </row>
    <row r="204" spans="1:9" hidden="1" x14ac:dyDescent="0.3">
      <c r="A204" t="s">
        <v>823</v>
      </c>
      <c r="B204" t="s">
        <v>9</v>
      </c>
      <c r="C204" t="s">
        <v>744</v>
      </c>
      <c r="D204" t="s">
        <v>13</v>
      </c>
      <c r="E204" t="s">
        <v>818</v>
      </c>
      <c r="F204" t="s">
        <v>820</v>
      </c>
      <c r="G204" t="s">
        <v>821</v>
      </c>
      <c r="H204" t="s">
        <v>17</v>
      </c>
    </row>
    <row r="205" spans="1:9" hidden="1" x14ac:dyDescent="0.3">
      <c r="A205" t="s">
        <v>827</v>
      </c>
      <c r="B205" t="s">
        <v>9</v>
      </c>
      <c r="C205" t="s">
        <v>744</v>
      </c>
      <c r="D205" t="s">
        <v>13</v>
      </c>
      <c r="E205" t="s">
        <v>822</v>
      </c>
      <c r="F205" t="s">
        <v>824</v>
      </c>
      <c r="G205" t="s">
        <v>825</v>
      </c>
      <c r="H205" t="s">
        <v>17</v>
      </c>
    </row>
    <row r="206" spans="1:9" hidden="1" x14ac:dyDescent="0.3">
      <c r="A206" t="s">
        <v>832</v>
      </c>
      <c r="B206" t="s">
        <v>9</v>
      </c>
      <c r="C206" t="s">
        <v>744</v>
      </c>
      <c r="D206" t="s">
        <v>13</v>
      </c>
      <c r="E206" t="s">
        <v>826</v>
      </c>
      <c r="F206" t="s">
        <v>828</v>
      </c>
      <c r="G206" t="s">
        <v>829</v>
      </c>
      <c r="H206" t="s">
        <v>17</v>
      </c>
      <c r="I206" t="s">
        <v>830</v>
      </c>
    </row>
    <row r="207" spans="1:9" hidden="1" x14ac:dyDescent="0.3">
      <c r="A207" t="s">
        <v>837</v>
      </c>
      <c r="B207" t="s">
        <v>9</v>
      </c>
      <c r="C207" t="s">
        <v>744</v>
      </c>
      <c r="D207" t="s">
        <v>13</v>
      </c>
      <c r="E207" t="s">
        <v>831</v>
      </c>
      <c r="F207" t="s">
        <v>833</v>
      </c>
      <c r="G207" t="s">
        <v>834</v>
      </c>
      <c r="H207" t="s">
        <v>17</v>
      </c>
      <c r="I207" t="s">
        <v>835</v>
      </c>
    </row>
    <row r="208" spans="1:9" hidden="1" x14ac:dyDescent="0.3">
      <c r="A208" t="s">
        <v>842</v>
      </c>
      <c r="B208" t="s">
        <v>9</v>
      </c>
      <c r="C208" t="s">
        <v>744</v>
      </c>
      <c r="D208" t="s">
        <v>13</v>
      </c>
      <c r="E208" t="s">
        <v>836</v>
      </c>
      <c r="F208" t="s">
        <v>838</v>
      </c>
      <c r="G208" t="s">
        <v>839</v>
      </c>
      <c r="H208" t="s">
        <v>17</v>
      </c>
      <c r="I208" t="s">
        <v>840</v>
      </c>
    </row>
    <row r="209" spans="1:9" hidden="1" x14ac:dyDescent="0.3">
      <c r="A209" t="s">
        <v>847</v>
      </c>
      <c r="B209" t="s">
        <v>9</v>
      </c>
      <c r="C209" t="s">
        <v>744</v>
      </c>
      <c r="D209" t="s">
        <v>13</v>
      </c>
      <c r="E209" t="s">
        <v>841</v>
      </c>
      <c r="F209" t="s">
        <v>843</v>
      </c>
      <c r="G209" t="s">
        <v>844</v>
      </c>
      <c r="H209" t="s">
        <v>17</v>
      </c>
      <c r="I209" t="s">
        <v>845</v>
      </c>
    </row>
    <row r="210" spans="1:9" hidden="1" x14ac:dyDescent="0.3">
      <c r="A210" t="s">
        <v>851</v>
      </c>
      <c r="B210" t="s">
        <v>9</v>
      </c>
      <c r="C210" t="s">
        <v>744</v>
      </c>
      <c r="D210" t="s">
        <v>13</v>
      </c>
      <c r="E210" t="s">
        <v>846</v>
      </c>
      <c r="F210" t="s">
        <v>848</v>
      </c>
      <c r="G210" t="s">
        <v>849</v>
      </c>
      <c r="H210" t="s">
        <v>17</v>
      </c>
    </row>
    <row r="211" spans="1:9" hidden="1" x14ac:dyDescent="0.3">
      <c r="A211" t="s">
        <v>856</v>
      </c>
      <c r="B211" t="s">
        <v>9</v>
      </c>
      <c r="C211" t="s">
        <v>744</v>
      </c>
      <c r="D211" t="s">
        <v>13</v>
      </c>
      <c r="E211" t="s">
        <v>850</v>
      </c>
      <c r="F211" t="s">
        <v>852</v>
      </c>
      <c r="G211" t="s">
        <v>853</v>
      </c>
      <c r="H211" t="s">
        <v>17</v>
      </c>
      <c r="I211" t="s">
        <v>854</v>
      </c>
    </row>
    <row r="212" spans="1:9" hidden="1" x14ac:dyDescent="0.3">
      <c r="A212" t="s">
        <v>860</v>
      </c>
      <c r="B212" t="s">
        <v>9</v>
      </c>
      <c r="C212" t="s">
        <v>744</v>
      </c>
      <c r="D212" t="s">
        <v>13</v>
      </c>
      <c r="E212" t="s">
        <v>855</v>
      </c>
      <c r="F212" t="s">
        <v>857</v>
      </c>
      <c r="H212" t="s">
        <v>17</v>
      </c>
      <c r="I212" t="s">
        <v>858</v>
      </c>
    </row>
    <row r="213" spans="1:9" hidden="1" x14ac:dyDescent="0.3">
      <c r="A213" t="s">
        <v>863</v>
      </c>
      <c r="B213" t="s">
        <v>9</v>
      </c>
      <c r="C213" t="s">
        <v>744</v>
      </c>
      <c r="D213" t="s">
        <v>13</v>
      </c>
      <c r="E213" t="s">
        <v>859</v>
      </c>
      <c r="F213" t="s">
        <v>861</v>
      </c>
      <c r="H213" t="s">
        <v>17</v>
      </c>
    </row>
    <row r="214" spans="1:9" hidden="1" x14ac:dyDescent="0.3">
      <c r="A214" t="s">
        <v>866</v>
      </c>
      <c r="B214" t="s">
        <v>9</v>
      </c>
      <c r="C214" t="s">
        <v>744</v>
      </c>
      <c r="D214" t="s">
        <v>13</v>
      </c>
      <c r="E214" t="s">
        <v>862</v>
      </c>
      <c r="F214" t="s">
        <v>864</v>
      </c>
      <c r="H214" t="s">
        <v>17</v>
      </c>
    </row>
    <row r="215" spans="1:9" hidden="1" x14ac:dyDescent="0.3">
      <c r="A215" t="s">
        <v>871</v>
      </c>
      <c r="B215" t="s">
        <v>9</v>
      </c>
      <c r="C215" t="s">
        <v>744</v>
      </c>
      <c r="D215" t="s">
        <v>13</v>
      </c>
      <c r="E215" t="s">
        <v>865</v>
      </c>
      <c r="F215" t="s">
        <v>867</v>
      </c>
      <c r="H215" t="s">
        <v>17</v>
      </c>
      <c r="I215" t="s">
        <v>868</v>
      </c>
    </row>
    <row r="216" spans="1:9" hidden="1" x14ac:dyDescent="0.3">
      <c r="A216" t="s">
        <v>875</v>
      </c>
      <c r="B216" t="s">
        <v>9</v>
      </c>
      <c r="C216" t="s">
        <v>869</v>
      </c>
      <c r="D216" t="s">
        <v>13</v>
      </c>
      <c r="E216" t="s">
        <v>870</v>
      </c>
      <c r="F216" t="s">
        <v>872</v>
      </c>
      <c r="G216" t="s">
        <v>873</v>
      </c>
      <c r="H216" t="s">
        <v>17</v>
      </c>
      <c r="I216" t="s">
        <v>414</v>
      </c>
    </row>
    <row r="217" spans="1:9" hidden="1" x14ac:dyDescent="0.3">
      <c r="A217" t="s">
        <v>880</v>
      </c>
      <c r="B217" t="s">
        <v>9</v>
      </c>
      <c r="C217" t="s">
        <v>869</v>
      </c>
      <c r="D217" t="s">
        <v>13</v>
      </c>
      <c r="E217" t="s">
        <v>874</v>
      </c>
      <c r="F217" t="s">
        <v>876</v>
      </c>
      <c r="G217" t="s">
        <v>877</v>
      </c>
      <c r="H217" t="s">
        <v>17</v>
      </c>
      <c r="I217" t="s">
        <v>878</v>
      </c>
    </row>
    <row r="218" spans="1:9" hidden="1" x14ac:dyDescent="0.3">
      <c r="A218" t="s">
        <v>884</v>
      </c>
      <c r="B218" t="s">
        <v>9</v>
      </c>
      <c r="C218" t="s">
        <v>869</v>
      </c>
      <c r="D218" t="s">
        <v>13</v>
      </c>
      <c r="E218" t="s">
        <v>879</v>
      </c>
      <c r="F218" t="s">
        <v>881</v>
      </c>
      <c r="G218" t="s">
        <v>882</v>
      </c>
      <c r="H218" t="s">
        <v>17</v>
      </c>
    </row>
    <row r="219" spans="1:9" hidden="1" x14ac:dyDescent="0.3">
      <c r="A219" t="s">
        <v>889</v>
      </c>
      <c r="B219" t="s">
        <v>9</v>
      </c>
      <c r="C219" t="s">
        <v>869</v>
      </c>
      <c r="D219" t="s">
        <v>13</v>
      </c>
      <c r="E219" t="s">
        <v>883</v>
      </c>
      <c r="F219" t="s">
        <v>885</v>
      </c>
      <c r="G219" t="s">
        <v>886</v>
      </c>
      <c r="H219" t="s">
        <v>17</v>
      </c>
      <c r="I219" t="s">
        <v>887</v>
      </c>
    </row>
    <row r="220" spans="1:9" hidden="1" x14ac:dyDescent="0.3">
      <c r="A220" t="s">
        <v>894</v>
      </c>
      <c r="B220" t="s">
        <v>9</v>
      </c>
      <c r="C220" t="s">
        <v>869</v>
      </c>
      <c r="D220" t="s">
        <v>13</v>
      </c>
      <c r="E220" t="s">
        <v>888</v>
      </c>
      <c r="F220" t="s">
        <v>890</v>
      </c>
      <c r="G220" t="s">
        <v>891</v>
      </c>
      <c r="H220" t="s">
        <v>17</v>
      </c>
      <c r="I220" t="s">
        <v>892</v>
      </c>
    </row>
    <row r="221" spans="1:9" hidden="1" x14ac:dyDescent="0.3">
      <c r="A221" t="s">
        <v>899</v>
      </c>
      <c r="B221" t="s">
        <v>9</v>
      </c>
      <c r="C221" t="s">
        <v>869</v>
      </c>
      <c r="D221" t="s">
        <v>13</v>
      </c>
      <c r="E221" t="s">
        <v>893</v>
      </c>
      <c r="F221" t="s">
        <v>895</v>
      </c>
      <c r="G221" t="s">
        <v>896</v>
      </c>
      <c r="H221" t="s">
        <v>17</v>
      </c>
      <c r="I221" t="s">
        <v>897</v>
      </c>
    </row>
    <row r="222" spans="1:9" hidden="1" x14ac:dyDescent="0.3">
      <c r="A222" t="s">
        <v>904</v>
      </c>
      <c r="B222" t="s">
        <v>9</v>
      </c>
      <c r="C222" t="s">
        <v>869</v>
      </c>
      <c r="D222" t="s">
        <v>13</v>
      </c>
      <c r="E222" t="s">
        <v>898</v>
      </c>
      <c r="F222" t="s">
        <v>900</v>
      </c>
      <c r="G222" t="s">
        <v>901</v>
      </c>
      <c r="H222" t="s">
        <v>17</v>
      </c>
      <c r="I222" t="s">
        <v>414</v>
      </c>
    </row>
    <row r="223" spans="1:9" hidden="1" x14ac:dyDescent="0.3">
      <c r="A223" t="s">
        <v>909</v>
      </c>
      <c r="B223" t="s">
        <v>9</v>
      </c>
      <c r="C223" t="s">
        <v>902</v>
      </c>
      <c r="D223" t="s">
        <v>13</v>
      </c>
      <c r="E223" t="s">
        <v>903</v>
      </c>
      <c r="F223" t="s">
        <v>905</v>
      </c>
      <c r="G223" t="s">
        <v>906</v>
      </c>
      <c r="H223" t="s">
        <v>17</v>
      </c>
      <c r="I223" t="s">
        <v>907</v>
      </c>
    </row>
    <row r="224" spans="1:9" hidden="1" x14ac:dyDescent="0.3">
      <c r="A224" t="s">
        <v>913</v>
      </c>
      <c r="B224" t="s">
        <v>9</v>
      </c>
      <c r="C224" t="s">
        <v>902</v>
      </c>
      <c r="D224" t="s">
        <v>13</v>
      </c>
      <c r="E224" t="s">
        <v>908</v>
      </c>
      <c r="F224" t="s">
        <v>910</v>
      </c>
      <c r="G224" t="s">
        <v>911</v>
      </c>
      <c r="H224" t="s">
        <v>17</v>
      </c>
      <c r="I224" t="s">
        <v>907</v>
      </c>
    </row>
    <row r="225" spans="1:9" hidden="1" x14ac:dyDescent="0.3">
      <c r="A225" t="s">
        <v>917</v>
      </c>
      <c r="B225" t="s">
        <v>9</v>
      </c>
      <c r="C225" t="s">
        <v>902</v>
      </c>
      <c r="D225" t="s">
        <v>13</v>
      </c>
      <c r="E225" t="s">
        <v>912</v>
      </c>
      <c r="F225" t="s">
        <v>914</v>
      </c>
      <c r="G225" t="s">
        <v>915</v>
      </c>
      <c r="H225" t="s">
        <v>17</v>
      </c>
      <c r="I225" t="s">
        <v>907</v>
      </c>
    </row>
    <row r="226" spans="1:9" hidden="1" x14ac:dyDescent="0.3">
      <c r="A226" t="s">
        <v>921</v>
      </c>
      <c r="B226" t="s">
        <v>9</v>
      </c>
      <c r="C226" t="s">
        <v>902</v>
      </c>
      <c r="D226" t="s">
        <v>13</v>
      </c>
      <c r="E226" t="s">
        <v>916</v>
      </c>
      <c r="F226" t="s">
        <v>918</v>
      </c>
      <c r="G226" t="s">
        <v>919</v>
      </c>
      <c r="H226" t="s">
        <v>17</v>
      </c>
      <c r="I226" t="s">
        <v>907</v>
      </c>
    </row>
    <row r="227" spans="1:9" hidden="1" x14ac:dyDescent="0.3">
      <c r="A227" t="s">
        <v>925</v>
      </c>
      <c r="B227" t="s">
        <v>9</v>
      </c>
      <c r="C227" t="s">
        <v>902</v>
      </c>
      <c r="D227" t="s">
        <v>13</v>
      </c>
      <c r="E227" t="s">
        <v>920</v>
      </c>
      <c r="F227" t="s">
        <v>922</v>
      </c>
      <c r="G227" t="s">
        <v>923</v>
      </c>
      <c r="H227" t="s">
        <v>17</v>
      </c>
      <c r="I227" t="s">
        <v>907</v>
      </c>
    </row>
    <row r="228" spans="1:9" hidden="1" x14ac:dyDescent="0.3">
      <c r="A228" t="s">
        <v>929</v>
      </c>
      <c r="B228" t="s">
        <v>9</v>
      </c>
      <c r="C228" t="s">
        <v>902</v>
      </c>
      <c r="D228" t="s">
        <v>13</v>
      </c>
      <c r="E228" t="s">
        <v>924</v>
      </c>
      <c r="F228" t="s">
        <v>926</v>
      </c>
      <c r="G228" t="s">
        <v>927</v>
      </c>
      <c r="H228" t="s">
        <v>17</v>
      </c>
      <c r="I228" t="s">
        <v>907</v>
      </c>
    </row>
    <row r="229" spans="1:9" hidden="1" x14ac:dyDescent="0.3">
      <c r="A229" t="s">
        <v>934</v>
      </c>
      <c r="B229" t="s">
        <v>9</v>
      </c>
      <c r="C229" t="s">
        <v>902</v>
      </c>
      <c r="D229" t="s">
        <v>13</v>
      </c>
      <c r="E229" t="s">
        <v>928</v>
      </c>
      <c r="F229" t="s">
        <v>930</v>
      </c>
      <c r="G229" t="s">
        <v>931</v>
      </c>
      <c r="H229" t="s">
        <v>17</v>
      </c>
      <c r="I229" t="s">
        <v>932</v>
      </c>
    </row>
    <row r="230" spans="1:9" hidden="1" x14ac:dyDescent="0.3">
      <c r="A230" t="s">
        <v>939</v>
      </c>
      <c r="B230" t="s">
        <v>9</v>
      </c>
      <c r="C230" t="s">
        <v>902</v>
      </c>
      <c r="D230" t="s">
        <v>13</v>
      </c>
      <c r="E230" t="s">
        <v>933</v>
      </c>
      <c r="F230" t="s">
        <v>935</v>
      </c>
      <c r="G230" t="s">
        <v>936</v>
      </c>
      <c r="H230" t="s">
        <v>17</v>
      </c>
      <c r="I230" t="s">
        <v>937</v>
      </c>
    </row>
    <row r="231" spans="1:9" hidden="1" x14ac:dyDescent="0.3">
      <c r="A231" t="s">
        <v>943</v>
      </c>
      <c r="B231" t="s">
        <v>9</v>
      </c>
      <c r="C231" t="s">
        <v>902</v>
      </c>
      <c r="D231" t="s">
        <v>13</v>
      </c>
      <c r="E231" t="s">
        <v>938</v>
      </c>
      <c r="F231" t="s">
        <v>940</v>
      </c>
      <c r="G231" t="s">
        <v>941</v>
      </c>
      <c r="H231" t="s">
        <v>17</v>
      </c>
      <c r="I231" t="s">
        <v>937</v>
      </c>
    </row>
    <row r="232" spans="1:9" hidden="1" x14ac:dyDescent="0.3">
      <c r="A232" t="s">
        <v>947</v>
      </c>
      <c r="B232" t="s">
        <v>9</v>
      </c>
      <c r="C232" t="s">
        <v>902</v>
      </c>
      <c r="D232" t="s">
        <v>13</v>
      </c>
      <c r="E232" t="s">
        <v>942</v>
      </c>
      <c r="F232" t="s">
        <v>944</v>
      </c>
      <c r="G232" t="s">
        <v>945</v>
      </c>
      <c r="H232" t="s">
        <v>17</v>
      </c>
      <c r="I232" t="s">
        <v>937</v>
      </c>
    </row>
    <row r="233" spans="1:9" hidden="1" x14ac:dyDescent="0.3">
      <c r="A233" t="s">
        <v>951</v>
      </c>
      <c r="B233" t="s">
        <v>9</v>
      </c>
      <c r="C233" t="s">
        <v>902</v>
      </c>
      <c r="D233" t="s">
        <v>13</v>
      </c>
      <c r="E233" t="s">
        <v>946</v>
      </c>
      <c r="F233" t="s">
        <v>948</v>
      </c>
      <c r="G233" t="s">
        <v>949</v>
      </c>
      <c r="H233" t="s">
        <v>17</v>
      </c>
      <c r="I233" t="s">
        <v>937</v>
      </c>
    </row>
    <row r="234" spans="1:9" hidden="1" x14ac:dyDescent="0.3">
      <c r="A234" t="s">
        <v>955</v>
      </c>
      <c r="B234" t="s">
        <v>9</v>
      </c>
      <c r="C234" t="s">
        <v>902</v>
      </c>
      <c r="D234" t="s">
        <v>13</v>
      </c>
      <c r="E234" t="s">
        <v>950</v>
      </c>
      <c r="F234" t="s">
        <v>952</v>
      </c>
      <c r="G234" t="s">
        <v>953</v>
      </c>
      <c r="H234" t="s">
        <v>17</v>
      </c>
      <c r="I234" t="s">
        <v>937</v>
      </c>
    </row>
    <row r="235" spans="1:9" hidden="1" x14ac:dyDescent="0.3">
      <c r="A235" t="s">
        <v>960</v>
      </c>
      <c r="B235" t="s">
        <v>9</v>
      </c>
      <c r="C235" t="s">
        <v>902</v>
      </c>
      <c r="D235" t="s">
        <v>13</v>
      </c>
      <c r="E235" t="s">
        <v>954</v>
      </c>
      <c r="F235" t="s">
        <v>956</v>
      </c>
      <c r="G235" t="s">
        <v>957</v>
      </c>
      <c r="H235" t="s">
        <v>17</v>
      </c>
      <c r="I235" t="s">
        <v>958</v>
      </c>
    </row>
    <row r="236" spans="1:9" hidden="1" x14ac:dyDescent="0.3">
      <c r="A236" t="s">
        <v>965</v>
      </c>
      <c r="B236" t="s">
        <v>9</v>
      </c>
      <c r="C236" t="s">
        <v>902</v>
      </c>
      <c r="D236" t="s">
        <v>13</v>
      </c>
      <c r="E236" t="s">
        <v>959</v>
      </c>
      <c r="F236" t="s">
        <v>961</v>
      </c>
      <c r="G236" t="s">
        <v>962</v>
      </c>
      <c r="H236" t="s">
        <v>17</v>
      </c>
      <c r="I236" t="s">
        <v>963</v>
      </c>
    </row>
    <row r="237" spans="1:9" hidden="1" x14ac:dyDescent="0.3">
      <c r="A237" t="s">
        <v>970</v>
      </c>
      <c r="B237" t="s">
        <v>9</v>
      </c>
      <c r="C237" t="s">
        <v>902</v>
      </c>
      <c r="D237" t="s">
        <v>13</v>
      </c>
      <c r="E237" t="s">
        <v>964</v>
      </c>
      <c r="F237" t="s">
        <v>966</v>
      </c>
      <c r="G237" t="s">
        <v>967</v>
      </c>
      <c r="H237" t="s">
        <v>17</v>
      </c>
      <c r="I237" t="s">
        <v>968</v>
      </c>
    </row>
    <row r="238" spans="1:9" hidden="1" x14ac:dyDescent="0.3">
      <c r="A238" t="s">
        <v>973</v>
      </c>
      <c r="B238" t="s">
        <v>9</v>
      </c>
      <c r="C238" t="s">
        <v>902</v>
      </c>
      <c r="D238" t="s">
        <v>13</v>
      </c>
      <c r="E238" t="s">
        <v>969</v>
      </c>
      <c r="F238" t="s">
        <v>747</v>
      </c>
      <c r="G238" t="s">
        <v>971</v>
      </c>
      <c r="H238" t="s">
        <v>17</v>
      </c>
    </row>
    <row r="239" spans="1:9" hidden="1" x14ac:dyDescent="0.3">
      <c r="A239" t="s">
        <v>976</v>
      </c>
      <c r="B239" t="s">
        <v>9</v>
      </c>
      <c r="C239" t="s">
        <v>902</v>
      </c>
      <c r="D239" t="s">
        <v>13</v>
      </c>
      <c r="E239" t="s">
        <v>972</v>
      </c>
      <c r="F239" t="s">
        <v>833</v>
      </c>
      <c r="G239" t="s">
        <v>974</v>
      </c>
      <c r="H239" t="s">
        <v>17</v>
      </c>
      <c r="I239" t="s">
        <v>835</v>
      </c>
    </row>
    <row r="240" spans="1:9" hidden="1" x14ac:dyDescent="0.3">
      <c r="A240" t="s">
        <v>979</v>
      </c>
      <c r="B240" t="s">
        <v>9</v>
      </c>
      <c r="C240" t="s">
        <v>902</v>
      </c>
      <c r="D240" t="s">
        <v>13</v>
      </c>
      <c r="E240" t="s">
        <v>975</v>
      </c>
      <c r="F240" t="s">
        <v>797</v>
      </c>
      <c r="G240" t="s">
        <v>977</v>
      </c>
      <c r="H240" t="s">
        <v>17</v>
      </c>
    </row>
    <row r="241" spans="1:9" hidden="1" x14ac:dyDescent="0.3">
      <c r="A241" t="s">
        <v>982</v>
      </c>
      <c r="B241" t="s">
        <v>9</v>
      </c>
      <c r="C241" t="s">
        <v>902</v>
      </c>
      <c r="D241" t="s">
        <v>13</v>
      </c>
      <c r="E241" t="s">
        <v>978</v>
      </c>
      <c r="F241" t="s">
        <v>843</v>
      </c>
      <c r="G241" t="s">
        <v>980</v>
      </c>
      <c r="H241" t="s">
        <v>17</v>
      </c>
      <c r="I241" t="s">
        <v>845</v>
      </c>
    </row>
    <row r="242" spans="1:9" hidden="1" x14ac:dyDescent="0.3">
      <c r="A242" t="s">
        <v>985</v>
      </c>
      <c r="B242" t="s">
        <v>9</v>
      </c>
      <c r="C242" t="s">
        <v>902</v>
      </c>
      <c r="D242" t="s">
        <v>13</v>
      </c>
      <c r="E242" t="s">
        <v>981</v>
      </c>
      <c r="F242" t="s">
        <v>852</v>
      </c>
      <c r="G242" t="s">
        <v>983</v>
      </c>
      <c r="H242" t="s">
        <v>17</v>
      </c>
      <c r="I242" t="s">
        <v>854</v>
      </c>
    </row>
    <row r="243" spans="1:9" hidden="1" x14ac:dyDescent="0.3">
      <c r="A243" t="s">
        <v>987</v>
      </c>
      <c r="B243" t="s">
        <v>9</v>
      </c>
      <c r="C243" t="s">
        <v>902</v>
      </c>
      <c r="D243" t="s">
        <v>13</v>
      </c>
      <c r="E243" t="s">
        <v>984</v>
      </c>
      <c r="F243" t="s">
        <v>861</v>
      </c>
      <c r="H243" t="s">
        <v>17</v>
      </c>
    </row>
    <row r="244" spans="1:9" hidden="1" x14ac:dyDescent="0.3">
      <c r="A244" t="s">
        <v>990</v>
      </c>
      <c r="B244" t="s">
        <v>9</v>
      </c>
      <c r="C244" t="s">
        <v>902</v>
      </c>
      <c r="D244" t="s">
        <v>13</v>
      </c>
      <c r="E244" t="s">
        <v>986</v>
      </c>
      <c r="F244" t="s">
        <v>864</v>
      </c>
      <c r="H244" t="s">
        <v>17</v>
      </c>
      <c r="I244" t="s">
        <v>988</v>
      </c>
    </row>
    <row r="245" spans="1:9" hidden="1" x14ac:dyDescent="0.3">
      <c r="A245" t="s">
        <v>10</v>
      </c>
      <c r="B245" t="s">
        <v>9</v>
      </c>
      <c r="C245" t="s">
        <v>902</v>
      </c>
      <c r="D245" t="s">
        <v>13</v>
      </c>
      <c r="E245" t="s">
        <v>989</v>
      </c>
      <c r="F245" t="s">
        <v>991</v>
      </c>
      <c r="H245" t="s">
        <v>17</v>
      </c>
      <c r="I245" t="s">
        <v>992</v>
      </c>
    </row>
    <row r="246" spans="1:9" hidden="1" x14ac:dyDescent="0.3">
      <c r="A246" t="s">
        <v>997</v>
      </c>
      <c r="B246" t="s">
        <v>993</v>
      </c>
      <c r="F246" t="s">
        <v>994</v>
      </c>
    </row>
    <row r="247" spans="1:9" hidden="1" x14ac:dyDescent="0.3">
      <c r="A247" t="s">
        <v>1002</v>
      </c>
      <c r="B247" t="s">
        <v>993</v>
      </c>
      <c r="C247" t="s">
        <v>995</v>
      </c>
      <c r="D247" t="s">
        <v>13</v>
      </c>
      <c r="E247" t="s">
        <v>996</v>
      </c>
      <c r="F247" t="s">
        <v>998</v>
      </c>
      <c r="G247" t="s">
        <v>999</v>
      </c>
      <c r="H247" t="s">
        <v>17</v>
      </c>
      <c r="I247" t="s">
        <v>1000</v>
      </c>
    </row>
    <row r="248" spans="1:9" hidden="1" x14ac:dyDescent="0.3">
      <c r="A248" t="s">
        <v>1006</v>
      </c>
      <c r="B248" t="s">
        <v>993</v>
      </c>
      <c r="C248" t="s">
        <v>995</v>
      </c>
      <c r="D248" t="s">
        <v>13</v>
      </c>
      <c r="E248" t="s">
        <v>1001</v>
      </c>
      <c r="F248" t="s">
        <v>29</v>
      </c>
      <c r="G248" t="s">
        <v>1003</v>
      </c>
      <c r="H248" t="s">
        <v>17</v>
      </c>
      <c r="I248" t="s">
        <v>1004</v>
      </c>
    </row>
    <row r="249" spans="1:9" hidden="1" x14ac:dyDescent="0.3">
      <c r="A249" t="s">
        <v>1009</v>
      </c>
      <c r="B249" t="s">
        <v>993</v>
      </c>
      <c r="C249" t="s">
        <v>995</v>
      </c>
      <c r="D249" t="s">
        <v>13</v>
      </c>
      <c r="E249" t="s">
        <v>1005</v>
      </c>
      <c r="F249" t="s">
        <v>34</v>
      </c>
      <c r="G249" t="s">
        <v>1007</v>
      </c>
      <c r="H249" t="s">
        <v>17</v>
      </c>
      <c r="I249" t="s">
        <v>1008</v>
      </c>
    </row>
    <row r="250" spans="1:9" hidden="1" x14ac:dyDescent="0.3">
      <c r="A250" t="s">
        <v>1015</v>
      </c>
      <c r="B250" t="s">
        <v>993</v>
      </c>
      <c r="C250" t="s">
        <v>995</v>
      </c>
      <c r="D250" t="s">
        <v>13</v>
      </c>
      <c r="E250" t="s">
        <v>27</v>
      </c>
      <c r="F250" t="s">
        <v>1010</v>
      </c>
      <c r="G250" t="s">
        <v>1011</v>
      </c>
      <c r="H250" t="s">
        <v>17</v>
      </c>
      <c r="I250" t="s">
        <v>1012</v>
      </c>
    </row>
    <row r="251" spans="1:9" hidden="1" x14ac:dyDescent="0.3">
      <c r="A251" t="s">
        <v>1018</v>
      </c>
      <c r="B251" t="s">
        <v>993</v>
      </c>
      <c r="C251" t="s">
        <v>1013</v>
      </c>
      <c r="D251" t="s">
        <v>13</v>
      </c>
      <c r="E251" t="s">
        <v>1014</v>
      </c>
      <c r="F251" t="s">
        <v>58</v>
      </c>
      <c r="H251" t="s">
        <v>17</v>
      </c>
      <c r="I251" t="s">
        <v>1016</v>
      </c>
    </row>
    <row r="252" spans="1:9" hidden="1" x14ac:dyDescent="0.3">
      <c r="A252" t="s">
        <v>1021</v>
      </c>
      <c r="B252" t="s">
        <v>993</v>
      </c>
      <c r="C252" t="s">
        <v>1013</v>
      </c>
      <c r="D252" t="s">
        <v>13</v>
      </c>
      <c r="E252" t="s">
        <v>1017</v>
      </c>
      <c r="F252" t="s">
        <v>1019</v>
      </c>
      <c r="G252" t="s">
        <v>1020</v>
      </c>
      <c r="H252" t="s">
        <v>17</v>
      </c>
      <c r="I252" t="s">
        <v>1016</v>
      </c>
    </row>
    <row r="253" spans="1:9" hidden="1" x14ac:dyDescent="0.3">
      <c r="A253" t="s">
        <v>1024</v>
      </c>
      <c r="B253" t="s">
        <v>993</v>
      </c>
      <c r="C253" t="s">
        <v>1013</v>
      </c>
      <c r="D253" t="s">
        <v>13</v>
      </c>
      <c r="E253" t="s">
        <v>36</v>
      </c>
      <c r="F253" t="s">
        <v>1022</v>
      </c>
      <c r="G253" t="s">
        <v>1023</v>
      </c>
      <c r="H253" t="s">
        <v>17</v>
      </c>
      <c r="I253" t="s">
        <v>1016</v>
      </c>
    </row>
    <row r="254" spans="1:9" hidden="1" x14ac:dyDescent="0.3">
      <c r="A254" t="s">
        <v>1027</v>
      </c>
      <c r="B254" t="s">
        <v>993</v>
      </c>
      <c r="C254" t="s">
        <v>1013</v>
      </c>
      <c r="D254" t="s">
        <v>13</v>
      </c>
      <c r="E254" t="s">
        <v>41</v>
      </c>
      <c r="F254" t="s">
        <v>1025</v>
      </c>
      <c r="G254" t="s">
        <v>1026</v>
      </c>
      <c r="H254" t="s">
        <v>17</v>
      </c>
      <c r="I254" t="s">
        <v>1016</v>
      </c>
    </row>
    <row r="255" spans="1:9" hidden="1" x14ac:dyDescent="0.3">
      <c r="A255" t="s">
        <v>1028</v>
      </c>
      <c r="B255" t="s">
        <v>993</v>
      </c>
      <c r="C255" t="s">
        <v>1013</v>
      </c>
      <c r="D255" t="s">
        <v>13</v>
      </c>
      <c r="E255" t="s">
        <v>45</v>
      </c>
      <c r="F255" t="s">
        <v>63</v>
      </c>
      <c r="G255" t="s">
        <v>1026</v>
      </c>
      <c r="H255" t="s">
        <v>17</v>
      </c>
      <c r="I255" t="s">
        <v>1016</v>
      </c>
    </row>
    <row r="256" spans="1:9" hidden="1" x14ac:dyDescent="0.3">
      <c r="A256" t="s">
        <v>1031</v>
      </c>
      <c r="B256" t="s">
        <v>993</v>
      </c>
      <c r="C256" t="s">
        <v>1013</v>
      </c>
      <c r="D256" t="s">
        <v>13</v>
      </c>
      <c r="E256" t="s">
        <v>50</v>
      </c>
      <c r="F256" t="s">
        <v>1029</v>
      </c>
      <c r="G256" t="s">
        <v>1030</v>
      </c>
      <c r="H256" t="s">
        <v>17</v>
      </c>
      <c r="I256" t="s">
        <v>1016</v>
      </c>
    </row>
    <row r="257" spans="1:9" hidden="1" x14ac:dyDescent="0.3">
      <c r="A257" t="s">
        <v>1033</v>
      </c>
      <c r="B257" t="s">
        <v>993</v>
      </c>
      <c r="C257" t="s">
        <v>1013</v>
      </c>
      <c r="D257" t="s">
        <v>13</v>
      </c>
      <c r="E257" t="s">
        <v>53</v>
      </c>
      <c r="F257" t="s">
        <v>1032</v>
      </c>
      <c r="G257" t="s">
        <v>1026</v>
      </c>
      <c r="H257" t="s">
        <v>17</v>
      </c>
      <c r="I257" t="s">
        <v>1016</v>
      </c>
    </row>
    <row r="258" spans="1:9" hidden="1" x14ac:dyDescent="0.3">
      <c r="A258" t="s">
        <v>1035</v>
      </c>
      <c r="B258" t="s">
        <v>993</v>
      </c>
      <c r="C258" t="s">
        <v>1013</v>
      </c>
      <c r="D258" t="s">
        <v>13</v>
      </c>
      <c r="E258" t="s">
        <v>56</v>
      </c>
      <c r="F258" t="s">
        <v>1034</v>
      </c>
      <c r="G258" t="s">
        <v>1026</v>
      </c>
      <c r="H258" t="s">
        <v>17</v>
      </c>
      <c r="I258" t="s">
        <v>1016</v>
      </c>
    </row>
    <row r="259" spans="1:9" hidden="1" x14ac:dyDescent="0.3">
      <c r="A259" t="s">
        <v>1040</v>
      </c>
      <c r="B259" t="s">
        <v>993</v>
      </c>
      <c r="C259" t="s">
        <v>1013</v>
      </c>
      <c r="D259" t="s">
        <v>13</v>
      </c>
      <c r="E259" t="s">
        <v>61</v>
      </c>
      <c r="F259" t="s">
        <v>1036</v>
      </c>
      <c r="G259" t="s">
        <v>1037</v>
      </c>
      <c r="H259" t="s">
        <v>17</v>
      </c>
      <c r="I259" t="s">
        <v>1038</v>
      </c>
    </row>
    <row r="260" spans="1:9" hidden="1" x14ac:dyDescent="0.3">
      <c r="A260" t="s">
        <v>1044</v>
      </c>
      <c r="B260" t="s">
        <v>993</v>
      </c>
      <c r="C260" t="s">
        <v>1013</v>
      </c>
      <c r="D260" t="s">
        <v>13</v>
      </c>
      <c r="E260" t="s">
        <v>1039</v>
      </c>
      <c r="F260" t="s">
        <v>92</v>
      </c>
      <c r="G260" t="s">
        <v>1041</v>
      </c>
      <c r="H260" t="s">
        <v>17</v>
      </c>
      <c r="I260" t="s">
        <v>1042</v>
      </c>
    </row>
    <row r="261" spans="1:9" hidden="1" x14ac:dyDescent="0.3">
      <c r="A261" t="s">
        <v>1046</v>
      </c>
      <c r="B261" t="s">
        <v>993</v>
      </c>
      <c r="C261" t="s">
        <v>1013</v>
      </c>
      <c r="D261" t="s">
        <v>13</v>
      </c>
      <c r="E261" t="s">
        <v>1043</v>
      </c>
      <c r="F261" t="s">
        <v>87</v>
      </c>
      <c r="H261" t="s">
        <v>17</v>
      </c>
      <c r="I261" t="s">
        <v>1045</v>
      </c>
    </row>
    <row r="262" spans="1:9" hidden="1" x14ac:dyDescent="0.3">
      <c r="A262" t="s">
        <v>1051</v>
      </c>
      <c r="B262" t="s">
        <v>993</v>
      </c>
      <c r="C262" t="s">
        <v>1013</v>
      </c>
      <c r="D262" t="s">
        <v>13</v>
      </c>
      <c r="E262" t="s">
        <v>71</v>
      </c>
      <c r="F262" t="s">
        <v>102</v>
      </c>
      <c r="G262" t="s">
        <v>1047</v>
      </c>
      <c r="H262" t="s">
        <v>17</v>
      </c>
      <c r="I262" t="s">
        <v>1048</v>
      </c>
    </row>
    <row r="263" spans="1:9" hidden="1" x14ac:dyDescent="0.3">
      <c r="A263" t="s">
        <v>1056</v>
      </c>
      <c r="B263" t="s">
        <v>993</v>
      </c>
      <c r="C263" t="s">
        <v>1049</v>
      </c>
      <c r="D263" t="s">
        <v>13</v>
      </c>
      <c r="E263" t="s">
        <v>1050</v>
      </c>
      <c r="F263" t="s">
        <v>1052</v>
      </c>
      <c r="G263" t="s">
        <v>1053</v>
      </c>
      <c r="H263" t="s">
        <v>17</v>
      </c>
      <c r="I263" t="s">
        <v>1054</v>
      </c>
    </row>
    <row r="264" spans="1:9" hidden="1" x14ac:dyDescent="0.3">
      <c r="A264" t="s">
        <v>1058</v>
      </c>
      <c r="B264" t="s">
        <v>993</v>
      </c>
      <c r="C264" t="s">
        <v>1049</v>
      </c>
      <c r="D264" t="s">
        <v>13</v>
      </c>
      <c r="E264" t="s">
        <v>1055</v>
      </c>
      <c r="F264" t="s">
        <v>113</v>
      </c>
      <c r="G264" t="s">
        <v>1057</v>
      </c>
      <c r="H264" t="s">
        <v>17</v>
      </c>
      <c r="I264" t="s">
        <v>1054</v>
      </c>
    </row>
    <row r="265" spans="1:9" hidden="1" x14ac:dyDescent="0.3">
      <c r="A265" t="s">
        <v>1060</v>
      </c>
      <c r="B265" t="s">
        <v>993</v>
      </c>
      <c r="C265" t="s">
        <v>1049</v>
      </c>
      <c r="D265" t="s">
        <v>13</v>
      </c>
      <c r="E265" t="s">
        <v>80</v>
      </c>
      <c r="F265" t="s">
        <v>116</v>
      </c>
      <c r="G265" t="s">
        <v>1059</v>
      </c>
      <c r="H265" t="s">
        <v>17</v>
      </c>
      <c r="I265" t="s">
        <v>1054</v>
      </c>
    </row>
    <row r="266" spans="1:9" hidden="1" x14ac:dyDescent="0.3">
      <c r="A266" t="s">
        <v>1064</v>
      </c>
      <c r="B266" t="s">
        <v>993</v>
      </c>
      <c r="C266" t="s">
        <v>1049</v>
      </c>
      <c r="D266" t="s">
        <v>13</v>
      </c>
      <c r="E266" t="s">
        <v>85</v>
      </c>
      <c r="F266" t="s">
        <v>119</v>
      </c>
      <c r="G266" t="s">
        <v>1061</v>
      </c>
      <c r="H266" t="s">
        <v>17</v>
      </c>
      <c r="I266" t="s">
        <v>1054</v>
      </c>
    </row>
    <row r="267" spans="1:9" hidden="1" x14ac:dyDescent="0.3">
      <c r="A267" t="s">
        <v>1069</v>
      </c>
      <c r="B267" t="s">
        <v>993</v>
      </c>
      <c r="C267" t="s">
        <v>1062</v>
      </c>
      <c r="D267" t="s">
        <v>13</v>
      </c>
      <c r="E267" t="s">
        <v>1063</v>
      </c>
      <c r="F267" t="s">
        <v>1065</v>
      </c>
      <c r="G267" t="s">
        <v>1066</v>
      </c>
      <c r="H267" t="s">
        <v>17</v>
      </c>
      <c r="I267" t="s">
        <v>1067</v>
      </c>
    </row>
    <row r="268" spans="1:9" hidden="1" x14ac:dyDescent="0.3">
      <c r="A268" t="s">
        <v>1073</v>
      </c>
      <c r="B268" t="s">
        <v>993</v>
      </c>
      <c r="C268" t="s">
        <v>1062</v>
      </c>
      <c r="D268" t="s">
        <v>13</v>
      </c>
      <c r="E268" t="s">
        <v>1068</v>
      </c>
      <c r="F268" t="s">
        <v>1070</v>
      </c>
      <c r="G268" t="s">
        <v>1071</v>
      </c>
      <c r="H268" t="s">
        <v>17</v>
      </c>
      <c r="I268" t="s">
        <v>1067</v>
      </c>
    </row>
    <row r="269" spans="1:9" hidden="1" x14ac:dyDescent="0.3">
      <c r="A269" t="s">
        <v>1077</v>
      </c>
      <c r="B269" t="s">
        <v>993</v>
      </c>
      <c r="C269" t="s">
        <v>1062</v>
      </c>
      <c r="D269" t="s">
        <v>13</v>
      </c>
      <c r="E269" t="s">
        <v>1072</v>
      </c>
      <c r="F269" t="s">
        <v>1074</v>
      </c>
      <c r="G269" t="s">
        <v>1075</v>
      </c>
      <c r="H269" t="s">
        <v>17</v>
      </c>
      <c r="I269" t="s">
        <v>1067</v>
      </c>
    </row>
    <row r="270" spans="1:9" hidden="1" x14ac:dyDescent="0.3">
      <c r="A270" t="s">
        <v>1081</v>
      </c>
      <c r="B270" t="s">
        <v>993</v>
      </c>
      <c r="C270" t="s">
        <v>1062</v>
      </c>
      <c r="D270" t="s">
        <v>13</v>
      </c>
      <c r="E270" t="s">
        <v>1076</v>
      </c>
      <c r="F270" t="s">
        <v>1078</v>
      </c>
      <c r="G270" t="s">
        <v>1079</v>
      </c>
      <c r="H270" t="s">
        <v>17</v>
      </c>
      <c r="I270" t="s">
        <v>1067</v>
      </c>
    </row>
    <row r="271" spans="1:9" hidden="1" x14ac:dyDescent="0.3">
      <c r="A271" t="s">
        <v>1085</v>
      </c>
      <c r="B271" t="s">
        <v>993</v>
      </c>
      <c r="C271" t="s">
        <v>1062</v>
      </c>
      <c r="D271" t="s">
        <v>13</v>
      </c>
      <c r="E271" t="s">
        <v>1080</v>
      </c>
      <c r="F271" t="s">
        <v>1082</v>
      </c>
      <c r="G271" t="s">
        <v>1083</v>
      </c>
      <c r="H271" t="s">
        <v>17</v>
      </c>
      <c r="I271" t="s">
        <v>1067</v>
      </c>
    </row>
    <row r="272" spans="1:9" hidden="1" x14ac:dyDescent="0.3">
      <c r="A272" t="s">
        <v>1089</v>
      </c>
      <c r="B272" t="s">
        <v>993</v>
      </c>
      <c r="C272" t="s">
        <v>1062</v>
      </c>
      <c r="D272" t="s">
        <v>13</v>
      </c>
      <c r="E272" t="s">
        <v>1084</v>
      </c>
      <c r="F272" t="s">
        <v>1086</v>
      </c>
      <c r="G272" t="s">
        <v>1087</v>
      </c>
      <c r="H272" t="s">
        <v>17</v>
      </c>
      <c r="I272" t="s">
        <v>1067</v>
      </c>
    </row>
    <row r="273" spans="1:9" hidden="1" x14ac:dyDescent="0.3">
      <c r="A273" t="s">
        <v>1093</v>
      </c>
      <c r="B273" t="s">
        <v>993</v>
      </c>
      <c r="C273" t="s">
        <v>1062</v>
      </c>
      <c r="D273" t="s">
        <v>13</v>
      </c>
      <c r="E273" t="s">
        <v>1088</v>
      </c>
      <c r="F273" t="s">
        <v>1090</v>
      </c>
      <c r="G273" t="s">
        <v>1091</v>
      </c>
      <c r="H273" t="s">
        <v>17</v>
      </c>
      <c r="I273" t="s">
        <v>1067</v>
      </c>
    </row>
    <row r="274" spans="1:9" hidden="1" x14ac:dyDescent="0.3">
      <c r="A274" t="s">
        <v>1097</v>
      </c>
      <c r="B274" t="s">
        <v>993</v>
      </c>
      <c r="C274" t="s">
        <v>1062</v>
      </c>
      <c r="D274" t="s">
        <v>13</v>
      </c>
      <c r="E274" t="s">
        <v>1092</v>
      </c>
      <c r="F274" t="s">
        <v>1094</v>
      </c>
      <c r="G274" t="s">
        <v>1095</v>
      </c>
      <c r="H274" t="s">
        <v>17</v>
      </c>
      <c r="I274" t="s">
        <v>1067</v>
      </c>
    </row>
    <row r="275" spans="1:9" hidden="1" x14ac:dyDescent="0.3">
      <c r="A275" t="s">
        <v>1101</v>
      </c>
      <c r="B275" t="s">
        <v>993</v>
      </c>
      <c r="C275" t="s">
        <v>1062</v>
      </c>
      <c r="D275" t="s">
        <v>13</v>
      </c>
      <c r="E275" t="s">
        <v>1096</v>
      </c>
      <c r="F275" t="s">
        <v>1098</v>
      </c>
      <c r="G275" t="s">
        <v>1099</v>
      </c>
      <c r="H275" t="s">
        <v>17</v>
      </c>
      <c r="I275" t="s">
        <v>1067</v>
      </c>
    </row>
    <row r="276" spans="1:9" hidden="1" x14ac:dyDescent="0.3">
      <c r="A276" t="s">
        <v>1105</v>
      </c>
      <c r="B276" t="s">
        <v>993</v>
      </c>
      <c r="C276" t="s">
        <v>1062</v>
      </c>
      <c r="D276" t="s">
        <v>13</v>
      </c>
      <c r="E276" t="s">
        <v>1100</v>
      </c>
      <c r="F276" t="s">
        <v>1102</v>
      </c>
      <c r="G276" t="s">
        <v>1103</v>
      </c>
      <c r="H276" t="s">
        <v>17</v>
      </c>
      <c r="I276" t="s">
        <v>1067</v>
      </c>
    </row>
    <row r="277" spans="1:9" hidden="1" x14ac:dyDescent="0.3">
      <c r="A277" t="s">
        <v>1110</v>
      </c>
      <c r="B277" t="s">
        <v>993</v>
      </c>
      <c r="C277" t="s">
        <v>1062</v>
      </c>
      <c r="D277" t="s">
        <v>13</v>
      </c>
      <c r="E277" t="s">
        <v>1104</v>
      </c>
      <c r="F277" t="s">
        <v>1106</v>
      </c>
      <c r="G277" t="s">
        <v>1107</v>
      </c>
      <c r="H277" t="s">
        <v>17</v>
      </c>
      <c r="I277" t="s">
        <v>1067</v>
      </c>
    </row>
    <row r="278" spans="1:9" hidden="1" x14ac:dyDescent="0.3">
      <c r="A278" t="s">
        <v>1115</v>
      </c>
      <c r="B278" t="s">
        <v>993</v>
      </c>
      <c r="C278" t="s">
        <v>1108</v>
      </c>
      <c r="D278" t="s">
        <v>13</v>
      </c>
      <c r="E278" t="s">
        <v>1109</v>
      </c>
      <c r="F278" t="s">
        <v>1111</v>
      </c>
      <c r="G278" t="s">
        <v>1112</v>
      </c>
      <c r="H278" t="s">
        <v>17</v>
      </c>
      <c r="I278" t="s">
        <v>1113</v>
      </c>
    </row>
    <row r="279" spans="1:9" hidden="1" x14ac:dyDescent="0.3">
      <c r="A279" t="s">
        <v>1119</v>
      </c>
      <c r="B279" t="s">
        <v>993</v>
      </c>
      <c r="C279" t="s">
        <v>1108</v>
      </c>
      <c r="D279" t="s">
        <v>13</v>
      </c>
      <c r="E279" t="s">
        <v>1114</v>
      </c>
      <c r="F279" t="s">
        <v>1116</v>
      </c>
      <c r="G279" t="s">
        <v>1117</v>
      </c>
      <c r="H279" t="s">
        <v>17</v>
      </c>
      <c r="I279" t="s">
        <v>1113</v>
      </c>
    </row>
    <row r="280" spans="1:9" hidden="1" x14ac:dyDescent="0.3">
      <c r="A280" t="s">
        <v>1124</v>
      </c>
      <c r="B280" t="s">
        <v>993</v>
      </c>
      <c r="C280" t="s">
        <v>1108</v>
      </c>
      <c r="D280" t="s">
        <v>13</v>
      </c>
      <c r="E280" t="s">
        <v>1118</v>
      </c>
      <c r="F280" t="s">
        <v>1120</v>
      </c>
      <c r="G280" t="s">
        <v>1121</v>
      </c>
      <c r="H280" t="s">
        <v>17</v>
      </c>
      <c r="I280" t="s">
        <v>1113</v>
      </c>
    </row>
    <row r="281" spans="1:9" hidden="1" x14ac:dyDescent="0.3">
      <c r="A281" t="s">
        <v>1128</v>
      </c>
      <c r="B281" t="s">
        <v>993</v>
      </c>
      <c r="C281" t="s">
        <v>1122</v>
      </c>
      <c r="D281" t="s">
        <v>13</v>
      </c>
      <c r="E281" t="s">
        <v>1123</v>
      </c>
      <c r="F281" t="s">
        <v>1125</v>
      </c>
      <c r="G281" t="s">
        <v>1126</v>
      </c>
      <c r="H281" t="s">
        <v>17</v>
      </c>
      <c r="I281" t="s">
        <v>1113</v>
      </c>
    </row>
    <row r="282" spans="1:9" hidden="1" x14ac:dyDescent="0.3">
      <c r="A282" t="s">
        <v>1132</v>
      </c>
      <c r="B282" t="s">
        <v>993</v>
      </c>
      <c r="C282" t="s">
        <v>1122</v>
      </c>
      <c r="D282" t="s">
        <v>13</v>
      </c>
      <c r="E282" t="s">
        <v>1127</v>
      </c>
      <c r="F282" t="s">
        <v>1129</v>
      </c>
      <c r="G282" t="s">
        <v>1130</v>
      </c>
      <c r="H282" t="s">
        <v>17</v>
      </c>
      <c r="I282" t="s">
        <v>1113</v>
      </c>
    </row>
    <row r="283" spans="1:9" hidden="1" x14ac:dyDescent="0.3">
      <c r="A283" t="s">
        <v>1137</v>
      </c>
      <c r="B283" t="s">
        <v>993</v>
      </c>
      <c r="C283" t="s">
        <v>1122</v>
      </c>
      <c r="D283" t="s">
        <v>13</v>
      </c>
      <c r="E283" t="s">
        <v>1131</v>
      </c>
      <c r="F283" t="s">
        <v>1133</v>
      </c>
      <c r="G283" t="s">
        <v>1134</v>
      </c>
      <c r="H283" t="s">
        <v>17</v>
      </c>
      <c r="I283" t="s">
        <v>1113</v>
      </c>
    </row>
    <row r="284" spans="1:9" hidden="1" x14ac:dyDescent="0.3">
      <c r="A284" t="s">
        <v>1140</v>
      </c>
      <c r="B284" t="s">
        <v>993</v>
      </c>
      <c r="C284" t="s">
        <v>1135</v>
      </c>
      <c r="D284" t="s">
        <v>13</v>
      </c>
      <c r="E284" t="s">
        <v>1136</v>
      </c>
      <c r="F284" t="s">
        <v>1138</v>
      </c>
      <c r="G284" t="s">
        <v>1139</v>
      </c>
      <c r="H284" t="s">
        <v>17</v>
      </c>
      <c r="I284" t="s">
        <v>1113</v>
      </c>
    </row>
    <row r="285" spans="1:9" hidden="1" x14ac:dyDescent="0.3">
      <c r="A285" t="s">
        <v>1143</v>
      </c>
      <c r="B285" t="s">
        <v>993</v>
      </c>
      <c r="C285" t="s">
        <v>1135</v>
      </c>
      <c r="D285" t="s">
        <v>13</v>
      </c>
      <c r="E285" t="s">
        <v>245</v>
      </c>
      <c r="F285" t="s">
        <v>1141</v>
      </c>
      <c r="G285" t="s">
        <v>1142</v>
      </c>
      <c r="H285" t="s">
        <v>17</v>
      </c>
      <c r="I285" t="s">
        <v>1113</v>
      </c>
    </row>
    <row r="286" spans="1:9" hidden="1" x14ac:dyDescent="0.3">
      <c r="A286" t="s">
        <v>1147</v>
      </c>
      <c r="B286" t="s">
        <v>993</v>
      </c>
      <c r="C286" t="s">
        <v>1135</v>
      </c>
      <c r="D286" t="s">
        <v>13</v>
      </c>
      <c r="E286" t="s">
        <v>250</v>
      </c>
      <c r="F286" t="s">
        <v>1144</v>
      </c>
      <c r="G286" t="s">
        <v>1145</v>
      </c>
      <c r="H286" t="s">
        <v>17</v>
      </c>
      <c r="I286" t="s">
        <v>1113</v>
      </c>
    </row>
    <row r="287" spans="1:9" hidden="1" x14ac:dyDescent="0.3">
      <c r="A287" t="s">
        <v>1151</v>
      </c>
      <c r="B287" t="s">
        <v>993</v>
      </c>
      <c r="C287" t="s">
        <v>1135</v>
      </c>
      <c r="D287" t="s">
        <v>13</v>
      </c>
      <c r="E287" t="s">
        <v>1146</v>
      </c>
      <c r="F287" t="s">
        <v>305</v>
      </c>
      <c r="G287" t="s">
        <v>1148</v>
      </c>
      <c r="H287" t="s">
        <v>17</v>
      </c>
      <c r="I287" t="s">
        <v>1149</v>
      </c>
    </row>
    <row r="288" spans="1:9" hidden="1" x14ac:dyDescent="0.3">
      <c r="A288" t="s">
        <v>1155</v>
      </c>
      <c r="B288" t="s">
        <v>993</v>
      </c>
      <c r="C288" t="s">
        <v>1135</v>
      </c>
      <c r="D288" t="s">
        <v>13</v>
      </c>
      <c r="E288" t="s">
        <v>1150</v>
      </c>
      <c r="F288" t="s">
        <v>1152</v>
      </c>
      <c r="G288" t="s">
        <v>1153</v>
      </c>
      <c r="H288" t="s">
        <v>17</v>
      </c>
      <c r="I288" t="s">
        <v>1149</v>
      </c>
    </row>
    <row r="289" spans="1:9" hidden="1" x14ac:dyDescent="0.3">
      <c r="A289" t="s">
        <v>1159</v>
      </c>
      <c r="B289" t="s">
        <v>993</v>
      </c>
      <c r="C289" t="s">
        <v>1135</v>
      </c>
      <c r="D289" t="s">
        <v>13</v>
      </c>
      <c r="E289" t="s">
        <v>1154</v>
      </c>
      <c r="F289" t="s">
        <v>384</v>
      </c>
      <c r="G289" t="s">
        <v>1156</v>
      </c>
      <c r="H289" t="s">
        <v>17</v>
      </c>
      <c r="I289" t="s">
        <v>548</v>
      </c>
    </row>
    <row r="290" spans="1:9" hidden="1" x14ac:dyDescent="0.3">
      <c r="A290" t="s">
        <v>1163</v>
      </c>
      <c r="B290" t="s">
        <v>993</v>
      </c>
      <c r="C290" t="s">
        <v>1157</v>
      </c>
      <c r="D290" t="s">
        <v>13</v>
      </c>
      <c r="E290" t="s">
        <v>1158</v>
      </c>
      <c r="F290" t="s">
        <v>329</v>
      </c>
      <c r="G290" t="s">
        <v>1160</v>
      </c>
      <c r="H290" t="s">
        <v>17</v>
      </c>
      <c r="I290" t="s">
        <v>1161</v>
      </c>
    </row>
    <row r="291" spans="1:9" hidden="1" x14ac:dyDescent="0.3">
      <c r="A291" t="s">
        <v>1166</v>
      </c>
      <c r="B291" t="s">
        <v>993</v>
      </c>
      <c r="C291" t="s">
        <v>1157</v>
      </c>
      <c r="D291" t="s">
        <v>13</v>
      </c>
      <c r="E291" t="s">
        <v>1162</v>
      </c>
      <c r="F291" t="s">
        <v>334</v>
      </c>
      <c r="G291" t="s">
        <v>1164</v>
      </c>
      <c r="H291" t="s">
        <v>17</v>
      </c>
      <c r="I291" t="s">
        <v>1161</v>
      </c>
    </row>
    <row r="292" spans="1:9" hidden="1" x14ac:dyDescent="0.3">
      <c r="A292" t="s">
        <v>1169</v>
      </c>
      <c r="B292" t="s">
        <v>993</v>
      </c>
      <c r="C292" t="s">
        <v>1157</v>
      </c>
      <c r="D292" t="s">
        <v>13</v>
      </c>
      <c r="E292" t="s">
        <v>1165</v>
      </c>
      <c r="F292" t="s">
        <v>337</v>
      </c>
      <c r="G292" t="s">
        <v>1167</v>
      </c>
      <c r="H292" t="s">
        <v>17</v>
      </c>
      <c r="I292" t="s">
        <v>1161</v>
      </c>
    </row>
    <row r="293" spans="1:9" hidden="1" x14ac:dyDescent="0.3">
      <c r="A293" t="s">
        <v>1173</v>
      </c>
      <c r="B293" t="s">
        <v>993</v>
      </c>
      <c r="C293" t="s">
        <v>1157</v>
      </c>
      <c r="D293" t="s">
        <v>13</v>
      </c>
      <c r="E293" t="s">
        <v>1168</v>
      </c>
      <c r="F293" t="s">
        <v>1170</v>
      </c>
      <c r="G293" t="s">
        <v>1171</v>
      </c>
      <c r="H293" t="s">
        <v>17</v>
      </c>
      <c r="I293" t="s">
        <v>1161</v>
      </c>
    </row>
    <row r="294" spans="1:9" hidden="1" x14ac:dyDescent="0.3">
      <c r="A294" t="s">
        <v>1177</v>
      </c>
      <c r="B294" t="s">
        <v>993</v>
      </c>
      <c r="C294" t="s">
        <v>1157</v>
      </c>
      <c r="D294" t="s">
        <v>13</v>
      </c>
      <c r="E294" t="s">
        <v>1172</v>
      </c>
      <c r="F294" t="s">
        <v>1174</v>
      </c>
      <c r="G294" t="s">
        <v>1175</v>
      </c>
      <c r="H294" t="s">
        <v>17</v>
      </c>
      <c r="I294" t="s">
        <v>1161</v>
      </c>
    </row>
    <row r="295" spans="1:9" hidden="1" x14ac:dyDescent="0.3">
      <c r="A295" t="s">
        <v>1180</v>
      </c>
      <c r="B295" t="s">
        <v>993</v>
      </c>
      <c r="C295" t="s">
        <v>1157</v>
      </c>
      <c r="D295" t="s">
        <v>13</v>
      </c>
      <c r="E295" t="s">
        <v>1176</v>
      </c>
      <c r="F295" t="s">
        <v>346</v>
      </c>
      <c r="G295" t="s">
        <v>1178</v>
      </c>
      <c r="H295" t="s">
        <v>17</v>
      </c>
      <c r="I295" t="s">
        <v>1161</v>
      </c>
    </row>
    <row r="296" spans="1:9" hidden="1" x14ac:dyDescent="0.3">
      <c r="A296" t="s">
        <v>1185</v>
      </c>
      <c r="B296" t="s">
        <v>993</v>
      </c>
      <c r="C296" t="s">
        <v>1157</v>
      </c>
      <c r="D296" t="s">
        <v>13</v>
      </c>
      <c r="E296" t="s">
        <v>1179</v>
      </c>
      <c r="F296" t="s">
        <v>349</v>
      </c>
      <c r="G296" t="s">
        <v>1181</v>
      </c>
      <c r="H296" t="s">
        <v>17</v>
      </c>
      <c r="I296" t="s">
        <v>1182</v>
      </c>
    </row>
    <row r="297" spans="1:9" hidden="1" x14ac:dyDescent="0.3">
      <c r="A297" t="s">
        <v>1190</v>
      </c>
      <c r="B297" t="s">
        <v>993</v>
      </c>
      <c r="C297" t="s">
        <v>1183</v>
      </c>
      <c r="D297" t="s">
        <v>13</v>
      </c>
      <c r="E297" t="s">
        <v>1184</v>
      </c>
      <c r="F297" t="s">
        <v>1186</v>
      </c>
      <c r="G297" t="s">
        <v>1187</v>
      </c>
      <c r="H297" t="s">
        <v>17</v>
      </c>
      <c r="I297" t="s">
        <v>1188</v>
      </c>
    </row>
    <row r="298" spans="1:9" hidden="1" x14ac:dyDescent="0.3">
      <c r="A298" t="s">
        <v>1194</v>
      </c>
      <c r="B298" t="s">
        <v>993</v>
      </c>
      <c r="C298" t="s">
        <v>1183</v>
      </c>
      <c r="D298" t="s">
        <v>13</v>
      </c>
      <c r="E298" t="s">
        <v>1189</v>
      </c>
      <c r="F298" t="s">
        <v>1191</v>
      </c>
      <c r="G298" t="s">
        <v>1192</v>
      </c>
      <c r="H298" t="s">
        <v>17</v>
      </c>
      <c r="I298" t="s">
        <v>1188</v>
      </c>
    </row>
    <row r="299" spans="1:9" hidden="1" x14ac:dyDescent="0.3">
      <c r="A299" t="s">
        <v>1198</v>
      </c>
      <c r="B299" t="s">
        <v>993</v>
      </c>
      <c r="C299" t="s">
        <v>1183</v>
      </c>
      <c r="D299" t="s">
        <v>13</v>
      </c>
      <c r="E299" t="s">
        <v>1193</v>
      </c>
      <c r="F299" t="s">
        <v>1195</v>
      </c>
      <c r="G299" t="s">
        <v>1196</v>
      </c>
      <c r="H299" t="s">
        <v>17</v>
      </c>
      <c r="I299" t="s">
        <v>1188</v>
      </c>
    </row>
    <row r="300" spans="1:9" hidden="1" x14ac:dyDescent="0.3">
      <c r="A300" t="s">
        <v>1202</v>
      </c>
      <c r="B300" t="s">
        <v>993</v>
      </c>
      <c r="C300" t="s">
        <v>1183</v>
      </c>
      <c r="D300" t="s">
        <v>13</v>
      </c>
      <c r="E300" t="s">
        <v>1197</v>
      </c>
      <c r="F300" t="s">
        <v>1199</v>
      </c>
      <c r="G300" t="s">
        <v>1200</v>
      </c>
      <c r="H300" t="s">
        <v>17</v>
      </c>
      <c r="I300" t="s">
        <v>1188</v>
      </c>
    </row>
    <row r="301" spans="1:9" hidden="1" x14ac:dyDescent="0.3">
      <c r="A301" t="s">
        <v>1206</v>
      </c>
      <c r="B301" t="s">
        <v>993</v>
      </c>
      <c r="C301" t="s">
        <v>1183</v>
      </c>
      <c r="D301" t="s">
        <v>13</v>
      </c>
      <c r="E301" t="s">
        <v>1201</v>
      </c>
      <c r="F301" t="s">
        <v>1203</v>
      </c>
      <c r="G301" t="s">
        <v>1204</v>
      </c>
      <c r="H301" t="s">
        <v>17</v>
      </c>
      <c r="I301" t="s">
        <v>1188</v>
      </c>
    </row>
    <row r="302" spans="1:9" hidden="1" x14ac:dyDescent="0.3">
      <c r="A302" t="s">
        <v>1210</v>
      </c>
      <c r="B302" t="s">
        <v>993</v>
      </c>
      <c r="C302" t="s">
        <v>1183</v>
      </c>
      <c r="D302" t="s">
        <v>13</v>
      </c>
      <c r="E302" t="s">
        <v>1205</v>
      </c>
      <c r="F302" t="s">
        <v>1207</v>
      </c>
      <c r="G302" t="s">
        <v>1208</v>
      </c>
      <c r="H302" t="s">
        <v>17</v>
      </c>
      <c r="I302" t="s">
        <v>1188</v>
      </c>
    </row>
    <row r="303" spans="1:9" hidden="1" x14ac:dyDescent="0.3">
      <c r="A303" t="s">
        <v>1214</v>
      </c>
      <c r="B303" t="s">
        <v>993</v>
      </c>
      <c r="C303" t="s">
        <v>1183</v>
      </c>
      <c r="D303" t="s">
        <v>13</v>
      </c>
      <c r="E303" t="s">
        <v>1209</v>
      </c>
      <c r="F303" t="s">
        <v>1211</v>
      </c>
      <c r="G303" t="s">
        <v>1212</v>
      </c>
      <c r="H303" t="s">
        <v>17</v>
      </c>
      <c r="I303" t="s">
        <v>1188</v>
      </c>
    </row>
    <row r="304" spans="1:9" hidden="1" x14ac:dyDescent="0.3">
      <c r="A304" t="s">
        <v>1220</v>
      </c>
      <c r="B304" t="s">
        <v>993</v>
      </c>
      <c r="C304" t="s">
        <v>1183</v>
      </c>
      <c r="D304" t="s">
        <v>13</v>
      </c>
      <c r="E304" t="s">
        <v>1213</v>
      </c>
      <c r="F304" t="s">
        <v>1215</v>
      </c>
      <c r="G304" t="s">
        <v>1216</v>
      </c>
      <c r="H304" t="s">
        <v>17</v>
      </c>
      <c r="I304" t="s">
        <v>1217</v>
      </c>
    </row>
    <row r="305" spans="1:9" hidden="1" x14ac:dyDescent="0.3">
      <c r="A305" t="s">
        <v>1225</v>
      </c>
      <c r="B305" t="s">
        <v>993</v>
      </c>
      <c r="C305" t="s">
        <v>1218</v>
      </c>
      <c r="D305" t="s">
        <v>13</v>
      </c>
      <c r="E305" t="s">
        <v>1219</v>
      </c>
      <c r="F305" t="s">
        <v>1221</v>
      </c>
      <c r="G305" t="s">
        <v>1222</v>
      </c>
      <c r="H305" t="s">
        <v>17</v>
      </c>
      <c r="I305" t="s">
        <v>1223</v>
      </c>
    </row>
    <row r="306" spans="1:9" hidden="1" x14ac:dyDescent="0.3">
      <c r="A306" t="s">
        <v>1229</v>
      </c>
      <c r="B306" t="s">
        <v>993</v>
      </c>
      <c r="C306" t="s">
        <v>1218</v>
      </c>
      <c r="D306" t="s">
        <v>13</v>
      </c>
      <c r="E306" t="s">
        <v>1224</v>
      </c>
      <c r="F306" t="s">
        <v>1226</v>
      </c>
      <c r="G306" t="s">
        <v>1227</v>
      </c>
      <c r="H306" t="s">
        <v>17</v>
      </c>
      <c r="I306" t="s">
        <v>1223</v>
      </c>
    </row>
    <row r="307" spans="1:9" hidden="1" x14ac:dyDescent="0.3">
      <c r="A307" t="s">
        <v>1233</v>
      </c>
      <c r="B307" t="s">
        <v>993</v>
      </c>
      <c r="C307" t="s">
        <v>1218</v>
      </c>
      <c r="D307" t="s">
        <v>13</v>
      </c>
      <c r="E307" t="s">
        <v>1228</v>
      </c>
      <c r="F307" t="s">
        <v>1230</v>
      </c>
      <c r="G307" t="s">
        <v>1231</v>
      </c>
      <c r="H307" t="s">
        <v>17</v>
      </c>
      <c r="I307" t="s">
        <v>1223</v>
      </c>
    </row>
    <row r="308" spans="1:9" hidden="1" x14ac:dyDescent="0.3">
      <c r="A308" t="s">
        <v>1237</v>
      </c>
      <c r="B308" t="s">
        <v>993</v>
      </c>
      <c r="C308" t="s">
        <v>1218</v>
      </c>
      <c r="D308" t="s">
        <v>13</v>
      </c>
      <c r="E308" t="s">
        <v>1232</v>
      </c>
      <c r="F308" t="s">
        <v>1234</v>
      </c>
      <c r="G308" t="s">
        <v>1235</v>
      </c>
      <c r="H308" t="s">
        <v>17</v>
      </c>
      <c r="I308" t="s">
        <v>1223</v>
      </c>
    </row>
    <row r="309" spans="1:9" hidden="1" x14ac:dyDescent="0.3">
      <c r="A309" t="s">
        <v>1241</v>
      </c>
      <c r="B309" t="s">
        <v>993</v>
      </c>
      <c r="C309" t="s">
        <v>1218</v>
      </c>
      <c r="D309" t="s">
        <v>13</v>
      </c>
      <c r="E309" t="s">
        <v>1236</v>
      </c>
      <c r="F309" t="s">
        <v>1238</v>
      </c>
      <c r="G309" t="s">
        <v>1239</v>
      </c>
      <c r="H309" t="s">
        <v>17</v>
      </c>
      <c r="I309" t="s">
        <v>1223</v>
      </c>
    </row>
    <row r="310" spans="1:9" hidden="1" x14ac:dyDescent="0.3">
      <c r="A310" t="s">
        <v>1245</v>
      </c>
      <c r="B310" t="s">
        <v>993</v>
      </c>
      <c r="C310" t="s">
        <v>1218</v>
      </c>
      <c r="D310" t="s">
        <v>13</v>
      </c>
      <c r="E310" t="s">
        <v>1240</v>
      </c>
      <c r="F310" t="s">
        <v>1242</v>
      </c>
      <c r="G310" t="s">
        <v>1243</v>
      </c>
      <c r="H310" t="s">
        <v>17</v>
      </c>
      <c r="I310" t="s">
        <v>1223</v>
      </c>
    </row>
    <row r="311" spans="1:9" hidden="1" x14ac:dyDescent="0.3">
      <c r="A311" t="s">
        <v>1249</v>
      </c>
      <c r="B311" t="s">
        <v>993</v>
      </c>
      <c r="C311" t="s">
        <v>1218</v>
      </c>
      <c r="D311" t="s">
        <v>13</v>
      </c>
      <c r="E311" t="s">
        <v>1244</v>
      </c>
      <c r="F311" t="s">
        <v>1246</v>
      </c>
      <c r="G311" t="s">
        <v>1247</v>
      </c>
      <c r="H311" t="s">
        <v>17</v>
      </c>
      <c r="I311" t="s">
        <v>1223</v>
      </c>
    </row>
    <row r="312" spans="1:9" hidden="1" x14ac:dyDescent="0.3">
      <c r="A312" t="s">
        <v>1253</v>
      </c>
      <c r="B312" t="s">
        <v>993</v>
      </c>
      <c r="C312" t="s">
        <v>1218</v>
      </c>
      <c r="D312" t="s">
        <v>13</v>
      </c>
      <c r="E312" t="s">
        <v>1248</v>
      </c>
      <c r="F312" t="s">
        <v>1250</v>
      </c>
      <c r="G312" t="s">
        <v>1251</v>
      </c>
      <c r="H312" t="s">
        <v>17</v>
      </c>
      <c r="I312" t="s">
        <v>1223</v>
      </c>
    </row>
    <row r="313" spans="1:9" hidden="1" x14ac:dyDescent="0.3">
      <c r="A313" t="s">
        <v>1257</v>
      </c>
      <c r="B313" t="s">
        <v>993</v>
      </c>
      <c r="C313" t="s">
        <v>1218</v>
      </c>
      <c r="D313" t="s">
        <v>13</v>
      </c>
      <c r="E313" t="s">
        <v>1252</v>
      </c>
      <c r="F313" t="s">
        <v>1254</v>
      </c>
      <c r="G313" t="s">
        <v>1255</v>
      </c>
      <c r="H313" t="s">
        <v>17</v>
      </c>
      <c r="I313" t="s">
        <v>1223</v>
      </c>
    </row>
    <row r="314" spans="1:9" hidden="1" x14ac:dyDescent="0.3">
      <c r="A314" t="s">
        <v>1262</v>
      </c>
      <c r="B314" t="s">
        <v>993</v>
      </c>
      <c r="C314" t="s">
        <v>1218</v>
      </c>
      <c r="D314" t="s">
        <v>13</v>
      </c>
      <c r="E314" t="s">
        <v>1256</v>
      </c>
      <c r="F314" t="s">
        <v>1258</v>
      </c>
      <c r="G314" t="s">
        <v>1259</v>
      </c>
      <c r="H314" t="s">
        <v>17</v>
      </c>
      <c r="I314" t="s">
        <v>1260</v>
      </c>
    </row>
    <row r="315" spans="1:9" hidden="1" x14ac:dyDescent="0.3">
      <c r="A315" t="s">
        <v>1266</v>
      </c>
      <c r="B315" t="s">
        <v>993</v>
      </c>
      <c r="C315" t="s">
        <v>1218</v>
      </c>
      <c r="D315" t="s">
        <v>13</v>
      </c>
      <c r="E315" t="s">
        <v>1261</v>
      </c>
      <c r="F315" t="s">
        <v>1263</v>
      </c>
      <c r="G315" t="s">
        <v>1264</v>
      </c>
      <c r="H315" t="s">
        <v>17</v>
      </c>
      <c r="I315" t="s">
        <v>1260</v>
      </c>
    </row>
    <row r="316" spans="1:9" hidden="1" x14ac:dyDescent="0.3">
      <c r="A316" t="s">
        <v>1271</v>
      </c>
      <c r="B316" t="s">
        <v>993</v>
      </c>
      <c r="C316" t="s">
        <v>1218</v>
      </c>
      <c r="D316" t="s">
        <v>13</v>
      </c>
      <c r="E316" t="s">
        <v>1265</v>
      </c>
      <c r="F316" t="s">
        <v>1267</v>
      </c>
      <c r="G316" t="s">
        <v>1268</v>
      </c>
      <c r="H316" t="s">
        <v>17</v>
      </c>
      <c r="I316" t="s">
        <v>1269</v>
      </c>
    </row>
    <row r="317" spans="1:9" hidden="1" x14ac:dyDescent="0.3">
      <c r="A317" t="s">
        <v>1277</v>
      </c>
      <c r="B317" t="s">
        <v>993</v>
      </c>
      <c r="C317" t="s">
        <v>1218</v>
      </c>
      <c r="D317" t="s">
        <v>13</v>
      </c>
      <c r="E317" t="s">
        <v>1270</v>
      </c>
      <c r="F317" t="s">
        <v>1272</v>
      </c>
      <c r="G317" t="s">
        <v>1273</v>
      </c>
      <c r="H317" t="s">
        <v>17</v>
      </c>
      <c r="I317" t="s">
        <v>1274</v>
      </c>
    </row>
    <row r="318" spans="1:9" hidden="1" x14ac:dyDescent="0.3">
      <c r="A318" t="s">
        <v>1281</v>
      </c>
      <c r="B318" t="s">
        <v>993</v>
      </c>
      <c r="C318" t="s">
        <v>1275</v>
      </c>
      <c r="D318" t="s">
        <v>13</v>
      </c>
      <c r="E318" t="s">
        <v>1276</v>
      </c>
      <c r="F318" t="s">
        <v>1278</v>
      </c>
      <c r="G318" t="s">
        <v>1279</v>
      </c>
      <c r="H318" t="s">
        <v>17</v>
      </c>
      <c r="I318" t="s">
        <v>1280</v>
      </c>
    </row>
    <row r="319" spans="1:9" hidden="1" x14ac:dyDescent="0.3">
      <c r="A319" t="s">
        <v>1284</v>
      </c>
      <c r="B319" t="s">
        <v>993</v>
      </c>
      <c r="C319" t="s">
        <v>1275</v>
      </c>
      <c r="D319" t="s">
        <v>13</v>
      </c>
      <c r="E319" t="s">
        <v>303</v>
      </c>
      <c r="F319" t="s">
        <v>1282</v>
      </c>
      <c r="G319" t="s">
        <v>1283</v>
      </c>
      <c r="H319" t="s">
        <v>17</v>
      </c>
      <c r="I319" t="s">
        <v>1280</v>
      </c>
    </row>
    <row r="320" spans="1:9" hidden="1" x14ac:dyDescent="0.3">
      <c r="A320" t="s">
        <v>1287</v>
      </c>
      <c r="B320" t="s">
        <v>993</v>
      </c>
      <c r="C320" t="s">
        <v>1275</v>
      </c>
      <c r="D320" t="s">
        <v>13</v>
      </c>
      <c r="E320" t="s">
        <v>308</v>
      </c>
      <c r="F320" t="s">
        <v>1285</v>
      </c>
      <c r="G320" t="s">
        <v>1286</v>
      </c>
      <c r="H320" t="s">
        <v>17</v>
      </c>
      <c r="I320" t="s">
        <v>1280</v>
      </c>
    </row>
    <row r="321" spans="1:9" hidden="1" x14ac:dyDescent="0.3">
      <c r="A321" t="s">
        <v>1290</v>
      </c>
      <c r="B321" t="s">
        <v>993</v>
      </c>
      <c r="C321" t="s">
        <v>1275</v>
      </c>
      <c r="D321" t="s">
        <v>13</v>
      </c>
      <c r="E321" t="s">
        <v>312</v>
      </c>
      <c r="F321" t="s">
        <v>1288</v>
      </c>
      <c r="G321" t="s">
        <v>1289</v>
      </c>
      <c r="H321" t="s">
        <v>17</v>
      </c>
      <c r="I321" t="s">
        <v>1280</v>
      </c>
    </row>
    <row r="322" spans="1:9" hidden="1" x14ac:dyDescent="0.3">
      <c r="A322" t="s">
        <v>1293</v>
      </c>
      <c r="B322" t="s">
        <v>993</v>
      </c>
      <c r="C322" t="s">
        <v>1275</v>
      </c>
      <c r="D322" t="s">
        <v>13</v>
      </c>
      <c r="E322" t="s">
        <v>316</v>
      </c>
      <c r="F322" t="s">
        <v>1291</v>
      </c>
      <c r="G322" t="s">
        <v>1292</v>
      </c>
      <c r="H322" t="s">
        <v>17</v>
      </c>
      <c r="I322" t="s">
        <v>1280</v>
      </c>
    </row>
    <row r="323" spans="1:9" hidden="1" x14ac:dyDescent="0.3">
      <c r="A323" t="s">
        <v>1296</v>
      </c>
      <c r="B323" t="s">
        <v>993</v>
      </c>
      <c r="C323" t="s">
        <v>1275</v>
      </c>
      <c r="D323" t="s">
        <v>13</v>
      </c>
      <c r="E323" t="s">
        <v>319</v>
      </c>
      <c r="F323" t="s">
        <v>1294</v>
      </c>
      <c r="G323" t="s">
        <v>1295</v>
      </c>
      <c r="H323" t="s">
        <v>17</v>
      </c>
      <c r="I323" t="s">
        <v>1280</v>
      </c>
    </row>
    <row r="324" spans="1:9" hidden="1" x14ac:dyDescent="0.3">
      <c r="A324" t="s">
        <v>1300</v>
      </c>
      <c r="B324" t="s">
        <v>993</v>
      </c>
      <c r="C324" t="s">
        <v>1275</v>
      </c>
      <c r="D324" t="s">
        <v>13</v>
      </c>
      <c r="E324" t="s">
        <v>323</v>
      </c>
      <c r="F324" t="s">
        <v>1297</v>
      </c>
      <c r="G324" t="s">
        <v>1298</v>
      </c>
      <c r="H324" t="s">
        <v>17</v>
      </c>
      <c r="I324" t="s">
        <v>1280</v>
      </c>
    </row>
    <row r="325" spans="1:9" hidden="1" x14ac:dyDescent="0.3">
      <c r="A325" t="s">
        <v>1304</v>
      </c>
      <c r="B325" t="s">
        <v>993</v>
      </c>
      <c r="C325" t="s">
        <v>1299</v>
      </c>
      <c r="D325" t="s">
        <v>13</v>
      </c>
      <c r="E325" t="s">
        <v>327</v>
      </c>
      <c r="F325" t="s">
        <v>1301</v>
      </c>
      <c r="G325" t="s">
        <v>1302</v>
      </c>
      <c r="H325" t="s">
        <v>17</v>
      </c>
      <c r="I325" t="s">
        <v>1303</v>
      </c>
    </row>
    <row r="326" spans="1:9" hidden="1" x14ac:dyDescent="0.3">
      <c r="A326" t="s">
        <v>1307</v>
      </c>
      <c r="B326" t="s">
        <v>993</v>
      </c>
      <c r="C326" t="s">
        <v>1299</v>
      </c>
      <c r="D326" t="s">
        <v>13</v>
      </c>
      <c r="E326" t="s">
        <v>332</v>
      </c>
      <c r="F326" t="s">
        <v>1305</v>
      </c>
      <c r="G326" t="s">
        <v>1306</v>
      </c>
      <c r="H326" t="s">
        <v>17</v>
      </c>
      <c r="I326" t="s">
        <v>1303</v>
      </c>
    </row>
    <row r="327" spans="1:9" hidden="1" x14ac:dyDescent="0.3">
      <c r="A327" t="s">
        <v>1310</v>
      </c>
      <c r="B327" t="s">
        <v>993</v>
      </c>
      <c r="C327" t="s">
        <v>1299</v>
      </c>
      <c r="D327" t="s">
        <v>13</v>
      </c>
      <c r="E327" t="s">
        <v>335</v>
      </c>
      <c r="F327" t="s">
        <v>1308</v>
      </c>
      <c r="G327" t="s">
        <v>1309</v>
      </c>
      <c r="H327" t="s">
        <v>17</v>
      </c>
      <c r="I327" t="s">
        <v>1303</v>
      </c>
    </row>
    <row r="328" spans="1:9" hidden="1" x14ac:dyDescent="0.3">
      <c r="A328" t="s">
        <v>1313</v>
      </c>
      <c r="B328" t="s">
        <v>993</v>
      </c>
      <c r="C328" t="s">
        <v>1299</v>
      </c>
      <c r="D328" t="s">
        <v>13</v>
      </c>
      <c r="E328" t="s">
        <v>338</v>
      </c>
      <c r="F328" t="s">
        <v>1311</v>
      </c>
      <c r="G328" t="s">
        <v>1312</v>
      </c>
      <c r="H328" t="s">
        <v>17</v>
      </c>
      <c r="I328" t="s">
        <v>1303</v>
      </c>
    </row>
    <row r="329" spans="1:9" hidden="1" x14ac:dyDescent="0.3">
      <c r="A329" t="s">
        <v>1318</v>
      </c>
      <c r="B329" t="s">
        <v>993</v>
      </c>
      <c r="C329" t="s">
        <v>1299</v>
      </c>
      <c r="D329" t="s">
        <v>13</v>
      </c>
      <c r="E329" t="s">
        <v>341</v>
      </c>
      <c r="F329" t="s">
        <v>1314</v>
      </c>
      <c r="G329" t="s">
        <v>1315</v>
      </c>
      <c r="H329" t="s">
        <v>17</v>
      </c>
      <c r="I329" t="s">
        <v>1303</v>
      </c>
    </row>
    <row r="330" spans="1:9" hidden="1" x14ac:dyDescent="0.3">
      <c r="A330" t="s">
        <v>1322</v>
      </c>
      <c r="B330" t="s">
        <v>993</v>
      </c>
      <c r="C330" t="s">
        <v>1316</v>
      </c>
      <c r="D330" t="s">
        <v>13</v>
      </c>
      <c r="E330" t="s">
        <v>1317</v>
      </c>
      <c r="F330" t="s">
        <v>1319</v>
      </c>
      <c r="G330" t="s">
        <v>1320</v>
      </c>
      <c r="H330" t="s">
        <v>17</v>
      </c>
    </row>
    <row r="331" spans="1:9" hidden="1" x14ac:dyDescent="0.3">
      <c r="A331" t="s">
        <v>1326</v>
      </c>
      <c r="B331" t="s">
        <v>993</v>
      </c>
      <c r="C331" t="s">
        <v>1316</v>
      </c>
      <c r="D331" t="s">
        <v>13</v>
      </c>
      <c r="E331" t="s">
        <v>1321</v>
      </c>
      <c r="F331" t="s">
        <v>1323</v>
      </c>
      <c r="G331" t="s">
        <v>1324</v>
      </c>
      <c r="H331" t="s">
        <v>17</v>
      </c>
    </row>
    <row r="332" spans="1:9" hidden="1" x14ac:dyDescent="0.3">
      <c r="A332" t="s">
        <v>1330</v>
      </c>
      <c r="B332" t="s">
        <v>993</v>
      </c>
      <c r="C332" t="s">
        <v>1316</v>
      </c>
      <c r="D332" t="s">
        <v>13</v>
      </c>
      <c r="E332" t="s">
        <v>1325</v>
      </c>
      <c r="F332" t="s">
        <v>1327</v>
      </c>
      <c r="G332" t="s">
        <v>1328</v>
      </c>
      <c r="H332" t="s">
        <v>17</v>
      </c>
    </row>
    <row r="333" spans="1:9" hidden="1" x14ac:dyDescent="0.3">
      <c r="A333" t="s">
        <v>1334</v>
      </c>
      <c r="B333" t="s">
        <v>993</v>
      </c>
      <c r="C333" t="s">
        <v>1316</v>
      </c>
      <c r="D333" t="s">
        <v>13</v>
      </c>
      <c r="E333" t="s">
        <v>1329</v>
      </c>
      <c r="F333" t="s">
        <v>1331</v>
      </c>
      <c r="G333" t="s">
        <v>1332</v>
      </c>
      <c r="H333" t="s">
        <v>17</v>
      </c>
    </row>
    <row r="334" spans="1:9" hidden="1" x14ac:dyDescent="0.3">
      <c r="A334" t="s">
        <v>1338</v>
      </c>
      <c r="B334" t="s">
        <v>993</v>
      </c>
      <c r="C334" t="s">
        <v>1316</v>
      </c>
      <c r="D334" t="s">
        <v>13</v>
      </c>
      <c r="E334" t="s">
        <v>1333</v>
      </c>
      <c r="F334" t="s">
        <v>1335</v>
      </c>
      <c r="G334" t="s">
        <v>1336</v>
      </c>
      <c r="H334" t="s">
        <v>17</v>
      </c>
    </row>
    <row r="335" spans="1:9" hidden="1" x14ac:dyDescent="0.3">
      <c r="A335" t="s">
        <v>1342</v>
      </c>
      <c r="B335" t="s">
        <v>993</v>
      </c>
      <c r="C335" t="s">
        <v>1316</v>
      </c>
      <c r="D335" t="s">
        <v>13</v>
      </c>
      <c r="E335" t="s">
        <v>1337</v>
      </c>
      <c r="F335" t="s">
        <v>1339</v>
      </c>
      <c r="G335" t="s">
        <v>1340</v>
      </c>
      <c r="H335" t="s">
        <v>17</v>
      </c>
    </row>
    <row r="336" spans="1:9" hidden="1" x14ac:dyDescent="0.3">
      <c r="A336" t="s">
        <v>1346</v>
      </c>
      <c r="B336" t="s">
        <v>993</v>
      </c>
      <c r="C336" t="s">
        <v>1316</v>
      </c>
      <c r="D336" t="s">
        <v>13</v>
      </c>
      <c r="E336" t="s">
        <v>1341</v>
      </c>
      <c r="F336" t="s">
        <v>1343</v>
      </c>
      <c r="G336" t="s">
        <v>1344</v>
      </c>
      <c r="H336" t="s">
        <v>17</v>
      </c>
    </row>
    <row r="337" spans="1:9" hidden="1" x14ac:dyDescent="0.3">
      <c r="A337" t="s">
        <v>1351</v>
      </c>
      <c r="B337" t="s">
        <v>993</v>
      </c>
      <c r="C337" t="s">
        <v>1316</v>
      </c>
      <c r="D337" t="s">
        <v>13</v>
      </c>
      <c r="E337" t="s">
        <v>1345</v>
      </c>
      <c r="F337" t="s">
        <v>1347</v>
      </c>
      <c r="G337" t="s">
        <v>1348</v>
      </c>
      <c r="H337" t="s">
        <v>17</v>
      </c>
    </row>
    <row r="338" spans="1:9" hidden="1" x14ac:dyDescent="0.3">
      <c r="A338" t="s">
        <v>1355</v>
      </c>
      <c r="B338" t="s">
        <v>993</v>
      </c>
      <c r="C338" t="s">
        <v>1349</v>
      </c>
      <c r="D338" t="s">
        <v>13</v>
      </c>
      <c r="E338" t="s">
        <v>1350</v>
      </c>
      <c r="F338" t="s">
        <v>1352</v>
      </c>
      <c r="G338" t="s">
        <v>1353</v>
      </c>
      <c r="H338" t="s">
        <v>17</v>
      </c>
    </row>
    <row r="339" spans="1:9" hidden="1" x14ac:dyDescent="0.3">
      <c r="A339" t="s">
        <v>1359</v>
      </c>
      <c r="B339" t="s">
        <v>993</v>
      </c>
      <c r="C339" t="s">
        <v>1349</v>
      </c>
      <c r="D339" t="s">
        <v>13</v>
      </c>
      <c r="E339" t="s">
        <v>1354</v>
      </c>
      <c r="F339" t="s">
        <v>1356</v>
      </c>
      <c r="G339" t="s">
        <v>1357</v>
      </c>
      <c r="H339" t="s">
        <v>17</v>
      </c>
    </row>
    <row r="340" spans="1:9" hidden="1" x14ac:dyDescent="0.3">
      <c r="A340" t="s">
        <v>1363</v>
      </c>
      <c r="B340" t="s">
        <v>993</v>
      </c>
      <c r="C340" t="s">
        <v>1349</v>
      </c>
      <c r="D340" t="s">
        <v>13</v>
      </c>
      <c r="E340" t="s">
        <v>1358</v>
      </c>
      <c r="F340" t="s">
        <v>1360</v>
      </c>
      <c r="G340" t="s">
        <v>1361</v>
      </c>
      <c r="H340" t="s">
        <v>17</v>
      </c>
    </row>
    <row r="341" spans="1:9" hidden="1" x14ac:dyDescent="0.3">
      <c r="A341" t="s">
        <v>1367</v>
      </c>
      <c r="B341" t="s">
        <v>993</v>
      </c>
      <c r="C341" t="s">
        <v>1349</v>
      </c>
      <c r="D341" t="s">
        <v>13</v>
      </c>
      <c r="E341" t="s">
        <v>1362</v>
      </c>
      <c r="F341" t="s">
        <v>1364</v>
      </c>
      <c r="G341" t="s">
        <v>1365</v>
      </c>
      <c r="H341" t="s">
        <v>17</v>
      </c>
    </row>
    <row r="342" spans="1:9" hidden="1" x14ac:dyDescent="0.3">
      <c r="A342" t="s">
        <v>1371</v>
      </c>
      <c r="B342" t="s">
        <v>993</v>
      </c>
      <c r="C342" t="s">
        <v>1349</v>
      </c>
      <c r="D342" t="s">
        <v>13</v>
      </c>
      <c r="E342" t="s">
        <v>1366</v>
      </c>
      <c r="F342" t="s">
        <v>1368</v>
      </c>
      <c r="G342" t="s">
        <v>1369</v>
      </c>
      <c r="H342" t="s">
        <v>17</v>
      </c>
    </row>
    <row r="343" spans="1:9" hidden="1" x14ac:dyDescent="0.3">
      <c r="A343" t="s">
        <v>1375</v>
      </c>
      <c r="B343" t="s">
        <v>993</v>
      </c>
      <c r="C343" t="s">
        <v>1349</v>
      </c>
      <c r="D343" t="s">
        <v>13</v>
      </c>
      <c r="E343" t="s">
        <v>1370</v>
      </c>
      <c r="F343" t="s">
        <v>1372</v>
      </c>
      <c r="G343" t="s">
        <v>1373</v>
      </c>
      <c r="H343" t="s">
        <v>17</v>
      </c>
    </row>
    <row r="344" spans="1:9" hidden="1" x14ac:dyDescent="0.3">
      <c r="A344" t="s">
        <v>1379</v>
      </c>
      <c r="B344" t="s">
        <v>993</v>
      </c>
      <c r="C344" t="s">
        <v>1349</v>
      </c>
      <c r="D344" t="s">
        <v>13</v>
      </c>
      <c r="E344" t="s">
        <v>1374</v>
      </c>
      <c r="F344" t="s">
        <v>1376</v>
      </c>
      <c r="G344" t="s">
        <v>1377</v>
      </c>
      <c r="H344" t="s">
        <v>17</v>
      </c>
    </row>
    <row r="345" spans="1:9" hidden="1" x14ac:dyDescent="0.3">
      <c r="A345" t="s">
        <v>1384</v>
      </c>
      <c r="B345" t="s">
        <v>993</v>
      </c>
      <c r="C345" t="s">
        <v>1349</v>
      </c>
      <c r="D345" t="s">
        <v>13</v>
      </c>
      <c r="E345" t="s">
        <v>1378</v>
      </c>
      <c r="F345" t="s">
        <v>1380</v>
      </c>
      <c r="G345" t="s">
        <v>1381</v>
      </c>
      <c r="H345" t="s">
        <v>17</v>
      </c>
    </row>
    <row r="346" spans="1:9" hidden="1" x14ac:dyDescent="0.3">
      <c r="A346" t="s">
        <v>1388</v>
      </c>
      <c r="B346" t="s">
        <v>993</v>
      </c>
      <c r="C346" t="s">
        <v>1382</v>
      </c>
      <c r="D346" t="s">
        <v>13</v>
      </c>
      <c r="E346" t="s">
        <v>1383</v>
      </c>
      <c r="F346" t="s">
        <v>1385</v>
      </c>
      <c r="G346" t="s">
        <v>1386</v>
      </c>
      <c r="H346" t="s">
        <v>17</v>
      </c>
    </row>
    <row r="347" spans="1:9" hidden="1" x14ac:dyDescent="0.3">
      <c r="A347" t="s">
        <v>1392</v>
      </c>
      <c r="B347" t="s">
        <v>993</v>
      </c>
      <c r="C347" t="s">
        <v>1382</v>
      </c>
      <c r="D347" t="s">
        <v>13</v>
      </c>
      <c r="E347" t="s">
        <v>1387</v>
      </c>
      <c r="F347" t="s">
        <v>1389</v>
      </c>
      <c r="G347" t="s">
        <v>1390</v>
      </c>
      <c r="H347" t="s">
        <v>17</v>
      </c>
    </row>
    <row r="348" spans="1:9" hidden="1" x14ac:dyDescent="0.3">
      <c r="A348" t="s">
        <v>1396</v>
      </c>
      <c r="B348" t="s">
        <v>993</v>
      </c>
      <c r="C348" t="s">
        <v>1382</v>
      </c>
      <c r="D348" t="s">
        <v>13</v>
      </c>
      <c r="E348" t="s">
        <v>1391</v>
      </c>
      <c r="F348" t="s">
        <v>1393</v>
      </c>
      <c r="G348" t="s">
        <v>1394</v>
      </c>
      <c r="H348" t="s">
        <v>17</v>
      </c>
    </row>
    <row r="349" spans="1:9" hidden="1" x14ac:dyDescent="0.3">
      <c r="A349" t="s">
        <v>1400</v>
      </c>
      <c r="B349" t="s">
        <v>993</v>
      </c>
      <c r="C349" t="s">
        <v>1382</v>
      </c>
      <c r="D349" t="s">
        <v>13</v>
      </c>
      <c r="E349" t="s">
        <v>1395</v>
      </c>
      <c r="F349" t="s">
        <v>1397</v>
      </c>
      <c r="G349" t="s">
        <v>1398</v>
      </c>
      <c r="H349" t="s">
        <v>17</v>
      </c>
    </row>
    <row r="350" spans="1:9" hidden="1" x14ac:dyDescent="0.3">
      <c r="A350" t="s">
        <v>1403</v>
      </c>
      <c r="B350" t="s">
        <v>993</v>
      </c>
      <c r="C350" t="s">
        <v>1399</v>
      </c>
      <c r="D350" t="s">
        <v>13</v>
      </c>
      <c r="E350" t="s">
        <v>525</v>
      </c>
      <c r="F350" t="s">
        <v>1385</v>
      </c>
      <c r="G350" t="s">
        <v>1401</v>
      </c>
      <c r="H350" t="s">
        <v>17</v>
      </c>
      <c r="I350" t="s">
        <v>1402</v>
      </c>
    </row>
    <row r="351" spans="1:9" hidden="1" x14ac:dyDescent="0.3">
      <c r="A351" t="s">
        <v>1405</v>
      </c>
      <c r="B351" t="s">
        <v>993</v>
      </c>
      <c r="C351" t="s">
        <v>1399</v>
      </c>
      <c r="D351" t="s">
        <v>13</v>
      </c>
      <c r="E351" t="s">
        <v>528</v>
      </c>
      <c r="F351" t="s">
        <v>1389</v>
      </c>
      <c r="G351" t="s">
        <v>1404</v>
      </c>
      <c r="H351" t="s">
        <v>17</v>
      </c>
      <c r="I351" t="s">
        <v>1402</v>
      </c>
    </row>
    <row r="352" spans="1:9" hidden="1" x14ac:dyDescent="0.3">
      <c r="A352" t="s">
        <v>1407</v>
      </c>
      <c r="B352" t="s">
        <v>993</v>
      </c>
      <c r="C352" t="s">
        <v>1399</v>
      </c>
      <c r="D352" t="s">
        <v>13</v>
      </c>
      <c r="E352" t="s">
        <v>532</v>
      </c>
      <c r="F352" t="s">
        <v>1393</v>
      </c>
      <c r="G352" t="s">
        <v>1406</v>
      </c>
      <c r="H352" t="s">
        <v>17</v>
      </c>
      <c r="I352" t="s">
        <v>1402</v>
      </c>
    </row>
    <row r="353" spans="1:9" hidden="1" x14ac:dyDescent="0.3">
      <c r="A353" t="s">
        <v>1410</v>
      </c>
      <c r="B353" t="s">
        <v>993</v>
      </c>
      <c r="C353" t="s">
        <v>1399</v>
      </c>
      <c r="D353" t="s">
        <v>13</v>
      </c>
      <c r="E353" t="s">
        <v>535</v>
      </c>
      <c r="F353" t="s">
        <v>1397</v>
      </c>
      <c r="G353" t="s">
        <v>1408</v>
      </c>
      <c r="H353" t="s">
        <v>17</v>
      </c>
      <c r="I353" t="s">
        <v>1402</v>
      </c>
    </row>
    <row r="354" spans="1:9" hidden="1" x14ac:dyDescent="0.3">
      <c r="A354" t="s">
        <v>1413</v>
      </c>
      <c r="B354" t="s">
        <v>993</v>
      </c>
      <c r="C354" t="s">
        <v>1399</v>
      </c>
      <c r="D354" t="s">
        <v>13</v>
      </c>
      <c r="E354" t="s">
        <v>1409</v>
      </c>
      <c r="F354" t="s">
        <v>592</v>
      </c>
      <c r="G354" t="s">
        <v>1411</v>
      </c>
      <c r="H354" t="s">
        <v>17</v>
      </c>
      <c r="I354" t="s">
        <v>1412</v>
      </c>
    </row>
    <row r="355" spans="1:9" hidden="1" x14ac:dyDescent="0.3">
      <c r="A355" t="s">
        <v>1416</v>
      </c>
      <c r="B355" t="s">
        <v>993</v>
      </c>
      <c r="C355" t="s">
        <v>1399</v>
      </c>
      <c r="D355" t="s">
        <v>13</v>
      </c>
      <c r="E355" t="s">
        <v>550</v>
      </c>
      <c r="F355" t="s">
        <v>681</v>
      </c>
      <c r="G355" t="s">
        <v>1414</v>
      </c>
      <c r="H355" t="s">
        <v>17</v>
      </c>
      <c r="I355" t="s">
        <v>1415</v>
      </c>
    </row>
    <row r="356" spans="1:9" hidden="1" x14ac:dyDescent="0.3">
      <c r="A356" t="s">
        <v>1418</v>
      </c>
      <c r="B356" t="s">
        <v>993</v>
      </c>
      <c r="C356" t="s">
        <v>1399</v>
      </c>
      <c r="D356" t="s">
        <v>13</v>
      </c>
      <c r="E356" t="s">
        <v>555</v>
      </c>
      <c r="F356" t="s">
        <v>686</v>
      </c>
      <c r="G356" t="s">
        <v>1417</v>
      </c>
      <c r="H356" t="s">
        <v>17</v>
      </c>
      <c r="I356" t="s">
        <v>1412</v>
      </c>
    </row>
    <row r="357" spans="1:9" hidden="1" x14ac:dyDescent="0.3">
      <c r="A357" t="s">
        <v>1423</v>
      </c>
      <c r="B357" t="s">
        <v>993</v>
      </c>
      <c r="C357" t="s">
        <v>1399</v>
      </c>
      <c r="D357" t="s">
        <v>13</v>
      </c>
      <c r="E357" t="s">
        <v>559</v>
      </c>
      <c r="F357" t="s">
        <v>1419</v>
      </c>
      <c r="G357" t="s">
        <v>1420</v>
      </c>
      <c r="H357" t="s">
        <v>17</v>
      </c>
      <c r="I357" t="s">
        <v>1421</v>
      </c>
    </row>
    <row r="358" spans="1:9" hidden="1" x14ac:dyDescent="0.3">
      <c r="A358" t="s">
        <v>1428</v>
      </c>
      <c r="B358" t="s">
        <v>993</v>
      </c>
      <c r="C358" t="s">
        <v>1399</v>
      </c>
      <c r="D358" t="s">
        <v>13</v>
      </c>
      <c r="E358" t="s">
        <v>1422</v>
      </c>
      <c r="F358" t="s">
        <v>1424</v>
      </c>
      <c r="G358" t="s">
        <v>1425</v>
      </c>
      <c r="H358" t="s">
        <v>17</v>
      </c>
      <c r="I358" t="s">
        <v>1426</v>
      </c>
    </row>
    <row r="359" spans="1:9" hidden="1" x14ac:dyDescent="0.3">
      <c r="A359" t="s">
        <v>1432</v>
      </c>
      <c r="B359" t="s">
        <v>993</v>
      </c>
      <c r="C359" t="s">
        <v>1399</v>
      </c>
      <c r="D359" t="s">
        <v>13</v>
      </c>
      <c r="E359" t="s">
        <v>1427</v>
      </c>
      <c r="F359" t="s">
        <v>1429</v>
      </c>
      <c r="G359" t="s">
        <v>1430</v>
      </c>
      <c r="H359" t="s">
        <v>17</v>
      </c>
      <c r="I359" t="s">
        <v>1431</v>
      </c>
    </row>
    <row r="360" spans="1:9" hidden="1" x14ac:dyDescent="0.3">
      <c r="A360" t="s">
        <v>1435</v>
      </c>
      <c r="B360" t="s">
        <v>993</v>
      </c>
      <c r="C360" t="s">
        <v>1399</v>
      </c>
      <c r="D360" t="s">
        <v>13</v>
      </c>
      <c r="E360" t="s">
        <v>574</v>
      </c>
      <c r="F360" t="s">
        <v>587</v>
      </c>
      <c r="G360" t="s">
        <v>1433</v>
      </c>
      <c r="H360" t="s">
        <v>17</v>
      </c>
      <c r="I360" t="s">
        <v>1434</v>
      </c>
    </row>
    <row r="361" spans="1:9" hidden="1" x14ac:dyDescent="0.3">
      <c r="A361" t="s">
        <v>1441</v>
      </c>
      <c r="B361" t="s">
        <v>993</v>
      </c>
      <c r="C361" t="s">
        <v>1399</v>
      </c>
      <c r="D361" t="s">
        <v>13</v>
      </c>
      <c r="E361" t="s">
        <v>579</v>
      </c>
      <c r="F361" t="s">
        <v>1436</v>
      </c>
      <c r="G361" t="s">
        <v>1437</v>
      </c>
      <c r="H361" t="s">
        <v>17</v>
      </c>
      <c r="I361" t="s">
        <v>1438</v>
      </c>
    </row>
    <row r="362" spans="1:9" hidden="1" x14ac:dyDescent="0.3">
      <c r="A362" t="s">
        <v>1444</v>
      </c>
      <c r="B362" t="s">
        <v>993</v>
      </c>
      <c r="C362" t="s">
        <v>1439</v>
      </c>
      <c r="D362" t="s">
        <v>13</v>
      </c>
      <c r="E362" t="s">
        <v>1440</v>
      </c>
      <c r="F362" t="s">
        <v>747</v>
      </c>
      <c r="G362" t="s">
        <v>1442</v>
      </c>
      <c r="H362" t="s">
        <v>17</v>
      </c>
    </row>
    <row r="363" spans="1:9" hidden="1" x14ac:dyDescent="0.3">
      <c r="A363" t="s">
        <v>1448</v>
      </c>
      <c r="B363" t="s">
        <v>993</v>
      </c>
      <c r="C363" t="s">
        <v>1439</v>
      </c>
      <c r="D363" t="s">
        <v>13</v>
      </c>
      <c r="E363" t="s">
        <v>1443</v>
      </c>
      <c r="F363" t="s">
        <v>751</v>
      </c>
      <c r="G363" t="s">
        <v>1445</v>
      </c>
      <c r="H363" t="s">
        <v>17</v>
      </c>
      <c r="I363" t="s">
        <v>1446</v>
      </c>
    </row>
    <row r="364" spans="1:9" hidden="1" x14ac:dyDescent="0.3">
      <c r="A364" t="s">
        <v>1453</v>
      </c>
      <c r="B364" t="s">
        <v>993</v>
      </c>
      <c r="C364" t="s">
        <v>1439</v>
      </c>
      <c r="D364" t="s">
        <v>13</v>
      </c>
      <c r="E364" t="s">
        <v>1447</v>
      </c>
      <c r="F364" t="s">
        <v>1449</v>
      </c>
      <c r="G364" t="s">
        <v>1450</v>
      </c>
      <c r="H364" t="s">
        <v>17</v>
      </c>
      <c r="I364" t="s">
        <v>1451</v>
      </c>
    </row>
    <row r="365" spans="1:9" hidden="1" x14ac:dyDescent="0.3">
      <c r="A365" t="s">
        <v>1456</v>
      </c>
      <c r="B365" t="s">
        <v>993</v>
      </c>
      <c r="C365" t="s">
        <v>1439</v>
      </c>
      <c r="D365" t="s">
        <v>13</v>
      </c>
      <c r="E365" t="s">
        <v>1452</v>
      </c>
      <c r="F365" t="s">
        <v>760</v>
      </c>
      <c r="G365" t="s">
        <v>1454</v>
      </c>
      <c r="H365" t="s">
        <v>17</v>
      </c>
    </row>
    <row r="366" spans="1:9" hidden="1" x14ac:dyDescent="0.3">
      <c r="A366" t="s">
        <v>1460</v>
      </c>
      <c r="B366" t="s">
        <v>993</v>
      </c>
      <c r="C366" t="s">
        <v>1439</v>
      </c>
      <c r="D366" t="s">
        <v>13</v>
      </c>
      <c r="E366" t="s">
        <v>1455</v>
      </c>
      <c r="F366" t="s">
        <v>1457</v>
      </c>
      <c r="H366" t="s">
        <v>17</v>
      </c>
      <c r="I366" t="s">
        <v>1458</v>
      </c>
    </row>
    <row r="367" spans="1:9" hidden="1" x14ac:dyDescent="0.3">
      <c r="A367" t="s">
        <v>1463</v>
      </c>
      <c r="B367" t="s">
        <v>993</v>
      </c>
      <c r="C367" t="s">
        <v>1439</v>
      </c>
      <c r="D367" t="s">
        <v>13</v>
      </c>
      <c r="E367" t="s">
        <v>1459</v>
      </c>
      <c r="F367" t="s">
        <v>797</v>
      </c>
      <c r="G367" t="s">
        <v>1461</v>
      </c>
      <c r="H367" t="s">
        <v>17</v>
      </c>
    </row>
    <row r="368" spans="1:9" hidden="1" x14ac:dyDescent="0.3">
      <c r="A368" t="s">
        <v>1466</v>
      </c>
      <c r="B368" t="s">
        <v>993</v>
      </c>
      <c r="C368" t="s">
        <v>1439</v>
      </c>
      <c r="D368" t="s">
        <v>13</v>
      </c>
      <c r="E368" t="s">
        <v>1462</v>
      </c>
      <c r="F368" t="s">
        <v>801</v>
      </c>
      <c r="G368" t="s">
        <v>1464</v>
      </c>
      <c r="H368" t="s">
        <v>17</v>
      </c>
      <c r="I368" t="s">
        <v>414</v>
      </c>
    </row>
    <row r="369" spans="1:9" hidden="1" x14ac:dyDescent="0.3">
      <c r="A369" t="s">
        <v>1470</v>
      </c>
      <c r="B369" t="s">
        <v>993</v>
      </c>
      <c r="C369" t="s">
        <v>1439</v>
      </c>
      <c r="D369" t="s">
        <v>13</v>
      </c>
      <c r="E369" t="s">
        <v>1465</v>
      </c>
      <c r="F369" t="s">
        <v>810</v>
      </c>
      <c r="G369" t="s">
        <v>1467</v>
      </c>
      <c r="H369" t="s">
        <v>17</v>
      </c>
      <c r="I369" t="s">
        <v>1468</v>
      </c>
    </row>
    <row r="370" spans="1:9" hidden="1" x14ac:dyDescent="0.3">
      <c r="A370" t="s">
        <v>1473</v>
      </c>
      <c r="B370" t="s">
        <v>993</v>
      </c>
      <c r="C370" t="s">
        <v>1439</v>
      </c>
      <c r="D370" t="s">
        <v>13</v>
      </c>
      <c r="E370" t="s">
        <v>1469</v>
      </c>
      <c r="F370" t="s">
        <v>815</v>
      </c>
      <c r="H370" t="s">
        <v>17</v>
      </c>
      <c r="I370" t="s">
        <v>1471</v>
      </c>
    </row>
    <row r="371" spans="1:9" hidden="1" x14ac:dyDescent="0.3">
      <c r="A371" t="s">
        <v>1476</v>
      </c>
      <c r="B371" t="s">
        <v>993</v>
      </c>
      <c r="C371" t="s">
        <v>1439</v>
      </c>
      <c r="D371" t="s">
        <v>13</v>
      </c>
      <c r="E371" t="s">
        <v>1472</v>
      </c>
      <c r="F371" t="s">
        <v>820</v>
      </c>
      <c r="G371" t="s">
        <v>1474</v>
      </c>
      <c r="H371" t="s">
        <v>17</v>
      </c>
    </row>
    <row r="372" spans="1:9" hidden="1" x14ac:dyDescent="0.3">
      <c r="A372" t="s">
        <v>1479</v>
      </c>
      <c r="B372" t="s">
        <v>993</v>
      </c>
      <c r="C372" t="s">
        <v>1439</v>
      </c>
      <c r="D372" t="s">
        <v>13</v>
      </c>
      <c r="E372" t="s">
        <v>1475</v>
      </c>
      <c r="F372" t="s">
        <v>824</v>
      </c>
      <c r="G372" t="s">
        <v>1477</v>
      </c>
      <c r="H372" t="s">
        <v>17</v>
      </c>
    </row>
    <row r="373" spans="1:9" hidden="1" x14ac:dyDescent="0.3">
      <c r="A373" t="s">
        <v>1483</v>
      </c>
      <c r="B373" t="s">
        <v>993</v>
      </c>
      <c r="C373" t="s">
        <v>1439</v>
      </c>
      <c r="D373" t="s">
        <v>13</v>
      </c>
      <c r="E373" t="s">
        <v>1478</v>
      </c>
      <c r="F373" t="s">
        <v>828</v>
      </c>
      <c r="G373" t="s">
        <v>1480</v>
      </c>
      <c r="H373" t="s">
        <v>17</v>
      </c>
      <c r="I373" t="s">
        <v>1481</v>
      </c>
    </row>
    <row r="374" spans="1:9" hidden="1" x14ac:dyDescent="0.3">
      <c r="A374" t="s">
        <v>1488</v>
      </c>
      <c r="B374" t="s">
        <v>993</v>
      </c>
      <c r="C374" t="s">
        <v>1439</v>
      </c>
      <c r="D374" t="s">
        <v>13</v>
      </c>
      <c r="E374" t="s">
        <v>1482</v>
      </c>
      <c r="F374" t="s">
        <v>1484</v>
      </c>
      <c r="G374" t="s">
        <v>1485</v>
      </c>
      <c r="H374" t="s">
        <v>17</v>
      </c>
      <c r="I374" t="s">
        <v>1486</v>
      </c>
    </row>
    <row r="375" spans="1:9" hidden="1" x14ac:dyDescent="0.3">
      <c r="A375" t="s">
        <v>1492</v>
      </c>
      <c r="B375" t="s">
        <v>993</v>
      </c>
      <c r="C375" t="s">
        <v>1439</v>
      </c>
      <c r="D375" t="s">
        <v>13</v>
      </c>
      <c r="E375" t="s">
        <v>1487</v>
      </c>
      <c r="F375" t="s">
        <v>1489</v>
      </c>
      <c r="G375" t="s">
        <v>1490</v>
      </c>
      <c r="H375" t="s">
        <v>17</v>
      </c>
      <c r="I375" t="s">
        <v>840</v>
      </c>
    </row>
    <row r="376" spans="1:9" hidden="1" x14ac:dyDescent="0.3">
      <c r="A376" t="s">
        <v>1494</v>
      </c>
      <c r="B376" t="s">
        <v>993</v>
      </c>
      <c r="C376" t="s">
        <v>1439</v>
      </c>
      <c r="D376" t="s">
        <v>13</v>
      </c>
      <c r="E376" t="s">
        <v>1491</v>
      </c>
      <c r="F376" t="s">
        <v>843</v>
      </c>
      <c r="G376" t="s">
        <v>1493</v>
      </c>
      <c r="H376" t="s">
        <v>17</v>
      </c>
      <c r="I376" t="s">
        <v>845</v>
      </c>
    </row>
    <row r="377" spans="1:9" hidden="1" x14ac:dyDescent="0.3">
      <c r="A377" t="s">
        <v>1498</v>
      </c>
      <c r="B377" t="s">
        <v>993</v>
      </c>
      <c r="C377" t="s">
        <v>1439</v>
      </c>
      <c r="D377" t="s">
        <v>13</v>
      </c>
      <c r="E377" t="s">
        <v>364</v>
      </c>
      <c r="F377" t="s">
        <v>552</v>
      </c>
      <c r="G377" t="s">
        <v>1495</v>
      </c>
      <c r="H377" t="s">
        <v>17</v>
      </c>
      <c r="I377" t="s">
        <v>1496</v>
      </c>
    </row>
    <row r="378" spans="1:9" hidden="1" x14ac:dyDescent="0.3">
      <c r="A378" t="s">
        <v>1501</v>
      </c>
      <c r="B378" t="s">
        <v>993</v>
      </c>
      <c r="C378" t="s">
        <v>1439</v>
      </c>
      <c r="D378" t="s">
        <v>13</v>
      </c>
      <c r="E378" t="s">
        <v>1497</v>
      </c>
      <c r="F378" t="s">
        <v>861</v>
      </c>
      <c r="G378" t="s">
        <v>1499</v>
      </c>
      <c r="H378" t="s">
        <v>17</v>
      </c>
    </row>
    <row r="379" spans="1:9" hidden="1" x14ac:dyDescent="0.3">
      <c r="A379" t="s">
        <v>1504</v>
      </c>
      <c r="B379" t="s">
        <v>993</v>
      </c>
      <c r="C379" t="s">
        <v>1439</v>
      </c>
      <c r="D379" t="s">
        <v>13</v>
      </c>
      <c r="E379" t="s">
        <v>1500</v>
      </c>
      <c r="F379" t="s">
        <v>864</v>
      </c>
      <c r="G379" t="s">
        <v>1502</v>
      </c>
      <c r="H379" t="s">
        <v>17</v>
      </c>
    </row>
    <row r="380" spans="1:9" hidden="1" x14ac:dyDescent="0.3">
      <c r="A380" t="s">
        <v>1509</v>
      </c>
      <c r="B380" t="s">
        <v>993</v>
      </c>
      <c r="C380" t="s">
        <v>1439</v>
      </c>
      <c r="D380" t="s">
        <v>13</v>
      </c>
      <c r="E380" t="s">
        <v>1503</v>
      </c>
      <c r="F380" t="s">
        <v>1505</v>
      </c>
      <c r="H380" t="s">
        <v>17</v>
      </c>
      <c r="I380" t="s">
        <v>1506</v>
      </c>
    </row>
    <row r="381" spans="1:9" hidden="1" x14ac:dyDescent="0.3">
      <c r="A381" t="s">
        <v>1512</v>
      </c>
      <c r="B381" t="s">
        <v>993</v>
      </c>
      <c r="C381" t="s">
        <v>1507</v>
      </c>
      <c r="D381" t="s">
        <v>13</v>
      </c>
      <c r="E381" t="s">
        <v>1508</v>
      </c>
      <c r="F381" t="s">
        <v>1510</v>
      </c>
      <c r="H381" t="s">
        <v>17</v>
      </c>
    </row>
    <row r="382" spans="1:9" hidden="1" x14ac:dyDescent="0.3">
      <c r="A382" t="s">
        <v>10</v>
      </c>
      <c r="B382" t="s">
        <v>993</v>
      </c>
      <c r="C382" t="s">
        <v>1507</v>
      </c>
      <c r="D382" t="s">
        <v>13</v>
      </c>
      <c r="E382" t="s">
        <v>1511</v>
      </c>
      <c r="F382" t="s">
        <v>1513</v>
      </c>
      <c r="H382" t="s">
        <v>17</v>
      </c>
      <c r="I382" t="s">
        <v>1514</v>
      </c>
    </row>
    <row r="383" spans="1:9" hidden="1" x14ac:dyDescent="0.3">
      <c r="A383" t="s">
        <v>1518</v>
      </c>
      <c r="B383" t="s">
        <v>1515</v>
      </c>
      <c r="F383" t="s">
        <v>1516</v>
      </c>
    </row>
    <row r="384" spans="1:9" hidden="1" x14ac:dyDescent="0.3">
      <c r="A384" t="s">
        <v>23</v>
      </c>
      <c r="B384" t="s">
        <v>1515</v>
      </c>
      <c r="C384" t="s">
        <v>995</v>
      </c>
      <c r="D384" t="s">
        <v>13</v>
      </c>
      <c r="E384" t="s">
        <v>1517</v>
      </c>
      <c r="F384" t="s">
        <v>1519</v>
      </c>
      <c r="H384" t="s">
        <v>17</v>
      </c>
    </row>
    <row r="385" spans="1:9" hidden="1" x14ac:dyDescent="0.3">
      <c r="A385" t="s">
        <v>28</v>
      </c>
      <c r="B385" t="s">
        <v>1515</v>
      </c>
      <c r="C385" t="s">
        <v>995</v>
      </c>
      <c r="D385" t="s">
        <v>13</v>
      </c>
      <c r="E385" t="s">
        <v>996</v>
      </c>
      <c r="F385" t="s">
        <v>1520</v>
      </c>
      <c r="H385" t="s">
        <v>17</v>
      </c>
      <c r="I385" t="s">
        <v>1521</v>
      </c>
    </row>
    <row r="386" spans="1:9" hidden="1" x14ac:dyDescent="0.3">
      <c r="A386" t="s">
        <v>33</v>
      </c>
      <c r="B386" t="s">
        <v>1515</v>
      </c>
      <c r="C386" t="s">
        <v>995</v>
      </c>
      <c r="D386" t="s">
        <v>13</v>
      </c>
      <c r="E386" t="s">
        <v>1001</v>
      </c>
      <c r="F386" t="s">
        <v>1522</v>
      </c>
      <c r="H386" t="s">
        <v>17</v>
      </c>
      <c r="I386" t="s">
        <v>1523</v>
      </c>
    </row>
    <row r="387" spans="1:9" hidden="1" x14ac:dyDescent="0.3">
      <c r="A387" t="s">
        <v>37</v>
      </c>
      <c r="B387" t="s">
        <v>1515</v>
      </c>
      <c r="C387" t="s">
        <v>995</v>
      </c>
      <c r="D387" t="s">
        <v>13</v>
      </c>
      <c r="E387" t="s">
        <v>1005</v>
      </c>
      <c r="F387" t="s">
        <v>1524</v>
      </c>
      <c r="H387" t="s">
        <v>17</v>
      </c>
    </row>
    <row r="388" spans="1:9" hidden="1" x14ac:dyDescent="0.3">
      <c r="A388" t="s">
        <v>42</v>
      </c>
      <c r="B388" t="s">
        <v>1515</v>
      </c>
      <c r="C388" t="s">
        <v>995</v>
      </c>
      <c r="D388" t="s">
        <v>13</v>
      </c>
      <c r="E388" t="s">
        <v>27</v>
      </c>
      <c r="F388" t="s">
        <v>1525</v>
      </c>
      <c r="H388" t="s">
        <v>17</v>
      </c>
      <c r="I388" t="s">
        <v>1526</v>
      </c>
    </row>
    <row r="389" spans="1:9" hidden="1" x14ac:dyDescent="0.3">
      <c r="A389" t="s">
        <v>46</v>
      </c>
      <c r="B389" t="s">
        <v>1515</v>
      </c>
      <c r="C389" t="s">
        <v>1527</v>
      </c>
      <c r="D389" t="s">
        <v>13</v>
      </c>
      <c r="E389" t="s">
        <v>1014</v>
      </c>
      <c r="F389" t="s">
        <v>1528</v>
      </c>
      <c r="H389" t="s">
        <v>17</v>
      </c>
      <c r="I389" t="s">
        <v>1529</v>
      </c>
    </row>
    <row r="390" spans="1:9" hidden="1" x14ac:dyDescent="0.3">
      <c r="A390" t="s">
        <v>51</v>
      </c>
      <c r="B390" t="s">
        <v>1515</v>
      </c>
      <c r="C390" t="s">
        <v>1527</v>
      </c>
      <c r="D390" t="s">
        <v>13</v>
      </c>
      <c r="E390" t="s">
        <v>1017</v>
      </c>
      <c r="F390" t="s">
        <v>1530</v>
      </c>
      <c r="H390" t="s">
        <v>17</v>
      </c>
      <c r="I390" t="s">
        <v>1529</v>
      </c>
    </row>
    <row r="391" spans="1:9" hidden="1" x14ac:dyDescent="0.3">
      <c r="A391" t="s">
        <v>54</v>
      </c>
      <c r="B391" t="s">
        <v>1515</v>
      </c>
      <c r="C391" t="s">
        <v>1527</v>
      </c>
      <c r="D391" t="s">
        <v>13</v>
      </c>
      <c r="E391" t="s">
        <v>36</v>
      </c>
      <c r="F391" t="s">
        <v>1531</v>
      </c>
      <c r="H391" t="s">
        <v>17</v>
      </c>
      <c r="I391" t="s">
        <v>1529</v>
      </c>
    </row>
    <row r="392" spans="1:9" hidden="1" x14ac:dyDescent="0.3">
      <c r="A392" t="s">
        <v>57</v>
      </c>
      <c r="B392" t="s">
        <v>1515</v>
      </c>
      <c r="C392" t="s">
        <v>1527</v>
      </c>
      <c r="D392" t="s">
        <v>13</v>
      </c>
      <c r="E392" t="s">
        <v>41</v>
      </c>
      <c r="F392" t="s">
        <v>1532</v>
      </c>
      <c r="H392" t="s">
        <v>17</v>
      </c>
      <c r="I392" t="s">
        <v>1529</v>
      </c>
    </row>
    <row r="393" spans="1:9" hidden="1" x14ac:dyDescent="0.3">
      <c r="A393" t="s">
        <v>62</v>
      </c>
      <c r="B393" t="s">
        <v>1515</v>
      </c>
      <c r="C393" t="s">
        <v>1527</v>
      </c>
      <c r="D393" t="s">
        <v>13</v>
      </c>
      <c r="E393" t="s">
        <v>45</v>
      </c>
      <c r="F393" t="s">
        <v>1533</v>
      </c>
      <c r="H393" t="s">
        <v>17</v>
      </c>
      <c r="I393" t="s">
        <v>1529</v>
      </c>
    </row>
    <row r="394" spans="1:9" hidden="1" x14ac:dyDescent="0.3">
      <c r="A394" t="s">
        <v>67</v>
      </c>
      <c r="B394" t="s">
        <v>1515</v>
      </c>
      <c r="C394" t="s">
        <v>1527</v>
      </c>
      <c r="D394" t="s">
        <v>13</v>
      </c>
      <c r="E394" t="s">
        <v>50</v>
      </c>
      <c r="F394" t="s">
        <v>1534</v>
      </c>
      <c r="H394" t="s">
        <v>17</v>
      </c>
      <c r="I394" t="s">
        <v>1529</v>
      </c>
    </row>
    <row r="395" spans="1:9" hidden="1" x14ac:dyDescent="0.3">
      <c r="A395" t="s">
        <v>72</v>
      </c>
      <c r="B395" t="s">
        <v>1515</v>
      </c>
      <c r="C395" t="s">
        <v>1527</v>
      </c>
      <c r="D395" t="s">
        <v>13</v>
      </c>
      <c r="E395" t="s">
        <v>53</v>
      </c>
      <c r="F395" t="s">
        <v>1535</v>
      </c>
      <c r="H395" t="s">
        <v>17</v>
      </c>
      <c r="I395" t="s">
        <v>1536</v>
      </c>
    </row>
    <row r="396" spans="1:9" hidden="1" x14ac:dyDescent="0.3">
      <c r="A396" t="s">
        <v>81</v>
      </c>
      <c r="B396" t="s">
        <v>1515</v>
      </c>
      <c r="C396" t="s">
        <v>1527</v>
      </c>
      <c r="D396" t="s">
        <v>13</v>
      </c>
      <c r="E396" t="s">
        <v>1537</v>
      </c>
      <c r="F396" t="s">
        <v>1538</v>
      </c>
      <c r="H396" t="s">
        <v>17</v>
      </c>
    </row>
    <row r="397" spans="1:9" hidden="1" x14ac:dyDescent="0.3">
      <c r="A397" t="s">
        <v>86</v>
      </c>
      <c r="B397" t="s">
        <v>1515</v>
      </c>
      <c r="C397" t="s">
        <v>1527</v>
      </c>
      <c r="D397" t="s">
        <v>13</v>
      </c>
      <c r="E397" t="s">
        <v>1039</v>
      </c>
      <c r="F397" t="s">
        <v>1539</v>
      </c>
      <c r="H397" t="s">
        <v>17</v>
      </c>
      <c r="I397" t="s">
        <v>1540</v>
      </c>
    </row>
    <row r="398" spans="1:9" hidden="1" x14ac:dyDescent="0.3">
      <c r="A398" t="s">
        <v>91</v>
      </c>
      <c r="B398" t="s">
        <v>1515</v>
      </c>
      <c r="C398" t="s">
        <v>1527</v>
      </c>
      <c r="D398" t="s">
        <v>13</v>
      </c>
      <c r="E398" t="s">
        <v>1043</v>
      </c>
      <c r="F398" t="s">
        <v>1541</v>
      </c>
      <c r="H398" t="s">
        <v>17</v>
      </c>
      <c r="I398" t="s">
        <v>1542</v>
      </c>
    </row>
    <row r="399" spans="1:9" hidden="1" x14ac:dyDescent="0.3">
      <c r="A399" t="s">
        <v>96</v>
      </c>
      <c r="B399" t="s">
        <v>1515</v>
      </c>
      <c r="C399" t="s">
        <v>1527</v>
      </c>
      <c r="D399" t="s">
        <v>13</v>
      </c>
      <c r="E399" t="s">
        <v>71</v>
      </c>
      <c r="F399" t="s">
        <v>1543</v>
      </c>
      <c r="H399" t="s">
        <v>17</v>
      </c>
      <c r="I399" t="s">
        <v>1544</v>
      </c>
    </row>
    <row r="400" spans="1:9" hidden="1" x14ac:dyDescent="0.3">
      <c r="A400" t="s">
        <v>101</v>
      </c>
      <c r="B400" t="s">
        <v>1515</v>
      </c>
      <c r="C400" t="s">
        <v>1527</v>
      </c>
      <c r="D400" t="s">
        <v>13</v>
      </c>
      <c r="E400" t="s">
        <v>1050</v>
      </c>
      <c r="F400" t="s">
        <v>1545</v>
      </c>
      <c r="H400" t="s">
        <v>17</v>
      </c>
      <c r="I400" t="s">
        <v>1546</v>
      </c>
    </row>
    <row r="401" spans="1:9" hidden="1" x14ac:dyDescent="0.3">
      <c r="A401" t="s">
        <v>107</v>
      </c>
      <c r="B401" t="s">
        <v>1515</v>
      </c>
      <c r="C401" t="s">
        <v>1527</v>
      </c>
      <c r="D401" t="s">
        <v>13</v>
      </c>
      <c r="E401" t="s">
        <v>1055</v>
      </c>
      <c r="F401" t="s">
        <v>1547</v>
      </c>
      <c r="H401" t="s">
        <v>17</v>
      </c>
      <c r="I401" t="s">
        <v>1548</v>
      </c>
    </row>
    <row r="402" spans="1:9" hidden="1" x14ac:dyDescent="0.3">
      <c r="A402" t="s">
        <v>112</v>
      </c>
      <c r="B402" t="s">
        <v>1515</v>
      </c>
      <c r="C402" t="s">
        <v>1549</v>
      </c>
      <c r="D402" t="s">
        <v>13</v>
      </c>
      <c r="E402" t="s">
        <v>80</v>
      </c>
      <c r="F402" t="s">
        <v>1550</v>
      </c>
      <c r="H402" t="s">
        <v>17</v>
      </c>
      <c r="I402" t="s">
        <v>1551</v>
      </c>
    </row>
    <row r="403" spans="1:9" hidden="1" x14ac:dyDescent="0.3">
      <c r="A403" t="s">
        <v>115</v>
      </c>
      <c r="B403" t="s">
        <v>1515</v>
      </c>
      <c r="C403" t="s">
        <v>1549</v>
      </c>
      <c r="D403" t="s">
        <v>13</v>
      </c>
      <c r="E403" t="s">
        <v>85</v>
      </c>
      <c r="F403" t="s">
        <v>1552</v>
      </c>
      <c r="H403" t="s">
        <v>17</v>
      </c>
      <c r="I403" t="s">
        <v>1551</v>
      </c>
    </row>
    <row r="404" spans="1:9" hidden="1" x14ac:dyDescent="0.3">
      <c r="A404" t="s">
        <v>118</v>
      </c>
      <c r="B404" t="s">
        <v>1515</v>
      </c>
      <c r="C404" t="s">
        <v>1549</v>
      </c>
      <c r="D404" t="s">
        <v>13</v>
      </c>
      <c r="E404" t="s">
        <v>90</v>
      </c>
      <c r="F404" t="s">
        <v>1553</v>
      </c>
      <c r="H404" t="s">
        <v>17</v>
      </c>
      <c r="I404" t="s">
        <v>1551</v>
      </c>
    </row>
    <row r="405" spans="1:9" hidden="1" x14ac:dyDescent="0.3">
      <c r="A405" t="s">
        <v>122</v>
      </c>
      <c r="B405" t="s">
        <v>1515</v>
      </c>
      <c r="C405" t="s">
        <v>1549</v>
      </c>
      <c r="D405" t="s">
        <v>13</v>
      </c>
      <c r="E405" t="s">
        <v>95</v>
      </c>
      <c r="F405" t="s">
        <v>1554</v>
      </c>
      <c r="H405" t="s">
        <v>17</v>
      </c>
      <c r="I405" t="s">
        <v>1551</v>
      </c>
    </row>
    <row r="406" spans="1:9" hidden="1" x14ac:dyDescent="0.3">
      <c r="A406" t="s">
        <v>127</v>
      </c>
      <c r="B406" t="s">
        <v>1515</v>
      </c>
      <c r="C406" t="s">
        <v>1549</v>
      </c>
      <c r="D406" t="s">
        <v>13</v>
      </c>
      <c r="E406" t="s">
        <v>100</v>
      </c>
      <c r="F406" t="s">
        <v>1555</v>
      </c>
      <c r="H406" t="s">
        <v>17</v>
      </c>
      <c r="I406" t="s">
        <v>1551</v>
      </c>
    </row>
    <row r="407" spans="1:9" hidden="1" x14ac:dyDescent="0.3">
      <c r="A407" t="s">
        <v>133</v>
      </c>
      <c r="B407" t="s">
        <v>1515</v>
      </c>
      <c r="C407" t="s">
        <v>1549</v>
      </c>
      <c r="D407" t="s">
        <v>13</v>
      </c>
      <c r="E407" t="s">
        <v>1556</v>
      </c>
      <c r="F407" t="s">
        <v>1557</v>
      </c>
      <c r="H407" t="s">
        <v>17</v>
      </c>
      <c r="I407" t="s">
        <v>1558</v>
      </c>
    </row>
    <row r="408" spans="1:9" hidden="1" x14ac:dyDescent="0.3">
      <c r="A408" t="s">
        <v>136</v>
      </c>
      <c r="B408" t="s">
        <v>1515</v>
      </c>
      <c r="C408" t="s">
        <v>1559</v>
      </c>
      <c r="D408" t="s">
        <v>13</v>
      </c>
      <c r="E408" t="s">
        <v>114</v>
      </c>
      <c r="F408" t="s">
        <v>1560</v>
      </c>
      <c r="H408" t="s">
        <v>17</v>
      </c>
      <c r="I408" t="s">
        <v>1551</v>
      </c>
    </row>
    <row r="409" spans="1:9" hidden="1" x14ac:dyDescent="0.3">
      <c r="A409" t="s">
        <v>139</v>
      </c>
      <c r="B409" t="s">
        <v>1515</v>
      </c>
      <c r="C409" t="s">
        <v>1559</v>
      </c>
      <c r="D409" t="s">
        <v>13</v>
      </c>
      <c r="E409" t="s">
        <v>117</v>
      </c>
      <c r="F409" t="s">
        <v>1561</v>
      </c>
      <c r="H409" t="s">
        <v>17</v>
      </c>
      <c r="I409" t="s">
        <v>1551</v>
      </c>
    </row>
    <row r="410" spans="1:9" hidden="1" x14ac:dyDescent="0.3">
      <c r="A410" t="s">
        <v>142</v>
      </c>
      <c r="B410" t="s">
        <v>1515</v>
      </c>
      <c r="C410" t="s">
        <v>1559</v>
      </c>
      <c r="D410" t="s">
        <v>13</v>
      </c>
      <c r="E410" t="s">
        <v>121</v>
      </c>
      <c r="F410" t="s">
        <v>1562</v>
      </c>
      <c r="H410" t="s">
        <v>17</v>
      </c>
      <c r="I410" t="s">
        <v>1551</v>
      </c>
    </row>
    <row r="411" spans="1:9" hidden="1" x14ac:dyDescent="0.3">
      <c r="A411" t="s">
        <v>145</v>
      </c>
      <c r="B411" t="s">
        <v>1515</v>
      </c>
      <c r="C411" t="s">
        <v>1559</v>
      </c>
      <c r="D411" t="s">
        <v>13</v>
      </c>
      <c r="E411" t="s">
        <v>126</v>
      </c>
      <c r="F411" t="s">
        <v>1563</v>
      </c>
      <c r="H411" t="s">
        <v>17</v>
      </c>
      <c r="I411" t="s">
        <v>1551</v>
      </c>
    </row>
    <row r="412" spans="1:9" hidden="1" x14ac:dyDescent="0.3">
      <c r="A412" t="s">
        <v>148</v>
      </c>
      <c r="B412" t="s">
        <v>1515</v>
      </c>
      <c r="C412" t="s">
        <v>1559</v>
      </c>
      <c r="D412" t="s">
        <v>13</v>
      </c>
      <c r="E412" t="s">
        <v>129</v>
      </c>
      <c r="F412" t="s">
        <v>1564</v>
      </c>
      <c r="H412" t="s">
        <v>17</v>
      </c>
      <c r="I412" t="s">
        <v>1551</v>
      </c>
    </row>
    <row r="413" spans="1:9" hidden="1" x14ac:dyDescent="0.3">
      <c r="A413" t="s">
        <v>158</v>
      </c>
      <c r="B413" t="s">
        <v>1515</v>
      </c>
      <c r="C413" t="s">
        <v>1559</v>
      </c>
      <c r="D413" t="s">
        <v>13</v>
      </c>
      <c r="E413" t="s">
        <v>1084</v>
      </c>
      <c r="F413" t="s">
        <v>1557</v>
      </c>
      <c r="H413" t="s">
        <v>17</v>
      </c>
      <c r="I413" t="s">
        <v>1565</v>
      </c>
    </row>
    <row r="414" spans="1:9" hidden="1" x14ac:dyDescent="0.3">
      <c r="A414" t="s">
        <v>163</v>
      </c>
      <c r="B414" t="s">
        <v>1515</v>
      </c>
      <c r="C414" t="s">
        <v>1559</v>
      </c>
      <c r="D414" t="s">
        <v>13</v>
      </c>
      <c r="E414" t="s">
        <v>138</v>
      </c>
      <c r="F414" t="s">
        <v>1566</v>
      </c>
      <c r="H414" t="s">
        <v>17</v>
      </c>
      <c r="I414" t="s">
        <v>1567</v>
      </c>
    </row>
    <row r="415" spans="1:9" hidden="1" x14ac:dyDescent="0.3">
      <c r="A415" t="s">
        <v>168</v>
      </c>
      <c r="B415" t="s">
        <v>1515</v>
      </c>
      <c r="C415" t="s">
        <v>1049</v>
      </c>
      <c r="D415" t="s">
        <v>13</v>
      </c>
      <c r="E415" t="s">
        <v>141</v>
      </c>
      <c r="F415" t="s">
        <v>1568</v>
      </c>
      <c r="G415" t="s">
        <v>1569</v>
      </c>
      <c r="H415" t="s">
        <v>17</v>
      </c>
      <c r="I415" t="s">
        <v>110</v>
      </c>
    </row>
    <row r="416" spans="1:9" hidden="1" x14ac:dyDescent="0.3">
      <c r="A416" t="s">
        <v>173</v>
      </c>
      <c r="B416" t="s">
        <v>1515</v>
      </c>
      <c r="C416" t="s">
        <v>1049</v>
      </c>
      <c r="D416" t="s">
        <v>13</v>
      </c>
      <c r="E416" t="s">
        <v>144</v>
      </c>
      <c r="F416" t="s">
        <v>1570</v>
      </c>
      <c r="G416" t="s">
        <v>1569</v>
      </c>
      <c r="H416" t="s">
        <v>17</v>
      </c>
      <c r="I416" t="s">
        <v>110</v>
      </c>
    </row>
    <row r="417" spans="1:9" hidden="1" x14ac:dyDescent="0.3">
      <c r="A417" t="s">
        <v>178</v>
      </c>
      <c r="B417" t="s">
        <v>1515</v>
      </c>
      <c r="C417" t="s">
        <v>1049</v>
      </c>
      <c r="D417" t="s">
        <v>13</v>
      </c>
      <c r="E417" t="s">
        <v>147</v>
      </c>
      <c r="F417" t="s">
        <v>1571</v>
      </c>
      <c r="G417" t="s">
        <v>1569</v>
      </c>
      <c r="H417" t="s">
        <v>17</v>
      </c>
      <c r="I417" t="s">
        <v>110</v>
      </c>
    </row>
    <row r="418" spans="1:9" hidden="1" x14ac:dyDescent="0.3">
      <c r="A418" t="s">
        <v>183</v>
      </c>
      <c r="B418" t="s">
        <v>1515</v>
      </c>
      <c r="C418" t="s">
        <v>1049</v>
      </c>
      <c r="D418" t="s">
        <v>13</v>
      </c>
      <c r="E418" t="s">
        <v>152</v>
      </c>
      <c r="F418" t="s">
        <v>1572</v>
      </c>
      <c r="G418" t="s">
        <v>1569</v>
      </c>
      <c r="H418" t="s">
        <v>17</v>
      </c>
      <c r="I418" t="s">
        <v>110</v>
      </c>
    </row>
    <row r="419" spans="1:9" hidden="1" x14ac:dyDescent="0.3">
      <c r="A419" t="s">
        <v>188</v>
      </c>
      <c r="B419" t="s">
        <v>1515</v>
      </c>
      <c r="C419" t="s">
        <v>1049</v>
      </c>
      <c r="D419" t="s">
        <v>13</v>
      </c>
      <c r="E419" t="s">
        <v>157</v>
      </c>
      <c r="F419" t="s">
        <v>1573</v>
      </c>
      <c r="H419" t="s">
        <v>17</v>
      </c>
      <c r="I419" t="s">
        <v>1574</v>
      </c>
    </row>
    <row r="420" spans="1:9" hidden="1" x14ac:dyDescent="0.3">
      <c r="A420" t="s">
        <v>194</v>
      </c>
      <c r="B420" t="s">
        <v>1515</v>
      </c>
      <c r="C420" t="s">
        <v>1575</v>
      </c>
      <c r="D420" t="s">
        <v>13</v>
      </c>
      <c r="E420" t="s">
        <v>1100</v>
      </c>
      <c r="F420" t="s">
        <v>1576</v>
      </c>
      <c r="H420" t="s">
        <v>17</v>
      </c>
      <c r="I420" t="s">
        <v>1577</v>
      </c>
    </row>
    <row r="421" spans="1:9" hidden="1" x14ac:dyDescent="0.3">
      <c r="A421" t="s">
        <v>199</v>
      </c>
      <c r="B421" t="s">
        <v>1515</v>
      </c>
      <c r="C421" t="s">
        <v>1575</v>
      </c>
      <c r="D421" t="s">
        <v>13</v>
      </c>
      <c r="E421" t="s">
        <v>1104</v>
      </c>
      <c r="F421" t="s">
        <v>1578</v>
      </c>
      <c r="H421" t="s">
        <v>17</v>
      </c>
      <c r="I421" t="s">
        <v>1577</v>
      </c>
    </row>
    <row r="422" spans="1:9" hidden="1" x14ac:dyDescent="0.3">
      <c r="A422" t="s">
        <v>203</v>
      </c>
      <c r="B422" t="s">
        <v>1515</v>
      </c>
      <c r="C422" t="s">
        <v>1575</v>
      </c>
      <c r="D422" t="s">
        <v>13</v>
      </c>
      <c r="E422" t="s">
        <v>1109</v>
      </c>
      <c r="F422" t="s">
        <v>1579</v>
      </c>
      <c r="H422" t="s">
        <v>17</v>
      </c>
      <c r="I422" t="s">
        <v>1577</v>
      </c>
    </row>
    <row r="423" spans="1:9" hidden="1" x14ac:dyDescent="0.3">
      <c r="A423" t="s">
        <v>207</v>
      </c>
      <c r="B423" t="s">
        <v>1515</v>
      </c>
      <c r="C423" t="s">
        <v>1575</v>
      </c>
      <c r="D423" t="s">
        <v>13</v>
      </c>
      <c r="E423" t="s">
        <v>1114</v>
      </c>
      <c r="F423" t="s">
        <v>1580</v>
      </c>
      <c r="H423" t="s">
        <v>17</v>
      </c>
      <c r="I423" t="s">
        <v>1577</v>
      </c>
    </row>
    <row r="424" spans="1:9" hidden="1" x14ac:dyDescent="0.3">
      <c r="A424" t="s">
        <v>211</v>
      </c>
      <c r="B424" t="s">
        <v>1515</v>
      </c>
      <c r="C424" t="s">
        <v>1575</v>
      </c>
      <c r="D424" t="s">
        <v>13</v>
      </c>
      <c r="E424" t="s">
        <v>1118</v>
      </c>
      <c r="F424" t="s">
        <v>1581</v>
      </c>
      <c r="H424" t="s">
        <v>17</v>
      </c>
      <c r="I424" t="s">
        <v>1577</v>
      </c>
    </row>
    <row r="425" spans="1:9" hidden="1" x14ac:dyDescent="0.3">
      <c r="A425" t="s">
        <v>215</v>
      </c>
      <c r="B425" t="s">
        <v>1515</v>
      </c>
      <c r="C425" t="s">
        <v>1575</v>
      </c>
      <c r="D425" t="s">
        <v>13</v>
      </c>
      <c r="E425" t="s">
        <v>1123</v>
      </c>
      <c r="F425" t="s">
        <v>1582</v>
      </c>
      <c r="H425" t="s">
        <v>17</v>
      </c>
      <c r="I425" t="s">
        <v>1577</v>
      </c>
    </row>
    <row r="426" spans="1:9" hidden="1" x14ac:dyDescent="0.3">
      <c r="A426" t="s">
        <v>1584</v>
      </c>
      <c r="B426" t="s">
        <v>1515</v>
      </c>
      <c r="C426" t="s">
        <v>1575</v>
      </c>
      <c r="D426" t="s">
        <v>13</v>
      </c>
      <c r="E426" t="s">
        <v>1127</v>
      </c>
      <c r="F426" t="s">
        <v>1583</v>
      </c>
      <c r="H426" t="s">
        <v>17</v>
      </c>
      <c r="I426" t="s">
        <v>1577</v>
      </c>
    </row>
    <row r="427" spans="1:9" hidden="1" x14ac:dyDescent="0.3">
      <c r="A427" t="s">
        <v>219</v>
      </c>
      <c r="B427" t="s">
        <v>1515</v>
      </c>
      <c r="C427" t="s">
        <v>1575</v>
      </c>
      <c r="D427" t="s">
        <v>13</v>
      </c>
      <c r="E427" t="s">
        <v>1131</v>
      </c>
      <c r="F427" t="s">
        <v>1585</v>
      </c>
      <c r="H427" t="s">
        <v>17</v>
      </c>
      <c r="I427" t="s">
        <v>1577</v>
      </c>
    </row>
    <row r="428" spans="1:9" hidden="1" x14ac:dyDescent="0.3">
      <c r="A428" t="s">
        <v>224</v>
      </c>
      <c r="B428" t="s">
        <v>1515</v>
      </c>
      <c r="C428" t="s">
        <v>1575</v>
      </c>
      <c r="D428" t="s">
        <v>13</v>
      </c>
      <c r="E428" t="s">
        <v>1136</v>
      </c>
      <c r="F428" t="s">
        <v>1586</v>
      </c>
      <c r="H428" t="s">
        <v>17</v>
      </c>
      <c r="I428" t="s">
        <v>1577</v>
      </c>
    </row>
    <row r="429" spans="1:9" hidden="1" x14ac:dyDescent="0.3">
      <c r="A429" t="s">
        <v>229</v>
      </c>
      <c r="B429" t="s">
        <v>1515</v>
      </c>
      <c r="C429" t="s">
        <v>1575</v>
      </c>
      <c r="D429" t="s">
        <v>13</v>
      </c>
      <c r="E429" t="s">
        <v>245</v>
      </c>
      <c r="F429" t="s">
        <v>1587</v>
      </c>
      <c r="H429" t="s">
        <v>17</v>
      </c>
      <c r="I429" t="s">
        <v>1577</v>
      </c>
    </row>
    <row r="430" spans="1:9" hidden="1" x14ac:dyDescent="0.3">
      <c r="A430" t="s">
        <v>234</v>
      </c>
      <c r="B430" t="s">
        <v>1515</v>
      </c>
      <c r="C430" t="s">
        <v>1575</v>
      </c>
      <c r="D430" t="s">
        <v>13</v>
      </c>
      <c r="E430" t="s">
        <v>1588</v>
      </c>
      <c r="F430" t="s">
        <v>1272</v>
      </c>
      <c r="H430" t="s">
        <v>17</v>
      </c>
      <c r="I430" t="s">
        <v>1589</v>
      </c>
    </row>
    <row r="431" spans="1:9" hidden="1" x14ac:dyDescent="0.3">
      <c r="A431" t="s">
        <v>237</v>
      </c>
      <c r="B431" t="s">
        <v>1515</v>
      </c>
      <c r="C431" t="s">
        <v>1575</v>
      </c>
      <c r="D431" t="s">
        <v>13</v>
      </c>
      <c r="E431" t="s">
        <v>1590</v>
      </c>
      <c r="F431" t="s">
        <v>1591</v>
      </c>
      <c r="H431" t="s">
        <v>17</v>
      </c>
      <c r="I431" t="s">
        <v>1592</v>
      </c>
    </row>
    <row r="432" spans="1:9" hidden="1" x14ac:dyDescent="0.3">
      <c r="A432" t="s">
        <v>240</v>
      </c>
      <c r="B432" t="s">
        <v>1515</v>
      </c>
      <c r="C432" t="s">
        <v>1575</v>
      </c>
      <c r="D432" t="s">
        <v>13</v>
      </c>
      <c r="E432" t="s">
        <v>1593</v>
      </c>
      <c r="F432" t="s">
        <v>1594</v>
      </c>
      <c r="H432" t="s">
        <v>17</v>
      </c>
      <c r="I432" t="s">
        <v>1595</v>
      </c>
    </row>
    <row r="433" spans="1:9" hidden="1" x14ac:dyDescent="0.3">
      <c r="A433" t="s">
        <v>246</v>
      </c>
      <c r="B433" t="s">
        <v>1515</v>
      </c>
      <c r="C433" t="s">
        <v>1596</v>
      </c>
      <c r="D433" t="s">
        <v>13</v>
      </c>
      <c r="E433" t="s">
        <v>1597</v>
      </c>
      <c r="F433" t="s">
        <v>1598</v>
      </c>
      <c r="H433" t="s">
        <v>17</v>
      </c>
      <c r="I433" t="s">
        <v>1599</v>
      </c>
    </row>
    <row r="434" spans="1:9" hidden="1" x14ac:dyDescent="0.3">
      <c r="A434" t="s">
        <v>251</v>
      </c>
      <c r="B434" t="s">
        <v>1515</v>
      </c>
      <c r="C434" t="s">
        <v>1596</v>
      </c>
      <c r="D434" t="s">
        <v>13</v>
      </c>
      <c r="E434" t="s">
        <v>1165</v>
      </c>
      <c r="F434" t="s">
        <v>1600</v>
      </c>
      <c r="H434" t="s">
        <v>17</v>
      </c>
      <c r="I434" t="s">
        <v>1599</v>
      </c>
    </row>
    <row r="435" spans="1:9" hidden="1" x14ac:dyDescent="0.3">
      <c r="A435" t="s">
        <v>254</v>
      </c>
      <c r="B435" t="s">
        <v>1515</v>
      </c>
      <c r="C435" t="s">
        <v>1596</v>
      </c>
      <c r="D435" t="s">
        <v>13</v>
      </c>
      <c r="E435" t="s">
        <v>1168</v>
      </c>
      <c r="F435" t="s">
        <v>1601</v>
      </c>
      <c r="H435" t="s">
        <v>17</v>
      </c>
      <c r="I435" t="s">
        <v>1599</v>
      </c>
    </row>
    <row r="436" spans="1:9" hidden="1" x14ac:dyDescent="0.3">
      <c r="A436" t="s">
        <v>257</v>
      </c>
      <c r="B436" t="s">
        <v>1515</v>
      </c>
      <c r="C436" t="s">
        <v>1596</v>
      </c>
      <c r="D436" t="s">
        <v>13</v>
      </c>
      <c r="E436" t="s">
        <v>1172</v>
      </c>
      <c r="F436" t="s">
        <v>1602</v>
      </c>
      <c r="H436" t="s">
        <v>17</v>
      </c>
      <c r="I436" t="s">
        <v>1599</v>
      </c>
    </row>
    <row r="437" spans="1:9" hidden="1" x14ac:dyDescent="0.3">
      <c r="A437" t="s">
        <v>260</v>
      </c>
      <c r="B437" t="s">
        <v>1515</v>
      </c>
      <c r="C437" t="s">
        <v>1596</v>
      </c>
      <c r="D437" t="s">
        <v>13</v>
      </c>
      <c r="E437" t="s">
        <v>1176</v>
      </c>
      <c r="F437" t="s">
        <v>1603</v>
      </c>
      <c r="H437" t="s">
        <v>17</v>
      </c>
      <c r="I437" t="s">
        <v>1599</v>
      </c>
    </row>
    <row r="438" spans="1:9" hidden="1" x14ac:dyDescent="0.3">
      <c r="A438" t="s">
        <v>263</v>
      </c>
      <c r="B438" t="s">
        <v>1515</v>
      </c>
      <c r="C438" t="s">
        <v>1596</v>
      </c>
      <c r="D438" t="s">
        <v>13</v>
      </c>
      <c r="E438" t="s">
        <v>1179</v>
      </c>
      <c r="F438" t="s">
        <v>1604</v>
      </c>
      <c r="H438" t="s">
        <v>17</v>
      </c>
      <c r="I438" t="s">
        <v>1599</v>
      </c>
    </row>
    <row r="439" spans="1:9" hidden="1" x14ac:dyDescent="0.3">
      <c r="A439" t="s">
        <v>266</v>
      </c>
      <c r="B439" t="s">
        <v>1515</v>
      </c>
      <c r="C439" t="s">
        <v>1596</v>
      </c>
      <c r="D439" t="s">
        <v>13</v>
      </c>
      <c r="E439" t="s">
        <v>1184</v>
      </c>
      <c r="F439" t="s">
        <v>1605</v>
      </c>
      <c r="H439" t="s">
        <v>17</v>
      </c>
      <c r="I439" t="s">
        <v>1606</v>
      </c>
    </row>
    <row r="440" spans="1:9" hidden="1" x14ac:dyDescent="0.3">
      <c r="A440" t="s">
        <v>269</v>
      </c>
      <c r="B440" t="s">
        <v>1515</v>
      </c>
      <c r="C440" t="s">
        <v>1596</v>
      </c>
      <c r="D440" t="s">
        <v>13</v>
      </c>
      <c r="E440" t="s">
        <v>1189</v>
      </c>
      <c r="F440" t="s">
        <v>1607</v>
      </c>
      <c r="H440" t="s">
        <v>17</v>
      </c>
      <c r="I440" t="s">
        <v>1606</v>
      </c>
    </row>
    <row r="441" spans="1:9" hidden="1" x14ac:dyDescent="0.3">
      <c r="A441" t="s">
        <v>1610</v>
      </c>
      <c r="B441" t="s">
        <v>1515</v>
      </c>
      <c r="C441" t="s">
        <v>1596</v>
      </c>
      <c r="D441" t="s">
        <v>13</v>
      </c>
      <c r="E441" t="s">
        <v>1193</v>
      </c>
      <c r="F441" t="s">
        <v>1608</v>
      </c>
      <c r="H441" t="s">
        <v>17</v>
      </c>
      <c r="I441" t="s">
        <v>548</v>
      </c>
    </row>
    <row r="442" spans="1:9" hidden="1" x14ac:dyDescent="0.3">
      <c r="A442" t="s">
        <v>274</v>
      </c>
      <c r="B442" t="s">
        <v>1515</v>
      </c>
      <c r="C442" t="s">
        <v>1609</v>
      </c>
      <c r="D442" t="s">
        <v>13</v>
      </c>
      <c r="E442" t="s">
        <v>1197</v>
      </c>
      <c r="F442" t="s">
        <v>1611</v>
      </c>
      <c r="H442" t="s">
        <v>17</v>
      </c>
      <c r="I442" t="s">
        <v>1612</v>
      </c>
    </row>
    <row r="443" spans="1:9" hidden="1" x14ac:dyDescent="0.3">
      <c r="A443" t="s">
        <v>277</v>
      </c>
      <c r="B443" t="s">
        <v>1515</v>
      </c>
      <c r="C443" t="s">
        <v>1609</v>
      </c>
      <c r="D443" t="s">
        <v>13</v>
      </c>
      <c r="E443" t="s">
        <v>1201</v>
      </c>
      <c r="F443" t="s">
        <v>1613</v>
      </c>
      <c r="H443" t="s">
        <v>17</v>
      </c>
      <c r="I443" t="s">
        <v>1612</v>
      </c>
    </row>
    <row r="444" spans="1:9" hidden="1" x14ac:dyDescent="0.3">
      <c r="A444" t="s">
        <v>280</v>
      </c>
      <c r="B444" t="s">
        <v>1515</v>
      </c>
      <c r="C444" t="s">
        <v>1609</v>
      </c>
      <c r="D444" t="s">
        <v>13</v>
      </c>
      <c r="E444" t="s">
        <v>1205</v>
      </c>
      <c r="F444" t="s">
        <v>1614</v>
      </c>
      <c r="H444" t="s">
        <v>17</v>
      </c>
      <c r="I444" t="s">
        <v>1612</v>
      </c>
    </row>
    <row r="445" spans="1:9" hidden="1" x14ac:dyDescent="0.3">
      <c r="A445" t="s">
        <v>283</v>
      </c>
      <c r="B445" t="s">
        <v>1515</v>
      </c>
      <c r="C445" t="s">
        <v>1609</v>
      </c>
      <c r="D445" t="s">
        <v>13</v>
      </c>
      <c r="E445" t="s">
        <v>1209</v>
      </c>
      <c r="F445" t="s">
        <v>1615</v>
      </c>
      <c r="H445" t="s">
        <v>17</v>
      </c>
      <c r="I445" t="s">
        <v>1612</v>
      </c>
    </row>
    <row r="446" spans="1:9" hidden="1" x14ac:dyDescent="0.3">
      <c r="A446" t="s">
        <v>286</v>
      </c>
      <c r="B446" t="s">
        <v>1515</v>
      </c>
      <c r="C446" t="s">
        <v>1609</v>
      </c>
      <c r="D446" t="s">
        <v>13</v>
      </c>
      <c r="E446" t="s">
        <v>1213</v>
      </c>
      <c r="F446" t="s">
        <v>1616</v>
      </c>
      <c r="H446" t="s">
        <v>17</v>
      </c>
      <c r="I446" t="s">
        <v>1612</v>
      </c>
    </row>
    <row r="447" spans="1:9" hidden="1" x14ac:dyDescent="0.3">
      <c r="A447" t="s">
        <v>289</v>
      </c>
      <c r="B447" t="s">
        <v>1515</v>
      </c>
      <c r="C447" t="s">
        <v>1609</v>
      </c>
      <c r="D447" t="s">
        <v>13</v>
      </c>
      <c r="E447" t="s">
        <v>1219</v>
      </c>
      <c r="F447" t="s">
        <v>1617</v>
      </c>
      <c r="H447" t="s">
        <v>17</v>
      </c>
      <c r="I447" t="s">
        <v>1612</v>
      </c>
    </row>
    <row r="448" spans="1:9" hidden="1" x14ac:dyDescent="0.3">
      <c r="A448" t="s">
        <v>292</v>
      </c>
      <c r="B448" t="s">
        <v>1515</v>
      </c>
      <c r="C448" t="s">
        <v>1609</v>
      </c>
      <c r="D448" t="s">
        <v>13</v>
      </c>
      <c r="E448" t="s">
        <v>1224</v>
      </c>
      <c r="F448" t="s">
        <v>1618</v>
      </c>
      <c r="H448" t="s">
        <v>17</v>
      </c>
      <c r="I448" t="s">
        <v>1619</v>
      </c>
    </row>
    <row r="449" spans="1:9" hidden="1" x14ac:dyDescent="0.3">
      <c r="A449" t="s">
        <v>295</v>
      </c>
      <c r="B449" t="s">
        <v>1515</v>
      </c>
      <c r="C449" t="s">
        <v>1609</v>
      </c>
      <c r="D449" t="s">
        <v>13</v>
      </c>
      <c r="E449" t="s">
        <v>1228</v>
      </c>
      <c r="F449" t="s">
        <v>1620</v>
      </c>
      <c r="H449" t="s">
        <v>17</v>
      </c>
      <c r="I449" t="s">
        <v>1619</v>
      </c>
    </row>
    <row r="450" spans="1:9" hidden="1" x14ac:dyDescent="0.3">
      <c r="A450" t="s">
        <v>298</v>
      </c>
      <c r="B450" t="s">
        <v>1515</v>
      </c>
      <c r="C450" t="s">
        <v>1609</v>
      </c>
      <c r="D450" t="s">
        <v>13</v>
      </c>
      <c r="E450" t="s">
        <v>1232</v>
      </c>
      <c r="F450" t="s">
        <v>1621</v>
      </c>
      <c r="H450" t="s">
        <v>17</v>
      </c>
      <c r="I450" t="s">
        <v>1622</v>
      </c>
    </row>
    <row r="451" spans="1:9" hidden="1" x14ac:dyDescent="0.3">
      <c r="A451" t="s">
        <v>301</v>
      </c>
      <c r="B451" t="s">
        <v>1515</v>
      </c>
      <c r="C451" t="s">
        <v>1609</v>
      </c>
      <c r="D451" t="s">
        <v>13</v>
      </c>
      <c r="E451" t="s">
        <v>1236</v>
      </c>
      <c r="F451" t="s">
        <v>1623</v>
      </c>
      <c r="H451" t="s">
        <v>17</v>
      </c>
      <c r="I451" t="s">
        <v>1624</v>
      </c>
    </row>
    <row r="452" spans="1:9" hidden="1" x14ac:dyDescent="0.3">
      <c r="A452" t="s">
        <v>304</v>
      </c>
      <c r="B452" t="s">
        <v>1515</v>
      </c>
      <c r="C452" t="s">
        <v>1625</v>
      </c>
      <c r="D452" t="s">
        <v>13</v>
      </c>
      <c r="E452" t="s">
        <v>1240</v>
      </c>
      <c r="F452" t="s">
        <v>1626</v>
      </c>
      <c r="H452" t="s">
        <v>17</v>
      </c>
      <c r="I452" t="s">
        <v>1606</v>
      </c>
    </row>
    <row r="453" spans="1:9" hidden="1" x14ac:dyDescent="0.3">
      <c r="A453" t="s">
        <v>309</v>
      </c>
      <c r="B453" t="s">
        <v>1515</v>
      </c>
      <c r="C453" t="s">
        <v>1625</v>
      </c>
      <c r="D453" t="s">
        <v>13</v>
      </c>
      <c r="E453" t="s">
        <v>1244</v>
      </c>
      <c r="F453" t="s">
        <v>1627</v>
      </c>
      <c r="H453" t="s">
        <v>17</v>
      </c>
      <c r="I453" t="s">
        <v>1606</v>
      </c>
    </row>
    <row r="454" spans="1:9" hidden="1" x14ac:dyDescent="0.3">
      <c r="A454" t="s">
        <v>313</v>
      </c>
      <c r="B454" t="s">
        <v>1515</v>
      </c>
      <c r="C454" t="s">
        <v>1625</v>
      </c>
      <c r="D454" t="s">
        <v>13</v>
      </c>
      <c r="E454" t="s">
        <v>1248</v>
      </c>
      <c r="F454" t="s">
        <v>1628</v>
      </c>
      <c r="H454" t="s">
        <v>17</v>
      </c>
      <c r="I454" t="s">
        <v>1606</v>
      </c>
    </row>
    <row r="455" spans="1:9" hidden="1" x14ac:dyDescent="0.3">
      <c r="A455" t="s">
        <v>317</v>
      </c>
      <c r="B455" t="s">
        <v>1515</v>
      </c>
      <c r="C455" t="s">
        <v>1625</v>
      </c>
      <c r="D455" t="s">
        <v>13</v>
      </c>
      <c r="E455" t="s">
        <v>1252</v>
      </c>
      <c r="F455" t="s">
        <v>1629</v>
      </c>
      <c r="H455" t="s">
        <v>17</v>
      </c>
      <c r="I455" t="s">
        <v>1606</v>
      </c>
    </row>
    <row r="456" spans="1:9" hidden="1" x14ac:dyDescent="0.3">
      <c r="A456" t="s">
        <v>320</v>
      </c>
      <c r="B456" t="s">
        <v>1515</v>
      </c>
      <c r="C456" t="s">
        <v>1625</v>
      </c>
      <c r="D456" t="s">
        <v>13</v>
      </c>
      <c r="E456" t="s">
        <v>1256</v>
      </c>
      <c r="F456" t="s">
        <v>1630</v>
      </c>
      <c r="H456" t="s">
        <v>17</v>
      </c>
      <c r="I456" t="s">
        <v>1606</v>
      </c>
    </row>
    <row r="457" spans="1:9" hidden="1" x14ac:dyDescent="0.3">
      <c r="A457" t="s">
        <v>324</v>
      </c>
      <c r="B457" t="s">
        <v>1515</v>
      </c>
      <c r="C457" t="s">
        <v>1625</v>
      </c>
      <c r="D457" t="s">
        <v>13</v>
      </c>
      <c r="E457" t="s">
        <v>1261</v>
      </c>
      <c r="F457" t="s">
        <v>1631</v>
      </c>
      <c r="H457" t="s">
        <v>17</v>
      </c>
      <c r="I457" t="s">
        <v>1606</v>
      </c>
    </row>
    <row r="458" spans="1:9" hidden="1" x14ac:dyDescent="0.3">
      <c r="A458" t="s">
        <v>328</v>
      </c>
      <c r="B458" t="s">
        <v>1515</v>
      </c>
      <c r="C458" t="s">
        <v>1625</v>
      </c>
      <c r="D458" t="s">
        <v>13</v>
      </c>
      <c r="E458" t="s">
        <v>1265</v>
      </c>
      <c r="F458" t="s">
        <v>1632</v>
      </c>
      <c r="H458" t="s">
        <v>17</v>
      </c>
      <c r="I458" t="s">
        <v>1606</v>
      </c>
    </row>
    <row r="459" spans="1:9" hidden="1" x14ac:dyDescent="0.3">
      <c r="A459" t="s">
        <v>377</v>
      </c>
      <c r="B459" t="s">
        <v>1515</v>
      </c>
      <c r="C459" t="s">
        <v>1625</v>
      </c>
      <c r="D459" t="s">
        <v>13</v>
      </c>
      <c r="E459" t="s">
        <v>1270</v>
      </c>
      <c r="F459" t="s">
        <v>1633</v>
      </c>
      <c r="H459" t="s">
        <v>17</v>
      </c>
      <c r="I459" t="s">
        <v>1606</v>
      </c>
    </row>
    <row r="460" spans="1:9" hidden="1" x14ac:dyDescent="0.3">
      <c r="A460" t="s">
        <v>383</v>
      </c>
      <c r="B460" t="s">
        <v>1515</v>
      </c>
      <c r="C460" t="s">
        <v>1634</v>
      </c>
      <c r="D460" t="s">
        <v>13</v>
      </c>
      <c r="E460" t="s">
        <v>1276</v>
      </c>
      <c r="F460" t="s">
        <v>1635</v>
      </c>
      <c r="H460" t="s">
        <v>17</v>
      </c>
      <c r="I460" t="s">
        <v>1636</v>
      </c>
    </row>
    <row r="461" spans="1:9" hidden="1" x14ac:dyDescent="0.3">
      <c r="A461" t="s">
        <v>1638</v>
      </c>
      <c r="B461" t="s">
        <v>1515</v>
      </c>
      <c r="C461" t="s">
        <v>1634</v>
      </c>
      <c r="D461" t="s">
        <v>13</v>
      </c>
      <c r="E461" t="s">
        <v>303</v>
      </c>
      <c r="F461" t="s">
        <v>552</v>
      </c>
      <c r="H461" t="s">
        <v>17</v>
      </c>
      <c r="I461" t="s">
        <v>1637</v>
      </c>
    </row>
    <row r="462" spans="1:9" hidden="1" x14ac:dyDescent="0.3">
      <c r="A462" t="s">
        <v>1640</v>
      </c>
      <c r="B462" t="s">
        <v>1515</v>
      </c>
      <c r="C462" t="s">
        <v>1634</v>
      </c>
      <c r="D462" t="s">
        <v>13</v>
      </c>
      <c r="E462" t="s">
        <v>308</v>
      </c>
      <c r="F462" t="s">
        <v>1639</v>
      </c>
      <c r="H462" t="s">
        <v>17</v>
      </c>
      <c r="I462" t="s">
        <v>1637</v>
      </c>
    </row>
    <row r="463" spans="1:9" hidden="1" x14ac:dyDescent="0.3">
      <c r="A463" t="s">
        <v>1643</v>
      </c>
      <c r="B463" t="s">
        <v>1515</v>
      </c>
      <c r="C463" t="s">
        <v>1634</v>
      </c>
      <c r="D463" t="s">
        <v>13</v>
      </c>
      <c r="E463" t="s">
        <v>312</v>
      </c>
      <c r="F463" t="s">
        <v>1641</v>
      </c>
      <c r="H463" t="s">
        <v>17</v>
      </c>
      <c r="I463" t="s">
        <v>1642</v>
      </c>
    </row>
    <row r="464" spans="1:9" hidden="1" x14ac:dyDescent="0.3">
      <c r="A464" t="s">
        <v>388</v>
      </c>
      <c r="B464" t="s">
        <v>1515</v>
      </c>
      <c r="C464" t="s">
        <v>1634</v>
      </c>
      <c r="D464" t="s">
        <v>13</v>
      </c>
      <c r="E464" t="s">
        <v>316</v>
      </c>
      <c r="F464" t="s">
        <v>1644</v>
      </c>
      <c r="H464" t="s">
        <v>17</v>
      </c>
      <c r="I464" t="s">
        <v>1642</v>
      </c>
    </row>
    <row r="465" spans="1:9" hidden="1" x14ac:dyDescent="0.3">
      <c r="A465" t="s">
        <v>1647</v>
      </c>
      <c r="B465" t="s">
        <v>1515</v>
      </c>
      <c r="C465" t="s">
        <v>1634</v>
      </c>
      <c r="D465" t="s">
        <v>13</v>
      </c>
      <c r="E465" t="s">
        <v>319</v>
      </c>
      <c r="F465" t="s">
        <v>1645</v>
      </c>
      <c r="H465" t="s">
        <v>17</v>
      </c>
      <c r="I465" t="s">
        <v>1646</v>
      </c>
    </row>
    <row r="466" spans="1:9" hidden="1" x14ac:dyDescent="0.3">
      <c r="A466" t="s">
        <v>392</v>
      </c>
      <c r="B466" t="s">
        <v>1515</v>
      </c>
      <c r="C466" t="s">
        <v>1634</v>
      </c>
      <c r="D466" t="s">
        <v>13</v>
      </c>
      <c r="E466" t="s">
        <v>323</v>
      </c>
      <c r="F466" t="s">
        <v>1648</v>
      </c>
      <c r="H466" t="s">
        <v>17</v>
      </c>
      <c r="I466" t="s">
        <v>1649</v>
      </c>
    </row>
    <row r="467" spans="1:9" hidden="1" x14ac:dyDescent="0.3">
      <c r="A467" t="s">
        <v>1653</v>
      </c>
      <c r="B467" t="s">
        <v>1515</v>
      </c>
      <c r="C467" t="s">
        <v>1634</v>
      </c>
      <c r="D467" t="s">
        <v>13</v>
      </c>
      <c r="E467" t="s">
        <v>327</v>
      </c>
      <c r="F467" t="s">
        <v>1650</v>
      </c>
      <c r="H467" t="s">
        <v>17</v>
      </c>
      <c r="I467" t="s">
        <v>1651</v>
      </c>
    </row>
    <row r="468" spans="1:9" hidden="1" x14ac:dyDescent="0.3">
      <c r="A468" t="s">
        <v>1656</v>
      </c>
      <c r="B468" t="s">
        <v>1515</v>
      </c>
      <c r="C468" t="s">
        <v>1634</v>
      </c>
      <c r="D468" t="s">
        <v>13</v>
      </c>
      <c r="E468" t="s">
        <v>1652</v>
      </c>
      <c r="F468" t="s">
        <v>1654</v>
      </c>
      <c r="H468" t="s">
        <v>17</v>
      </c>
      <c r="I468" t="s">
        <v>1655</v>
      </c>
    </row>
    <row r="469" spans="1:9" hidden="1" x14ac:dyDescent="0.3">
      <c r="A469" t="s">
        <v>398</v>
      </c>
      <c r="B469" t="s">
        <v>1515</v>
      </c>
      <c r="C469" t="s">
        <v>1634</v>
      </c>
      <c r="D469" t="s">
        <v>13</v>
      </c>
      <c r="E469" t="s">
        <v>338</v>
      </c>
      <c r="F469" t="s">
        <v>1657</v>
      </c>
      <c r="H469" t="s">
        <v>17</v>
      </c>
      <c r="I469" t="s">
        <v>1658</v>
      </c>
    </row>
    <row r="470" spans="1:9" hidden="1" x14ac:dyDescent="0.3">
      <c r="A470" t="s">
        <v>401</v>
      </c>
      <c r="B470" t="s">
        <v>1515</v>
      </c>
      <c r="C470" t="s">
        <v>1634</v>
      </c>
      <c r="D470" t="s">
        <v>13</v>
      </c>
      <c r="E470" t="s">
        <v>1659</v>
      </c>
      <c r="F470" t="s">
        <v>1660</v>
      </c>
      <c r="H470" t="s">
        <v>17</v>
      </c>
    </row>
    <row r="471" spans="1:9" hidden="1" x14ac:dyDescent="0.3">
      <c r="A471" t="s">
        <v>1663</v>
      </c>
      <c r="B471" t="s">
        <v>1515</v>
      </c>
      <c r="C471" t="s">
        <v>1634</v>
      </c>
      <c r="D471" t="s">
        <v>13</v>
      </c>
      <c r="E471" t="s">
        <v>347</v>
      </c>
      <c r="F471" t="s">
        <v>1661</v>
      </c>
      <c r="H471" t="s">
        <v>17</v>
      </c>
      <c r="I471" t="s">
        <v>1662</v>
      </c>
    </row>
    <row r="472" spans="1:9" hidden="1" x14ac:dyDescent="0.3">
      <c r="A472" t="s">
        <v>404</v>
      </c>
      <c r="B472" t="s">
        <v>1515</v>
      </c>
      <c r="C472" t="s">
        <v>1634</v>
      </c>
      <c r="D472" t="s">
        <v>13</v>
      </c>
      <c r="E472" t="s">
        <v>353</v>
      </c>
      <c r="F472" t="s">
        <v>1424</v>
      </c>
      <c r="H472" t="s">
        <v>17</v>
      </c>
      <c r="I472" t="s">
        <v>1664</v>
      </c>
    </row>
    <row r="473" spans="1:9" hidden="1" x14ac:dyDescent="0.3">
      <c r="A473" t="s">
        <v>407</v>
      </c>
      <c r="B473" t="s">
        <v>1515</v>
      </c>
      <c r="C473" t="s">
        <v>1634</v>
      </c>
      <c r="D473" t="s">
        <v>13</v>
      </c>
      <c r="E473" t="s">
        <v>1665</v>
      </c>
      <c r="F473" t="s">
        <v>1429</v>
      </c>
      <c r="H473" t="s">
        <v>17</v>
      </c>
      <c r="I473" t="s">
        <v>1666</v>
      </c>
    </row>
    <row r="474" spans="1:9" hidden="1" x14ac:dyDescent="0.3">
      <c r="A474" t="s">
        <v>1670</v>
      </c>
      <c r="B474" t="s">
        <v>1515</v>
      </c>
      <c r="C474" t="s">
        <v>1667</v>
      </c>
      <c r="D474" t="s">
        <v>13</v>
      </c>
      <c r="E474" t="s">
        <v>364</v>
      </c>
      <c r="F474" t="s">
        <v>587</v>
      </c>
      <c r="H474" t="s">
        <v>17</v>
      </c>
      <c r="I474" t="s">
        <v>1668</v>
      </c>
    </row>
    <row r="475" spans="1:9" hidden="1" x14ac:dyDescent="0.3">
      <c r="A475" t="s">
        <v>416</v>
      </c>
      <c r="B475" t="s">
        <v>1515</v>
      </c>
      <c r="C475" t="s">
        <v>1667</v>
      </c>
      <c r="D475" t="s">
        <v>13</v>
      </c>
      <c r="E475" t="s">
        <v>1669</v>
      </c>
      <c r="F475" t="s">
        <v>747</v>
      </c>
      <c r="H475" t="s">
        <v>17</v>
      </c>
    </row>
    <row r="476" spans="1:9" hidden="1" x14ac:dyDescent="0.3">
      <c r="A476" t="s">
        <v>421</v>
      </c>
      <c r="B476" t="s">
        <v>1515</v>
      </c>
      <c r="C476" t="s">
        <v>1667</v>
      </c>
      <c r="D476" t="s">
        <v>13</v>
      </c>
      <c r="E476" t="s">
        <v>373</v>
      </c>
      <c r="F476" t="s">
        <v>1671</v>
      </c>
      <c r="H476" t="s">
        <v>17</v>
      </c>
      <c r="I476" t="s">
        <v>1672</v>
      </c>
    </row>
    <row r="477" spans="1:9" hidden="1" x14ac:dyDescent="0.3">
      <c r="A477" t="s">
        <v>424</v>
      </c>
      <c r="B477" t="s">
        <v>1515</v>
      </c>
      <c r="C477" t="s">
        <v>1667</v>
      </c>
      <c r="D477" t="s">
        <v>13</v>
      </c>
      <c r="E477" t="s">
        <v>376</v>
      </c>
      <c r="F477" t="s">
        <v>1673</v>
      </c>
      <c r="H477" t="s">
        <v>17</v>
      </c>
      <c r="I477" t="s">
        <v>840</v>
      </c>
    </row>
    <row r="478" spans="1:9" hidden="1" x14ac:dyDescent="0.3">
      <c r="A478" t="s">
        <v>427</v>
      </c>
      <c r="B478" t="s">
        <v>1515</v>
      </c>
      <c r="C478" t="s">
        <v>1674</v>
      </c>
      <c r="D478" t="s">
        <v>13</v>
      </c>
      <c r="E478" t="s">
        <v>1675</v>
      </c>
      <c r="F478" t="s">
        <v>1676</v>
      </c>
      <c r="H478" t="s">
        <v>17</v>
      </c>
      <c r="I478" t="s">
        <v>1677</v>
      </c>
    </row>
    <row r="479" spans="1:9" hidden="1" x14ac:dyDescent="0.3">
      <c r="A479" t="s">
        <v>430</v>
      </c>
      <c r="B479" t="s">
        <v>1515</v>
      </c>
      <c r="C479" t="s">
        <v>1674</v>
      </c>
      <c r="D479" t="s">
        <v>13</v>
      </c>
      <c r="E479" t="s">
        <v>1678</v>
      </c>
      <c r="F479" t="s">
        <v>1679</v>
      </c>
      <c r="H479" t="s">
        <v>17</v>
      </c>
      <c r="I479" t="s">
        <v>1680</v>
      </c>
    </row>
    <row r="480" spans="1:9" hidden="1" x14ac:dyDescent="0.3">
      <c r="A480" t="s">
        <v>433</v>
      </c>
      <c r="B480" t="s">
        <v>1515</v>
      </c>
      <c r="C480" t="s">
        <v>1674</v>
      </c>
      <c r="D480" t="s">
        <v>13</v>
      </c>
      <c r="E480" t="s">
        <v>1681</v>
      </c>
      <c r="F480" t="s">
        <v>1682</v>
      </c>
      <c r="H480" t="s">
        <v>17</v>
      </c>
      <c r="I480" t="s">
        <v>1680</v>
      </c>
    </row>
    <row r="481" spans="1:9" hidden="1" x14ac:dyDescent="0.3">
      <c r="A481" t="s">
        <v>436</v>
      </c>
      <c r="B481" t="s">
        <v>1515</v>
      </c>
      <c r="C481" t="s">
        <v>1674</v>
      </c>
      <c r="D481" t="s">
        <v>13</v>
      </c>
      <c r="E481" t="s">
        <v>1683</v>
      </c>
      <c r="F481" t="s">
        <v>1684</v>
      </c>
      <c r="H481" t="s">
        <v>17</v>
      </c>
      <c r="I481" t="s">
        <v>1680</v>
      </c>
    </row>
    <row r="482" spans="1:9" hidden="1" x14ac:dyDescent="0.3">
      <c r="A482" t="s">
        <v>439</v>
      </c>
      <c r="B482" t="s">
        <v>1515</v>
      </c>
      <c r="C482" t="s">
        <v>1674</v>
      </c>
      <c r="D482" t="s">
        <v>13</v>
      </c>
      <c r="E482" t="s">
        <v>1685</v>
      </c>
      <c r="F482" t="s">
        <v>1686</v>
      </c>
      <c r="H482" t="s">
        <v>17</v>
      </c>
      <c r="I482" t="s">
        <v>1680</v>
      </c>
    </row>
    <row r="483" spans="1:9" hidden="1" x14ac:dyDescent="0.3">
      <c r="A483" t="s">
        <v>445</v>
      </c>
      <c r="B483" t="s">
        <v>1515</v>
      </c>
      <c r="C483" t="s">
        <v>1674</v>
      </c>
      <c r="D483" t="s">
        <v>13</v>
      </c>
      <c r="E483" t="s">
        <v>1687</v>
      </c>
      <c r="F483" t="s">
        <v>1449</v>
      </c>
      <c r="H483" t="s">
        <v>17</v>
      </c>
      <c r="I483" t="s">
        <v>1688</v>
      </c>
    </row>
    <row r="484" spans="1:9" hidden="1" x14ac:dyDescent="0.3">
      <c r="A484" t="s">
        <v>454</v>
      </c>
      <c r="B484" t="s">
        <v>1515</v>
      </c>
      <c r="C484" t="s">
        <v>1674</v>
      </c>
      <c r="D484" t="s">
        <v>13</v>
      </c>
      <c r="E484" t="s">
        <v>1689</v>
      </c>
      <c r="F484" t="s">
        <v>760</v>
      </c>
      <c r="H484" t="s">
        <v>17</v>
      </c>
    </row>
    <row r="485" spans="1:9" hidden="1" x14ac:dyDescent="0.3">
      <c r="A485" t="s">
        <v>458</v>
      </c>
      <c r="B485" t="s">
        <v>1515</v>
      </c>
      <c r="C485" t="s">
        <v>1674</v>
      </c>
      <c r="D485" t="s">
        <v>13</v>
      </c>
      <c r="E485" t="s">
        <v>1690</v>
      </c>
      <c r="F485" t="s">
        <v>1691</v>
      </c>
      <c r="H485" t="s">
        <v>17</v>
      </c>
      <c r="I485" t="s">
        <v>414</v>
      </c>
    </row>
    <row r="486" spans="1:9" hidden="1" x14ac:dyDescent="0.3">
      <c r="A486" t="s">
        <v>465</v>
      </c>
      <c r="B486" t="s">
        <v>1515</v>
      </c>
      <c r="C486" t="s">
        <v>1674</v>
      </c>
      <c r="D486" t="s">
        <v>13</v>
      </c>
      <c r="E486" t="s">
        <v>400</v>
      </c>
      <c r="F486" t="s">
        <v>1692</v>
      </c>
      <c r="H486" t="s">
        <v>17</v>
      </c>
    </row>
    <row r="487" spans="1:9" hidden="1" x14ac:dyDescent="0.3">
      <c r="A487" t="s">
        <v>469</v>
      </c>
      <c r="B487" t="s">
        <v>1515</v>
      </c>
      <c r="C487" t="s">
        <v>1674</v>
      </c>
      <c r="D487" t="s">
        <v>13</v>
      </c>
      <c r="E487" t="s">
        <v>1693</v>
      </c>
      <c r="F487" t="s">
        <v>801</v>
      </c>
      <c r="H487" t="s">
        <v>17</v>
      </c>
      <c r="I487" t="s">
        <v>414</v>
      </c>
    </row>
    <row r="488" spans="1:9" hidden="1" x14ac:dyDescent="0.3">
      <c r="A488" t="s">
        <v>472</v>
      </c>
      <c r="B488" t="s">
        <v>1515</v>
      </c>
      <c r="C488" t="s">
        <v>1674</v>
      </c>
      <c r="D488" t="s">
        <v>13</v>
      </c>
      <c r="E488" t="s">
        <v>1694</v>
      </c>
      <c r="F488" t="s">
        <v>1695</v>
      </c>
      <c r="H488" t="s">
        <v>17</v>
      </c>
      <c r="I488" t="s">
        <v>1696</v>
      </c>
    </row>
    <row r="489" spans="1:9" hidden="1" x14ac:dyDescent="0.3">
      <c r="A489" t="s">
        <v>479</v>
      </c>
      <c r="B489" t="s">
        <v>1515</v>
      </c>
      <c r="C489" t="s">
        <v>1674</v>
      </c>
      <c r="D489" t="s">
        <v>13</v>
      </c>
      <c r="E489" t="s">
        <v>406</v>
      </c>
      <c r="F489" t="s">
        <v>1697</v>
      </c>
      <c r="H489" t="s">
        <v>17</v>
      </c>
    </row>
    <row r="490" spans="1:9" hidden="1" x14ac:dyDescent="0.3">
      <c r="A490" t="s">
        <v>486</v>
      </c>
      <c r="B490" t="s">
        <v>1515</v>
      </c>
      <c r="C490" t="s">
        <v>1674</v>
      </c>
      <c r="D490" t="s">
        <v>13</v>
      </c>
      <c r="E490" t="s">
        <v>1698</v>
      </c>
      <c r="F490" t="s">
        <v>824</v>
      </c>
      <c r="H490" t="s">
        <v>17</v>
      </c>
    </row>
    <row r="491" spans="1:9" hidden="1" x14ac:dyDescent="0.3">
      <c r="A491" t="s">
        <v>490</v>
      </c>
      <c r="B491" t="s">
        <v>1515</v>
      </c>
      <c r="C491" t="s">
        <v>1674</v>
      </c>
      <c r="D491" t="s">
        <v>13</v>
      </c>
      <c r="E491" t="s">
        <v>420</v>
      </c>
      <c r="F491" t="s">
        <v>1699</v>
      </c>
      <c r="H491" t="s">
        <v>17</v>
      </c>
      <c r="I491" t="s">
        <v>1700</v>
      </c>
    </row>
    <row r="492" spans="1:9" hidden="1" x14ac:dyDescent="0.3">
      <c r="A492" t="s">
        <v>493</v>
      </c>
      <c r="B492" t="s">
        <v>1515</v>
      </c>
      <c r="C492" t="s">
        <v>1701</v>
      </c>
      <c r="D492" t="s">
        <v>13</v>
      </c>
      <c r="E492" t="s">
        <v>423</v>
      </c>
      <c r="F492" t="s">
        <v>843</v>
      </c>
      <c r="H492" t="s">
        <v>17</v>
      </c>
      <c r="I492" t="s">
        <v>845</v>
      </c>
    </row>
    <row r="493" spans="1:9" hidden="1" x14ac:dyDescent="0.3">
      <c r="A493" t="s">
        <v>505</v>
      </c>
      <c r="B493" t="s">
        <v>1515</v>
      </c>
      <c r="C493" t="s">
        <v>1701</v>
      </c>
      <c r="D493" t="s">
        <v>13</v>
      </c>
      <c r="E493" t="s">
        <v>1702</v>
      </c>
      <c r="F493" t="s">
        <v>1703</v>
      </c>
      <c r="H493" t="s">
        <v>17</v>
      </c>
    </row>
    <row r="494" spans="1:9" hidden="1" x14ac:dyDescent="0.3">
      <c r="A494" t="s">
        <v>508</v>
      </c>
      <c r="B494" t="s">
        <v>1515</v>
      </c>
      <c r="C494" t="s">
        <v>1701</v>
      </c>
      <c r="D494" t="s">
        <v>13</v>
      </c>
      <c r="E494" t="s">
        <v>435</v>
      </c>
      <c r="F494" t="s">
        <v>864</v>
      </c>
      <c r="H494" t="s">
        <v>17</v>
      </c>
      <c r="I494" t="s">
        <v>1704</v>
      </c>
    </row>
    <row r="495" spans="1:9" hidden="1" x14ac:dyDescent="0.3">
      <c r="A495" t="s">
        <v>519</v>
      </c>
      <c r="B495" t="s">
        <v>1515</v>
      </c>
      <c r="C495" t="s">
        <v>1701</v>
      </c>
      <c r="D495" t="s">
        <v>13</v>
      </c>
      <c r="E495" t="s">
        <v>1705</v>
      </c>
      <c r="F495" t="s">
        <v>1706</v>
      </c>
      <c r="H495" t="s">
        <v>17</v>
      </c>
    </row>
    <row r="496" spans="1:9" hidden="1" x14ac:dyDescent="0.3">
      <c r="A496" t="s">
        <v>522</v>
      </c>
      <c r="B496" t="s">
        <v>1515</v>
      </c>
      <c r="C496" t="s">
        <v>1701</v>
      </c>
      <c r="D496" t="s">
        <v>13</v>
      </c>
      <c r="E496" t="s">
        <v>448</v>
      </c>
      <c r="F496" t="s">
        <v>1707</v>
      </c>
      <c r="H496" t="s">
        <v>17</v>
      </c>
      <c r="I496" t="s">
        <v>1708</v>
      </c>
    </row>
    <row r="497" spans="1:9" hidden="1" x14ac:dyDescent="0.3">
      <c r="A497" t="s">
        <v>556</v>
      </c>
      <c r="B497" t="s">
        <v>1515</v>
      </c>
      <c r="C497" t="s">
        <v>1701</v>
      </c>
      <c r="D497" t="s">
        <v>13</v>
      </c>
      <c r="E497" t="s">
        <v>453</v>
      </c>
      <c r="F497" t="s">
        <v>1709</v>
      </c>
      <c r="H497" t="s">
        <v>17</v>
      </c>
    </row>
    <row r="498" spans="1:9" hidden="1" x14ac:dyDescent="0.3">
      <c r="A498" t="s">
        <v>1712</v>
      </c>
      <c r="B498" t="s">
        <v>1515</v>
      </c>
      <c r="C498" t="s">
        <v>1701</v>
      </c>
      <c r="D498" t="s">
        <v>13</v>
      </c>
      <c r="E498" t="s">
        <v>457</v>
      </c>
      <c r="F498" t="s">
        <v>1710</v>
      </c>
      <c r="H498" t="s">
        <v>17</v>
      </c>
      <c r="I498" t="s">
        <v>1711</v>
      </c>
    </row>
    <row r="499" spans="1:9" hidden="1" x14ac:dyDescent="0.3">
      <c r="A499" t="s">
        <v>560</v>
      </c>
      <c r="B499" t="s">
        <v>1515</v>
      </c>
      <c r="C499" t="s">
        <v>1701</v>
      </c>
      <c r="D499" t="s">
        <v>13</v>
      </c>
      <c r="E499" t="s">
        <v>461</v>
      </c>
      <c r="F499" t="s">
        <v>1713</v>
      </c>
      <c r="H499" t="s">
        <v>17</v>
      </c>
      <c r="I499" t="s">
        <v>1714</v>
      </c>
    </row>
    <row r="500" spans="1:9" hidden="1" x14ac:dyDescent="0.3">
      <c r="A500" t="s">
        <v>565</v>
      </c>
      <c r="B500" t="s">
        <v>1515</v>
      </c>
      <c r="C500" t="s">
        <v>1701</v>
      </c>
      <c r="D500" t="s">
        <v>13</v>
      </c>
      <c r="E500" t="s">
        <v>464</v>
      </c>
      <c r="F500" t="s">
        <v>1715</v>
      </c>
      <c r="H500" t="s">
        <v>17</v>
      </c>
      <c r="I500" t="s">
        <v>414</v>
      </c>
    </row>
    <row r="501" spans="1:9" hidden="1" x14ac:dyDescent="0.3">
      <c r="A501" t="s">
        <v>1717</v>
      </c>
      <c r="B501" t="s">
        <v>1515</v>
      </c>
      <c r="C501" t="s">
        <v>1701</v>
      </c>
      <c r="D501" t="s">
        <v>13</v>
      </c>
      <c r="E501" t="s">
        <v>468</v>
      </c>
      <c r="F501" t="s">
        <v>1716</v>
      </c>
      <c r="H501" t="s">
        <v>17</v>
      </c>
      <c r="I501" t="s">
        <v>414</v>
      </c>
    </row>
    <row r="502" spans="1:9" hidden="1" x14ac:dyDescent="0.3">
      <c r="A502" t="s">
        <v>570</v>
      </c>
      <c r="B502" t="s">
        <v>1515</v>
      </c>
      <c r="C502" t="s">
        <v>1701</v>
      </c>
      <c r="D502" t="s">
        <v>13</v>
      </c>
      <c r="E502" t="s">
        <v>471</v>
      </c>
      <c r="F502" t="s">
        <v>1718</v>
      </c>
      <c r="H502" t="s">
        <v>17</v>
      </c>
      <c r="I502" t="s">
        <v>414</v>
      </c>
    </row>
    <row r="503" spans="1:9" hidden="1" x14ac:dyDescent="0.3">
      <c r="A503" t="s">
        <v>575</v>
      </c>
      <c r="B503" t="s">
        <v>1515</v>
      </c>
      <c r="C503" t="s">
        <v>1701</v>
      </c>
      <c r="D503" t="s">
        <v>13</v>
      </c>
      <c r="E503" t="s">
        <v>475</v>
      </c>
      <c r="F503" t="s">
        <v>1719</v>
      </c>
      <c r="H503" t="s">
        <v>17</v>
      </c>
      <c r="I503" t="s">
        <v>414</v>
      </c>
    </row>
    <row r="504" spans="1:9" hidden="1" x14ac:dyDescent="0.3">
      <c r="A504" t="s">
        <v>580</v>
      </c>
      <c r="B504" t="s">
        <v>1515</v>
      </c>
      <c r="C504" t="s">
        <v>1701</v>
      </c>
      <c r="D504" t="s">
        <v>13</v>
      </c>
      <c r="E504" t="s">
        <v>478</v>
      </c>
      <c r="F504" t="s">
        <v>1720</v>
      </c>
      <c r="H504" t="s">
        <v>17</v>
      </c>
      <c r="I504" t="s">
        <v>414</v>
      </c>
    </row>
    <row r="505" spans="1:9" hidden="1" x14ac:dyDescent="0.3">
      <c r="A505" t="s">
        <v>586</v>
      </c>
      <c r="B505" t="s">
        <v>1515</v>
      </c>
      <c r="C505" t="s">
        <v>1701</v>
      </c>
      <c r="D505" t="s">
        <v>13</v>
      </c>
      <c r="E505" t="s">
        <v>482</v>
      </c>
      <c r="F505" t="s">
        <v>1721</v>
      </c>
      <c r="H505" t="s">
        <v>17</v>
      </c>
      <c r="I505" t="s">
        <v>414</v>
      </c>
    </row>
    <row r="506" spans="1:9" hidden="1" x14ac:dyDescent="0.3">
      <c r="A506" t="s">
        <v>591</v>
      </c>
      <c r="B506" t="s">
        <v>1515</v>
      </c>
      <c r="C506" t="s">
        <v>1701</v>
      </c>
      <c r="D506" t="s">
        <v>13</v>
      </c>
      <c r="E506" t="s">
        <v>485</v>
      </c>
      <c r="F506" t="s">
        <v>1722</v>
      </c>
      <c r="H506" t="s">
        <v>17</v>
      </c>
      <c r="I506" t="s">
        <v>414</v>
      </c>
    </row>
    <row r="507" spans="1:9" hidden="1" x14ac:dyDescent="0.3">
      <c r="A507" t="s">
        <v>1724</v>
      </c>
      <c r="B507" t="s">
        <v>1515</v>
      </c>
      <c r="C507" t="s">
        <v>1701</v>
      </c>
      <c r="D507" t="s">
        <v>13</v>
      </c>
      <c r="E507" t="s">
        <v>489</v>
      </c>
      <c r="F507" t="s">
        <v>1723</v>
      </c>
      <c r="H507" t="s">
        <v>17</v>
      </c>
      <c r="I507" t="s">
        <v>414</v>
      </c>
    </row>
    <row r="508" spans="1:9" hidden="1" x14ac:dyDescent="0.3">
      <c r="A508" t="s">
        <v>596</v>
      </c>
      <c r="B508" t="s">
        <v>1515</v>
      </c>
      <c r="C508" t="s">
        <v>1701</v>
      </c>
      <c r="D508" t="s">
        <v>13</v>
      </c>
      <c r="E508" t="s">
        <v>492</v>
      </c>
      <c r="F508" t="s">
        <v>1725</v>
      </c>
      <c r="H508" t="s">
        <v>17</v>
      </c>
      <c r="I508" t="s">
        <v>414</v>
      </c>
    </row>
    <row r="509" spans="1:9" hidden="1" x14ac:dyDescent="0.3">
      <c r="A509" t="s">
        <v>1727</v>
      </c>
      <c r="B509" t="s">
        <v>1515</v>
      </c>
      <c r="C509" t="s">
        <v>1701</v>
      </c>
      <c r="D509" t="s">
        <v>13</v>
      </c>
      <c r="E509" t="s">
        <v>496</v>
      </c>
      <c r="F509" t="s">
        <v>1726</v>
      </c>
      <c r="H509" t="s">
        <v>17</v>
      </c>
      <c r="I509" t="s">
        <v>414</v>
      </c>
    </row>
    <row r="510" spans="1:9" hidden="1" x14ac:dyDescent="0.3">
      <c r="A510" t="s">
        <v>1729</v>
      </c>
      <c r="B510" t="s">
        <v>1515</v>
      </c>
      <c r="C510" t="s">
        <v>1701</v>
      </c>
      <c r="D510" t="s">
        <v>13</v>
      </c>
      <c r="E510" t="s">
        <v>499</v>
      </c>
      <c r="F510" t="s">
        <v>1728</v>
      </c>
      <c r="H510" t="s">
        <v>17</v>
      </c>
      <c r="I510" t="s">
        <v>414</v>
      </c>
    </row>
    <row r="511" spans="1:9" hidden="1" x14ac:dyDescent="0.3">
      <c r="A511" t="s">
        <v>1731</v>
      </c>
      <c r="B511" t="s">
        <v>1515</v>
      </c>
      <c r="C511" t="s">
        <v>1701</v>
      </c>
      <c r="D511" t="s">
        <v>13</v>
      </c>
      <c r="E511" t="s">
        <v>504</v>
      </c>
      <c r="F511" t="s">
        <v>1730</v>
      </c>
      <c r="H511" t="s">
        <v>17</v>
      </c>
      <c r="I511" t="s">
        <v>414</v>
      </c>
    </row>
    <row r="512" spans="1:9" hidden="1" x14ac:dyDescent="0.3">
      <c r="A512" t="s">
        <v>604</v>
      </c>
      <c r="B512" t="s">
        <v>1515</v>
      </c>
      <c r="C512" t="s">
        <v>1701</v>
      </c>
      <c r="D512" t="s">
        <v>13</v>
      </c>
      <c r="E512" t="s">
        <v>507</v>
      </c>
      <c r="F512" t="s">
        <v>1732</v>
      </c>
      <c r="H512" t="s">
        <v>17</v>
      </c>
      <c r="I512" t="s">
        <v>1733</v>
      </c>
    </row>
    <row r="513" spans="1:9" hidden="1" x14ac:dyDescent="0.3">
      <c r="A513" t="s">
        <v>1734</v>
      </c>
      <c r="B513" t="s">
        <v>1515</v>
      </c>
      <c r="C513" t="s">
        <v>1701</v>
      </c>
      <c r="D513" t="s">
        <v>13</v>
      </c>
      <c r="E513" t="s">
        <v>511</v>
      </c>
      <c r="F513" t="s">
        <v>1732</v>
      </c>
      <c r="H513" t="s">
        <v>17</v>
      </c>
      <c r="I513" t="s">
        <v>1733</v>
      </c>
    </row>
    <row r="514" spans="1:9" hidden="1" x14ac:dyDescent="0.3">
      <c r="A514" t="s">
        <v>1737</v>
      </c>
      <c r="B514" t="s">
        <v>1515</v>
      </c>
      <c r="C514" t="s">
        <v>1701</v>
      </c>
      <c r="D514" t="s">
        <v>13</v>
      </c>
      <c r="E514" t="s">
        <v>514</v>
      </c>
      <c r="F514" t="s">
        <v>1735</v>
      </c>
      <c r="H514" t="s">
        <v>17</v>
      </c>
      <c r="I514" t="s">
        <v>1736</v>
      </c>
    </row>
    <row r="515" spans="1:9" hidden="1" x14ac:dyDescent="0.3">
      <c r="A515" t="s">
        <v>10</v>
      </c>
      <c r="B515" t="s">
        <v>1515</v>
      </c>
      <c r="C515" t="s">
        <v>1701</v>
      </c>
      <c r="D515" t="s">
        <v>13</v>
      </c>
      <c r="E515" t="s">
        <v>518</v>
      </c>
      <c r="F515" t="s">
        <v>1735</v>
      </c>
      <c r="H515" t="s">
        <v>17</v>
      </c>
      <c r="I515" t="s">
        <v>1738</v>
      </c>
    </row>
    <row r="516" spans="1:9" hidden="1" x14ac:dyDescent="0.3">
      <c r="A516" t="s">
        <v>1742</v>
      </c>
      <c r="B516" t="s">
        <v>1739</v>
      </c>
      <c r="F516" t="s">
        <v>1740</v>
      </c>
    </row>
    <row r="517" spans="1:9" hidden="1" x14ac:dyDescent="0.3">
      <c r="A517" t="s">
        <v>1744</v>
      </c>
      <c r="B517" t="s">
        <v>1739</v>
      </c>
      <c r="C517" t="s">
        <v>1741</v>
      </c>
      <c r="D517" t="s">
        <v>13</v>
      </c>
      <c r="E517" t="s">
        <v>14</v>
      </c>
      <c r="F517" t="s">
        <v>16</v>
      </c>
      <c r="H517" t="s">
        <v>17</v>
      </c>
    </row>
    <row r="518" spans="1:9" hidden="1" x14ac:dyDescent="0.3">
      <c r="A518" t="s">
        <v>1747</v>
      </c>
      <c r="B518" t="s">
        <v>1739</v>
      </c>
      <c r="C518" t="s">
        <v>1741</v>
      </c>
      <c r="D518" t="s">
        <v>13</v>
      </c>
      <c r="E518" t="s">
        <v>1743</v>
      </c>
      <c r="F518" t="s">
        <v>1745</v>
      </c>
      <c r="H518" t="s">
        <v>17</v>
      </c>
    </row>
    <row r="519" spans="1:9" hidden="1" x14ac:dyDescent="0.3">
      <c r="A519" t="s">
        <v>1750</v>
      </c>
      <c r="B519" t="s">
        <v>1739</v>
      </c>
      <c r="C519" t="s">
        <v>1746</v>
      </c>
      <c r="D519" t="s">
        <v>13</v>
      </c>
      <c r="E519" t="s">
        <v>996</v>
      </c>
      <c r="F519" t="s">
        <v>1748</v>
      </c>
      <c r="H519" t="s">
        <v>17</v>
      </c>
      <c r="I519" t="s">
        <v>1749</v>
      </c>
    </row>
    <row r="520" spans="1:9" hidden="1" x14ac:dyDescent="0.3">
      <c r="A520" t="s">
        <v>1752</v>
      </c>
      <c r="B520" t="s">
        <v>1739</v>
      </c>
      <c r="C520" t="s">
        <v>1746</v>
      </c>
      <c r="D520" t="s">
        <v>13</v>
      </c>
      <c r="E520" t="s">
        <v>1001</v>
      </c>
      <c r="F520" t="s">
        <v>1522</v>
      </c>
      <c r="H520" t="s">
        <v>17</v>
      </c>
      <c r="I520" t="s">
        <v>1751</v>
      </c>
    </row>
    <row r="521" spans="1:9" hidden="1" x14ac:dyDescent="0.3">
      <c r="A521" t="s">
        <v>1754</v>
      </c>
      <c r="B521" t="s">
        <v>1739</v>
      </c>
      <c r="C521" t="s">
        <v>1746</v>
      </c>
      <c r="D521" t="s">
        <v>13</v>
      </c>
      <c r="E521" t="s">
        <v>1005</v>
      </c>
      <c r="F521" t="s">
        <v>1753</v>
      </c>
      <c r="H521" t="s">
        <v>17</v>
      </c>
    </row>
    <row r="522" spans="1:9" hidden="1" x14ac:dyDescent="0.3">
      <c r="A522" t="s">
        <v>1757</v>
      </c>
      <c r="B522" t="s">
        <v>1739</v>
      </c>
      <c r="C522" t="s">
        <v>1746</v>
      </c>
      <c r="D522" t="s">
        <v>13</v>
      </c>
      <c r="E522" t="s">
        <v>27</v>
      </c>
      <c r="F522" t="s">
        <v>1755</v>
      </c>
      <c r="H522" t="s">
        <v>17</v>
      </c>
      <c r="I522" t="s">
        <v>1756</v>
      </c>
    </row>
    <row r="523" spans="1:9" hidden="1" x14ac:dyDescent="0.3">
      <c r="A523" t="s">
        <v>1760</v>
      </c>
      <c r="B523" t="s">
        <v>1739</v>
      </c>
      <c r="C523" t="s">
        <v>1746</v>
      </c>
      <c r="D523" t="s">
        <v>13</v>
      </c>
      <c r="E523" t="s">
        <v>32</v>
      </c>
      <c r="F523" t="s">
        <v>1758</v>
      </c>
      <c r="H523" t="s">
        <v>17</v>
      </c>
      <c r="I523" t="s">
        <v>1759</v>
      </c>
    </row>
    <row r="524" spans="1:9" hidden="1" x14ac:dyDescent="0.3">
      <c r="A524" t="s">
        <v>1763</v>
      </c>
      <c r="B524" t="s">
        <v>1739</v>
      </c>
      <c r="C524" t="s">
        <v>1746</v>
      </c>
      <c r="D524" t="s">
        <v>13</v>
      </c>
      <c r="E524" t="s">
        <v>36</v>
      </c>
      <c r="F524" t="s">
        <v>1761</v>
      </c>
      <c r="H524" t="s">
        <v>17</v>
      </c>
      <c r="I524" t="s">
        <v>1762</v>
      </c>
    </row>
    <row r="525" spans="1:9" hidden="1" x14ac:dyDescent="0.3">
      <c r="A525" t="s">
        <v>1765</v>
      </c>
      <c r="B525" t="s">
        <v>1739</v>
      </c>
      <c r="C525" t="s">
        <v>1746</v>
      </c>
      <c r="D525" t="s">
        <v>13</v>
      </c>
      <c r="E525" t="s">
        <v>41</v>
      </c>
      <c r="F525" t="s">
        <v>1764</v>
      </c>
      <c r="H525" t="s">
        <v>17</v>
      </c>
      <c r="I525" t="s">
        <v>1762</v>
      </c>
    </row>
    <row r="526" spans="1:9" hidden="1" x14ac:dyDescent="0.3">
      <c r="A526" t="s">
        <v>1768</v>
      </c>
      <c r="B526" t="s">
        <v>1739</v>
      </c>
      <c r="C526" t="s">
        <v>1746</v>
      </c>
      <c r="D526" t="s">
        <v>13</v>
      </c>
      <c r="E526" t="s">
        <v>45</v>
      </c>
      <c r="F526" t="s">
        <v>1766</v>
      </c>
      <c r="H526" t="s">
        <v>17</v>
      </c>
      <c r="I526" t="s">
        <v>1767</v>
      </c>
    </row>
    <row r="527" spans="1:9" hidden="1" x14ac:dyDescent="0.3">
      <c r="A527" t="s">
        <v>1771</v>
      </c>
      <c r="B527" t="s">
        <v>1739</v>
      </c>
      <c r="C527" t="s">
        <v>1746</v>
      </c>
      <c r="D527" t="s">
        <v>13</v>
      </c>
      <c r="E527" t="s">
        <v>50</v>
      </c>
      <c r="F527" t="s">
        <v>1769</v>
      </c>
      <c r="G527" t="s">
        <v>1770</v>
      </c>
      <c r="H527" t="s">
        <v>17</v>
      </c>
      <c r="I527" t="s">
        <v>1767</v>
      </c>
    </row>
    <row r="528" spans="1:9" hidden="1" x14ac:dyDescent="0.3">
      <c r="A528" t="s">
        <v>1775</v>
      </c>
      <c r="B528" t="s">
        <v>1739</v>
      </c>
      <c r="C528" t="s">
        <v>1746</v>
      </c>
      <c r="D528" t="s">
        <v>13</v>
      </c>
      <c r="E528" t="s">
        <v>53</v>
      </c>
      <c r="F528" t="s">
        <v>1772</v>
      </c>
      <c r="G528" t="s">
        <v>1773</v>
      </c>
      <c r="H528" t="s">
        <v>17</v>
      </c>
      <c r="I528" t="s">
        <v>1774</v>
      </c>
    </row>
    <row r="529" spans="1:9" hidden="1" x14ac:dyDescent="0.3">
      <c r="A529" t="s">
        <v>1777</v>
      </c>
      <c r="B529" t="s">
        <v>1739</v>
      </c>
      <c r="C529" t="s">
        <v>1746</v>
      </c>
      <c r="D529" t="s">
        <v>13</v>
      </c>
      <c r="E529" t="s">
        <v>56</v>
      </c>
      <c r="F529" t="s">
        <v>1776</v>
      </c>
      <c r="G529" t="s">
        <v>1773</v>
      </c>
      <c r="H529" t="s">
        <v>17</v>
      </c>
      <c r="I529" t="s">
        <v>1774</v>
      </c>
    </row>
    <row r="530" spans="1:9" hidden="1" x14ac:dyDescent="0.3">
      <c r="A530" t="s">
        <v>1779</v>
      </c>
      <c r="B530" t="s">
        <v>1739</v>
      </c>
      <c r="C530" t="s">
        <v>1746</v>
      </c>
      <c r="D530" t="s">
        <v>13</v>
      </c>
      <c r="E530" t="s">
        <v>61</v>
      </c>
      <c r="F530" t="s">
        <v>1778</v>
      </c>
      <c r="G530" t="s">
        <v>1773</v>
      </c>
      <c r="H530" t="s">
        <v>17</v>
      </c>
      <c r="I530" t="s">
        <v>1774</v>
      </c>
    </row>
    <row r="531" spans="1:9" hidden="1" x14ac:dyDescent="0.3">
      <c r="A531" t="s">
        <v>1781</v>
      </c>
      <c r="B531" t="s">
        <v>1739</v>
      </c>
      <c r="C531" t="s">
        <v>1746</v>
      </c>
      <c r="D531" t="s">
        <v>13</v>
      </c>
      <c r="E531" t="s">
        <v>1039</v>
      </c>
      <c r="F531" t="s">
        <v>1780</v>
      </c>
      <c r="G531" t="s">
        <v>1773</v>
      </c>
      <c r="H531" t="s">
        <v>17</v>
      </c>
      <c r="I531" t="s">
        <v>1774</v>
      </c>
    </row>
    <row r="532" spans="1:9" hidden="1" x14ac:dyDescent="0.3">
      <c r="A532" t="s">
        <v>1784</v>
      </c>
      <c r="B532" t="s">
        <v>1739</v>
      </c>
      <c r="C532" t="s">
        <v>1746</v>
      </c>
      <c r="D532" t="s">
        <v>13</v>
      </c>
      <c r="E532" t="s">
        <v>1043</v>
      </c>
      <c r="F532" t="s">
        <v>1782</v>
      </c>
      <c r="H532" t="s">
        <v>17</v>
      </c>
      <c r="I532" t="s">
        <v>1783</v>
      </c>
    </row>
    <row r="533" spans="1:9" hidden="1" x14ac:dyDescent="0.3">
      <c r="A533" t="s">
        <v>1787</v>
      </c>
      <c r="B533" t="s">
        <v>1739</v>
      </c>
      <c r="C533" t="s">
        <v>1746</v>
      </c>
      <c r="D533" t="s">
        <v>13</v>
      </c>
      <c r="E533" t="s">
        <v>71</v>
      </c>
      <c r="F533" t="s">
        <v>1785</v>
      </c>
      <c r="H533" t="s">
        <v>17</v>
      </c>
      <c r="I533" t="s">
        <v>1786</v>
      </c>
    </row>
    <row r="534" spans="1:9" hidden="1" x14ac:dyDescent="0.3">
      <c r="A534" t="s">
        <v>1789</v>
      </c>
      <c r="B534" t="s">
        <v>1739</v>
      </c>
      <c r="C534" t="s">
        <v>1746</v>
      </c>
      <c r="D534" t="s">
        <v>13</v>
      </c>
      <c r="E534" t="s">
        <v>1050</v>
      </c>
      <c r="F534" t="s">
        <v>1788</v>
      </c>
      <c r="G534" t="s">
        <v>1770</v>
      </c>
      <c r="H534" t="s">
        <v>17</v>
      </c>
      <c r="I534" t="s">
        <v>1786</v>
      </c>
    </row>
    <row r="535" spans="1:9" hidden="1" x14ac:dyDescent="0.3">
      <c r="A535" t="s">
        <v>1793</v>
      </c>
      <c r="B535" t="s">
        <v>1739</v>
      </c>
      <c r="C535" t="s">
        <v>1746</v>
      </c>
      <c r="D535" t="s">
        <v>13</v>
      </c>
      <c r="E535" t="s">
        <v>1055</v>
      </c>
      <c r="F535" t="s">
        <v>1790</v>
      </c>
      <c r="H535" t="s">
        <v>17</v>
      </c>
      <c r="I535" t="s">
        <v>1791</v>
      </c>
    </row>
    <row r="536" spans="1:9" hidden="1" x14ac:dyDescent="0.3">
      <c r="A536" t="s">
        <v>1795</v>
      </c>
      <c r="B536" t="s">
        <v>1739</v>
      </c>
      <c r="C536" t="s">
        <v>1746</v>
      </c>
      <c r="D536" t="s">
        <v>13</v>
      </c>
      <c r="E536" t="s">
        <v>1792</v>
      </c>
      <c r="F536" t="s">
        <v>1794</v>
      </c>
      <c r="H536" t="s">
        <v>17</v>
      </c>
    </row>
    <row r="537" spans="1:9" hidden="1" x14ac:dyDescent="0.3">
      <c r="A537" t="s">
        <v>1798</v>
      </c>
      <c r="B537" t="s">
        <v>1739</v>
      </c>
      <c r="C537" t="s">
        <v>1746</v>
      </c>
      <c r="D537" t="s">
        <v>13</v>
      </c>
      <c r="E537" t="s">
        <v>90</v>
      </c>
      <c r="F537" t="s">
        <v>1796</v>
      </c>
      <c r="H537" t="s">
        <v>17</v>
      </c>
      <c r="I537" t="s">
        <v>1797</v>
      </c>
    </row>
    <row r="538" spans="1:9" hidden="1" x14ac:dyDescent="0.3">
      <c r="A538" t="s">
        <v>1801</v>
      </c>
      <c r="B538" t="s">
        <v>1739</v>
      </c>
      <c r="C538" t="s">
        <v>1746</v>
      </c>
      <c r="D538" t="s">
        <v>13</v>
      </c>
      <c r="E538" t="s">
        <v>95</v>
      </c>
      <c r="F538" t="s">
        <v>1799</v>
      </c>
      <c r="H538" t="s">
        <v>17</v>
      </c>
      <c r="I538" t="s">
        <v>1800</v>
      </c>
    </row>
    <row r="539" spans="1:9" hidden="1" x14ac:dyDescent="0.3">
      <c r="A539" t="s">
        <v>1803</v>
      </c>
      <c r="B539" t="s">
        <v>1739</v>
      </c>
      <c r="C539" t="s">
        <v>1746</v>
      </c>
      <c r="D539" t="s">
        <v>13</v>
      </c>
      <c r="E539" t="s">
        <v>100</v>
      </c>
      <c r="F539" t="s">
        <v>87</v>
      </c>
      <c r="H539" t="s">
        <v>17</v>
      </c>
      <c r="I539" t="s">
        <v>1802</v>
      </c>
    </row>
    <row r="540" spans="1:9" hidden="1" x14ac:dyDescent="0.3">
      <c r="A540" t="s">
        <v>1806</v>
      </c>
      <c r="B540" t="s">
        <v>1739</v>
      </c>
      <c r="C540" t="s">
        <v>1746</v>
      </c>
      <c r="D540" t="s">
        <v>13</v>
      </c>
      <c r="E540" t="s">
        <v>106</v>
      </c>
      <c r="F540" t="s">
        <v>1804</v>
      </c>
      <c r="H540" t="s">
        <v>17</v>
      </c>
      <c r="I540" t="s">
        <v>1805</v>
      </c>
    </row>
    <row r="541" spans="1:9" hidden="1" x14ac:dyDescent="0.3">
      <c r="A541" t="s">
        <v>1808</v>
      </c>
      <c r="B541" t="s">
        <v>1739</v>
      </c>
      <c r="C541" t="s">
        <v>1746</v>
      </c>
      <c r="D541" t="s">
        <v>13</v>
      </c>
      <c r="E541" t="s">
        <v>111</v>
      </c>
      <c r="F541" t="s">
        <v>1807</v>
      </c>
      <c r="H541" t="s">
        <v>17</v>
      </c>
      <c r="I541" t="s">
        <v>104</v>
      </c>
    </row>
    <row r="542" spans="1:9" hidden="1" x14ac:dyDescent="0.3">
      <c r="A542" t="s">
        <v>1811</v>
      </c>
      <c r="B542" t="s">
        <v>1739</v>
      </c>
      <c r="C542" t="s">
        <v>1746</v>
      </c>
      <c r="D542" t="s">
        <v>13</v>
      </c>
      <c r="E542" t="s">
        <v>114</v>
      </c>
      <c r="F542" t="s">
        <v>1809</v>
      </c>
      <c r="H542" t="s">
        <v>17</v>
      </c>
      <c r="I542" t="s">
        <v>1810</v>
      </c>
    </row>
    <row r="543" spans="1:9" hidden="1" x14ac:dyDescent="0.3">
      <c r="A543" t="s">
        <v>1814</v>
      </c>
      <c r="B543" t="s">
        <v>1739</v>
      </c>
      <c r="C543" t="s">
        <v>1746</v>
      </c>
      <c r="D543" t="s">
        <v>13</v>
      </c>
      <c r="E543" t="s">
        <v>117</v>
      </c>
      <c r="F543" t="s">
        <v>1812</v>
      </c>
      <c r="H543" t="s">
        <v>17</v>
      </c>
      <c r="I543" t="s">
        <v>1813</v>
      </c>
    </row>
    <row r="544" spans="1:9" hidden="1" x14ac:dyDescent="0.3">
      <c r="A544" t="s">
        <v>1818</v>
      </c>
      <c r="B544" t="s">
        <v>1739</v>
      </c>
      <c r="C544" t="s">
        <v>1746</v>
      </c>
      <c r="D544" t="s">
        <v>13</v>
      </c>
      <c r="E544" t="s">
        <v>121</v>
      </c>
      <c r="F544" t="s">
        <v>1815</v>
      </c>
      <c r="H544" t="s">
        <v>17</v>
      </c>
      <c r="I544" t="s">
        <v>1816</v>
      </c>
    </row>
    <row r="545" spans="1:9" hidden="1" x14ac:dyDescent="0.3">
      <c r="A545" t="s">
        <v>1820</v>
      </c>
      <c r="B545" t="s">
        <v>1739</v>
      </c>
      <c r="C545" t="s">
        <v>1817</v>
      </c>
      <c r="D545" t="s">
        <v>13</v>
      </c>
      <c r="E545" t="s">
        <v>126</v>
      </c>
      <c r="F545" t="s">
        <v>1819</v>
      </c>
      <c r="H545" t="s">
        <v>17</v>
      </c>
      <c r="I545" t="s">
        <v>1816</v>
      </c>
    </row>
    <row r="546" spans="1:9" hidden="1" x14ac:dyDescent="0.3">
      <c r="A546" t="s">
        <v>1822</v>
      </c>
      <c r="B546" t="s">
        <v>1739</v>
      </c>
      <c r="C546" t="s">
        <v>1817</v>
      </c>
      <c r="D546" t="s">
        <v>13</v>
      </c>
      <c r="E546" t="s">
        <v>129</v>
      </c>
      <c r="F546" t="s">
        <v>1821</v>
      </c>
      <c r="H546" t="s">
        <v>17</v>
      </c>
      <c r="I546" t="s">
        <v>1816</v>
      </c>
    </row>
    <row r="547" spans="1:9" hidden="1" x14ac:dyDescent="0.3">
      <c r="A547" t="s">
        <v>1824</v>
      </c>
      <c r="B547" t="s">
        <v>1739</v>
      </c>
      <c r="C547" t="s">
        <v>1817</v>
      </c>
      <c r="D547" t="s">
        <v>13</v>
      </c>
      <c r="E547" t="s">
        <v>132</v>
      </c>
      <c r="F547" t="s">
        <v>1823</v>
      </c>
      <c r="H547" t="s">
        <v>17</v>
      </c>
      <c r="I547" t="s">
        <v>1816</v>
      </c>
    </row>
    <row r="548" spans="1:9" hidden="1" x14ac:dyDescent="0.3">
      <c r="A548" t="s">
        <v>1826</v>
      </c>
      <c r="B548" t="s">
        <v>1739</v>
      </c>
      <c r="C548" t="s">
        <v>1817</v>
      </c>
      <c r="D548" t="s">
        <v>13</v>
      </c>
      <c r="E548" t="s">
        <v>135</v>
      </c>
      <c r="F548" t="s">
        <v>1825</v>
      </c>
      <c r="H548" t="s">
        <v>17</v>
      </c>
      <c r="I548" t="s">
        <v>1816</v>
      </c>
    </row>
    <row r="549" spans="1:9" hidden="1" x14ac:dyDescent="0.3">
      <c r="A549" t="s">
        <v>1828</v>
      </c>
      <c r="B549" t="s">
        <v>1739</v>
      </c>
      <c r="C549" t="s">
        <v>1817</v>
      </c>
      <c r="D549" t="s">
        <v>13</v>
      </c>
      <c r="E549" t="s">
        <v>138</v>
      </c>
      <c r="F549" t="s">
        <v>1827</v>
      </c>
      <c r="H549" t="s">
        <v>17</v>
      </c>
      <c r="I549" t="s">
        <v>1816</v>
      </c>
    </row>
    <row r="550" spans="1:9" hidden="1" x14ac:dyDescent="0.3">
      <c r="A550" t="s">
        <v>1831</v>
      </c>
      <c r="B550" t="s">
        <v>1739</v>
      </c>
      <c r="C550" t="s">
        <v>1817</v>
      </c>
      <c r="D550" t="s">
        <v>13</v>
      </c>
      <c r="E550" t="s">
        <v>141</v>
      </c>
      <c r="F550" t="s">
        <v>1829</v>
      </c>
      <c r="H550" t="s">
        <v>17</v>
      </c>
      <c r="I550" t="s">
        <v>1830</v>
      </c>
    </row>
    <row r="551" spans="1:9" hidden="1" x14ac:dyDescent="0.3">
      <c r="A551" t="s">
        <v>1833</v>
      </c>
      <c r="B551" t="s">
        <v>1739</v>
      </c>
      <c r="C551" t="s">
        <v>1817</v>
      </c>
      <c r="D551" t="s">
        <v>13</v>
      </c>
      <c r="E551" t="s">
        <v>144</v>
      </c>
      <c r="F551" t="s">
        <v>1832</v>
      </c>
      <c r="H551" t="s">
        <v>17</v>
      </c>
      <c r="I551" t="s">
        <v>1830</v>
      </c>
    </row>
    <row r="552" spans="1:9" hidden="1" x14ac:dyDescent="0.3">
      <c r="A552" t="s">
        <v>1836</v>
      </c>
      <c r="B552" t="s">
        <v>1739</v>
      </c>
      <c r="C552" t="s">
        <v>1817</v>
      </c>
      <c r="D552" t="s">
        <v>13</v>
      </c>
      <c r="E552" t="s">
        <v>147</v>
      </c>
      <c r="F552" t="s">
        <v>1834</v>
      </c>
      <c r="H552" t="s">
        <v>17</v>
      </c>
      <c r="I552" t="s">
        <v>1835</v>
      </c>
    </row>
    <row r="553" spans="1:9" hidden="1" x14ac:dyDescent="0.3">
      <c r="A553" t="s">
        <v>1838</v>
      </c>
      <c r="B553" t="s">
        <v>1739</v>
      </c>
      <c r="C553" t="s">
        <v>1817</v>
      </c>
      <c r="D553" t="s">
        <v>13</v>
      </c>
      <c r="E553" t="s">
        <v>152</v>
      </c>
      <c r="F553" t="s">
        <v>1837</v>
      </c>
      <c r="H553" t="s">
        <v>17</v>
      </c>
      <c r="I553" t="s">
        <v>1835</v>
      </c>
    </row>
    <row r="554" spans="1:9" hidden="1" x14ac:dyDescent="0.3">
      <c r="A554" t="s">
        <v>1840</v>
      </c>
      <c r="B554" t="s">
        <v>1739</v>
      </c>
      <c r="C554" t="s">
        <v>1817</v>
      </c>
      <c r="D554" t="s">
        <v>13</v>
      </c>
      <c r="E554" t="s">
        <v>157</v>
      </c>
      <c r="F554" t="s">
        <v>1839</v>
      </c>
      <c r="H554" t="s">
        <v>17</v>
      </c>
      <c r="I554" t="s">
        <v>1835</v>
      </c>
    </row>
    <row r="555" spans="1:9" hidden="1" x14ac:dyDescent="0.3">
      <c r="A555" t="s">
        <v>1843</v>
      </c>
      <c r="B555" t="s">
        <v>1739</v>
      </c>
      <c r="C555" t="s">
        <v>1817</v>
      </c>
      <c r="D555" t="s">
        <v>13</v>
      </c>
      <c r="E555" t="s">
        <v>162</v>
      </c>
      <c r="F555" t="s">
        <v>1841</v>
      </c>
      <c r="H555" t="s">
        <v>17</v>
      </c>
      <c r="I555" t="s">
        <v>1835</v>
      </c>
    </row>
    <row r="556" spans="1:9" hidden="1" x14ac:dyDescent="0.3">
      <c r="A556" t="s">
        <v>1847</v>
      </c>
      <c r="B556" t="s">
        <v>1739</v>
      </c>
      <c r="C556" t="s">
        <v>1842</v>
      </c>
      <c r="D556" t="s">
        <v>13</v>
      </c>
      <c r="E556" t="s">
        <v>167</v>
      </c>
      <c r="F556" t="s">
        <v>1844</v>
      </c>
      <c r="G556" t="s">
        <v>1845</v>
      </c>
      <c r="H556" t="s">
        <v>17</v>
      </c>
      <c r="I556" t="s">
        <v>1846</v>
      </c>
    </row>
    <row r="557" spans="1:9" hidden="1" x14ac:dyDescent="0.3">
      <c r="A557" t="s">
        <v>1849</v>
      </c>
      <c r="B557" t="s">
        <v>1739</v>
      </c>
      <c r="C557" t="s">
        <v>1842</v>
      </c>
      <c r="D557" t="s">
        <v>13</v>
      </c>
      <c r="E557" t="s">
        <v>172</v>
      </c>
      <c r="F557" t="s">
        <v>1848</v>
      </c>
      <c r="G557" t="s">
        <v>1845</v>
      </c>
      <c r="H557" t="s">
        <v>17</v>
      </c>
      <c r="I557" t="s">
        <v>1846</v>
      </c>
    </row>
    <row r="558" spans="1:9" hidden="1" x14ac:dyDescent="0.3">
      <c r="A558" t="s">
        <v>1851</v>
      </c>
      <c r="B558" t="s">
        <v>1739</v>
      </c>
      <c r="C558" t="s">
        <v>1842</v>
      </c>
      <c r="D558" t="s">
        <v>13</v>
      </c>
      <c r="E558" t="s">
        <v>177</v>
      </c>
      <c r="F558" t="s">
        <v>1850</v>
      </c>
      <c r="G558" t="s">
        <v>1845</v>
      </c>
      <c r="H558" t="s">
        <v>17</v>
      </c>
      <c r="I558" t="s">
        <v>1846</v>
      </c>
    </row>
    <row r="559" spans="1:9" hidden="1" x14ac:dyDescent="0.3">
      <c r="A559" t="s">
        <v>1853</v>
      </c>
      <c r="B559" t="s">
        <v>1739</v>
      </c>
      <c r="C559" t="s">
        <v>1842</v>
      </c>
      <c r="D559" t="s">
        <v>13</v>
      </c>
      <c r="E559" t="s">
        <v>182</v>
      </c>
      <c r="F559" t="s">
        <v>1852</v>
      </c>
      <c r="G559" t="s">
        <v>1845</v>
      </c>
      <c r="H559" t="s">
        <v>17</v>
      </c>
      <c r="I559" t="s">
        <v>1846</v>
      </c>
    </row>
    <row r="560" spans="1:9" hidden="1" x14ac:dyDescent="0.3">
      <c r="A560" t="s">
        <v>1855</v>
      </c>
      <c r="B560" t="s">
        <v>1739</v>
      </c>
      <c r="C560" t="s">
        <v>1842</v>
      </c>
      <c r="D560" t="s">
        <v>13</v>
      </c>
      <c r="E560" t="s">
        <v>187</v>
      </c>
      <c r="F560" t="s">
        <v>1854</v>
      </c>
      <c r="G560" t="s">
        <v>1845</v>
      </c>
      <c r="H560" t="s">
        <v>17</v>
      </c>
      <c r="I560" t="s">
        <v>1846</v>
      </c>
    </row>
    <row r="561" spans="1:9" hidden="1" x14ac:dyDescent="0.3">
      <c r="A561" t="s">
        <v>1857</v>
      </c>
      <c r="B561" t="s">
        <v>1739</v>
      </c>
      <c r="C561" t="s">
        <v>1842</v>
      </c>
      <c r="D561" t="s">
        <v>13</v>
      </c>
      <c r="E561" t="s">
        <v>193</v>
      </c>
      <c r="F561" t="s">
        <v>1856</v>
      </c>
      <c r="G561" t="s">
        <v>1845</v>
      </c>
      <c r="H561" t="s">
        <v>17</v>
      </c>
      <c r="I561" t="s">
        <v>1846</v>
      </c>
    </row>
    <row r="562" spans="1:9" hidden="1" x14ac:dyDescent="0.3">
      <c r="A562" t="s">
        <v>1859</v>
      </c>
      <c r="B562" t="s">
        <v>1739</v>
      </c>
      <c r="C562" t="s">
        <v>1842</v>
      </c>
      <c r="D562" t="s">
        <v>13</v>
      </c>
      <c r="E562" t="s">
        <v>198</v>
      </c>
      <c r="F562" t="s">
        <v>1858</v>
      </c>
      <c r="G562" t="s">
        <v>1845</v>
      </c>
      <c r="H562" t="s">
        <v>17</v>
      </c>
      <c r="I562" t="s">
        <v>1846</v>
      </c>
    </row>
    <row r="563" spans="1:9" hidden="1" x14ac:dyDescent="0.3">
      <c r="A563" t="s">
        <v>1861</v>
      </c>
      <c r="B563" t="s">
        <v>1739</v>
      </c>
      <c r="C563" t="s">
        <v>1842</v>
      </c>
      <c r="D563" t="s">
        <v>13</v>
      </c>
      <c r="E563" t="s">
        <v>202</v>
      </c>
      <c r="F563" t="s">
        <v>1860</v>
      </c>
      <c r="G563" t="s">
        <v>1845</v>
      </c>
      <c r="H563" t="s">
        <v>17</v>
      </c>
      <c r="I563" t="s">
        <v>1846</v>
      </c>
    </row>
    <row r="564" spans="1:9" hidden="1" x14ac:dyDescent="0.3">
      <c r="A564" t="s">
        <v>1863</v>
      </c>
      <c r="B564" t="s">
        <v>1739</v>
      </c>
      <c r="C564" t="s">
        <v>1842</v>
      </c>
      <c r="D564" t="s">
        <v>13</v>
      </c>
      <c r="E564" t="s">
        <v>206</v>
      </c>
      <c r="F564" t="s">
        <v>1862</v>
      </c>
      <c r="G564" t="s">
        <v>1845</v>
      </c>
      <c r="H564" t="s">
        <v>17</v>
      </c>
      <c r="I564" t="s">
        <v>1846</v>
      </c>
    </row>
    <row r="565" spans="1:9" hidden="1" x14ac:dyDescent="0.3">
      <c r="A565" t="s">
        <v>1865</v>
      </c>
      <c r="B565" t="s">
        <v>1739</v>
      </c>
      <c r="C565" t="s">
        <v>1842</v>
      </c>
      <c r="D565" t="s">
        <v>13</v>
      </c>
      <c r="E565" t="s">
        <v>210</v>
      </c>
      <c r="F565" t="s">
        <v>1864</v>
      </c>
      <c r="G565" t="s">
        <v>1845</v>
      </c>
      <c r="H565" t="s">
        <v>17</v>
      </c>
      <c r="I565" t="s">
        <v>1846</v>
      </c>
    </row>
    <row r="566" spans="1:9" hidden="1" x14ac:dyDescent="0.3">
      <c r="A566" t="s">
        <v>1867</v>
      </c>
      <c r="B566" t="s">
        <v>1739</v>
      </c>
      <c r="C566" t="s">
        <v>1842</v>
      </c>
      <c r="D566" t="s">
        <v>13</v>
      </c>
      <c r="E566" t="s">
        <v>214</v>
      </c>
      <c r="F566" t="s">
        <v>1866</v>
      </c>
      <c r="G566" t="s">
        <v>1845</v>
      </c>
      <c r="H566" t="s">
        <v>17</v>
      </c>
      <c r="I566" t="s">
        <v>1846</v>
      </c>
    </row>
    <row r="567" spans="1:9" hidden="1" x14ac:dyDescent="0.3">
      <c r="A567" t="s">
        <v>1869</v>
      </c>
      <c r="B567" t="s">
        <v>1739</v>
      </c>
      <c r="C567" t="s">
        <v>1842</v>
      </c>
      <c r="D567" t="s">
        <v>13</v>
      </c>
      <c r="E567" t="s">
        <v>218</v>
      </c>
      <c r="F567" t="s">
        <v>1868</v>
      </c>
      <c r="G567" t="s">
        <v>1845</v>
      </c>
      <c r="H567" t="s">
        <v>17</v>
      </c>
      <c r="I567" t="s">
        <v>1846</v>
      </c>
    </row>
    <row r="568" spans="1:9" hidden="1" x14ac:dyDescent="0.3">
      <c r="A568" t="s">
        <v>1871</v>
      </c>
      <c r="B568" t="s">
        <v>1739</v>
      </c>
      <c r="C568" t="s">
        <v>1842</v>
      </c>
      <c r="D568" t="s">
        <v>13</v>
      </c>
      <c r="E568" t="s">
        <v>223</v>
      </c>
      <c r="F568" t="s">
        <v>1870</v>
      </c>
      <c r="G568" t="s">
        <v>1845</v>
      </c>
      <c r="H568" t="s">
        <v>17</v>
      </c>
      <c r="I568" t="s">
        <v>1846</v>
      </c>
    </row>
    <row r="569" spans="1:9" hidden="1" x14ac:dyDescent="0.3">
      <c r="A569" t="s">
        <v>1873</v>
      </c>
      <c r="B569" t="s">
        <v>1739</v>
      </c>
      <c r="C569" t="s">
        <v>1842</v>
      </c>
      <c r="D569" t="s">
        <v>13</v>
      </c>
      <c r="E569" t="s">
        <v>228</v>
      </c>
      <c r="F569" t="s">
        <v>1872</v>
      </c>
      <c r="G569" t="s">
        <v>1845</v>
      </c>
      <c r="H569" t="s">
        <v>17</v>
      </c>
      <c r="I569" t="s">
        <v>1846</v>
      </c>
    </row>
    <row r="570" spans="1:9" hidden="1" x14ac:dyDescent="0.3">
      <c r="A570" t="s">
        <v>1875</v>
      </c>
      <c r="B570" t="s">
        <v>1739</v>
      </c>
      <c r="C570" t="s">
        <v>1842</v>
      </c>
      <c r="D570" t="s">
        <v>13</v>
      </c>
      <c r="E570" t="s">
        <v>233</v>
      </c>
      <c r="F570" t="s">
        <v>1874</v>
      </c>
      <c r="G570" t="s">
        <v>1845</v>
      </c>
      <c r="H570" t="s">
        <v>17</v>
      </c>
      <c r="I570" t="s">
        <v>1846</v>
      </c>
    </row>
    <row r="571" spans="1:9" hidden="1" x14ac:dyDescent="0.3">
      <c r="A571" t="s">
        <v>1878</v>
      </c>
      <c r="B571" t="s">
        <v>1739</v>
      </c>
      <c r="C571" t="s">
        <v>1842</v>
      </c>
      <c r="D571" t="s">
        <v>13</v>
      </c>
      <c r="E571" t="s">
        <v>236</v>
      </c>
      <c r="F571" t="s">
        <v>1876</v>
      </c>
      <c r="G571" t="s">
        <v>1845</v>
      </c>
      <c r="H571" t="s">
        <v>17</v>
      </c>
      <c r="I571" t="s">
        <v>1846</v>
      </c>
    </row>
    <row r="572" spans="1:9" hidden="1" x14ac:dyDescent="0.3">
      <c r="A572" t="s">
        <v>1882</v>
      </c>
      <c r="B572" t="s">
        <v>1739</v>
      </c>
      <c r="C572" t="s">
        <v>1877</v>
      </c>
      <c r="D572" t="s">
        <v>13</v>
      </c>
      <c r="E572" t="s">
        <v>239</v>
      </c>
      <c r="F572" t="s">
        <v>1879</v>
      </c>
      <c r="G572" t="s">
        <v>1845</v>
      </c>
      <c r="H572" t="s">
        <v>17</v>
      </c>
      <c r="I572" t="s">
        <v>1880</v>
      </c>
    </row>
    <row r="573" spans="1:9" hidden="1" x14ac:dyDescent="0.3">
      <c r="A573" t="s">
        <v>1886</v>
      </c>
      <c r="B573" t="s">
        <v>1739</v>
      </c>
      <c r="C573" t="s">
        <v>1877</v>
      </c>
      <c r="D573" t="s">
        <v>13</v>
      </c>
      <c r="E573" t="s">
        <v>1881</v>
      </c>
      <c r="F573" t="s">
        <v>1883</v>
      </c>
      <c r="H573" t="s">
        <v>17</v>
      </c>
      <c r="I573" t="s">
        <v>1884</v>
      </c>
    </row>
    <row r="574" spans="1:9" hidden="1" x14ac:dyDescent="0.3">
      <c r="A574" t="s">
        <v>1889</v>
      </c>
      <c r="B574" t="s">
        <v>1739</v>
      </c>
      <c r="C574" t="s">
        <v>1877</v>
      </c>
      <c r="D574" t="s">
        <v>13</v>
      </c>
      <c r="E574" t="s">
        <v>1885</v>
      </c>
      <c r="F574" t="s">
        <v>1887</v>
      </c>
      <c r="H574" t="s">
        <v>17</v>
      </c>
      <c r="I574" t="s">
        <v>1888</v>
      </c>
    </row>
    <row r="575" spans="1:9" hidden="1" x14ac:dyDescent="0.3">
      <c r="A575" t="s">
        <v>1893</v>
      </c>
      <c r="B575" t="s">
        <v>1739</v>
      </c>
      <c r="C575" t="s">
        <v>1877</v>
      </c>
      <c r="D575" t="s">
        <v>13</v>
      </c>
      <c r="E575" t="s">
        <v>1588</v>
      </c>
      <c r="F575" t="s">
        <v>1890</v>
      </c>
      <c r="H575" t="s">
        <v>17</v>
      </c>
      <c r="I575" t="s">
        <v>1891</v>
      </c>
    </row>
    <row r="576" spans="1:9" hidden="1" x14ac:dyDescent="0.3">
      <c r="A576" t="s">
        <v>1896</v>
      </c>
      <c r="B576" t="s">
        <v>1739</v>
      </c>
      <c r="C576" t="s">
        <v>1877</v>
      </c>
      <c r="D576" t="s">
        <v>13</v>
      </c>
      <c r="E576" t="s">
        <v>1892</v>
      </c>
      <c r="F576" t="s">
        <v>1894</v>
      </c>
      <c r="H576" t="s">
        <v>17</v>
      </c>
      <c r="I576" t="s">
        <v>1895</v>
      </c>
    </row>
    <row r="577" spans="1:9" hidden="1" x14ac:dyDescent="0.3">
      <c r="A577" t="s">
        <v>1898</v>
      </c>
      <c r="B577" t="s">
        <v>1739</v>
      </c>
      <c r="C577" t="s">
        <v>1877</v>
      </c>
      <c r="D577" t="s">
        <v>13</v>
      </c>
      <c r="E577" t="s">
        <v>1146</v>
      </c>
      <c r="F577" t="s">
        <v>1897</v>
      </c>
      <c r="H577" t="s">
        <v>17</v>
      </c>
      <c r="I577" t="s">
        <v>1895</v>
      </c>
    </row>
    <row r="578" spans="1:9" hidden="1" x14ac:dyDescent="0.3">
      <c r="A578" t="s">
        <v>1901</v>
      </c>
      <c r="B578" t="s">
        <v>1739</v>
      </c>
      <c r="C578" t="s">
        <v>1877</v>
      </c>
      <c r="D578" t="s">
        <v>13</v>
      </c>
      <c r="E578" t="s">
        <v>1150</v>
      </c>
      <c r="F578" t="s">
        <v>1899</v>
      </c>
      <c r="H578" t="s">
        <v>17</v>
      </c>
      <c r="I578" t="s">
        <v>1900</v>
      </c>
    </row>
    <row r="579" spans="1:9" hidden="1" x14ac:dyDescent="0.3">
      <c r="A579" t="s">
        <v>1903</v>
      </c>
      <c r="B579" t="s">
        <v>1739</v>
      </c>
      <c r="C579" t="s">
        <v>1877</v>
      </c>
      <c r="D579" t="s">
        <v>13</v>
      </c>
      <c r="E579" t="s">
        <v>1154</v>
      </c>
      <c r="F579" t="s">
        <v>1902</v>
      </c>
      <c r="H579" t="s">
        <v>17</v>
      </c>
      <c r="I579" t="s">
        <v>1900</v>
      </c>
    </row>
    <row r="580" spans="1:9" hidden="1" x14ac:dyDescent="0.3">
      <c r="A580" t="s">
        <v>1905</v>
      </c>
      <c r="B580" t="s">
        <v>1739</v>
      </c>
      <c r="C580" t="s">
        <v>1877</v>
      </c>
      <c r="D580" t="s">
        <v>13</v>
      </c>
      <c r="E580" t="s">
        <v>1158</v>
      </c>
      <c r="F580" t="s">
        <v>1904</v>
      </c>
      <c r="H580" t="s">
        <v>17</v>
      </c>
      <c r="I580" t="s">
        <v>1900</v>
      </c>
    </row>
    <row r="581" spans="1:9" hidden="1" x14ac:dyDescent="0.3">
      <c r="A581" t="s">
        <v>1907</v>
      </c>
      <c r="B581" t="s">
        <v>1739</v>
      </c>
      <c r="C581" t="s">
        <v>1877</v>
      </c>
      <c r="D581" t="s">
        <v>13</v>
      </c>
      <c r="E581" t="s">
        <v>1162</v>
      </c>
      <c r="F581" t="s">
        <v>1906</v>
      </c>
      <c r="H581" t="s">
        <v>17</v>
      </c>
      <c r="I581" t="s">
        <v>1900</v>
      </c>
    </row>
    <row r="582" spans="1:9" hidden="1" x14ac:dyDescent="0.3">
      <c r="A582" t="s">
        <v>1909</v>
      </c>
      <c r="B582" t="s">
        <v>1739</v>
      </c>
      <c r="C582" t="s">
        <v>1877</v>
      </c>
      <c r="D582" t="s">
        <v>13</v>
      </c>
      <c r="E582" t="s">
        <v>1165</v>
      </c>
      <c r="F582" t="s">
        <v>1908</v>
      </c>
      <c r="H582" t="s">
        <v>17</v>
      </c>
      <c r="I582" t="s">
        <v>1900</v>
      </c>
    </row>
    <row r="583" spans="1:9" hidden="1" x14ac:dyDescent="0.3">
      <c r="A583" t="s">
        <v>1911</v>
      </c>
      <c r="B583" t="s">
        <v>1739</v>
      </c>
      <c r="C583" t="s">
        <v>1877</v>
      </c>
      <c r="D583" t="s">
        <v>13</v>
      </c>
      <c r="E583" t="s">
        <v>1168</v>
      </c>
      <c r="F583" t="s">
        <v>1910</v>
      </c>
      <c r="H583" t="s">
        <v>17</v>
      </c>
      <c r="I583" t="s">
        <v>1900</v>
      </c>
    </row>
    <row r="584" spans="1:9" hidden="1" x14ac:dyDescent="0.3">
      <c r="A584" t="s">
        <v>1914</v>
      </c>
      <c r="B584" t="s">
        <v>1739</v>
      </c>
      <c r="C584" t="s">
        <v>1877</v>
      </c>
      <c r="D584" t="s">
        <v>13</v>
      </c>
      <c r="E584" t="s">
        <v>1172</v>
      </c>
      <c r="F584" t="s">
        <v>1912</v>
      </c>
      <c r="H584" t="s">
        <v>17</v>
      </c>
      <c r="I584" t="s">
        <v>1913</v>
      </c>
    </row>
    <row r="585" spans="1:9" hidden="1" x14ac:dyDescent="0.3">
      <c r="A585" t="s">
        <v>1917</v>
      </c>
      <c r="B585" t="s">
        <v>1739</v>
      </c>
      <c r="C585" t="s">
        <v>1877</v>
      </c>
      <c r="D585" t="s">
        <v>13</v>
      </c>
      <c r="E585" t="s">
        <v>1176</v>
      </c>
      <c r="F585" t="s">
        <v>1915</v>
      </c>
      <c r="G585" t="s">
        <v>1916</v>
      </c>
      <c r="H585" t="s">
        <v>17</v>
      </c>
      <c r="I585" t="s">
        <v>1913</v>
      </c>
    </row>
    <row r="586" spans="1:9" hidden="1" x14ac:dyDescent="0.3">
      <c r="A586" t="s">
        <v>1919</v>
      </c>
      <c r="B586" t="s">
        <v>1739</v>
      </c>
      <c r="C586" t="s">
        <v>1877</v>
      </c>
      <c r="D586" t="s">
        <v>13</v>
      </c>
      <c r="E586" t="s">
        <v>1179</v>
      </c>
      <c r="F586" t="s">
        <v>1918</v>
      </c>
      <c r="G586" t="s">
        <v>1916</v>
      </c>
      <c r="H586" t="s">
        <v>17</v>
      </c>
      <c r="I586" t="s">
        <v>1913</v>
      </c>
    </row>
    <row r="587" spans="1:9" hidden="1" x14ac:dyDescent="0.3">
      <c r="A587" t="s">
        <v>1921</v>
      </c>
      <c r="B587" t="s">
        <v>1739</v>
      </c>
      <c r="C587" t="s">
        <v>1877</v>
      </c>
      <c r="D587" t="s">
        <v>13</v>
      </c>
      <c r="E587" t="s">
        <v>1184</v>
      </c>
      <c r="F587" t="s">
        <v>1920</v>
      </c>
      <c r="G587" t="s">
        <v>1916</v>
      </c>
      <c r="H587" t="s">
        <v>17</v>
      </c>
      <c r="I587" t="s">
        <v>1913</v>
      </c>
    </row>
    <row r="588" spans="1:9" hidden="1" x14ac:dyDescent="0.3">
      <c r="A588" t="s">
        <v>1923</v>
      </c>
      <c r="B588" t="s">
        <v>1739</v>
      </c>
      <c r="C588" t="s">
        <v>1877</v>
      </c>
      <c r="D588" t="s">
        <v>13</v>
      </c>
      <c r="E588" t="s">
        <v>1189</v>
      </c>
      <c r="F588" t="s">
        <v>1922</v>
      </c>
      <c r="G588" t="s">
        <v>1916</v>
      </c>
      <c r="H588" t="s">
        <v>17</v>
      </c>
      <c r="I588" t="s">
        <v>1913</v>
      </c>
    </row>
    <row r="589" spans="1:9" hidden="1" x14ac:dyDescent="0.3">
      <c r="A589" t="s">
        <v>1925</v>
      </c>
      <c r="B589" t="s">
        <v>1739</v>
      </c>
      <c r="C589" t="s">
        <v>1877</v>
      </c>
      <c r="D589" t="s">
        <v>13</v>
      </c>
      <c r="E589" t="s">
        <v>1193</v>
      </c>
      <c r="F589" t="s">
        <v>1924</v>
      </c>
      <c r="G589" t="s">
        <v>1916</v>
      </c>
      <c r="H589" t="s">
        <v>17</v>
      </c>
      <c r="I589" t="s">
        <v>1913</v>
      </c>
    </row>
    <row r="590" spans="1:9" hidden="1" x14ac:dyDescent="0.3">
      <c r="A590" t="s">
        <v>1927</v>
      </c>
      <c r="B590" t="s">
        <v>1739</v>
      </c>
      <c r="C590" t="s">
        <v>1877</v>
      </c>
      <c r="D590" t="s">
        <v>13</v>
      </c>
      <c r="E590" t="s">
        <v>1197</v>
      </c>
      <c r="F590" t="s">
        <v>1926</v>
      </c>
      <c r="G590" t="s">
        <v>1916</v>
      </c>
      <c r="H590" t="s">
        <v>17</v>
      </c>
      <c r="I590" t="s">
        <v>1913</v>
      </c>
    </row>
    <row r="591" spans="1:9" hidden="1" x14ac:dyDescent="0.3">
      <c r="A591" t="s">
        <v>1929</v>
      </c>
      <c r="B591" t="s">
        <v>1739</v>
      </c>
      <c r="C591" t="s">
        <v>1877</v>
      </c>
      <c r="D591" t="s">
        <v>13</v>
      </c>
      <c r="E591" t="s">
        <v>1201</v>
      </c>
      <c r="F591" t="s">
        <v>1928</v>
      </c>
      <c r="G591" t="s">
        <v>1916</v>
      </c>
      <c r="H591" t="s">
        <v>17</v>
      </c>
      <c r="I591" t="s">
        <v>1913</v>
      </c>
    </row>
    <row r="592" spans="1:9" hidden="1" x14ac:dyDescent="0.3">
      <c r="A592" t="s">
        <v>1931</v>
      </c>
      <c r="B592" t="s">
        <v>1739</v>
      </c>
      <c r="C592" t="s">
        <v>1877</v>
      </c>
      <c r="D592" t="s">
        <v>13</v>
      </c>
      <c r="E592" t="s">
        <v>1205</v>
      </c>
      <c r="F592" t="s">
        <v>1930</v>
      </c>
      <c r="H592" t="s">
        <v>17</v>
      </c>
      <c r="I592" t="s">
        <v>1913</v>
      </c>
    </row>
    <row r="593" spans="1:9" hidden="1" x14ac:dyDescent="0.3">
      <c r="A593" t="s">
        <v>1933</v>
      </c>
      <c r="B593" t="s">
        <v>1739</v>
      </c>
      <c r="C593" t="s">
        <v>1877</v>
      </c>
      <c r="D593" t="s">
        <v>13</v>
      </c>
      <c r="E593" t="s">
        <v>1209</v>
      </c>
      <c r="F593" t="s">
        <v>1932</v>
      </c>
      <c r="G593" t="s">
        <v>1916</v>
      </c>
      <c r="H593" t="s">
        <v>17</v>
      </c>
      <c r="I593" t="s">
        <v>1913</v>
      </c>
    </row>
    <row r="594" spans="1:9" hidden="1" x14ac:dyDescent="0.3">
      <c r="A594" t="s">
        <v>1937</v>
      </c>
      <c r="B594" t="s">
        <v>1739</v>
      </c>
      <c r="C594" t="s">
        <v>1877</v>
      </c>
      <c r="D594" t="s">
        <v>13</v>
      </c>
      <c r="E594" t="s">
        <v>1213</v>
      </c>
      <c r="F594" t="s">
        <v>1934</v>
      </c>
      <c r="G594" t="s">
        <v>1916</v>
      </c>
      <c r="H594" t="s">
        <v>17</v>
      </c>
      <c r="I594" t="s">
        <v>1913</v>
      </c>
    </row>
    <row r="595" spans="1:9" hidden="1" x14ac:dyDescent="0.3">
      <c r="A595" t="s">
        <v>1940</v>
      </c>
      <c r="B595" t="s">
        <v>1739</v>
      </c>
      <c r="C595" t="s">
        <v>1935</v>
      </c>
      <c r="D595" t="s">
        <v>1936</v>
      </c>
      <c r="E595" t="s">
        <v>996</v>
      </c>
      <c r="F595" t="s">
        <v>1938</v>
      </c>
      <c r="H595" t="s">
        <v>17</v>
      </c>
      <c r="I595" t="s">
        <v>1939</v>
      </c>
    </row>
    <row r="596" spans="1:9" hidden="1" x14ac:dyDescent="0.3">
      <c r="A596" t="s">
        <v>1943</v>
      </c>
      <c r="B596" t="s">
        <v>1739</v>
      </c>
      <c r="C596" t="s">
        <v>1935</v>
      </c>
      <c r="D596" t="s">
        <v>1936</v>
      </c>
      <c r="E596" t="s">
        <v>1001</v>
      </c>
      <c r="F596" t="s">
        <v>1941</v>
      </c>
      <c r="H596" t="s">
        <v>17</v>
      </c>
      <c r="I596" t="s">
        <v>1939</v>
      </c>
    </row>
    <row r="597" spans="1:9" hidden="1" x14ac:dyDescent="0.3">
      <c r="A597" t="s">
        <v>1944</v>
      </c>
      <c r="B597" t="s">
        <v>1739</v>
      </c>
      <c r="C597" t="s">
        <v>1935</v>
      </c>
      <c r="D597" t="s">
        <v>1936</v>
      </c>
      <c r="E597" t="s">
        <v>1942</v>
      </c>
      <c r="F597" t="s">
        <v>1607</v>
      </c>
      <c r="H597" t="s">
        <v>17</v>
      </c>
      <c r="I597" t="s">
        <v>1939</v>
      </c>
    </row>
    <row r="598" spans="1:9" hidden="1" x14ac:dyDescent="0.3">
      <c r="A598" t="s">
        <v>1946</v>
      </c>
      <c r="B598" t="s">
        <v>1739</v>
      </c>
      <c r="C598" t="s">
        <v>1935</v>
      </c>
      <c r="D598" t="s">
        <v>1936</v>
      </c>
      <c r="E598" t="s">
        <v>22</v>
      </c>
      <c r="F598" t="s">
        <v>1945</v>
      </c>
      <c r="H598" t="s">
        <v>17</v>
      </c>
      <c r="I598" t="s">
        <v>1939</v>
      </c>
    </row>
    <row r="599" spans="1:9" hidden="1" x14ac:dyDescent="0.3">
      <c r="A599" t="s">
        <v>1948</v>
      </c>
      <c r="B599" t="s">
        <v>1739</v>
      </c>
      <c r="C599" t="s">
        <v>1935</v>
      </c>
      <c r="D599" t="s">
        <v>1936</v>
      </c>
      <c r="E599" t="s">
        <v>27</v>
      </c>
      <c r="F599" t="s">
        <v>1947</v>
      </c>
      <c r="H599" t="s">
        <v>17</v>
      </c>
      <c r="I599" t="s">
        <v>414</v>
      </c>
    </row>
    <row r="600" spans="1:9" hidden="1" x14ac:dyDescent="0.3">
      <c r="A600" t="s">
        <v>1950</v>
      </c>
      <c r="B600" t="s">
        <v>1739</v>
      </c>
      <c r="C600" t="s">
        <v>1935</v>
      </c>
      <c r="D600" t="s">
        <v>1936</v>
      </c>
      <c r="E600" t="s">
        <v>1014</v>
      </c>
      <c r="F600" t="s">
        <v>1949</v>
      </c>
      <c r="H600" t="s">
        <v>17</v>
      </c>
      <c r="I600" t="s">
        <v>414</v>
      </c>
    </row>
    <row r="601" spans="1:9" hidden="1" x14ac:dyDescent="0.3">
      <c r="A601" t="s">
        <v>1952</v>
      </c>
      <c r="B601" t="s">
        <v>1739</v>
      </c>
      <c r="C601" t="s">
        <v>1935</v>
      </c>
      <c r="D601" t="s">
        <v>1936</v>
      </c>
      <c r="E601" t="s">
        <v>1017</v>
      </c>
      <c r="F601" t="s">
        <v>1951</v>
      </c>
      <c r="H601" t="s">
        <v>17</v>
      </c>
      <c r="I601" t="s">
        <v>414</v>
      </c>
    </row>
    <row r="602" spans="1:9" hidden="1" x14ac:dyDescent="0.3">
      <c r="A602" t="s">
        <v>1954</v>
      </c>
      <c r="B602" t="s">
        <v>1739</v>
      </c>
      <c r="C602" t="s">
        <v>1935</v>
      </c>
      <c r="D602" t="s">
        <v>1936</v>
      </c>
      <c r="E602" t="s">
        <v>36</v>
      </c>
      <c r="F602" t="s">
        <v>1953</v>
      </c>
      <c r="H602" t="s">
        <v>17</v>
      </c>
      <c r="I602" t="s">
        <v>414</v>
      </c>
    </row>
    <row r="603" spans="1:9" hidden="1" x14ac:dyDescent="0.3">
      <c r="A603" t="s">
        <v>1956</v>
      </c>
      <c r="B603" t="s">
        <v>1739</v>
      </c>
      <c r="C603" t="s">
        <v>1935</v>
      </c>
      <c r="D603" t="s">
        <v>1936</v>
      </c>
      <c r="E603" t="s">
        <v>41</v>
      </c>
      <c r="F603" t="s">
        <v>1955</v>
      </c>
      <c r="H603" t="s">
        <v>17</v>
      </c>
      <c r="I603" t="s">
        <v>414</v>
      </c>
    </row>
    <row r="604" spans="1:9" hidden="1" x14ac:dyDescent="0.3">
      <c r="A604" t="s">
        <v>1958</v>
      </c>
      <c r="B604" t="s">
        <v>1739</v>
      </c>
      <c r="C604" t="s">
        <v>1935</v>
      </c>
      <c r="D604" t="s">
        <v>1936</v>
      </c>
      <c r="E604" t="s">
        <v>45</v>
      </c>
      <c r="F604" t="s">
        <v>1957</v>
      </c>
      <c r="H604" t="s">
        <v>17</v>
      </c>
      <c r="I604" t="s">
        <v>414</v>
      </c>
    </row>
    <row r="605" spans="1:9" hidden="1" x14ac:dyDescent="0.3">
      <c r="A605" t="s">
        <v>1960</v>
      </c>
      <c r="B605" t="s">
        <v>1739</v>
      </c>
      <c r="C605" t="s">
        <v>1935</v>
      </c>
      <c r="D605" t="s">
        <v>1936</v>
      </c>
      <c r="E605" t="s">
        <v>50</v>
      </c>
      <c r="F605" t="s">
        <v>1959</v>
      </c>
      <c r="H605" t="s">
        <v>17</v>
      </c>
      <c r="I605" t="s">
        <v>414</v>
      </c>
    </row>
    <row r="606" spans="1:9" hidden="1" x14ac:dyDescent="0.3">
      <c r="A606" t="s">
        <v>1962</v>
      </c>
      <c r="B606" t="s">
        <v>1739</v>
      </c>
      <c r="C606" t="s">
        <v>1935</v>
      </c>
      <c r="D606" t="s">
        <v>1936</v>
      </c>
      <c r="E606" t="s">
        <v>53</v>
      </c>
      <c r="F606" t="s">
        <v>1961</v>
      </c>
      <c r="H606" t="s">
        <v>17</v>
      </c>
      <c r="I606" t="s">
        <v>414</v>
      </c>
    </row>
    <row r="607" spans="1:9" hidden="1" x14ac:dyDescent="0.3">
      <c r="A607" t="s">
        <v>1964</v>
      </c>
      <c r="B607" t="s">
        <v>1739</v>
      </c>
      <c r="C607" t="s">
        <v>1935</v>
      </c>
      <c r="D607" t="s">
        <v>1936</v>
      </c>
      <c r="E607" t="s">
        <v>56</v>
      </c>
      <c r="F607" t="s">
        <v>1963</v>
      </c>
      <c r="H607" t="s">
        <v>17</v>
      </c>
      <c r="I607" t="s">
        <v>414</v>
      </c>
    </row>
    <row r="608" spans="1:9" hidden="1" x14ac:dyDescent="0.3">
      <c r="A608" t="s">
        <v>1966</v>
      </c>
      <c r="B608" t="s">
        <v>1739</v>
      </c>
      <c r="C608" t="s">
        <v>1935</v>
      </c>
      <c r="D608" t="s">
        <v>1936</v>
      </c>
      <c r="E608" t="s">
        <v>61</v>
      </c>
      <c r="F608" t="s">
        <v>1965</v>
      </c>
      <c r="H608" t="s">
        <v>17</v>
      </c>
      <c r="I608" t="s">
        <v>414</v>
      </c>
    </row>
    <row r="609" spans="1:9" hidden="1" x14ac:dyDescent="0.3">
      <c r="A609" t="s">
        <v>1968</v>
      </c>
      <c r="B609" t="s">
        <v>1739</v>
      </c>
      <c r="C609" t="s">
        <v>1935</v>
      </c>
      <c r="D609" t="s">
        <v>1936</v>
      </c>
      <c r="E609" t="s">
        <v>1039</v>
      </c>
      <c r="F609" t="s">
        <v>1967</v>
      </c>
      <c r="H609" t="s">
        <v>17</v>
      </c>
      <c r="I609" t="s">
        <v>414</v>
      </c>
    </row>
    <row r="610" spans="1:9" hidden="1" x14ac:dyDescent="0.3">
      <c r="A610" t="s">
        <v>1971</v>
      </c>
      <c r="B610" t="s">
        <v>1739</v>
      </c>
      <c r="C610" t="s">
        <v>1935</v>
      </c>
      <c r="D610" t="s">
        <v>1936</v>
      </c>
      <c r="E610" t="s">
        <v>1043</v>
      </c>
      <c r="F610" t="s">
        <v>1969</v>
      </c>
      <c r="H610" t="s">
        <v>17</v>
      </c>
      <c r="I610" t="s">
        <v>414</v>
      </c>
    </row>
    <row r="611" spans="1:9" hidden="1" x14ac:dyDescent="0.3">
      <c r="A611" t="s">
        <v>1975</v>
      </c>
      <c r="B611" t="s">
        <v>1739</v>
      </c>
      <c r="C611" t="s">
        <v>1970</v>
      </c>
      <c r="D611" t="s">
        <v>1936</v>
      </c>
      <c r="E611" t="s">
        <v>71</v>
      </c>
      <c r="F611" t="s">
        <v>1972</v>
      </c>
      <c r="G611" t="s">
        <v>1973</v>
      </c>
      <c r="H611" t="s">
        <v>17</v>
      </c>
      <c r="I611" t="s">
        <v>1974</v>
      </c>
    </row>
    <row r="612" spans="1:9" hidden="1" x14ac:dyDescent="0.3">
      <c r="A612" t="s">
        <v>1979</v>
      </c>
      <c r="B612" t="s">
        <v>1739</v>
      </c>
      <c r="C612" t="s">
        <v>1970</v>
      </c>
      <c r="D612" t="s">
        <v>1936</v>
      </c>
      <c r="E612" t="s">
        <v>1050</v>
      </c>
      <c r="F612" t="s">
        <v>1976</v>
      </c>
      <c r="G612" t="s">
        <v>1977</v>
      </c>
      <c r="H612" t="s">
        <v>17</v>
      </c>
      <c r="I612" t="s">
        <v>1978</v>
      </c>
    </row>
    <row r="613" spans="1:9" hidden="1" x14ac:dyDescent="0.3">
      <c r="A613" t="s">
        <v>1982</v>
      </c>
      <c r="B613" t="s">
        <v>1739</v>
      </c>
      <c r="C613" t="s">
        <v>1970</v>
      </c>
      <c r="D613" t="s">
        <v>1936</v>
      </c>
      <c r="E613" t="s">
        <v>1055</v>
      </c>
      <c r="F613" t="s">
        <v>1980</v>
      </c>
      <c r="G613" t="s">
        <v>1977</v>
      </c>
      <c r="H613" t="s">
        <v>17</v>
      </c>
      <c r="I613" t="s">
        <v>1981</v>
      </c>
    </row>
    <row r="614" spans="1:9" hidden="1" x14ac:dyDescent="0.3">
      <c r="A614" t="s">
        <v>1985</v>
      </c>
      <c r="B614" t="s">
        <v>1739</v>
      </c>
      <c r="C614" t="s">
        <v>1970</v>
      </c>
      <c r="D614" t="s">
        <v>1936</v>
      </c>
      <c r="E614" t="s">
        <v>80</v>
      </c>
      <c r="F614" t="s">
        <v>1983</v>
      </c>
      <c r="H614" t="s">
        <v>17</v>
      </c>
      <c r="I614" t="s">
        <v>1984</v>
      </c>
    </row>
    <row r="615" spans="1:9" hidden="1" x14ac:dyDescent="0.3">
      <c r="A615" t="s">
        <v>1987</v>
      </c>
      <c r="B615" t="s">
        <v>1739</v>
      </c>
      <c r="C615" t="s">
        <v>1970</v>
      </c>
      <c r="D615" t="s">
        <v>1936</v>
      </c>
      <c r="E615" t="s">
        <v>85</v>
      </c>
      <c r="F615" t="s">
        <v>1986</v>
      </c>
      <c r="H615" t="s">
        <v>17</v>
      </c>
      <c r="I615" t="s">
        <v>1900</v>
      </c>
    </row>
    <row r="616" spans="1:9" hidden="1" x14ac:dyDescent="0.3">
      <c r="A616" t="s">
        <v>1989</v>
      </c>
      <c r="B616" t="s">
        <v>1739</v>
      </c>
      <c r="C616" t="s">
        <v>1970</v>
      </c>
      <c r="D616" t="s">
        <v>1936</v>
      </c>
      <c r="E616" t="s">
        <v>90</v>
      </c>
      <c r="F616" t="s">
        <v>1988</v>
      </c>
      <c r="H616" t="s">
        <v>17</v>
      </c>
      <c r="I616" t="s">
        <v>1900</v>
      </c>
    </row>
    <row r="617" spans="1:9" hidden="1" x14ac:dyDescent="0.3">
      <c r="A617" t="s">
        <v>1991</v>
      </c>
      <c r="B617" t="s">
        <v>1739</v>
      </c>
      <c r="C617" t="s">
        <v>1970</v>
      </c>
      <c r="D617" t="s">
        <v>1936</v>
      </c>
      <c r="E617" t="s">
        <v>95</v>
      </c>
      <c r="F617" t="s">
        <v>1990</v>
      </c>
      <c r="H617" t="s">
        <v>17</v>
      </c>
      <c r="I617" t="s">
        <v>1900</v>
      </c>
    </row>
    <row r="618" spans="1:9" hidden="1" x14ac:dyDescent="0.3">
      <c r="A618" t="s">
        <v>1993</v>
      </c>
      <c r="B618" t="s">
        <v>1739</v>
      </c>
      <c r="C618" t="s">
        <v>1970</v>
      </c>
      <c r="D618" t="s">
        <v>1936</v>
      </c>
      <c r="E618" t="s">
        <v>100</v>
      </c>
      <c r="F618" t="s">
        <v>1992</v>
      </c>
      <c r="H618" t="s">
        <v>17</v>
      </c>
      <c r="I618" t="s">
        <v>1900</v>
      </c>
    </row>
    <row r="619" spans="1:9" hidden="1" x14ac:dyDescent="0.3">
      <c r="A619" t="s">
        <v>1995</v>
      </c>
      <c r="B619" t="s">
        <v>1739</v>
      </c>
      <c r="C619" t="s">
        <v>1970</v>
      </c>
      <c r="D619" t="s">
        <v>1936</v>
      </c>
      <c r="E619" t="s">
        <v>106</v>
      </c>
      <c r="F619" t="s">
        <v>1994</v>
      </c>
      <c r="H619" t="s">
        <v>17</v>
      </c>
      <c r="I619" t="s">
        <v>1900</v>
      </c>
    </row>
    <row r="620" spans="1:9" hidden="1" x14ac:dyDescent="0.3">
      <c r="A620" t="s">
        <v>1997</v>
      </c>
      <c r="B620" t="s">
        <v>1739</v>
      </c>
      <c r="C620" t="s">
        <v>1970</v>
      </c>
      <c r="D620" t="s">
        <v>1936</v>
      </c>
      <c r="E620" t="s">
        <v>111</v>
      </c>
      <c r="F620" t="s">
        <v>1996</v>
      </c>
      <c r="H620" t="s">
        <v>17</v>
      </c>
      <c r="I620" t="s">
        <v>1900</v>
      </c>
    </row>
    <row r="621" spans="1:9" hidden="1" x14ac:dyDescent="0.3">
      <c r="A621" t="s">
        <v>1999</v>
      </c>
      <c r="B621" t="s">
        <v>1739</v>
      </c>
      <c r="C621" t="s">
        <v>1970</v>
      </c>
      <c r="D621" t="s">
        <v>1936</v>
      </c>
      <c r="E621" t="s">
        <v>114</v>
      </c>
      <c r="F621" t="s">
        <v>1998</v>
      </c>
      <c r="H621" t="s">
        <v>17</v>
      </c>
      <c r="I621" t="s">
        <v>1900</v>
      </c>
    </row>
    <row r="622" spans="1:9" hidden="1" x14ac:dyDescent="0.3">
      <c r="A622" t="s">
        <v>2001</v>
      </c>
      <c r="B622" t="s">
        <v>1739</v>
      </c>
      <c r="C622" t="s">
        <v>1970</v>
      </c>
      <c r="D622" t="s">
        <v>1936</v>
      </c>
      <c r="E622" t="s">
        <v>117</v>
      </c>
      <c r="F622" t="s">
        <v>2000</v>
      </c>
      <c r="H622" t="s">
        <v>17</v>
      </c>
      <c r="I622" t="s">
        <v>1900</v>
      </c>
    </row>
    <row r="623" spans="1:9" hidden="1" x14ac:dyDescent="0.3">
      <c r="A623" t="s">
        <v>2004</v>
      </c>
      <c r="B623" t="s">
        <v>1739</v>
      </c>
      <c r="C623" t="s">
        <v>1970</v>
      </c>
      <c r="D623" t="s">
        <v>1936</v>
      </c>
      <c r="E623" t="s">
        <v>121</v>
      </c>
      <c r="F623" t="s">
        <v>2002</v>
      </c>
      <c r="H623" t="s">
        <v>17</v>
      </c>
      <c r="I623" t="s">
        <v>1900</v>
      </c>
    </row>
    <row r="624" spans="1:9" hidden="1" x14ac:dyDescent="0.3">
      <c r="A624" t="s">
        <v>2007</v>
      </c>
      <c r="B624" t="s">
        <v>1739</v>
      </c>
      <c r="C624" t="s">
        <v>2003</v>
      </c>
      <c r="D624" t="s">
        <v>1936</v>
      </c>
      <c r="E624" t="s">
        <v>126</v>
      </c>
      <c r="F624" t="s">
        <v>2005</v>
      </c>
      <c r="H624" t="s">
        <v>17</v>
      </c>
      <c r="I624" t="s">
        <v>2006</v>
      </c>
    </row>
    <row r="625" spans="1:9" hidden="1" x14ac:dyDescent="0.3">
      <c r="A625" t="s">
        <v>2009</v>
      </c>
      <c r="B625" t="s">
        <v>1739</v>
      </c>
      <c r="C625" t="s">
        <v>2003</v>
      </c>
      <c r="D625" t="s">
        <v>1936</v>
      </c>
      <c r="E625" t="s">
        <v>129</v>
      </c>
      <c r="F625" t="s">
        <v>2008</v>
      </c>
      <c r="H625" t="s">
        <v>17</v>
      </c>
      <c r="I625" t="s">
        <v>2006</v>
      </c>
    </row>
    <row r="626" spans="1:9" hidden="1" x14ac:dyDescent="0.3">
      <c r="A626" t="s">
        <v>2011</v>
      </c>
      <c r="B626" t="s">
        <v>1739</v>
      </c>
      <c r="C626" t="s">
        <v>2003</v>
      </c>
      <c r="D626" t="s">
        <v>1936</v>
      </c>
      <c r="E626" t="s">
        <v>132</v>
      </c>
      <c r="F626" t="s">
        <v>2010</v>
      </c>
      <c r="H626" t="s">
        <v>17</v>
      </c>
      <c r="I626" t="s">
        <v>2006</v>
      </c>
    </row>
    <row r="627" spans="1:9" hidden="1" x14ac:dyDescent="0.3">
      <c r="A627" t="s">
        <v>2013</v>
      </c>
      <c r="B627" t="s">
        <v>1739</v>
      </c>
      <c r="C627" t="s">
        <v>2003</v>
      </c>
      <c r="D627" t="s">
        <v>1936</v>
      </c>
      <c r="E627" t="s">
        <v>135</v>
      </c>
      <c r="F627" t="s">
        <v>2012</v>
      </c>
      <c r="H627" t="s">
        <v>17</v>
      </c>
      <c r="I627" t="s">
        <v>2006</v>
      </c>
    </row>
    <row r="628" spans="1:9" hidden="1" x14ac:dyDescent="0.3">
      <c r="A628" t="s">
        <v>2015</v>
      </c>
      <c r="B628" t="s">
        <v>1739</v>
      </c>
      <c r="C628" t="s">
        <v>2003</v>
      </c>
      <c r="D628" t="s">
        <v>1936</v>
      </c>
      <c r="E628" t="s">
        <v>138</v>
      </c>
      <c r="F628" t="s">
        <v>2014</v>
      </c>
      <c r="H628" t="s">
        <v>17</v>
      </c>
      <c r="I628" t="s">
        <v>2006</v>
      </c>
    </row>
    <row r="629" spans="1:9" hidden="1" x14ac:dyDescent="0.3">
      <c r="A629" t="s">
        <v>2017</v>
      </c>
      <c r="B629" t="s">
        <v>1739</v>
      </c>
      <c r="C629" t="s">
        <v>2003</v>
      </c>
      <c r="D629" t="s">
        <v>1936</v>
      </c>
      <c r="E629" t="s">
        <v>141</v>
      </c>
      <c r="F629" t="s">
        <v>2016</v>
      </c>
      <c r="H629" t="s">
        <v>17</v>
      </c>
      <c r="I629" t="s">
        <v>2006</v>
      </c>
    </row>
    <row r="630" spans="1:9" hidden="1" x14ac:dyDescent="0.3">
      <c r="A630" t="s">
        <v>2019</v>
      </c>
      <c r="B630" t="s">
        <v>1739</v>
      </c>
      <c r="C630" t="s">
        <v>2003</v>
      </c>
      <c r="D630" t="s">
        <v>1936</v>
      </c>
      <c r="E630" t="s">
        <v>144</v>
      </c>
      <c r="F630" t="s">
        <v>2018</v>
      </c>
      <c r="H630" t="s">
        <v>17</v>
      </c>
      <c r="I630" t="s">
        <v>2006</v>
      </c>
    </row>
    <row r="631" spans="1:9" hidden="1" x14ac:dyDescent="0.3">
      <c r="A631" t="s">
        <v>2023</v>
      </c>
      <c r="B631" t="s">
        <v>1739</v>
      </c>
      <c r="C631" t="s">
        <v>2003</v>
      </c>
      <c r="D631" t="s">
        <v>1936</v>
      </c>
      <c r="E631" t="s">
        <v>147</v>
      </c>
      <c r="F631" t="s">
        <v>2020</v>
      </c>
      <c r="H631" t="s">
        <v>17</v>
      </c>
      <c r="I631" t="s">
        <v>2021</v>
      </c>
    </row>
    <row r="632" spans="1:9" hidden="1" x14ac:dyDescent="0.3">
      <c r="A632" t="s">
        <v>2024</v>
      </c>
      <c r="B632" t="s">
        <v>1739</v>
      </c>
      <c r="C632" t="s">
        <v>2022</v>
      </c>
      <c r="D632" t="s">
        <v>1936</v>
      </c>
      <c r="E632" t="s">
        <v>152</v>
      </c>
      <c r="F632" t="s">
        <v>412</v>
      </c>
      <c r="H632" t="s">
        <v>17</v>
      </c>
      <c r="I632" t="s">
        <v>414</v>
      </c>
    </row>
    <row r="633" spans="1:9" hidden="1" x14ac:dyDescent="0.3">
      <c r="A633" t="s">
        <v>2027</v>
      </c>
      <c r="B633" t="s">
        <v>1739</v>
      </c>
      <c r="C633" t="s">
        <v>2022</v>
      </c>
      <c r="D633" t="s">
        <v>1936</v>
      </c>
      <c r="E633" t="s">
        <v>157</v>
      </c>
      <c r="F633" t="s">
        <v>2025</v>
      </c>
      <c r="H633" t="s">
        <v>17</v>
      </c>
      <c r="I633" t="s">
        <v>2026</v>
      </c>
    </row>
    <row r="634" spans="1:9" hidden="1" x14ac:dyDescent="0.3">
      <c r="A634" t="s">
        <v>2029</v>
      </c>
      <c r="B634" t="s">
        <v>1739</v>
      </c>
      <c r="C634" t="s">
        <v>2022</v>
      </c>
      <c r="D634" t="s">
        <v>1936</v>
      </c>
      <c r="E634" t="s">
        <v>162</v>
      </c>
      <c r="F634" t="s">
        <v>2028</v>
      </c>
      <c r="H634" t="s">
        <v>17</v>
      </c>
      <c r="I634" t="s">
        <v>2026</v>
      </c>
    </row>
    <row r="635" spans="1:9" hidden="1" x14ac:dyDescent="0.3">
      <c r="A635" t="s">
        <v>2031</v>
      </c>
      <c r="B635" t="s">
        <v>1739</v>
      </c>
      <c r="C635" t="s">
        <v>2022</v>
      </c>
      <c r="D635" t="s">
        <v>1936</v>
      </c>
      <c r="E635" t="s">
        <v>167</v>
      </c>
      <c r="F635" t="s">
        <v>2030</v>
      </c>
      <c r="H635" t="s">
        <v>17</v>
      </c>
      <c r="I635" t="s">
        <v>2026</v>
      </c>
    </row>
    <row r="636" spans="1:9" hidden="1" x14ac:dyDescent="0.3">
      <c r="A636" t="s">
        <v>2033</v>
      </c>
      <c r="B636" t="s">
        <v>1739</v>
      </c>
      <c r="C636" t="s">
        <v>2022</v>
      </c>
      <c r="D636" t="s">
        <v>1936</v>
      </c>
      <c r="E636" t="s">
        <v>172</v>
      </c>
      <c r="F636" t="s">
        <v>2032</v>
      </c>
      <c r="H636" t="s">
        <v>17</v>
      </c>
      <c r="I636" t="s">
        <v>2026</v>
      </c>
    </row>
    <row r="637" spans="1:9" hidden="1" x14ac:dyDescent="0.3">
      <c r="A637" t="s">
        <v>2035</v>
      </c>
      <c r="B637" t="s">
        <v>1739</v>
      </c>
      <c r="C637" t="s">
        <v>2022</v>
      </c>
      <c r="D637" t="s">
        <v>1936</v>
      </c>
      <c r="E637" t="s">
        <v>177</v>
      </c>
      <c r="F637" t="s">
        <v>2034</v>
      </c>
      <c r="H637" t="s">
        <v>17</v>
      </c>
      <c r="I637" t="s">
        <v>2026</v>
      </c>
    </row>
    <row r="638" spans="1:9" hidden="1" x14ac:dyDescent="0.3">
      <c r="A638" t="s">
        <v>2037</v>
      </c>
      <c r="B638" t="s">
        <v>1739</v>
      </c>
      <c r="C638" t="s">
        <v>2022</v>
      </c>
      <c r="D638" t="s">
        <v>1936</v>
      </c>
      <c r="E638" t="s">
        <v>182</v>
      </c>
      <c r="F638" t="s">
        <v>2036</v>
      </c>
      <c r="H638" t="s">
        <v>17</v>
      </c>
      <c r="I638" t="s">
        <v>2026</v>
      </c>
    </row>
    <row r="639" spans="1:9" hidden="1" x14ac:dyDescent="0.3">
      <c r="A639" t="s">
        <v>2039</v>
      </c>
      <c r="B639" t="s">
        <v>1739</v>
      </c>
      <c r="C639" t="s">
        <v>2022</v>
      </c>
      <c r="D639" t="s">
        <v>1936</v>
      </c>
      <c r="E639" t="s">
        <v>187</v>
      </c>
      <c r="F639" t="s">
        <v>2038</v>
      </c>
      <c r="H639" t="s">
        <v>17</v>
      </c>
      <c r="I639" t="s">
        <v>2026</v>
      </c>
    </row>
    <row r="640" spans="1:9" hidden="1" x14ac:dyDescent="0.3">
      <c r="A640" t="s">
        <v>2041</v>
      </c>
      <c r="B640" t="s">
        <v>1739</v>
      </c>
      <c r="C640" t="s">
        <v>2022</v>
      </c>
      <c r="D640" t="s">
        <v>1936</v>
      </c>
      <c r="E640" t="s">
        <v>193</v>
      </c>
      <c r="F640" t="s">
        <v>2040</v>
      </c>
      <c r="H640" t="s">
        <v>17</v>
      </c>
      <c r="I640" t="s">
        <v>2026</v>
      </c>
    </row>
    <row r="641" spans="1:9" hidden="1" x14ac:dyDescent="0.3">
      <c r="A641" t="s">
        <v>2043</v>
      </c>
      <c r="B641" t="s">
        <v>1739</v>
      </c>
      <c r="C641" t="s">
        <v>2022</v>
      </c>
      <c r="D641" t="s">
        <v>1936</v>
      </c>
      <c r="E641" t="s">
        <v>198</v>
      </c>
      <c r="F641" t="s">
        <v>2042</v>
      </c>
      <c r="H641" t="s">
        <v>17</v>
      </c>
      <c r="I641" t="s">
        <v>2026</v>
      </c>
    </row>
    <row r="642" spans="1:9" hidden="1" x14ac:dyDescent="0.3">
      <c r="A642" t="s">
        <v>2045</v>
      </c>
      <c r="B642" t="s">
        <v>1739</v>
      </c>
      <c r="C642" t="s">
        <v>2022</v>
      </c>
      <c r="D642" t="s">
        <v>1936</v>
      </c>
      <c r="E642" t="s">
        <v>202</v>
      </c>
      <c r="F642" t="s">
        <v>2044</v>
      </c>
      <c r="H642" t="s">
        <v>17</v>
      </c>
      <c r="I642" t="s">
        <v>2026</v>
      </c>
    </row>
    <row r="643" spans="1:9" hidden="1" x14ac:dyDescent="0.3">
      <c r="A643" t="s">
        <v>2047</v>
      </c>
      <c r="B643" t="s">
        <v>1739</v>
      </c>
      <c r="C643" t="s">
        <v>2022</v>
      </c>
      <c r="D643" t="s">
        <v>1936</v>
      </c>
      <c r="E643" t="s">
        <v>206</v>
      </c>
      <c r="F643" t="s">
        <v>2046</v>
      </c>
      <c r="H643" t="s">
        <v>17</v>
      </c>
      <c r="I643" t="s">
        <v>2026</v>
      </c>
    </row>
    <row r="644" spans="1:9" hidden="1" x14ac:dyDescent="0.3">
      <c r="A644" t="s">
        <v>2050</v>
      </c>
      <c r="B644" t="s">
        <v>1739</v>
      </c>
      <c r="C644" t="s">
        <v>2022</v>
      </c>
      <c r="D644" t="s">
        <v>1936</v>
      </c>
      <c r="E644" t="s">
        <v>210</v>
      </c>
      <c r="F644" t="s">
        <v>2048</v>
      </c>
      <c r="H644" t="s">
        <v>17</v>
      </c>
      <c r="I644" t="s">
        <v>2049</v>
      </c>
    </row>
    <row r="645" spans="1:9" hidden="1" x14ac:dyDescent="0.3">
      <c r="A645" t="s">
        <v>2053</v>
      </c>
      <c r="B645" t="s">
        <v>1739</v>
      </c>
      <c r="C645" t="s">
        <v>2022</v>
      </c>
      <c r="D645" t="s">
        <v>1936</v>
      </c>
      <c r="E645" t="s">
        <v>214</v>
      </c>
      <c r="F645" t="s">
        <v>2051</v>
      </c>
      <c r="H645" t="s">
        <v>17</v>
      </c>
      <c r="I645" t="s">
        <v>2052</v>
      </c>
    </row>
    <row r="646" spans="1:9" hidden="1" x14ac:dyDescent="0.3">
      <c r="A646" t="s">
        <v>2055</v>
      </c>
      <c r="B646" t="s">
        <v>1739</v>
      </c>
      <c r="C646" t="s">
        <v>2022</v>
      </c>
      <c r="D646" t="s">
        <v>1936</v>
      </c>
      <c r="E646" t="s">
        <v>218</v>
      </c>
      <c r="F646" t="s">
        <v>2054</v>
      </c>
      <c r="H646" t="s">
        <v>17</v>
      </c>
      <c r="I646" t="s">
        <v>2052</v>
      </c>
    </row>
    <row r="647" spans="1:9" hidden="1" x14ac:dyDescent="0.3">
      <c r="A647" t="s">
        <v>2058</v>
      </c>
      <c r="B647" t="s">
        <v>1739</v>
      </c>
      <c r="C647" t="s">
        <v>2022</v>
      </c>
      <c r="D647" t="s">
        <v>1936</v>
      </c>
      <c r="E647" t="s">
        <v>223</v>
      </c>
      <c r="F647" t="s">
        <v>2056</v>
      </c>
      <c r="H647" t="s">
        <v>17</v>
      </c>
      <c r="I647" t="s">
        <v>2057</v>
      </c>
    </row>
    <row r="648" spans="1:9" hidden="1" x14ac:dyDescent="0.3">
      <c r="A648" t="s">
        <v>2061</v>
      </c>
      <c r="B648" t="s">
        <v>1739</v>
      </c>
      <c r="C648" t="s">
        <v>2022</v>
      </c>
      <c r="D648" t="s">
        <v>1936</v>
      </c>
      <c r="E648" t="s">
        <v>228</v>
      </c>
      <c r="F648" t="s">
        <v>2059</v>
      </c>
      <c r="H648" t="s">
        <v>17</v>
      </c>
      <c r="I648" t="s">
        <v>2060</v>
      </c>
    </row>
    <row r="649" spans="1:9" hidden="1" x14ac:dyDescent="0.3">
      <c r="A649" t="s">
        <v>2064</v>
      </c>
      <c r="B649" t="s">
        <v>1739</v>
      </c>
      <c r="C649" t="s">
        <v>2022</v>
      </c>
      <c r="D649" t="s">
        <v>1936</v>
      </c>
      <c r="E649" t="s">
        <v>233</v>
      </c>
      <c r="F649" t="s">
        <v>2062</v>
      </c>
      <c r="H649" t="s">
        <v>17</v>
      </c>
      <c r="I649" t="s">
        <v>2063</v>
      </c>
    </row>
    <row r="650" spans="1:9" hidden="1" x14ac:dyDescent="0.3">
      <c r="A650" t="s">
        <v>2068</v>
      </c>
      <c r="B650" t="s">
        <v>1739</v>
      </c>
      <c r="C650" t="s">
        <v>2022</v>
      </c>
      <c r="D650" t="s">
        <v>1936</v>
      </c>
      <c r="E650" t="s">
        <v>236</v>
      </c>
      <c r="F650" t="s">
        <v>2065</v>
      </c>
      <c r="H650" t="s">
        <v>17</v>
      </c>
      <c r="I650" t="s">
        <v>2066</v>
      </c>
    </row>
    <row r="651" spans="1:9" hidden="1" x14ac:dyDescent="0.3">
      <c r="A651" t="s">
        <v>2071</v>
      </c>
      <c r="B651" t="s">
        <v>1739</v>
      </c>
      <c r="C651" t="s">
        <v>2067</v>
      </c>
      <c r="D651" t="s">
        <v>1936</v>
      </c>
      <c r="E651" t="s">
        <v>239</v>
      </c>
      <c r="F651" t="s">
        <v>2069</v>
      </c>
      <c r="H651" t="s">
        <v>17</v>
      </c>
      <c r="I651" t="s">
        <v>2070</v>
      </c>
    </row>
    <row r="652" spans="1:9" hidden="1" x14ac:dyDescent="0.3">
      <c r="A652" t="s">
        <v>2073</v>
      </c>
      <c r="B652" t="s">
        <v>1739</v>
      </c>
      <c r="C652" t="s">
        <v>2067</v>
      </c>
      <c r="D652" t="s">
        <v>1936</v>
      </c>
      <c r="E652" t="s">
        <v>1881</v>
      </c>
      <c r="F652" t="s">
        <v>2072</v>
      </c>
      <c r="H652" t="s">
        <v>17</v>
      </c>
      <c r="I652" t="s">
        <v>2070</v>
      </c>
    </row>
    <row r="653" spans="1:9" hidden="1" x14ac:dyDescent="0.3">
      <c r="A653" t="s">
        <v>2075</v>
      </c>
      <c r="B653" t="s">
        <v>1739</v>
      </c>
      <c r="C653" t="s">
        <v>2067</v>
      </c>
      <c r="D653" t="s">
        <v>1936</v>
      </c>
      <c r="E653" t="s">
        <v>1885</v>
      </c>
      <c r="F653" t="s">
        <v>2074</v>
      </c>
      <c r="H653" t="s">
        <v>17</v>
      </c>
      <c r="I653" t="s">
        <v>2070</v>
      </c>
    </row>
    <row r="654" spans="1:9" hidden="1" x14ac:dyDescent="0.3">
      <c r="A654" t="s">
        <v>2077</v>
      </c>
      <c r="B654" t="s">
        <v>1739</v>
      </c>
      <c r="C654" t="s">
        <v>2067</v>
      </c>
      <c r="D654" t="s">
        <v>1936</v>
      </c>
      <c r="E654" t="s">
        <v>1588</v>
      </c>
      <c r="F654" t="s">
        <v>2076</v>
      </c>
      <c r="H654" t="s">
        <v>17</v>
      </c>
      <c r="I654" t="s">
        <v>2070</v>
      </c>
    </row>
    <row r="655" spans="1:9" hidden="1" x14ac:dyDescent="0.3">
      <c r="A655" t="s">
        <v>2079</v>
      </c>
      <c r="B655" t="s">
        <v>1739</v>
      </c>
      <c r="C655" t="s">
        <v>2067</v>
      </c>
      <c r="D655" t="s">
        <v>1936</v>
      </c>
      <c r="E655" t="s">
        <v>1892</v>
      </c>
      <c r="F655" t="s">
        <v>2078</v>
      </c>
      <c r="H655" t="s">
        <v>17</v>
      </c>
      <c r="I655" t="s">
        <v>2070</v>
      </c>
    </row>
    <row r="656" spans="1:9" hidden="1" x14ac:dyDescent="0.3">
      <c r="A656" t="s">
        <v>2081</v>
      </c>
      <c r="B656" t="s">
        <v>1739</v>
      </c>
      <c r="C656" t="s">
        <v>2067</v>
      </c>
      <c r="D656" t="s">
        <v>1936</v>
      </c>
      <c r="E656" t="s">
        <v>1146</v>
      </c>
      <c r="F656" t="s">
        <v>2080</v>
      </c>
      <c r="H656" t="s">
        <v>17</v>
      </c>
      <c r="I656" t="s">
        <v>2070</v>
      </c>
    </row>
    <row r="657" spans="1:9" hidden="1" x14ac:dyDescent="0.3">
      <c r="A657" t="s">
        <v>2083</v>
      </c>
      <c r="B657" t="s">
        <v>1739</v>
      </c>
      <c r="C657" t="s">
        <v>2067</v>
      </c>
      <c r="D657" t="s">
        <v>1936</v>
      </c>
      <c r="E657" t="s">
        <v>1150</v>
      </c>
      <c r="F657" t="s">
        <v>2082</v>
      </c>
      <c r="H657" t="s">
        <v>17</v>
      </c>
      <c r="I657" t="s">
        <v>2070</v>
      </c>
    </row>
    <row r="658" spans="1:9" hidden="1" x14ac:dyDescent="0.3">
      <c r="A658" t="s">
        <v>2084</v>
      </c>
      <c r="B658" t="s">
        <v>1739</v>
      </c>
      <c r="C658" t="s">
        <v>2067</v>
      </c>
      <c r="D658" t="s">
        <v>1936</v>
      </c>
      <c r="E658" t="s">
        <v>1154</v>
      </c>
      <c r="F658" t="s">
        <v>1294</v>
      </c>
      <c r="H658" t="s">
        <v>17</v>
      </c>
      <c r="I658" t="s">
        <v>2070</v>
      </c>
    </row>
    <row r="659" spans="1:9" hidden="1" x14ac:dyDescent="0.3">
      <c r="A659" t="s">
        <v>2086</v>
      </c>
      <c r="B659" t="s">
        <v>1739</v>
      </c>
      <c r="C659" t="s">
        <v>2067</v>
      </c>
      <c r="D659" t="s">
        <v>1936</v>
      </c>
      <c r="E659" t="s">
        <v>1158</v>
      </c>
      <c r="F659" t="s">
        <v>2085</v>
      </c>
      <c r="H659" t="s">
        <v>17</v>
      </c>
      <c r="I659" t="s">
        <v>2070</v>
      </c>
    </row>
    <row r="660" spans="1:9" hidden="1" x14ac:dyDescent="0.3">
      <c r="A660" t="s">
        <v>2088</v>
      </c>
      <c r="B660" t="s">
        <v>1739</v>
      </c>
      <c r="C660" t="s">
        <v>2067</v>
      </c>
      <c r="D660" t="s">
        <v>1936</v>
      </c>
      <c r="E660" t="s">
        <v>1162</v>
      </c>
      <c r="F660" t="s">
        <v>2087</v>
      </c>
      <c r="H660" t="s">
        <v>17</v>
      </c>
      <c r="I660" t="s">
        <v>2070</v>
      </c>
    </row>
    <row r="661" spans="1:9" hidden="1" x14ac:dyDescent="0.3">
      <c r="A661" t="s">
        <v>2090</v>
      </c>
      <c r="B661" t="s">
        <v>1739</v>
      </c>
      <c r="C661" t="s">
        <v>2067</v>
      </c>
      <c r="D661" t="s">
        <v>1936</v>
      </c>
      <c r="E661" t="s">
        <v>1165</v>
      </c>
      <c r="F661" t="s">
        <v>2089</v>
      </c>
      <c r="H661" t="s">
        <v>17</v>
      </c>
      <c r="I661" t="s">
        <v>2070</v>
      </c>
    </row>
    <row r="662" spans="1:9" hidden="1" x14ac:dyDescent="0.3">
      <c r="A662" t="s">
        <v>2093</v>
      </c>
      <c r="B662" t="s">
        <v>1739</v>
      </c>
      <c r="C662" t="s">
        <v>2067</v>
      </c>
      <c r="D662" t="s">
        <v>1936</v>
      </c>
      <c r="E662" t="s">
        <v>1168</v>
      </c>
      <c r="F662" t="s">
        <v>2091</v>
      </c>
      <c r="H662" t="s">
        <v>17</v>
      </c>
      <c r="I662" t="s">
        <v>2092</v>
      </c>
    </row>
    <row r="663" spans="1:9" hidden="1" x14ac:dyDescent="0.3">
      <c r="A663" t="s">
        <v>2096</v>
      </c>
      <c r="B663" t="s">
        <v>1739</v>
      </c>
      <c r="C663" t="s">
        <v>2067</v>
      </c>
      <c r="D663" t="s">
        <v>1936</v>
      </c>
      <c r="E663" t="s">
        <v>1172</v>
      </c>
      <c r="F663" t="s">
        <v>2094</v>
      </c>
      <c r="H663" t="s">
        <v>17</v>
      </c>
      <c r="I663" t="s">
        <v>2095</v>
      </c>
    </row>
    <row r="664" spans="1:9" hidden="1" x14ac:dyDescent="0.3">
      <c r="A664" t="s">
        <v>2098</v>
      </c>
      <c r="B664" t="s">
        <v>1739</v>
      </c>
      <c r="C664" t="s">
        <v>2067</v>
      </c>
      <c r="D664" t="s">
        <v>1936</v>
      </c>
      <c r="E664" t="s">
        <v>1176</v>
      </c>
      <c r="F664" t="s">
        <v>2097</v>
      </c>
      <c r="H664" t="s">
        <v>17</v>
      </c>
      <c r="I664" t="s">
        <v>2092</v>
      </c>
    </row>
    <row r="665" spans="1:9" hidden="1" x14ac:dyDescent="0.3">
      <c r="A665" t="s">
        <v>2100</v>
      </c>
      <c r="B665" t="s">
        <v>1739</v>
      </c>
      <c r="C665" t="s">
        <v>2067</v>
      </c>
      <c r="D665" t="s">
        <v>1936</v>
      </c>
      <c r="E665" t="s">
        <v>1179</v>
      </c>
      <c r="F665" t="s">
        <v>2099</v>
      </c>
      <c r="H665" t="s">
        <v>17</v>
      </c>
      <c r="I665" t="s">
        <v>2095</v>
      </c>
    </row>
    <row r="666" spans="1:9" hidden="1" x14ac:dyDescent="0.3">
      <c r="A666" t="s">
        <v>2102</v>
      </c>
      <c r="B666" t="s">
        <v>1739</v>
      </c>
      <c r="C666" t="s">
        <v>2067</v>
      </c>
      <c r="D666" t="s">
        <v>1936</v>
      </c>
      <c r="E666" t="s">
        <v>1184</v>
      </c>
      <c r="F666" t="s">
        <v>2101</v>
      </c>
      <c r="H666" t="s">
        <v>17</v>
      </c>
      <c r="I666" t="s">
        <v>2092</v>
      </c>
    </row>
    <row r="667" spans="1:9" hidden="1" x14ac:dyDescent="0.3">
      <c r="A667" t="s">
        <v>2104</v>
      </c>
      <c r="B667" t="s">
        <v>1739</v>
      </c>
      <c r="C667" t="s">
        <v>2067</v>
      </c>
      <c r="D667" t="s">
        <v>1936</v>
      </c>
      <c r="E667" t="s">
        <v>1189</v>
      </c>
      <c r="F667" t="s">
        <v>2103</v>
      </c>
      <c r="H667" t="s">
        <v>17</v>
      </c>
      <c r="I667" t="s">
        <v>2095</v>
      </c>
    </row>
    <row r="668" spans="1:9" hidden="1" x14ac:dyDescent="0.3">
      <c r="A668" t="s">
        <v>2106</v>
      </c>
      <c r="B668" t="s">
        <v>1739</v>
      </c>
      <c r="C668" t="s">
        <v>2067</v>
      </c>
      <c r="D668" t="s">
        <v>1936</v>
      </c>
      <c r="E668" t="s">
        <v>1193</v>
      </c>
      <c r="F668" t="s">
        <v>2105</v>
      </c>
      <c r="H668" t="s">
        <v>17</v>
      </c>
      <c r="I668" t="s">
        <v>2092</v>
      </c>
    </row>
    <row r="669" spans="1:9" hidden="1" x14ac:dyDescent="0.3">
      <c r="A669" t="s">
        <v>2108</v>
      </c>
      <c r="B669" t="s">
        <v>1739</v>
      </c>
      <c r="C669" t="s">
        <v>2067</v>
      </c>
      <c r="D669" t="s">
        <v>1936</v>
      </c>
      <c r="E669" t="s">
        <v>1197</v>
      </c>
      <c r="F669" t="s">
        <v>2107</v>
      </c>
      <c r="H669" t="s">
        <v>17</v>
      </c>
      <c r="I669" t="s">
        <v>2095</v>
      </c>
    </row>
    <row r="670" spans="1:9" hidden="1" x14ac:dyDescent="0.3">
      <c r="A670" t="s">
        <v>2110</v>
      </c>
      <c r="B670" t="s">
        <v>1739</v>
      </c>
      <c r="C670" t="s">
        <v>2067</v>
      </c>
      <c r="D670" t="s">
        <v>1936</v>
      </c>
      <c r="E670" t="s">
        <v>1201</v>
      </c>
      <c r="F670" t="s">
        <v>2109</v>
      </c>
      <c r="H670" t="s">
        <v>17</v>
      </c>
      <c r="I670" t="s">
        <v>2092</v>
      </c>
    </row>
    <row r="671" spans="1:9" hidden="1" x14ac:dyDescent="0.3">
      <c r="A671" t="s">
        <v>2112</v>
      </c>
      <c r="B671" t="s">
        <v>1739</v>
      </c>
      <c r="C671" t="s">
        <v>2067</v>
      </c>
      <c r="D671" t="s">
        <v>1936</v>
      </c>
      <c r="E671" t="s">
        <v>1205</v>
      </c>
      <c r="F671" t="s">
        <v>2111</v>
      </c>
      <c r="H671" t="s">
        <v>17</v>
      </c>
      <c r="I671" t="s">
        <v>2095</v>
      </c>
    </row>
    <row r="672" spans="1:9" hidden="1" x14ac:dyDescent="0.3">
      <c r="A672" t="s">
        <v>2114</v>
      </c>
      <c r="B672" t="s">
        <v>1739</v>
      </c>
      <c r="C672" t="s">
        <v>2067</v>
      </c>
      <c r="D672" t="s">
        <v>1936</v>
      </c>
      <c r="E672" t="s">
        <v>1209</v>
      </c>
      <c r="F672" t="s">
        <v>2113</v>
      </c>
      <c r="H672" t="s">
        <v>17</v>
      </c>
      <c r="I672" t="s">
        <v>2092</v>
      </c>
    </row>
    <row r="673" spans="1:9" hidden="1" x14ac:dyDescent="0.3">
      <c r="A673" t="s">
        <v>2116</v>
      </c>
      <c r="B673" t="s">
        <v>1739</v>
      </c>
      <c r="C673" t="s">
        <v>2067</v>
      </c>
      <c r="D673" t="s">
        <v>1936</v>
      </c>
      <c r="E673" t="s">
        <v>1213</v>
      </c>
      <c r="F673" t="s">
        <v>2115</v>
      </c>
      <c r="H673" t="s">
        <v>17</v>
      </c>
      <c r="I673" t="s">
        <v>2095</v>
      </c>
    </row>
    <row r="674" spans="1:9" hidden="1" x14ac:dyDescent="0.3">
      <c r="A674" t="s">
        <v>2118</v>
      </c>
      <c r="B674" t="s">
        <v>1739</v>
      </c>
      <c r="C674" t="s">
        <v>2067</v>
      </c>
      <c r="D674" t="s">
        <v>1936</v>
      </c>
      <c r="E674" t="s">
        <v>1219</v>
      </c>
      <c r="F674" t="s">
        <v>2117</v>
      </c>
      <c r="H674" t="s">
        <v>17</v>
      </c>
      <c r="I674" t="s">
        <v>2092</v>
      </c>
    </row>
    <row r="675" spans="1:9" hidden="1" x14ac:dyDescent="0.3">
      <c r="A675" t="s">
        <v>2120</v>
      </c>
      <c r="B675" t="s">
        <v>1739</v>
      </c>
      <c r="C675" t="s">
        <v>2067</v>
      </c>
      <c r="D675" t="s">
        <v>1936</v>
      </c>
      <c r="E675" t="s">
        <v>1224</v>
      </c>
      <c r="F675" t="s">
        <v>2119</v>
      </c>
      <c r="H675" t="s">
        <v>17</v>
      </c>
      <c r="I675" t="s">
        <v>2095</v>
      </c>
    </row>
    <row r="676" spans="1:9" hidden="1" x14ac:dyDescent="0.3">
      <c r="A676" t="s">
        <v>2122</v>
      </c>
      <c r="B676" t="s">
        <v>1739</v>
      </c>
      <c r="C676" t="s">
        <v>2067</v>
      </c>
      <c r="D676" t="s">
        <v>1936</v>
      </c>
      <c r="E676" t="s">
        <v>1228</v>
      </c>
      <c r="F676" t="s">
        <v>2121</v>
      </c>
      <c r="H676" t="s">
        <v>17</v>
      </c>
      <c r="I676" t="s">
        <v>2092</v>
      </c>
    </row>
    <row r="677" spans="1:9" hidden="1" x14ac:dyDescent="0.3">
      <c r="A677" t="s">
        <v>2124</v>
      </c>
      <c r="B677" t="s">
        <v>1739</v>
      </c>
      <c r="C677" t="s">
        <v>2067</v>
      </c>
      <c r="D677" t="s">
        <v>1936</v>
      </c>
      <c r="E677" t="s">
        <v>1232</v>
      </c>
      <c r="F677" t="s">
        <v>2123</v>
      </c>
      <c r="H677" t="s">
        <v>17</v>
      </c>
      <c r="I677" t="s">
        <v>2095</v>
      </c>
    </row>
    <row r="678" spans="1:9" hidden="1" x14ac:dyDescent="0.3">
      <c r="A678" t="s">
        <v>2126</v>
      </c>
      <c r="B678" t="s">
        <v>1739</v>
      </c>
      <c r="C678" t="s">
        <v>2067</v>
      </c>
      <c r="D678" t="s">
        <v>1936</v>
      </c>
      <c r="E678" t="s">
        <v>1236</v>
      </c>
      <c r="F678" t="s">
        <v>2125</v>
      </c>
      <c r="H678" t="s">
        <v>17</v>
      </c>
      <c r="I678" t="s">
        <v>2092</v>
      </c>
    </row>
    <row r="679" spans="1:9" hidden="1" x14ac:dyDescent="0.3">
      <c r="A679" t="s">
        <v>2128</v>
      </c>
      <c r="B679" t="s">
        <v>1739</v>
      </c>
      <c r="C679" t="s">
        <v>2067</v>
      </c>
      <c r="D679" t="s">
        <v>1936</v>
      </c>
      <c r="E679" t="s">
        <v>1244</v>
      </c>
      <c r="F679" t="s">
        <v>2127</v>
      </c>
      <c r="H679" t="s">
        <v>17</v>
      </c>
      <c r="I679" t="s">
        <v>2092</v>
      </c>
    </row>
    <row r="680" spans="1:9" hidden="1" x14ac:dyDescent="0.3">
      <c r="A680" t="s">
        <v>2130</v>
      </c>
      <c r="B680" t="s">
        <v>1739</v>
      </c>
      <c r="C680" t="s">
        <v>2067</v>
      </c>
      <c r="D680" t="s">
        <v>1936</v>
      </c>
      <c r="E680" t="s">
        <v>1248</v>
      </c>
      <c r="F680" t="s">
        <v>2129</v>
      </c>
      <c r="H680" t="s">
        <v>17</v>
      </c>
      <c r="I680" t="s">
        <v>2095</v>
      </c>
    </row>
    <row r="681" spans="1:9" hidden="1" x14ac:dyDescent="0.3">
      <c r="A681" t="s">
        <v>2132</v>
      </c>
      <c r="B681" t="s">
        <v>1739</v>
      </c>
      <c r="C681" t="s">
        <v>2067</v>
      </c>
      <c r="D681" t="s">
        <v>1936</v>
      </c>
      <c r="E681" t="s">
        <v>1252</v>
      </c>
      <c r="F681" t="s">
        <v>2131</v>
      </c>
      <c r="H681" t="s">
        <v>17</v>
      </c>
      <c r="I681" t="s">
        <v>2092</v>
      </c>
    </row>
    <row r="682" spans="1:9" hidden="1" x14ac:dyDescent="0.3">
      <c r="A682" t="s">
        <v>2136</v>
      </c>
      <c r="B682" t="s">
        <v>1739</v>
      </c>
      <c r="C682" t="s">
        <v>2067</v>
      </c>
      <c r="D682" t="s">
        <v>1936</v>
      </c>
      <c r="E682" t="s">
        <v>1256</v>
      </c>
      <c r="F682" t="s">
        <v>2133</v>
      </c>
      <c r="H682" t="s">
        <v>17</v>
      </c>
      <c r="I682" t="s">
        <v>2095</v>
      </c>
    </row>
    <row r="683" spans="1:9" hidden="1" x14ac:dyDescent="0.3">
      <c r="A683" t="s">
        <v>2138</v>
      </c>
      <c r="B683" t="s">
        <v>1739</v>
      </c>
      <c r="C683" t="s">
        <v>2134</v>
      </c>
      <c r="D683" t="s">
        <v>2135</v>
      </c>
      <c r="E683" t="s">
        <v>996</v>
      </c>
      <c r="F683" t="s">
        <v>552</v>
      </c>
      <c r="H683" t="s">
        <v>17</v>
      </c>
      <c r="I683" t="s">
        <v>2137</v>
      </c>
    </row>
    <row r="684" spans="1:9" hidden="1" x14ac:dyDescent="0.3">
      <c r="A684" t="s">
        <v>2140</v>
      </c>
      <c r="B684" t="s">
        <v>1739</v>
      </c>
      <c r="C684" t="s">
        <v>2134</v>
      </c>
      <c r="D684" t="s">
        <v>2135</v>
      </c>
      <c r="E684" t="s">
        <v>1001</v>
      </c>
      <c r="F684" t="s">
        <v>1641</v>
      </c>
      <c r="H684" t="s">
        <v>17</v>
      </c>
      <c r="I684" t="s">
        <v>2139</v>
      </c>
    </row>
    <row r="685" spans="1:9" hidden="1" x14ac:dyDescent="0.3">
      <c r="A685" t="s">
        <v>629</v>
      </c>
      <c r="B685" t="s">
        <v>1739</v>
      </c>
      <c r="C685" t="s">
        <v>2134</v>
      </c>
      <c r="D685" t="s">
        <v>2135</v>
      </c>
      <c r="E685" t="s">
        <v>1942</v>
      </c>
      <c r="F685" t="s">
        <v>1644</v>
      </c>
      <c r="H685" t="s">
        <v>17</v>
      </c>
      <c r="I685" t="s">
        <v>2141</v>
      </c>
    </row>
    <row r="686" spans="1:9" hidden="1" x14ac:dyDescent="0.3">
      <c r="A686" t="s">
        <v>2144</v>
      </c>
      <c r="B686" t="s">
        <v>1739</v>
      </c>
      <c r="C686" t="s">
        <v>2134</v>
      </c>
      <c r="D686" t="s">
        <v>2135</v>
      </c>
      <c r="E686" t="s">
        <v>22</v>
      </c>
      <c r="F686" t="s">
        <v>2142</v>
      </c>
      <c r="H686" t="s">
        <v>17</v>
      </c>
      <c r="I686" t="s">
        <v>2143</v>
      </c>
    </row>
    <row r="687" spans="1:9" hidden="1" x14ac:dyDescent="0.3">
      <c r="A687" t="s">
        <v>2147</v>
      </c>
      <c r="B687" t="s">
        <v>1739</v>
      </c>
      <c r="C687" t="s">
        <v>2134</v>
      </c>
      <c r="D687" t="s">
        <v>2135</v>
      </c>
      <c r="E687" t="s">
        <v>27</v>
      </c>
      <c r="F687" t="s">
        <v>2145</v>
      </c>
      <c r="H687" t="s">
        <v>17</v>
      </c>
      <c r="I687" t="s">
        <v>2146</v>
      </c>
    </row>
    <row r="688" spans="1:9" hidden="1" x14ac:dyDescent="0.3">
      <c r="A688" t="s">
        <v>633</v>
      </c>
      <c r="B688" t="s">
        <v>1739</v>
      </c>
      <c r="C688" t="s">
        <v>2134</v>
      </c>
      <c r="D688" t="s">
        <v>2135</v>
      </c>
      <c r="E688" t="s">
        <v>1014</v>
      </c>
      <c r="F688" t="s">
        <v>1645</v>
      </c>
      <c r="H688" t="s">
        <v>17</v>
      </c>
      <c r="I688" t="s">
        <v>2143</v>
      </c>
    </row>
    <row r="689" spans="1:9" hidden="1" x14ac:dyDescent="0.3">
      <c r="A689" t="s">
        <v>2151</v>
      </c>
      <c r="B689" t="s">
        <v>1739</v>
      </c>
      <c r="C689" t="s">
        <v>2148</v>
      </c>
      <c r="D689" t="s">
        <v>2135</v>
      </c>
      <c r="E689" t="s">
        <v>1017</v>
      </c>
      <c r="F689" t="s">
        <v>2149</v>
      </c>
      <c r="H689" t="s">
        <v>17</v>
      </c>
      <c r="I689" t="s">
        <v>2150</v>
      </c>
    </row>
    <row r="690" spans="1:9" hidden="1" x14ac:dyDescent="0.3">
      <c r="A690" t="s">
        <v>2153</v>
      </c>
      <c r="B690" t="s">
        <v>1739</v>
      </c>
      <c r="C690" t="s">
        <v>2148</v>
      </c>
      <c r="D690" t="s">
        <v>2135</v>
      </c>
      <c r="E690" t="s">
        <v>36</v>
      </c>
      <c r="F690" t="s">
        <v>1648</v>
      </c>
      <c r="H690" t="s">
        <v>17</v>
      </c>
      <c r="I690" t="s">
        <v>2152</v>
      </c>
    </row>
    <row r="691" spans="1:9" hidden="1" x14ac:dyDescent="0.3">
      <c r="A691" t="s">
        <v>636</v>
      </c>
      <c r="B691" t="s">
        <v>1739</v>
      </c>
      <c r="C691" t="s">
        <v>2148</v>
      </c>
      <c r="D691" t="s">
        <v>2135</v>
      </c>
      <c r="E691" t="s">
        <v>41</v>
      </c>
      <c r="F691" t="s">
        <v>2154</v>
      </c>
      <c r="H691" t="s">
        <v>17</v>
      </c>
      <c r="I691" t="s">
        <v>2155</v>
      </c>
    </row>
    <row r="692" spans="1:9" hidden="1" x14ac:dyDescent="0.3">
      <c r="A692" t="s">
        <v>2159</v>
      </c>
      <c r="B692" t="s">
        <v>1739</v>
      </c>
      <c r="C692" t="s">
        <v>2148</v>
      </c>
      <c r="D692" t="s">
        <v>2135</v>
      </c>
      <c r="E692" t="s">
        <v>2156</v>
      </c>
      <c r="F692" t="s">
        <v>2157</v>
      </c>
      <c r="H692" t="s">
        <v>17</v>
      </c>
      <c r="I692" t="s">
        <v>2158</v>
      </c>
    </row>
    <row r="693" spans="1:9" hidden="1" x14ac:dyDescent="0.3">
      <c r="A693" t="s">
        <v>2162</v>
      </c>
      <c r="B693" t="s">
        <v>1739</v>
      </c>
      <c r="C693" t="s">
        <v>2148</v>
      </c>
      <c r="D693" t="s">
        <v>2135</v>
      </c>
      <c r="E693" t="s">
        <v>53</v>
      </c>
      <c r="F693" t="s">
        <v>2160</v>
      </c>
      <c r="H693" t="s">
        <v>17</v>
      </c>
      <c r="I693" t="s">
        <v>2161</v>
      </c>
    </row>
    <row r="694" spans="1:9" hidden="1" x14ac:dyDescent="0.3">
      <c r="A694" t="s">
        <v>639</v>
      </c>
      <c r="B694" t="s">
        <v>1739</v>
      </c>
      <c r="C694" t="s">
        <v>2148</v>
      </c>
      <c r="D694" t="s">
        <v>2135</v>
      </c>
      <c r="E694" t="s">
        <v>56</v>
      </c>
      <c r="F694" t="s">
        <v>2163</v>
      </c>
      <c r="H694" t="s">
        <v>17</v>
      </c>
      <c r="I694" t="s">
        <v>2164</v>
      </c>
    </row>
    <row r="695" spans="1:9" hidden="1" x14ac:dyDescent="0.3">
      <c r="A695" t="s">
        <v>2165</v>
      </c>
      <c r="B695" t="s">
        <v>1739</v>
      </c>
      <c r="C695" t="s">
        <v>2148</v>
      </c>
      <c r="D695" t="s">
        <v>2135</v>
      </c>
      <c r="E695" t="s">
        <v>61</v>
      </c>
      <c r="F695" t="s">
        <v>1661</v>
      </c>
      <c r="H695" t="s">
        <v>17</v>
      </c>
      <c r="I695" t="s">
        <v>2095</v>
      </c>
    </row>
    <row r="696" spans="1:9" hidden="1" x14ac:dyDescent="0.3">
      <c r="A696" t="s">
        <v>2169</v>
      </c>
      <c r="B696" t="s">
        <v>1739</v>
      </c>
      <c r="C696" t="s">
        <v>2148</v>
      </c>
      <c r="D696" t="s">
        <v>2135</v>
      </c>
      <c r="E696" t="s">
        <v>1039</v>
      </c>
      <c r="F696" t="s">
        <v>2166</v>
      </c>
      <c r="H696" t="s">
        <v>17</v>
      </c>
      <c r="I696" t="s">
        <v>2167</v>
      </c>
    </row>
    <row r="697" spans="1:9" hidden="1" x14ac:dyDescent="0.3">
      <c r="A697" t="s">
        <v>642</v>
      </c>
      <c r="B697" t="s">
        <v>1739</v>
      </c>
      <c r="C697" t="s">
        <v>2148</v>
      </c>
      <c r="D697" t="s">
        <v>2135</v>
      </c>
      <c r="E697" t="s">
        <v>2168</v>
      </c>
      <c r="F697" t="s">
        <v>2170</v>
      </c>
      <c r="H697" t="s">
        <v>17</v>
      </c>
      <c r="I697" t="s">
        <v>2171</v>
      </c>
    </row>
    <row r="698" spans="1:9" hidden="1" x14ac:dyDescent="0.3">
      <c r="A698" t="s">
        <v>2174</v>
      </c>
      <c r="B698" t="s">
        <v>1739</v>
      </c>
      <c r="C698" t="s">
        <v>2148</v>
      </c>
      <c r="D698" t="s">
        <v>2135</v>
      </c>
      <c r="E698" t="s">
        <v>1050</v>
      </c>
      <c r="F698" t="s">
        <v>2172</v>
      </c>
      <c r="H698" t="s">
        <v>17</v>
      </c>
      <c r="I698" t="s">
        <v>2173</v>
      </c>
    </row>
    <row r="699" spans="1:9" hidden="1" x14ac:dyDescent="0.3">
      <c r="A699" t="s">
        <v>2176</v>
      </c>
      <c r="B699" t="s">
        <v>1739</v>
      </c>
      <c r="C699" t="s">
        <v>2148</v>
      </c>
      <c r="D699" t="s">
        <v>2135</v>
      </c>
      <c r="E699" t="s">
        <v>1055</v>
      </c>
      <c r="F699" t="s">
        <v>1436</v>
      </c>
      <c r="H699" t="s">
        <v>17</v>
      </c>
      <c r="I699" t="s">
        <v>1438</v>
      </c>
    </row>
    <row r="700" spans="1:9" hidden="1" x14ac:dyDescent="0.3">
      <c r="A700" t="s">
        <v>645</v>
      </c>
      <c r="B700" t="s">
        <v>1739</v>
      </c>
      <c r="C700" t="s">
        <v>2175</v>
      </c>
      <c r="D700" t="s">
        <v>2135</v>
      </c>
      <c r="E700" t="s">
        <v>1792</v>
      </c>
      <c r="F700" t="s">
        <v>747</v>
      </c>
      <c r="H700" t="s">
        <v>17</v>
      </c>
    </row>
    <row r="701" spans="1:9" hidden="1" x14ac:dyDescent="0.3">
      <c r="A701" t="s">
        <v>2179</v>
      </c>
      <c r="B701" t="s">
        <v>1739</v>
      </c>
      <c r="C701" t="s">
        <v>2175</v>
      </c>
      <c r="D701" t="s">
        <v>2135</v>
      </c>
      <c r="E701" t="s">
        <v>90</v>
      </c>
      <c r="F701" t="s">
        <v>2177</v>
      </c>
      <c r="H701" t="s">
        <v>17</v>
      </c>
      <c r="I701" t="s">
        <v>2178</v>
      </c>
    </row>
    <row r="702" spans="1:9" hidden="1" x14ac:dyDescent="0.3">
      <c r="A702" t="s">
        <v>2181</v>
      </c>
      <c r="B702" t="s">
        <v>1739</v>
      </c>
      <c r="C702" t="s">
        <v>2175</v>
      </c>
      <c r="D702" t="s">
        <v>2135</v>
      </c>
      <c r="E702" t="s">
        <v>95</v>
      </c>
      <c r="F702" t="s">
        <v>1679</v>
      </c>
      <c r="H702" t="s">
        <v>17</v>
      </c>
      <c r="I702" t="s">
        <v>2180</v>
      </c>
    </row>
    <row r="703" spans="1:9" hidden="1" x14ac:dyDescent="0.3">
      <c r="A703" t="s">
        <v>648</v>
      </c>
      <c r="B703" t="s">
        <v>1739</v>
      </c>
      <c r="C703" t="s">
        <v>2175</v>
      </c>
      <c r="D703" t="s">
        <v>2135</v>
      </c>
      <c r="E703" t="s">
        <v>100</v>
      </c>
      <c r="F703" t="s">
        <v>1682</v>
      </c>
      <c r="H703" t="s">
        <v>17</v>
      </c>
      <c r="I703" t="s">
        <v>2180</v>
      </c>
    </row>
    <row r="704" spans="1:9" hidden="1" x14ac:dyDescent="0.3">
      <c r="A704" t="s">
        <v>2182</v>
      </c>
      <c r="B704" t="s">
        <v>1739</v>
      </c>
      <c r="C704" t="s">
        <v>2175</v>
      </c>
      <c r="D704" t="s">
        <v>2135</v>
      </c>
      <c r="E704" t="s">
        <v>106</v>
      </c>
      <c r="F704" t="s">
        <v>1684</v>
      </c>
      <c r="H704" t="s">
        <v>17</v>
      </c>
      <c r="I704" t="s">
        <v>2180</v>
      </c>
    </row>
    <row r="705" spans="1:9" hidden="1" x14ac:dyDescent="0.3">
      <c r="A705" t="s">
        <v>2184</v>
      </c>
      <c r="B705" t="s">
        <v>1739</v>
      </c>
      <c r="C705" t="s">
        <v>2175</v>
      </c>
      <c r="D705" t="s">
        <v>2135</v>
      </c>
      <c r="E705" t="s">
        <v>111</v>
      </c>
      <c r="F705" t="s">
        <v>1686</v>
      </c>
      <c r="H705" t="s">
        <v>17</v>
      </c>
      <c r="I705" t="s">
        <v>2180</v>
      </c>
    </row>
    <row r="706" spans="1:9" hidden="1" x14ac:dyDescent="0.3">
      <c r="A706" t="s">
        <v>651</v>
      </c>
      <c r="B706" t="s">
        <v>1739</v>
      </c>
      <c r="C706" t="s">
        <v>2175</v>
      </c>
      <c r="D706" t="s">
        <v>2135</v>
      </c>
      <c r="E706" t="s">
        <v>2183</v>
      </c>
      <c r="F706" t="s">
        <v>2185</v>
      </c>
      <c r="G706" t="s">
        <v>2186</v>
      </c>
      <c r="H706" t="s">
        <v>17</v>
      </c>
      <c r="I706" t="s">
        <v>2187</v>
      </c>
    </row>
    <row r="707" spans="1:9" hidden="1" x14ac:dyDescent="0.3">
      <c r="A707" t="s">
        <v>656</v>
      </c>
      <c r="B707" t="s">
        <v>1739</v>
      </c>
      <c r="C707" t="s">
        <v>2175</v>
      </c>
      <c r="D707" t="s">
        <v>2135</v>
      </c>
      <c r="E707" t="s">
        <v>2188</v>
      </c>
      <c r="F707" t="s">
        <v>760</v>
      </c>
      <c r="H707" t="s">
        <v>17</v>
      </c>
    </row>
    <row r="708" spans="1:9" hidden="1" x14ac:dyDescent="0.3">
      <c r="A708" t="s">
        <v>659</v>
      </c>
      <c r="B708" t="s">
        <v>1739</v>
      </c>
      <c r="C708" t="s">
        <v>2175</v>
      </c>
      <c r="D708" t="s">
        <v>2135</v>
      </c>
      <c r="E708" t="s">
        <v>2189</v>
      </c>
      <c r="F708" t="s">
        <v>1692</v>
      </c>
      <c r="H708" t="s">
        <v>17</v>
      </c>
    </row>
    <row r="709" spans="1:9" hidden="1" x14ac:dyDescent="0.3">
      <c r="A709" t="s">
        <v>662</v>
      </c>
      <c r="B709" t="s">
        <v>1739</v>
      </c>
      <c r="C709" t="s">
        <v>2175</v>
      </c>
      <c r="D709" t="s">
        <v>2135</v>
      </c>
      <c r="E709" t="s">
        <v>135</v>
      </c>
      <c r="F709" t="s">
        <v>2190</v>
      </c>
      <c r="G709" t="s">
        <v>2191</v>
      </c>
      <c r="H709" t="s">
        <v>17</v>
      </c>
      <c r="I709" t="s">
        <v>414</v>
      </c>
    </row>
    <row r="710" spans="1:9" hidden="1" x14ac:dyDescent="0.3">
      <c r="A710" t="s">
        <v>665</v>
      </c>
      <c r="B710" t="s">
        <v>1739</v>
      </c>
      <c r="C710" t="s">
        <v>2175</v>
      </c>
      <c r="D710" t="s">
        <v>2135</v>
      </c>
      <c r="E710" t="s">
        <v>138</v>
      </c>
      <c r="F710" t="s">
        <v>2192</v>
      </c>
      <c r="G710" t="s">
        <v>2193</v>
      </c>
      <c r="H710" t="s">
        <v>17</v>
      </c>
      <c r="I710" t="s">
        <v>2194</v>
      </c>
    </row>
    <row r="711" spans="1:9" hidden="1" x14ac:dyDescent="0.3">
      <c r="A711" t="s">
        <v>668</v>
      </c>
      <c r="B711" t="s">
        <v>1739</v>
      </c>
      <c r="C711" t="s">
        <v>2175</v>
      </c>
      <c r="D711" t="s">
        <v>2135</v>
      </c>
      <c r="E711" t="s">
        <v>141</v>
      </c>
      <c r="F711" t="s">
        <v>2195</v>
      </c>
      <c r="H711" t="s">
        <v>17</v>
      </c>
      <c r="I711" t="s">
        <v>414</v>
      </c>
    </row>
    <row r="712" spans="1:9" hidden="1" x14ac:dyDescent="0.3">
      <c r="A712" t="s">
        <v>671</v>
      </c>
      <c r="B712" t="s">
        <v>1739</v>
      </c>
      <c r="C712" t="s">
        <v>2175</v>
      </c>
      <c r="D712" t="s">
        <v>2135</v>
      </c>
      <c r="E712" t="s">
        <v>144</v>
      </c>
      <c r="F712" t="s">
        <v>2196</v>
      </c>
      <c r="H712" t="s">
        <v>17</v>
      </c>
      <c r="I712" t="s">
        <v>2197</v>
      </c>
    </row>
    <row r="713" spans="1:9" hidden="1" x14ac:dyDescent="0.3">
      <c r="A713" t="s">
        <v>674</v>
      </c>
      <c r="B713" t="s">
        <v>1739</v>
      </c>
      <c r="C713" t="s">
        <v>2175</v>
      </c>
      <c r="D713" t="s">
        <v>2135</v>
      </c>
      <c r="E713" t="s">
        <v>147</v>
      </c>
      <c r="F713" t="s">
        <v>2198</v>
      </c>
      <c r="H713" t="s">
        <v>17</v>
      </c>
      <c r="I713" t="s">
        <v>2199</v>
      </c>
    </row>
    <row r="714" spans="1:9" hidden="1" x14ac:dyDescent="0.3">
      <c r="A714" t="s">
        <v>2201</v>
      </c>
      <c r="B714" t="s">
        <v>1739</v>
      </c>
      <c r="C714" t="s">
        <v>2175</v>
      </c>
      <c r="D714" t="s">
        <v>2135</v>
      </c>
      <c r="E714" t="s">
        <v>152</v>
      </c>
      <c r="F714" t="s">
        <v>1697</v>
      </c>
      <c r="H714" t="s">
        <v>17</v>
      </c>
    </row>
    <row r="715" spans="1:9" hidden="1" x14ac:dyDescent="0.3">
      <c r="A715" t="s">
        <v>680</v>
      </c>
      <c r="B715" t="s">
        <v>1739</v>
      </c>
      <c r="C715" t="s">
        <v>2175</v>
      </c>
      <c r="D715" t="s">
        <v>2135</v>
      </c>
      <c r="E715" t="s">
        <v>2200</v>
      </c>
      <c r="F715" t="s">
        <v>824</v>
      </c>
      <c r="H715" t="s">
        <v>17</v>
      </c>
    </row>
    <row r="716" spans="1:9" hidden="1" x14ac:dyDescent="0.3">
      <c r="A716" t="s">
        <v>2203</v>
      </c>
      <c r="B716" t="s">
        <v>1739</v>
      </c>
      <c r="C716" t="s">
        <v>2175</v>
      </c>
      <c r="D716" t="s">
        <v>2135</v>
      </c>
      <c r="E716" t="s">
        <v>167</v>
      </c>
      <c r="F716" t="s">
        <v>1699</v>
      </c>
      <c r="H716" t="s">
        <v>17</v>
      </c>
      <c r="I716" t="s">
        <v>2202</v>
      </c>
    </row>
    <row r="717" spans="1:9" hidden="1" x14ac:dyDescent="0.3">
      <c r="A717" t="s">
        <v>685</v>
      </c>
      <c r="B717" t="s">
        <v>1739</v>
      </c>
      <c r="C717" t="s">
        <v>2175</v>
      </c>
      <c r="D717" t="s">
        <v>2135</v>
      </c>
      <c r="E717" t="s">
        <v>172</v>
      </c>
      <c r="F717" t="s">
        <v>2204</v>
      </c>
      <c r="H717" t="s">
        <v>17</v>
      </c>
      <c r="I717" t="s">
        <v>2205</v>
      </c>
    </row>
    <row r="718" spans="1:9" hidden="1" x14ac:dyDescent="0.3">
      <c r="A718" t="s">
        <v>2208</v>
      </c>
      <c r="B718" t="s">
        <v>1739</v>
      </c>
      <c r="C718" t="s">
        <v>2175</v>
      </c>
      <c r="D718" t="s">
        <v>2135</v>
      </c>
      <c r="E718" t="s">
        <v>177</v>
      </c>
      <c r="F718" t="s">
        <v>2206</v>
      </c>
      <c r="H718" t="s">
        <v>17</v>
      </c>
      <c r="I718" t="s">
        <v>2207</v>
      </c>
    </row>
    <row r="719" spans="1:9" hidden="1" x14ac:dyDescent="0.3">
      <c r="A719" t="s">
        <v>2210</v>
      </c>
      <c r="B719" t="s">
        <v>1739</v>
      </c>
      <c r="C719" t="s">
        <v>2175</v>
      </c>
      <c r="D719" t="s">
        <v>2135</v>
      </c>
      <c r="E719" t="s">
        <v>182</v>
      </c>
      <c r="F719" t="s">
        <v>843</v>
      </c>
      <c r="H719" t="s">
        <v>17</v>
      </c>
      <c r="I719" t="s">
        <v>2209</v>
      </c>
    </row>
    <row r="720" spans="1:9" hidden="1" x14ac:dyDescent="0.3">
      <c r="A720" t="s">
        <v>10</v>
      </c>
      <c r="B720" t="s">
        <v>1739</v>
      </c>
      <c r="C720" t="s">
        <v>2175</v>
      </c>
      <c r="D720" t="s">
        <v>2135</v>
      </c>
      <c r="E720" t="s">
        <v>202</v>
      </c>
      <c r="F720" t="s">
        <v>864</v>
      </c>
      <c r="H720" t="s">
        <v>17</v>
      </c>
      <c r="I720" t="s">
        <v>2211</v>
      </c>
    </row>
    <row r="721" spans="1:9" hidden="1" x14ac:dyDescent="0.3">
      <c r="A721" t="s">
        <v>629</v>
      </c>
      <c r="B721" t="s">
        <v>2212</v>
      </c>
      <c r="F721" t="s">
        <v>2213</v>
      </c>
    </row>
    <row r="722" spans="1:9" hidden="1" x14ac:dyDescent="0.3">
      <c r="A722" t="s">
        <v>2144</v>
      </c>
      <c r="B722" t="s">
        <v>2212</v>
      </c>
      <c r="D722" t="s">
        <v>13</v>
      </c>
      <c r="E722" t="s">
        <v>13</v>
      </c>
      <c r="F722" t="s">
        <v>1520</v>
      </c>
      <c r="H722" t="s">
        <v>17</v>
      </c>
      <c r="I722" t="s">
        <v>2214</v>
      </c>
    </row>
    <row r="723" spans="1:9" hidden="1" x14ac:dyDescent="0.3">
      <c r="A723" t="s">
        <v>2147</v>
      </c>
      <c r="B723" t="s">
        <v>2212</v>
      </c>
      <c r="D723" t="s">
        <v>13</v>
      </c>
      <c r="E723" t="s">
        <v>1936</v>
      </c>
      <c r="F723" t="s">
        <v>2215</v>
      </c>
      <c r="H723" t="s">
        <v>17</v>
      </c>
      <c r="I723" t="s">
        <v>2216</v>
      </c>
    </row>
    <row r="724" spans="1:9" hidden="1" x14ac:dyDescent="0.3">
      <c r="A724" t="s">
        <v>2151</v>
      </c>
      <c r="B724" t="s">
        <v>2212</v>
      </c>
      <c r="D724" t="s">
        <v>13</v>
      </c>
      <c r="E724" t="s">
        <v>2217</v>
      </c>
      <c r="F724" t="s">
        <v>2218</v>
      </c>
      <c r="H724" t="s">
        <v>17</v>
      </c>
      <c r="I724" t="s">
        <v>2219</v>
      </c>
    </row>
    <row r="725" spans="1:9" hidden="1" x14ac:dyDescent="0.3">
      <c r="A725" t="s">
        <v>2153</v>
      </c>
      <c r="B725" t="s">
        <v>2212</v>
      </c>
      <c r="D725" t="s">
        <v>13</v>
      </c>
      <c r="E725" t="s">
        <v>1743</v>
      </c>
      <c r="F725" t="s">
        <v>2220</v>
      </c>
      <c r="H725" t="s">
        <v>17</v>
      </c>
      <c r="I725" t="s">
        <v>2221</v>
      </c>
    </row>
    <row r="726" spans="1:9" hidden="1" x14ac:dyDescent="0.3">
      <c r="A726" t="s">
        <v>2159</v>
      </c>
      <c r="B726" t="s">
        <v>2212</v>
      </c>
      <c r="D726" t="s">
        <v>13</v>
      </c>
      <c r="E726" t="s">
        <v>2222</v>
      </c>
      <c r="F726" t="s">
        <v>2223</v>
      </c>
      <c r="H726" t="s">
        <v>17</v>
      </c>
      <c r="I726" t="s">
        <v>2224</v>
      </c>
    </row>
    <row r="727" spans="1:9" hidden="1" x14ac:dyDescent="0.3">
      <c r="A727" t="s">
        <v>2162</v>
      </c>
      <c r="B727" t="s">
        <v>2212</v>
      </c>
      <c r="D727" t="s">
        <v>13</v>
      </c>
      <c r="E727" t="s">
        <v>1942</v>
      </c>
      <c r="F727" t="s">
        <v>2225</v>
      </c>
      <c r="H727" t="s">
        <v>17</v>
      </c>
      <c r="I727" t="s">
        <v>2226</v>
      </c>
    </row>
    <row r="728" spans="1:9" hidden="1" x14ac:dyDescent="0.3">
      <c r="A728" t="s">
        <v>639</v>
      </c>
      <c r="B728" t="s">
        <v>2212</v>
      </c>
      <c r="D728" t="s">
        <v>13</v>
      </c>
      <c r="E728" t="s">
        <v>22</v>
      </c>
      <c r="F728" t="s">
        <v>2227</v>
      </c>
      <c r="H728" t="s">
        <v>17</v>
      </c>
      <c r="I728" t="s">
        <v>2226</v>
      </c>
    </row>
    <row r="729" spans="1:9" hidden="1" x14ac:dyDescent="0.3">
      <c r="A729" t="s">
        <v>2165</v>
      </c>
      <c r="B729" t="s">
        <v>2212</v>
      </c>
      <c r="D729" t="s">
        <v>13</v>
      </c>
      <c r="E729" t="s">
        <v>27</v>
      </c>
      <c r="F729" t="s">
        <v>2228</v>
      </c>
      <c r="H729" t="s">
        <v>17</v>
      </c>
      <c r="I729" t="s">
        <v>2226</v>
      </c>
    </row>
    <row r="730" spans="1:9" hidden="1" x14ac:dyDescent="0.3">
      <c r="A730" t="s">
        <v>2169</v>
      </c>
      <c r="B730" t="s">
        <v>2212</v>
      </c>
      <c r="D730" t="s">
        <v>13</v>
      </c>
      <c r="E730" t="s">
        <v>1014</v>
      </c>
      <c r="F730" t="s">
        <v>2229</v>
      </c>
      <c r="H730" t="s">
        <v>17</v>
      </c>
      <c r="I730" t="s">
        <v>2230</v>
      </c>
    </row>
    <row r="731" spans="1:9" hidden="1" x14ac:dyDescent="0.3">
      <c r="A731" t="s">
        <v>642</v>
      </c>
      <c r="B731" t="s">
        <v>2212</v>
      </c>
      <c r="D731" t="s">
        <v>13</v>
      </c>
      <c r="E731" t="s">
        <v>1017</v>
      </c>
      <c r="F731" t="s">
        <v>2231</v>
      </c>
      <c r="H731" t="s">
        <v>17</v>
      </c>
      <c r="I731" t="s">
        <v>2232</v>
      </c>
    </row>
    <row r="732" spans="1:9" hidden="1" x14ac:dyDescent="0.3">
      <c r="A732" t="s">
        <v>2174</v>
      </c>
      <c r="B732" t="s">
        <v>2212</v>
      </c>
      <c r="D732" t="s">
        <v>13</v>
      </c>
      <c r="E732" t="s">
        <v>36</v>
      </c>
      <c r="F732" t="s">
        <v>2233</v>
      </c>
      <c r="H732" t="s">
        <v>17</v>
      </c>
      <c r="I732" t="s">
        <v>2234</v>
      </c>
    </row>
    <row r="733" spans="1:9" hidden="1" x14ac:dyDescent="0.3">
      <c r="A733" t="s">
        <v>2176</v>
      </c>
      <c r="B733" t="s">
        <v>2212</v>
      </c>
      <c r="D733" t="s">
        <v>13</v>
      </c>
      <c r="E733" t="s">
        <v>41</v>
      </c>
      <c r="F733" t="s">
        <v>2235</v>
      </c>
      <c r="H733" t="s">
        <v>17</v>
      </c>
      <c r="I733" t="s">
        <v>2236</v>
      </c>
    </row>
    <row r="734" spans="1:9" hidden="1" x14ac:dyDescent="0.3">
      <c r="A734" t="s">
        <v>645</v>
      </c>
      <c r="B734" t="s">
        <v>2212</v>
      </c>
      <c r="D734" t="s">
        <v>13</v>
      </c>
      <c r="E734" t="s">
        <v>45</v>
      </c>
      <c r="F734" t="s">
        <v>2237</v>
      </c>
      <c r="H734" t="s">
        <v>17</v>
      </c>
      <c r="I734" t="s">
        <v>2234</v>
      </c>
    </row>
    <row r="735" spans="1:9" hidden="1" x14ac:dyDescent="0.3">
      <c r="A735" t="s">
        <v>2181</v>
      </c>
      <c r="B735" t="s">
        <v>2212</v>
      </c>
      <c r="D735" t="s">
        <v>13</v>
      </c>
      <c r="E735" t="s">
        <v>2238</v>
      </c>
      <c r="F735" t="s">
        <v>2239</v>
      </c>
      <c r="H735" t="s">
        <v>17</v>
      </c>
    </row>
    <row r="736" spans="1:9" hidden="1" x14ac:dyDescent="0.3">
      <c r="A736" t="s">
        <v>648</v>
      </c>
      <c r="B736" t="s">
        <v>2212</v>
      </c>
      <c r="D736" t="s">
        <v>13</v>
      </c>
      <c r="E736" t="s">
        <v>56</v>
      </c>
      <c r="F736" t="s">
        <v>2240</v>
      </c>
      <c r="H736" t="s">
        <v>17</v>
      </c>
      <c r="I736" t="s">
        <v>2241</v>
      </c>
    </row>
    <row r="737" spans="1:9" hidden="1" x14ac:dyDescent="0.3">
      <c r="A737" t="s">
        <v>2182</v>
      </c>
      <c r="B737" t="s">
        <v>2212</v>
      </c>
      <c r="D737" t="s">
        <v>13</v>
      </c>
      <c r="E737" t="s">
        <v>61</v>
      </c>
      <c r="F737" t="s">
        <v>2242</v>
      </c>
      <c r="H737" t="s">
        <v>17</v>
      </c>
      <c r="I737" t="s">
        <v>2243</v>
      </c>
    </row>
    <row r="738" spans="1:9" hidden="1" x14ac:dyDescent="0.3">
      <c r="A738" t="s">
        <v>2184</v>
      </c>
      <c r="B738" t="s">
        <v>2212</v>
      </c>
      <c r="D738" t="s">
        <v>13</v>
      </c>
      <c r="E738" t="s">
        <v>1039</v>
      </c>
      <c r="F738" t="s">
        <v>2244</v>
      </c>
      <c r="H738" t="s">
        <v>17</v>
      </c>
      <c r="I738" t="s">
        <v>2245</v>
      </c>
    </row>
    <row r="739" spans="1:9" hidden="1" x14ac:dyDescent="0.3">
      <c r="A739" t="s">
        <v>651</v>
      </c>
      <c r="B739" t="s">
        <v>2212</v>
      </c>
      <c r="D739" t="s">
        <v>13</v>
      </c>
      <c r="E739" t="s">
        <v>1043</v>
      </c>
      <c r="F739" t="s">
        <v>2246</v>
      </c>
      <c r="H739" t="s">
        <v>17</v>
      </c>
      <c r="I739" t="s">
        <v>2247</v>
      </c>
    </row>
    <row r="740" spans="1:9" hidden="1" x14ac:dyDescent="0.3">
      <c r="A740" t="s">
        <v>656</v>
      </c>
      <c r="B740" t="s">
        <v>2212</v>
      </c>
      <c r="D740" t="s">
        <v>13</v>
      </c>
      <c r="E740" t="s">
        <v>71</v>
      </c>
      <c r="F740" t="s">
        <v>2248</v>
      </c>
      <c r="H740" t="s">
        <v>17</v>
      </c>
      <c r="I740" t="s">
        <v>2249</v>
      </c>
    </row>
    <row r="741" spans="1:9" hidden="1" x14ac:dyDescent="0.3">
      <c r="A741" t="s">
        <v>659</v>
      </c>
      <c r="B741" t="s">
        <v>2212</v>
      </c>
      <c r="D741" t="s">
        <v>13</v>
      </c>
      <c r="E741" t="s">
        <v>1050</v>
      </c>
      <c r="F741" t="s">
        <v>2250</v>
      </c>
      <c r="H741" t="s">
        <v>17</v>
      </c>
      <c r="I741" t="s">
        <v>2251</v>
      </c>
    </row>
    <row r="742" spans="1:9" hidden="1" x14ac:dyDescent="0.3">
      <c r="A742" t="s">
        <v>662</v>
      </c>
      <c r="B742" t="s">
        <v>2212</v>
      </c>
      <c r="D742" t="s">
        <v>13</v>
      </c>
      <c r="E742" t="s">
        <v>1055</v>
      </c>
      <c r="F742" t="s">
        <v>2252</v>
      </c>
      <c r="H742" t="s">
        <v>17</v>
      </c>
      <c r="I742" t="s">
        <v>2253</v>
      </c>
    </row>
    <row r="743" spans="1:9" hidden="1" x14ac:dyDescent="0.3">
      <c r="A743" t="s">
        <v>665</v>
      </c>
      <c r="B743" t="s">
        <v>2212</v>
      </c>
      <c r="D743" t="s">
        <v>13</v>
      </c>
      <c r="E743" t="s">
        <v>80</v>
      </c>
      <c r="F743" t="s">
        <v>2254</v>
      </c>
      <c r="H743" t="s">
        <v>17</v>
      </c>
      <c r="I743" t="s">
        <v>2255</v>
      </c>
    </row>
    <row r="744" spans="1:9" hidden="1" x14ac:dyDescent="0.3">
      <c r="A744" t="s">
        <v>668</v>
      </c>
      <c r="B744" t="s">
        <v>2212</v>
      </c>
      <c r="D744" t="s">
        <v>13</v>
      </c>
      <c r="E744" t="s">
        <v>85</v>
      </c>
      <c r="F744" t="s">
        <v>2256</v>
      </c>
      <c r="H744" t="s">
        <v>17</v>
      </c>
      <c r="I744" t="s">
        <v>2257</v>
      </c>
    </row>
    <row r="745" spans="1:9" hidden="1" x14ac:dyDescent="0.3">
      <c r="A745" t="s">
        <v>674</v>
      </c>
      <c r="B745" t="s">
        <v>2212</v>
      </c>
      <c r="D745" t="s">
        <v>13</v>
      </c>
      <c r="E745" t="s">
        <v>90</v>
      </c>
      <c r="F745" t="s">
        <v>2258</v>
      </c>
      <c r="H745" t="s">
        <v>17</v>
      </c>
      <c r="I745" t="s">
        <v>2259</v>
      </c>
    </row>
    <row r="746" spans="1:9" hidden="1" x14ac:dyDescent="0.3">
      <c r="A746" t="s">
        <v>2201</v>
      </c>
      <c r="B746" t="s">
        <v>2212</v>
      </c>
      <c r="D746" t="s">
        <v>13</v>
      </c>
      <c r="E746" t="s">
        <v>100</v>
      </c>
      <c r="F746" t="s">
        <v>2260</v>
      </c>
      <c r="H746" t="s">
        <v>17</v>
      </c>
      <c r="I746" t="s">
        <v>2261</v>
      </c>
    </row>
    <row r="747" spans="1:9" hidden="1" x14ac:dyDescent="0.3">
      <c r="A747" t="s">
        <v>680</v>
      </c>
      <c r="B747" t="s">
        <v>2212</v>
      </c>
      <c r="D747" t="s">
        <v>13</v>
      </c>
      <c r="E747" t="s">
        <v>106</v>
      </c>
      <c r="F747" t="s">
        <v>2262</v>
      </c>
      <c r="H747" t="s">
        <v>17</v>
      </c>
      <c r="I747" t="s">
        <v>2263</v>
      </c>
    </row>
    <row r="748" spans="1:9" hidden="1" x14ac:dyDescent="0.3">
      <c r="A748" t="s">
        <v>685</v>
      </c>
      <c r="B748" t="s">
        <v>2212</v>
      </c>
      <c r="D748" t="s">
        <v>13</v>
      </c>
      <c r="E748" t="s">
        <v>1072</v>
      </c>
      <c r="F748" t="s">
        <v>2264</v>
      </c>
      <c r="H748" t="s">
        <v>17</v>
      </c>
    </row>
    <row r="749" spans="1:9" hidden="1" x14ac:dyDescent="0.3">
      <c r="A749" t="s">
        <v>2208</v>
      </c>
      <c r="B749" t="s">
        <v>2212</v>
      </c>
      <c r="D749" t="s">
        <v>13</v>
      </c>
      <c r="E749" t="s">
        <v>117</v>
      </c>
      <c r="F749" t="s">
        <v>2265</v>
      </c>
      <c r="H749" t="s">
        <v>17</v>
      </c>
      <c r="I749" t="s">
        <v>2266</v>
      </c>
    </row>
    <row r="750" spans="1:9" hidden="1" x14ac:dyDescent="0.3">
      <c r="A750" t="s">
        <v>690</v>
      </c>
      <c r="B750" t="s">
        <v>2212</v>
      </c>
      <c r="D750" t="s">
        <v>13</v>
      </c>
      <c r="E750" t="s">
        <v>121</v>
      </c>
      <c r="F750" t="s">
        <v>2267</v>
      </c>
      <c r="H750" t="s">
        <v>17</v>
      </c>
      <c r="I750" t="s">
        <v>2268</v>
      </c>
    </row>
    <row r="751" spans="1:9" hidden="1" x14ac:dyDescent="0.3">
      <c r="A751" t="s">
        <v>2210</v>
      </c>
      <c r="B751" t="s">
        <v>2212</v>
      </c>
      <c r="D751" t="s">
        <v>13</v>
      </c>
      <c r="E751" t="s">
        <v>126</v>
      </c>
      <c r="F751" t="s">
        <v>2269</v>
      </c>
      <c r="H751" t="s">
        <v>17</v>
      </c>
      <c r="I751" t="s">
        <v>2270</v>
      </c>
    </row>
    <row r="752" spans="1:9" hidden="1" x14ac:dyDescent="0.3">
      <c r="A752" t="s">
        <v>695</v>
      </c>
      <c r="B752" t="s">
        <v>2212</v>
      </c>
      <c r="D752" t="s">
        <v>13</v>
      </c>
      <c r="E752" t="s">
        <v>129</v>
      </c>
      <c r="F752" t="s">
        <v>2271</v>
      </c>
      <c r="H752" t="s">
        <v>17</v>
      </c>
      <c r="I752" t="s">
        <v>2272</v>
      </c>
    </row>
    <row r="753" spans="1:9" hidden="1" x14ac:dyDescent="0.3">
      <c r="A753" t="s">
        <v>701</v>
      </c>
      <c r="B753" t="s">
        <v>2212</v>
      </c>
      <c r="D753" t="s">
        <v>13</v>
      </c>
      <c r="E753" t="s">
        <v>132</v>
      </c>
      <c r="F753" t="s">
        <v>2273</v>
      </c>
      <c r="H753" t="s">
        <v>17</v>
      </c>
      <c r="I753" t="s">
        <v>104</v>
      </c>
    </row>
    <row r="754" spans="1:9" hidden="1" x14ac:dyDescent="0.3">
      <c r="A754" t="s">
        <v>706</v>
      </c>
      <c r="B754" t="s">
        <v>2212</v>
      </c>
      <c r="D754" t="s">
        <v>13</v>
      </c>
      <c r="E754" t="s">
        <v>135</v>
      </c>
      <c r="F754" t="s">
        <v>2274</v>
      </c>
      <c r="H754" t="s">
        <v>17</v>
      </c>
      <c r="I754" t="s">
        <v>414</v>
      </c>
    </row>
    <row r="755" spans="1:9" hidden="1" x14ac:dyDescent="0.3">
      <c r="A755" t="s">
        <v>709</v>
      </c>
      <c r="B755" t="s">
        <v>2212</v>
      </c>
      <c r="D755" t="s">
        <v>13</v>
      </c>
      <c r="E755" t="s">
        <v>138</v>
      </c>
      <c r="F755" t="s">
        <v>2275</v>
      </c>
      <c r="H755" t="s">
        <v>17</v>
      </c>
      <c r="I755" t="s">
        <v>2276</v>
      </c>
    </row>
    <row r="756" spans="1:9" hidden="1" x14ac:dyDescent="0.3">
      <c r="A756" t="s">
        <v>713</v>
      </c>
      <c r="B756" t="s">
        <v>2212</v>
      </c>
      <c r="D756" t="s">
        <v>13</v>
      </c>
      <c r="E756" t="s">
        <v>141</v>
      </c>
      <c r="F756" t="s">
        <v>2277</v>
      </c>
      <c r="H756" t="s">
        <v>17</v>
      </c>
      <c r="I756" t="s">
        <v>2278</v>
      </c>
    </row>
    <row r="757" spans="1:9" hidden="1" x14ac:dyDescent="0.3">
      <c r="A757" t="s">
        <v>716</v>
      </c>
      <c r="B757" t="s">
        <v>2212</v>
      </c>
      <c r="D757" t="s">
        <v>13</v>
      </c>
      <c r="E757" t="s">
        <v>144</v>
      </c>
      <c r="F757" t="s">
        <v>2279</v>
      </c>
      <c r="H757" t="s">
        <v>17</v>
      </c>
      <c r="I757" t="s">
        <v>2280</v>
      </c>
    </row>
    <row r="758" spans="1:9" hidden="1" x14ac:dyDescent="0.3">
      <c r="A758" t="s">
        <v>721</v>
      </c>
      <c r="B758" t="s">
        <v>2212</v>
      </c>
      <c r="D758" t="s">
        <v>13</v>
      </c>
      <c r="E758" t="s">
        <v>147</v>
      </c>
      <c r="F758" t="s">
        <v>2281</v>
      </c>
      <c r="H758" t="s">
        <v>17</v>
      </c>
      <c r="I758" t="s">
        <v>414</v>
      </c>
    </row>
    <row r="759" spans="1:9" hidden="1" x14ac:dyDescent="0.3">
      <c r="A759" t="s">
        <v>724</v>
      </c>
      <c r="B759" t="s">
        <v>2212</v>
      </c>
      <c r="D759" t="s">
        <v>13</v>
      </c>
      <c r="E759" t="s">
        <v>152</v>
      </c>
      <c r="F759" t="s">
        <v>2282</v>
      </c>
      <c r="H759" t="s">
        <v>17</v>
      </c>
      <c r="I759" t="s">
        <v>2283</v>
      </c>
    </row>
    <row r="760" spans="1:9" hidden="1" x14ac:dyDescent="0.3">
      <c r="A760" t="s">
        <v>727</v>
      </c>
      <c r="B760" t="s">
        <v>2212</v>
      </c>
      <c r="D760" t="s">
        <v>13</v>
      </c>
      <c r="E760" t="s">
        <v>157</v>
      </c>
      <c r="F760" t="s">
        <v>2284</v>
      </c>
      <c r="H760" t="s">
        <v>17</v>
      </c>
      <c r="I760" t="s">
        <v>2283</v>
      </c>
    </row>
    <row r="761" spans="1:9" hidden="1" x14ac:dyDescent="0.3">
      <c r="A761" t="s">
        <v>730</v>
      </c>
      <c r="B761" t="s">
        <v>2212</v>
      </c>
      <c r="D761" t="s">
        <v>13</v>
      </c>
      <c r="E761" t="s">
        <v>162</v>
      </c>
      <c r="F761" t="s">
        <v>2285</v>
      </c>
      <c r="H761" t="s">
        <v>17</v>
      </c>
      <c r="I761" t="s">
        <v>2283</v>
      </c>
    </row>
    <row r="762" spans="1:9" hidden="1" x14ac:dyDescent="0.3">
      <c r="A762" t="s">
        <v>735</v>
      </c>
      <c r="B762" t="s">
        <v>2212</v>
      </c>
      <c r="D762" t="s">
        <v>13</v>
      </c>
      <c r="E762" t="s">
        <v>167</v>
      </c>
      <c r="F762" t="s">
        <v>2286</v>
      </c>
      <c r="H762" t="s">
        <v>17</v>
      </c>
      <c r="I762" t="s">
        <v>2283</v>
      </c>
    </row>
    <row r="763" spans="1:9" hidden="1" x14ac:dyDescent="0.3">
      <c r="A763" t="s">
        <v>740</v>
      </c>
      <c r="B763" t="s">
        <v>2212</v>
      </c>
      <c r="D763" t="s">
        <v>13</v>
      </c>
      <c r="E763" t="s">
        <v>172</v>
      </c>
      <c r="F763" t="s">
        <v>2287</v>
      </c>
      <c r="H763" t="s">
        <v>17</v>
      </c>
      <c r="I763" t="s">
        <v>2288</v>
      </c>
    </row>
    <row r="764" spans="1:9" hidden="1" x14ac:dyDescent="0.3">
      <c r="A764" t="s">
        <v>2291</v>
      </c>
      <c r="B764" t="s">
        <v>2212</v>
      </c>
      <c r="D764" t="s">
        <v>13</v>
      </c>
      <c r="E764" t="s">
        <v>177</v>
      </c>
      <c r="F764" t="s">
        <v>2289</v>
      </c>
      <c r="H764" t="s">
        <v>17</v>
      </c>
      <c r="I764" t="s">
        <v>2290</v>
      </c>
    </row>
    <row r="765" spans="1:9" hidden="1" x14ac:dyDescent="0.3">
      <c r="A765" t="s">
        <v>2294</v>
      </c>
      <c r="B765" t="s">
        <v>2212</v>
      </c>
      <c r="D765" t="s">
        <v>13</v>
      </c>
      <c r="E765" t="s">
        <v>1118</v>
      </c>
      <c r="F765" t="s">
        <v>2292</v>
      </c>
      <c r="H765" t="s">
        <v>17</v>
      </c>
      <c r="I765" t="s">
        <v>2293</v>
      </c>
    </row>
    <row r="766" spans="1:9" hidden="1" x14ac:dyDescent="0.3">
      <c r="A766" t="s">
        <v>759</v>
      </c>
      <c r="B766" t="s">
        <v>2212</v>
      </c>
      <c r="D766" t="s">
        <v>13</v>
      </c>
      <c r="E766" t="s">
        <v>1123</v>
      </c>
      <c r="F766" t="s">
        <v>2295</v>
      </c>
      <c r="H766" t="s">
        <v>17</v>
      </c>
      <c r="I766" t="s">
        <v>2293</v>
      </c>
    </row>
    <row r="767" spans="1:9" hidden="1" x14ac:dyDescent="0.3">
      <c r="A767" t="s">
        <v>2297</v>
      </c>
      <c r="B767" t="s">
        <v>2212</v>
      </c>
      <c r="D767" t="s">
        <v>13</v>
      </c>
      <c r="E767" t="s">
        <v>1127</v>
      </c>
      <c r="F767" t="s">
        <v>2296</v>
      </c>
      <c r="H767" t="s">
        <v>17</v>
      </c>
      <c r="I767" t="s">
        <v>2293</v>
      </c>
    </row>
    <row r="768" spans="1:9" hidden="1" x14ac:dyDescent="0.3">
      <c r="A768" t="s">
        <v>763</v>
      </c>
      <c r="B768" t="s">
        <v>2212</v>
      </c>
      <c r="D768" t="s">
        <v>13</v>
      </c>
      <c r="E768" t="s">
        <v>1131</v>
      </c>
      <c r="F768" t="s">
        <v>2298</v>
      </c>
      <c r="H768" t="s">
        <v>17</v>
      </c>
      <c r="I768" t="s">
        <v>2293</v>
      </c>
    </row>
    <row r="769" spans="1:9" hidden="1" x14ac:dyDescent="0.3">
      <c r="A769" t="s">
        <v>768</v>
      </c>
      <c r="B769" t="s">
        <v>2212</v>
      </c>
      <c r="D769" t="s">
        <v>13</v>
      </c>
      <c r="E769" t="s">
        <v>1136</v>
      </c>
      <c r="F769" t="s">
        <v>2299</v>
      </c>
      <c r="H769" t="s">
        <v>17</v>
      </c>
      <c r="I769" t="s">
        <v>2293</v>
      </c>
    </row>
    <row r="770" spans="1:9" hidden="1" x14ac:dyDescent="0.3">
      <c r="A770" t="s">
        <v>2301</v>
      </c>
      <c r="B770" t="s">
        <v>2212</v>
      </c>
      <c r="D770" t="s">
        <v>13</v>
      </c>
      <c r="E770" t="s">
        <v>245</v>
      </c>
      <c r="F770" t="s">
        <v>2300</v>
      </c>
      <c r="H770" t="s">
        <v>17</v>
      </c>
      <c r="I770" t="s">
        <v>2293</v>
      </c>
    </row>
    <row r="771" spans="1:9" hidden="1" x14ac:dyDescent="0.3">
      <c r="A771" t="s">
        <v>773</v>
      </c>
      <c r="B771" t="s">
        <v>2212</v>
      </c>
      <c r="D771" t="s">
        <v>13</v>
      </c>
      <c r="E771" t="s">
        <v>250</v>
      </c>
      <c r="F771" t="s">
        <v>2302</v>
      </c>
      <c r="H771" t="s">
        <v>17</v>
      </c>
      <c r="I771" t="s">
        <v>2293</v>
      </c>
    </row>
    <row r="772" spans="1:9" hidden="1" x14ac:dyDescent="0.3">
      <c r="A772" t="s">
        <v>2304</v>
      </c>
      <c r="B772" t="s">
        <v>2212</v>
      </c>
      <c r="D772" t="s">
        <v>13</v>
      </c>
      <c r="E772" t="s">
        <v>253</v>
      </c>
      <c r="F772" t="s">
        <v>2303</v>
      </c>
      <c r="H772" t="s">
        <v>17</v>
      </c>
      <c r="I772" t="s">
        <v>2293</v>
      </c>
    </row>
    <row r="773" spans="1:9" hidden="1" x14ac:dyDescent="0.3">
      <c r="A773" t="s">
        <v>778</v>
      </c>
      <c r="B773" t="s">
        <v>2212</v>
      </c>
      <c r="D773" t="s">
        <v>13</v>
      </c>
      <c r="E773" t="s">
        <v>256</v>
      </c>
      <c r="F773" t="s">
        <v>2305</v>
      </c>
      <c r="H773" t="s">
        <v>17</v>
      </c>
      <c r="I773" t="s">
        <v>2293</v>
      </c>
    </row>
    <row r="774" spans="1:9" hidden="1" x14ac:dyDescent="0.3">
      <c r="A774" t="s">
        <v>783</v>
      </c>
      <c r="B774" t="s">
        <v>2212</v>
      </c>
      <c r="D774" t="s">
        <v>13</v>
      </c>
      <c r="E774" t="s">
        <v>259</v>
      </c>
      <c r="F774" t="s">
        <v>2306</v>
      </c>
      <c r="H774" t="s">
        <v>17</v>
      </c>
      <c r="I774" t="s">
        <v>2293</v>
      </c>
    </row>
    <row r="775" spans="1:9" hidden="1" x14ac:dyDescent="0.3">
      <c r="A775" t="s">
        <v>788</v>
      </c>
      <c r="B775" t="s">
        <v>2212</v>
      </c>
      <c r="D775" t="s">
        <v>13</v>
      </c>
      <c r="E775" t="s">
        <v>262</v>
      </c>
      <c r="F775" t="s">
        <v>2307</v>
      </c>
      <c r="H775" t="s">
        <v>17</v>
      </c>
      <c r="I775" t="s">
        <v>2293</v>
      </c>
    </row>
    <row r="776" spans="1:9" hidden="1" x14ac:dyDescent="0.3">
      <c r="A776" t="s">
        <v>2309</v>
      </c>
      <c r="B776" t="s">
        <v>2212</v>
      </c>
      <c r="D776" t="s">
        <v>13</v>
      </c>
      <c r="E776" t="s">
        <v>1176</v>
      </c>
      <c r="F776" t="s">
        <v>2308</v>
      </c>
      <c r="H776" t="s">
        <v>17</v>
      </c>
      <c r="I776" t="s">
        <v>548</v>
      </c>
    </row>
    <row r="777" spans="1:9" hidden="1" x14ac:dyDescent="0.3">
      <c r="A777" t="s">
        <v>2312</v>
      </c>
      <c r="B777" t="s">
        <v>2212</v>
      </c>
      <c r="D777" t="s">
        <v>13</v>
      </c>
      <c r="E777" t="s">
        <v>1179</v>
      </c>
      <c r="F777" t="s">
        <v>2310</v>
      </c>
      <c r="H777" t="s">
        <v>17</v>
      </c>
      <c r="I777" t="s">
        <v>2311</v>
      </c>
    </row>
    <row r="778" spans="1:9" hidden="1" x14ac:dyDescent="0.3">
      <c r="A778" t="s">
        <v>792</v>
      </c>
      <c r="B778" t="s">
        <v>2212</v>
      </c>
      <c r="D778" t="s">
        <v>13</v>
      </c>
      <c r="E778" t="s">
        <v>1184</v>
      </c>
      <c r="F778" t="s">
        <v>2313</v>
      </c>
      <c r="H778" t="s">
        <v>17</v>
      </c>
      <c r="I778" t="s">
        <v>2314</v>
      </c>
    </row>
    <row r="779" spans="1:9" hidden="1" x14ac:dyDescent="0.3">
      <c r="A779" t="s">
        <v>2318</v>
      </c>
      <c r="B779" t="s">
        <v>2212</v>
      </c>
      <c r="D779" t="s">
        <v>13</v>
      </c>
      <c r="E779" t="s">
        <v>1189</v>
      </c>
      <c r="F779" t="s">
        <v>2315</v>
      </c>
      <c r="H779" t="s">
        <v>17</v>
      </c>
      <c r="I779" t="s">
        <v>2316</v>
      </c>
    </row>
    <row r="780" spans="1:9" hidden="1" x14ac:dyDescent="0.3">
      <c r="A780" t="s">
        <v>2321</v>
      </c>
      <c r="B780" t="s">
        <v>2212</v>
      </c>
      <c r="C780" t="s">
        <v>2317</v>
      </c>
      <c r="D780" t="s">
        <v>13</v>
      </c>
      <c r="E780" t="s">
        <v>1193</v>
      </c>
      <c r="F780" t="s">
        <v>2319</v>
      </c>
      <c r="H780" t="s">
        <v>17</v>
      </c>
      <c r="I780" t="s">
        <v>2320</v>
      </c>
    </row>
    <row r="781" spans="1:9" hidden="1" x14ac:dyDescent="0.3">
      <c r="A781" t="s">
        <v>796</v>
      </c>
      <c r="B781" t="s">
        <v>2212</v>
      </c>
      <c r="C781" t="s">
        <v>2317</v>
      </c>
      <c r="D781" t="s">
        <v>13</v>
      </c>
      <c r="E781" t="s">
        <v>1197</v>
      </c>
      <c r="F781" t="s">
        <v>2322</v>
      </c>
      <c r="H781" t="s">
        <v>17</v>
      </c>
      <c r="I781" t="s">
        <v>2320</v>
      </c>
    </row>
    <row r="782" spans="1:9" hidden="1" x14ac:dyDescent="0.3">
      <c r="A782" t="s">
        <v>2324</v>
      </c>
      <c r="B782" t="s">
        <v>2212</v>
      </c>
      <c r="C782" t="s">
        <v>2317</v>
      </c>
      <c r="D782" t="s">
        <v>13</v>
      </c>
      <c r="E782" t="s">
        <v>1201</v>
      </c>
      <c r="F782" t="s">
        <v>2323</v>
      </c>
      <c r="H782" t="s">
        <v>17</v>
      </c>
      <c r="I782" t="s">
        <v>2320</v>
      </c>
    </row>
    <row r="783" spans="1:9" hidden="1" x14ac:dyDescent="0.3">
      <c r="A783" t="s">
        <v>2327</v>
      </c>
      <c r="B783" t="s">
        <v>2212</v>
      </c>
      <c r="C783" t="s">
        <v>2317</v>
      </c>
      <c r="D783" t="s">
        <v>13</v>
      </c>
      <c r="E783" t="s">
        <v>1205</v>
      </c>
      <c r="F783" t="s">
        <v>2325</v>
      </c>
      <c r="H783" t="s">
        <v>17</v>
      </c>
      <c r="I783" t="s">
        <v>2320</v>
      </c>
    </row>
    <row r="784" spans="1:9" hidden="1" x14ac:dyDescent="0.3">
      <c r="A784" t="s">
        <v>2330</v>
      </c>
      <c r="B784" t="s">
        <v>2212</v>
      </c>
      <c r="C784" t="s">
        <v>2326</v>
      </c>
      <c r="D784" t="s">
        <v>13</v>
      </c>
      <c r="E784" t="s">
        <v>1213</v>
      </c>
      <c r="F784" t="s">
        <v>2328</v>
      </c>
      <c r="H784" t="s">
        <v>17</v>
      </c>
      <c r="I784" t="s">
        <v>2329</v>
      </c>
    </row>
    <row r="785" spans="1:9" hidden="1" x14ac:dyDescent="0.3">
      <c r="A785" t="s">
        <v>2332</v>
      </c>
      <c r="B785" t="s">
        <v>2212</v>
      </c>
      <c r="C785" t="s">
        <v>2326</v>
      </c>
      <c r="D785" t="s">
        <v>13</v>
      </c>
      <c r="E785" t="s">
        <v>1219</v>
      </c>
      <c r="F785" t="s">
        <v>2331</v>
      </c>
      <c r="H785" t="s">
        <v>17</v>
      </c>
      <c r="I785" t="s">
        <v>2329</v>
      </c>
    </row>
    <row r="786" spans="1:9" hidden="1" x14ac:dyDescent="0.3">
      <c r="A786" t="s">
        <v>2334</v>
      </c>
      <c r="B786" t="s">
        <v>2212</v>
      </c>
      <c r="C786" t="s">
        <v>2326</v>
      </c>
      <c r="D786" t="s">
        <v>13</v>
      </c>
      <c r="E786" t="s">
        <v>1224</v>
      </c>
      <c r="F786" t="s">
        <v>2333</v>
      </c>
      <c r="H786" t="s">
        <v>17</v>
      </c>
      <c r="I786" t="s">
        <v>2329</v>
      </c>
    </row>
    <row r="787" spans="1:9" hidden="1" x14ac:dyDescent="0.3">
      <c r="A787" t="s">
        <v>2336</v>
      </c>
      <c r="B787" t="s">
        <v>2212</v>
      </c>
      <c r="C787" t="s">
        <v>2326</v>
      </c>
      <c r="D787" t="s">
        <v>13</v>
      </c>
      <c r="E787" t="s">
        <v>1228</v>
      </c>
      <c r="F787" t="s">
        <v>2335</v>
      </c>
      <c r="H787" t="s">
        <v>17</v>
      </c>
      <c r="I787" t="s">
        <v>2329</v>
      </c>
    </row>
    <row r="788" spans="1:9" hidden="1" x14ac:dyDescent="0.3">
      <c r="A788" t="s">
        <v>2338</v>
      </c>
      <c r="B788" t="s">
        <v>2212</v>
      </c>
      <c r="C788" t="s">
        <v>2326</v>
      </c>
      <c r="D788" t="s">
        <v>13</v>
      </c>
      <c r="E788" t="s">
        <v>1232</v>
      </c>
      <c r="F788" t="s">
        <v>2337</v>
      </c>
      <c r="H788" t="s">
        <v>17</v>
      </c>
      <c r="I788" t="s">
        <v>2329</v>
      </c>
    </row>
    <row r="789" spans="1:9" hidden="1" x14ac:dyDescent="0.3">
      <c r="A789" t="s">
        <v>2340</v>
      </c>
      <c r="B789" t="s">
        <v>2212</v>
      </c>
      <c r="C789" t="s">
        <v>2326</v>
      </c>
      <c r="D789" t="s">
        <v>13</v>
      </c>
      <c r="E789" t="s">
        <v>1236</v>
      </c>
      <c r="F789" t="s">
        <v>2339</v>
      </c>
      <c r="H789" t="s">
        <v>17</v>
      </c>
      <c r="I789" t="s">
        <v>2329</v>
      </c>
    </row>
    <row r="790" spans="1:9" hidden="1" x14ac:dyDescent="0.3">
      <c r="A790" t="s">
        <v>2343</v>
      </c>
      <c r="B790" t="s">
        <v>2212</v>
      </c>
      <c r="C790" t="s">
        <v>2326</v>
      </c>
      <c r="D790" t="s">
        <v>13</v>
      </c>
      <c r="E790" t="s">
        <v>1240</v>
      </c>
      <c r="F790" t="s">
        <v>2341</v>
      </c>
      <c r="H790" t="s">
        <v>17</v>
      </c>
      <c r="I790" t="s">
        <v>2329</v>
      </c>
    </row>
    <row r="791" spans="1:9" hidden="1" x14ac:dyDescent="0.3">
      <c r="A791" t="s">
        <v>2345</v>
      </c>
      <c r="B791" t="s">
        <v>2212</v>
      </c>
      <c r="C791" t="s">
        <v>2342</v>
      </c>
      <c r="D791" t="s">
        <v>13</v>
      </c>
      <c r="E791" t="s">
        <v>1244</v>
      </c>
      <c r="F791" t="s">
        <v>2344</v>
      </c>
      <c r="H791" t="s">
        <v>17</v>
      </c>
      <c r="I791" t="s">
        <v>2329</v>
      </c>
    </row>
    <row r="792" spans="1:9" hidden="1" x14ac:dyDescent="0.3">
      <c r="A792" t="s">
        <v>2347</v>
      </c>
      <c r="B792" t="s">
        <v>2212</v>
      </c>
      <c r="C792" t="s">
        <v>2342</v>
      </c>
      <c r="D792" t="s">
        <v>13</v>
      </c>
      <c r="E792" t="s">
        <v>1248</v>
      </c>
      <c r="F792" t="s">
        <v>2346</v>
      </c>
      <c r="H792" t="s">
        <v>17</v>
      </c>
      <c r="I792" t="s">
        <v>2329</v>
      </c>
    </row>
    <row r="793" spans="1:9" hidden="1" x14ac:dyDescent="0.3">
      <c r="A793" t="s">
        <v>2349</v>
      </c>
      <c r="B793" t="s">
        <v>2212</v>
      </c>
      <c r="C793" t="s">
        <v>2342</v>
      </c>
      <c r="D793" t="s">
        <v>13</v>
      </c>
      <c r="E793" t="s">
        <v>1252</v>
      </c>
      <c r="F793" t="s">
        <v>2348</v>
      </c>
      <c r="H793" t="s">
        <v>17</v>
      </c>
      <c r="I793" t="s">
        <v>2329</v>
      </c>
    </row>
    <row r="794" spans="1:9" hidden="1" x14ac:dyDescent="0.3">
      <c r="A794" t="s">
        <v>2351</v>
      </c>
      <c r="B794" t="s">
        <v>2212</v>
      </c>
      <c r="C794" t="s">
        <v>2342</v>
      </c>
      <c r="D794" t="s">
        <v>13</v>
      </c>
      <c r="E794" t="s">
        <v>1256</v>
      </c>
      <c r="F794" t="s">
        <v>2350</v>
      </c>
      <c r="H794" t="s">
        <v>17</v>
      </c>
      <c r="I794" t="s">
        <v>2329</v>
      </c>
    </row>
    <row r="795" spans="1:9" hidden="1" x14ac:dyDescent="0.3">
      <c r="A795" t="s">
        <v>2353</v>
      </c>
      <c r="B795" t="s">
        <v>2212</v>
      </c>
      <c r="C795" t="s">
        <v>2342</v>
      </c>
      <c r="D795" t="s">
        <v>13</v>
      </c>
      <c r="E795" t="s">
        <v>1261</v>
      </c>
      <c r="F795" t="s">
        <v>2352</v>
      </c>
      <c r="H795" t="s">
        <v>17</v>
      </c>
      <c r="I795" t="s">
        <v>2329</v>
      </c>
    </row>
    <row r="796" spans="1:9" hidden="1" x14ac:dyDescent="0.3">
      <c r="A796" t="s">
        <v>2357</v>
      </c>
      <c r="B796" t="s">
        <v>2212</v>
      </c>
      <c r="C796" t="s">
        <v>2342</v>
      </c>
      <c r="D796" t="s">
        <v>13</v>
      </c>
      <c r="E796" t="s">
        <v>1270</v>
      </c>
      <c r="F796" t="s">
        <v>2354</v>
      </c>
      <c r="H796" t="s">
        <v>17</v>
      </c>
      <c r="I796" t="s">
        <v>2355</v>
      </c>
    </row>
    <row r="797" spans="1:9" hidden="1" x14ac:dyDescent="0.3">
      <c r="A797" t="s">
        <v>2359</v>
      </c>
      <c r="B797" t="s">
        <v>2212</v>
      </c>
      <c r="C797" t="s">
        <v>2356</v>
      </c>
      <c r="D797" t="s">
        <v>13</v>
      </c>
      <c r="E797" t="s">
        <v>1276</v>
      </c>
      <c r="F797" t="s">
        <v>2358</v>
      </c>
      <c r="H797" t="s">
        <v>17</v>
      </c>
      <c r="I797" t="s">
        <v>2355</v>
      </c>
    </row>
    <row r="798" spans="1:9" hidden="1" x14ac:dyDescent="0.3">
      <c r="A798" t="s">
        <v>2361</v>
      </c>
      <c r="B798" t="s">
        <v>2212</v>
      </c>
      <c r="C798" t="s">
        <v>2356</v>
      </c>
      <c r="D798" t="s">
        <v>13</v>
      </c>
      <c r="E798" t="s">
        <v>303</v>
      </c>
      <c r="F798" t="s">
        <v>2360</v>
      </c>
      <c r="H798" t="s">
        <v>17</v>
      </c>
      <c r="I798" t="s">
        <v>2355</v>
      </c>
    </row>
    <row r="799" spans="1:9" hidden="1" x14ac:dyDescent="0.3">
      <c r="A799" t="s">
        <v>2363</v>
      </c>
      <c r="B799" t="s">
        <v>2212</v>
      </c>
      <c r="C799" t="s">
        <v>2356</v>
      </c>
      <c r="D799" t="s">
        <v>13</v>
      </c>
      <c r="E799" t="s">
        <v>308</v>
      </c>
      <c r="F799" t="s">
        <v>2362</v>
      </c>
      <c r="H799" t="s">
        <v>17</v>
      </c>
      <c r="I799" t="s">
        <v>2355</v>
      </c>
    </row>
    <row r="800" spans="1:9" hidden="1" x14ac:dyDescent="0.3">
      <c r="A800" t="s">
        <v>2366</v>
      </c>
      <c r="B800" t="s">
        <v>2212</v>
      </c>
      <c r="C800" t="s">
        <v>2356</v>
      </c>
      <c r="D800" t="s">
        <v>13</v>
      </c>
      <c r="E800" t="s">
        <v>312</v>
      </c>
      <c r="F800" t="s">
        <v>2364</v>
      </c>
      <c r="H800" t="s">
        <v>17</v>
      </c>
      <c r="I800" t="s">
        <v>2365</v>
      </c>
    </row>
    <row r="801" spans="1:9" hidden="1" x14ac:dyDescent="0.3">
      <c r="A801" t="s">
        <v>2368</v>
      </c>
      <c r="B801" t="s">
        <v>2212</v>
      </c>
      <c r="C801" t="s">
        <v>2356</v>
      </c>
      <c r="D801" t="s">
        <v>13</v>
      </c>
      <c r="E801" t="s">
        <v>316</v>
      </c>
      <c r="F801" t="s">
        <v>2367</v>
      </c>
      <c r="H801" t="s">
        <v>17</v>
      </c>
      <c r="I801" t="s">
        <v>2365</v>
      </c>
    </row>
    <row r="802" spans="1:9" hidden="1" x14ac:dyDescent="0.3">
      <c r="A802" t="s">
        <v>2371</v>
      </c>
      <c r="B802" t="s">
        <v>2212</v>
      </c>
      <c r="C802" t="s">
        <v>2356</v>
      </c>
      <c r="D802" t="s">
        <v>13</v>
      </c>
      <c r="E802" t="s">
        <v>319</v>
      </c>
      <c r="F802" t="s">
        <v>2369</v>
      </c>
      <c r="H802" t="s">
        <v>17</v>
      </c>
      <c r="I802" t="s">
        <v>2370</v>
      </c>
    </row>
    <row r="803" spans="1:9" hidden="1" x14ac:dyDescent="0.3">
      <c r="A803" t="s">
        <v>2374</v>
      </c>
      <c r="B803" t="s">
        <v>2212</v>
      </c>
      <c r="C803" t="s">
        <v>2356</v>
      </c>
      <c r="D803" t="s">
        <v>13</v>
      </c>
      <c r="E803" t="s">
        <v>327</v>
      </c>
      <c r="F803" t="s">
        <v>2372</v>
      </c>
      <c r="H803" t="s">
        <v>17</v>
      </c>
      <c r="I803" t="s">
        <v>1217</v>
      </c>
    </row>
    <row r="804" spans="1:9" hidden="1" x14ac:dyDescent="0.3">
      <c r="A804" t="s">
        <v>2377</v>
      </c>
      <c r="B804" t="s">
        <v>2212</v>
      </c>
      <c r="C804" t="s">
        <v>2373</v>
      </c>
      <c r="D804" t="s">
        <v>13</v>
      </c>
      <c r="E804" t="s">
        <v>332</v>
      </c>
      <c r="F804" t="s">
        <v>2375</v>
      </c>
      <c r="H804" t="s">
        <v>17</v>
      </c>
      <c r="I804" t="s">
        <v>2376</v>
      </c>
    </row>
    <row r="805" spans="1:9" hidden="1" x14ac:dyDescent="0.3">
      <c r="A805" t="s">
        <v>2379</v>
      </c>
      <c r="B805" t="s">
        <v>2212</v>
      </c>
      <c r="C805" t="s">
        <v>2373</v>
      </c>
      <c r="D805" t="s">
        <v>13</v>
      </c>
      <c r="E805" t="s">
        <v>335</v>
      </c>
      <c r="F805" t="s">
        <v>2378</v>
      </c>
      <c r="H805" t="s">
        <v>17</v>
      </c>
      <c r="I805" t="s">
        <v>2376</v>
      </c>
    </row>
    <row r="806" spans="1:9" hidden="1" x14ac:dyDescent="0.3">
      <c r="A806" t="s">
        <v>2381</v>
      </c>
      <c r="B806" t="s">
        <v>2212</v>
      </c>
      <c r="C806" t="s">
        <v>2373</v>
      </c>
      <c r="D806" t="s">
        <v>13</v>
      </c>
      <c r="E806" t="s">
        <v>338</v>
      </c>
      <c r="F806" t="s">
        <v>2380</v>
      </c>
      <c r="H806" t="s">
        <v>17</v>
      </c>
      <c r="I806" t="s">
        <v>2376</v>
      </c>
    </row>
    <row r="807" spans="1:9" hidden="1" x14ac:dyDescent="0.3">
      <c r="A807" t="s">
        <v>2383</v>
      </c>
      <c r="B807" t="s">
        <v>2212</v>
      </c>
      <c r="C807" t="s">
        <v>2373</v>
      </c>
      <c r="D807" t="s">
        <v>13</v>
      </c>
      <c r="E807" t="s">
        <v>341</v>
      </c>
      <c r="F807" t="s">
        <v>2382</v>
      </c>
      <c r="H807" t="s">
        <v>17</v>
      </c>
      <c r="I807" t="s">
        <v>2376</v>
      </c>
    </row>
    <row r="808" spans="1:9" hidden="1" x14ac:dyDescent="0.3">
      <c r="A808" t="s">
        <v>2385</v>
      </c>
      <c r="B808" t="s">
        <v>2212</v>
      </c>
      <c r="C808" t="s">
        <v>2373</v>
      </c>
      <c r="D808" t="s">
        <v>13</v>
      </c>
      <c r="E808" t="s">
        <v>344</v>
      </c>
      <c r="F808" t="s">
        <v>2384</v>
      </c>
      <c r="H808" t="s">
        <v>17</v>
      </c>
      <c r="I808" t="s">
        <v>2376</v>
      </c>
    </row>
    <row r="809" spans="1:9" hidden="1" x14ac:dyDescent="0.3">
      <c r="A809" t="s">
        <v>2387</v>
      </c>
      <c r="B809" t="s">
        <v>2212</v>
      </c>
      <c r="C809" t="s">
        <v>2373</v>
      </c>
      <c r="D809" t="s">
        <v>13</v>
      </c>
      <c r="E809" t="s">
        <v>347</v>
      </c>
      <c r="F809" t="s">
        <v>2386</v>
      </c>
      <c r="H809" t="s">
        <v>17</v>
      </c>
      <c r="I809" t="s">
        <v>2376</v>
      </c>
    </row>
    <row r="810" spans="1:9" hidden="1" x14ac:dyDescent="0.3">
      <c r="A810" t="s">
        <v>2389</v>
      </c>
      <c r="B810" t="s">
        <v>2212</v>
      </c>
      <c r="C810" t="s">
        <v>2373</v>
      </c>
      <c r="D810" t="s">
        <v>13</v>
      </c>
      <c r="E810" t="s">
        <v>353</v>
      </c>
      <c r="F810" t="s">
        <v>2388</v>
      </c>
      <c r="H810" t="s">
        <v>17</v>
      </c>
      <c r="I810" t="s">
        <v>2376</v>
      </c>
    </row>
    <row r="811" spans="1:9" hidden="1" x14ac:dyDescent="0.3">
      <c r="A811" t="s">
        <v>2391</v>
      </c>
      <c r="B811" t="s">
        <v>2212</v>
      </c>
      <c r="C811" t="s">
        <v>2373</v>
      </c>
      <c r="D811" t="s">
        <v>13</v>
      </c>
      <c r="E811" t="s">
        <v>358</v>
      </c>
      <c r="F811" t="s">
        <v>2390</v>
      </c>
      <c r="H811" t="s">
        <v>17</v>
      </c>
      <c r="I811" t="s">
        <v>2376</v>
      </c>
    </row>
    <row r="812" spans="1:9" hidden="1" x14ac:dyDescent="0.3">
      <c r="A812" t="s">
        <v>2393</v>
      </c>
      <c r="B812" t="s">
        <v>2212</v>
      </c>
      <c r="C812" t="s">
        <v>2373</v>
      </c>
      <c r="D812" t="s">
        <v>13</v>
      </c>
      <c r="E812" t="s">
        <v>361</v>
      </c>
      <c r="F812" t="s">
        <v>2392</v>
      </c>
      <c r="H812" t="s">
        <v>17</v>
      </c>
      <c r="I812" t="s">
        <v>2376</v>
      </c>
    </row>
    <row r="813" spans="1:9" hidden="1" x14ac:dyDescent="0.3">
      <c r="A813" t="s">
        <v>2395</v>
      </c>
      <c r="B813" t="s">
        <v>2212</v>
      </c>
      <c r="C813" t="s">
        <v>2373</v>
      </c>
      <c r="D813" t="s">
        <v>13</v>
      </c>
      <c r="E813" t="s">
        <v>364</v>
      </c>
      <c r="F813" t="s">
        <v>2394</v>
      </c>
      <c r="H813" t="s">
        <v>17</v>
      </c>
      <c r="I813" t="s">
        <v>2376</v>
      </c>
    </row>
    <row r="814" spans="1:9" hidden="1" x14ac:dyDescent="0.3">
      <c r="A814" t="s">
        <v>2397</v>
      </c>
      <c r="B814" t="s">
        <v>2212</v>
      </c>
      <c r="C814" t="s">
        <v>2373</v>
      </c>
      <c r="D814" t="s">
        <v>13</v>
      </c>
      <c r="E814" t="s">
        <v>367</v>
      </c>
      <c r="F814" t="s">
        <v>2396</v>
      </c>
      <c r="H814" t="s">
        <v>17</v>
      </c>
      <c r="I814" t="s">
        <v>2376</v>
      </c>
    </row>
    <row r="815" spans="1:9" hidden="1" x14ac:dyDescent="0.3">
      <c r="A815" t="s">
        <v>2400</v>
      </c>
      <c r="B815" t="s">
        <v>2212</v>
      </c>
      <c r="C815" t="s">
        <v>2373</v>
      </c>
      <c r="D815" t="s">
        <v>13</v>
      </c>
      <c r="E815" t="s">
        <v>370</v>
      </c>
      <c r="F815" t="s">
        <v>2398</v>
      </c>
      <c r="H815" t="s">
        <v>17</v>
      </c>
      <c r="I815" t="s">
        <v>2399</v>
      </c>
    </row>
    <row r="816" spans="1:9" hidden="1" x14ac:dyDescent="0.3">
      <c r="A816" t="s">
        <v>2403</v>
      </c>
      <c r="B816" t="s">
        <v>2212</v>
      </c>
      <c r="C816" t="s">
        <v>2373</v>
      </c>
      <c r="D816" t="s">
        <v>13</v>
      </c>
      <c r="E816" t="s">
        <v>373</v>
      </c>
      <c r="F816" t="s">
        <v>2401</v>
      </c>
      <c r="H816" t="s">
        <v>17</v>
      </c>
      <c r="I816" t="s">
        <v>2402</v>
      </c>
    </row>
    <row r="817" spans="1:9" hidden="1" x14ac:dyDescent="0.3">
      <c r="A817" t="s">
        <v>2405</v>
      </c>
      <c r="B817" t="s">
        <v>2212</v>
      </c>
      <c r="C817" t="s">
        <v>2373</v>
      </c>
      <c r="D817" t="s">
        <v>13</v>
      </c>
      <c r="E817" t="s">
        <v>376</v>
      </c>
      <c r="F817" t="s">
        <v>2404</v>
      </c>
      <c r="H817" t="s">
        <v>17</v>
      </c>
      <c r="I817" t="s">
        <v>2402</v>
      </c>
    </row>
    <row r="818" spans="1:9" hidden="1" x14ac:dyDescent="0.3">
      <c r="A818" t="s">
        <v>2407</v>
      </c>
      <c r="B818" t="s">
        <v>2212</v>
      </c>
      <c r="C818" t="s">
        <v>2373</v>
      </c>
      <c r="D818" t="s">
        <v>13</v>
      </c>
      <c r="E818" t="s">
        <v>1681</v>
      </c>
      <c r="F818" t="s">
        <v>2406</v>
      </c>
      <c r="H818" t="s">
        <v>17</v>
      </c>
      <c r="I818" t="s">
        <v>2057</v>
      </c>
    </row>
    <row r="819" spans="1:9" hidden="1" x14ac:dyDescent="0.3">
      <c r="A819" t="s">
        <v>2410</v>
      </c>
      <c r="B819" t="s">
        <v>2212</v>
      </c>
      <c r="C819" t="s">
        <v>2373</v>
      </c>
      <c r="D819" t="s">
        <v>13</v>
      </c>
      <c r="E819" t="s">
        <v>1683</v>
      </c>
      <c r="F819" t="s">
        <v>2408</v>
      </c>
      <c r="H819" t="s">
        <v>17</v>
      </c>
      <c r="I819" t="s">
        <v>2409</v>
      </c>
    </row>
    <row r="820" spans="1:9" hidden="1" x14ac:dyDescent="0.3">
      <c r="A820" t="s">
        <v>2414</v>
      </c>
      <c r="B820" t="s">
        <v>2212</v>
      </c>
      <c r="C820" t="s">
        <v>2373</v>
      </c>
      <c r="D820" t="s">
        <v>13</v>
      </c>
      <c r="E820" t="s">
        <v>1685</v>
      </c>
      <c r="F820" t="s">
        <v>2411</v>
      </c>
      <c r="H820" t="s">
        <v>17</v>
      </c>
      <c r="I820" t="s">
        <v>2412</v>
      </c>
    </row>
    <row r="821" spans="1:9" hidden="1" x14ac:dyDescent="0.3">
      <c r="A821" t="s">
        <v>2418</v>
      </c>
      <c r="B821" t="s">
        <v>2212</v>
      </c>
      <c r="C821" t="s">
        <v>2373</v>
      </c>
      <c r="D821" t="s">
        <v>13</v>
      </c>
      <c r="E821" t="s">
        <v>2413</v>
      </c>
      <c r="F821" t="s">
        <v>2415</v>
      </c>
      <c r="H821" t="s">
        <v>17</v>
      </c>
      <c r="I821" t="s">
        <v>2416</v>
      </c>
    </row>
    <row r="822" spans="1:9" hidden="1" x14ac:dyDescent="0.3">
      <c r="A822" t="s">
        <v>2422</v>
      </c>
      <c r="B822" t="s">
        <v>2212</v>
      </c>
      <c r="C822" t="s">
        <v>2373</v>
      </c>
      <c r="D822" t="s">
        <v>13</v>
      </c>
      <c r="E822" t="s">
        <v>2417</v>
      </c>
      <c r="F822" t="s">
        <v>2419</v>
      </c>
      <c r="H822" t="s">
        <v>17</v>
      </c>
      <c r="I822" t="s">
        <v>2420</v>
      </c>
    </row>
    <row r="823" spans="1:9" hidden="1" x14ac:dyDescent="0.3">
      <c r="A823" t="s">
        <v>2426</v>
      </c>
      <c r="B823" t="s">
        <v>2212</v>
      </c>
      <c r="C823" t="s">
        <v>2373</v>
      </c>
      <c r="D823" t="s">
        <v>13</v>
      </c>
      <c r="E823" t="s">
        <v>2421</v>
      </c>
      <c r="F823" t="s">
        <v>2423</v>
      </c>
      <c r="H823" t="s">
        <v>17</v>
      </c>
      <c r="I823" t="s">
        <v>2424</v>
      </c>
    </row>
    <row r="824" spans="1:9" hidden="1" x14ac:dyDescent="0.3">
      <c r="A824" t="s">
        <v>2429</v>
      </c>
      <c r="B824" t="s">
        <v>2212</v>
      </c>
      <c r="C824" t="s">
        <v>2425</v>
      </c>
      <c r="D824" t="s">
        <v>13</v>
      </c>
      <c r="E824" t="s">
        <v>1690</v>
      </c>
      <c r="F824" t="s">
        <v>2427</v>
      </c>
      <c r="H824" t="s">
        <v>17</v>
      </c>
      <c r="I824" t="s">
        <v>2424</v>
      </c>
    </row>
    <row r="825" spans="1:9" hidden="1" x14ac:dyDescent="0.3">
      <c r="A825" t="s">
        <v>2432</v>
      </c>
      <c r="B825" t="s">
        <v>2212</v>
      </c>
      <c r="C825" t="s">
        <v>2425</v>
      </c>
      <c r="D825" t="s">
        <v>13</v>
      </c>
      <c r="E825" t="s">
        <v>2428</v>
      </c>
      <c r="F825" t="s">
        <v>2430</v>
      </c>
      <c r="H825" t="s">
        <v>17</v>
      </c>
      <c r="I825" t="s">
        <v>2424</v>
      </c>
    </row>
    <row r="826" spans="1:9" hidden="1" x14ac:dyDescent="0.3">
      <c r="A826" t="s">
        <v>2434</v>
      </c>
      <c r="B826" t="s">
        <v>2212</v>
      </c>
      <c r="C826" t="s">
        <v>2425</v>
      </c>
      <c r="D826" t="s">
        <v>13</v>
      </c>
      <c r="E826" t="s">
        <v>2431</v>
      </c>
      <c r="F826" t="s">
        <v>2433</v>
      </c>
      <c r="H826" t="s">
        <v>17</v>
      </c>
      <c r="I826" t="s">
        <v>2424</v>
      </c>
    </row>
    <row r="827" spans="1:9" hidden="1" x14ac:dyDescent="0.3">
      <c r="A827" t="s">
        <v>2436</v>
      </c>
      <c r="B827" t="s">
        <v>2212</v>
      </c>
      <c r="C827" t="s">
        <v>2425</v>
      </c>
      <c r="D827" t="s">
        <v>13</v>
      </c>
      <c r="E827" t="s">
        <v>1693</v>
      </c>
      <c r="F827" t="s">
        <v>2435</v>
      </c>
      <c r="H827" t="s">
        <v>17</v>
      </c>
      <c r="I827" t="s">
        <v>2424</v>
      </c>
    </row>
    <row r="828" spans="1:9" hidden="1" x14ac:dyDescent="0.3">
      <c r="A828" t="s">
        <v>2439</v>
      </c>
      <c r="B828" t="s">
        <v>2212</v>
      </c>
      <c r="C828" t="s">
        <v>2425</v>
      </c>
      <c r="D828" t="s">
        <v>13</v>
      </c>
      <c r="E828" t="s">
        <v>1694</v>
      </c>
      <c r="F828" t="s">
        <v>2437</v>
      </c>
      <c r="H828" t="s">
        <v>17</v>
      </c>
      <c r="I828" t="s">
        <v>2424</v>
      </c>
    </row>
    <row r="829" spans="1:9" hidden="1" x14ac:dyDescent="0.3">
      <c r="A829" t="s">
        <v>2442</v>
      </c>
      <c r="B829" t="s">
        <v>2212</v>
      </c>
      <c r="C829" t="s">
        <v>2425</v>
      </c>
      <c r="D829" t="s">
        <v>13</v>
      </c>
      <c r="E829" t="s">
        <v>2438</v>
      </c>
      <c r="F829" t="s">
        <v>2440</v>
      </c>
      <c r="H829" t="s">
        <v>17</v>
      </c>
      <c r="I829" t="s">
        <v>2424</v>
      </c>
    </row>
    <row r="830" spans="1:9" hidden="1" x14ac:dyDescent="0.3">
      <c r="A830" t="s">
        <v>2444</v>
      </c>
      <c r="B830" t="s">
        <v>2212</v>
      </c>
      <c r="C830" t="s">
        <v>2425</v>
      </c>
      <c r="D830" t="s">
        <v>13</v>
      </c>
      <c r="E830" t="s">
        <v>2441</v>
      </c>
      <c r="F830" t="s">
        <v>2443</v>
      </c>
      <c r="H830" t="s">
        <v>17</v>
      </c>
      <c r="I830" t="s">
        <v>2424</v>
      </c>
    </row>
    <row r="831" spans="1:9" hidden="1" x14ac:dyDescent="0.3">
      <c r="A831" t="s">
        <v>2446</v>
      </c>
      <c r="B831" t="s">
        <v>2212</v>
      </c>
      <c r="C831" t="s">
        <v>2425</v>
      </c>
      <c r="D831" t="s">
        <v>13</v>
      </c>
      <c r="E831" t="s">
        <v>410</v>
      </c>
      <c r="F831" t="s">
        <v>2445</v>
      </c>
      <c r="H831" t="s">
        <v>17</v>
      </c>
      <c r="I831" t="s">
        <v>2424</v>
      </c>
    </row>
    <row r="832" spans="1:9" hidden="1" x14ac:dyDescent="0.3">
      <c r="A832" t="s">
        <v>2448</v>
      </c>
      <c r="B832" t="s">
        <v>2212</v>
      </c>
      <c r="C832" t="s">
        <v>2425</v>
      </c>
      <c r="D832" t="s">
        <v>13</v>
      </c>
      <c r="E832" t="s">
        <v>415</v>
      </c>
      <c r="F832" t="s">
        <v>2447</v>
      </c>
      <c r="H832" t="s">
        <v>17</v>
      </c>
      <c r="I832" t="s">
        <v>2424</v>
      </c>
    </row>
    <row r="833" spans="1:9" hidden="1" x14ac:dyDescent="0.3">
      <c r="A833" t="s">
        <v>2450</v>
      </c>
      <c r="B833" t="s">
        <v>2212</v>
      </c>
      <c r="C833" t="s">
        <v>2425</v>
      </c>
      <c r="D833" t="s">
        <v>13</v>
      </c>
      <c r="E833" t="s">
        <v>420</v>
      </c>
      <c r="F833" t="s">
        <v>2449</v>
      </c>
      <c r="H833" t="s">
        <v>17</v>
      </c>
      <c r="I833" t="s">
        <v>2424</v>
      </c>
    </row>
    <row r="834" spans="1:9" hidden="1" x14ac:dyDescent="0.3">
      <c r="A834" t="s">
        <v>2452</v>
      </c>
      <c r="B834" t="s">
        <v>2212</v>
      </c>
      <c r="C834" t="s">
        <v>2425</v>
      </c>
      <c r="D834" t="s">
        <v>13</v>
      </c>
      <c r="E834" t="s">
        <v>423</v>
      </c>
      <c r="F834" t="s">
        <v>2451</v>
      </c>
      <c r="H834" t="s">
        <v>17</v>
      </c>
      <c r="I834" t="s">
        <v>232</v>
      </c>
    </row>
    <row r="835" spans="1:9" hidden="1" x14ac:dyDescent="0.3">
      <c r="A835" t="s">
        <v>2454</v>
      </c>
      <c r="B835" t="s">
        <v>2212</v>
      </c>
      <c r="C835" t="s">
        <v>2425</v>
      </c>
      <c r="D835" t="s">
        <v>13</v>
      </c>
      <c r="E835" t="s">
        <v>426</v>
      </c>
      <c r="F835" t="s">
        <v>2453</v>
      </c>
      <c r="H835" t="s">
        <v>17</v>
      </c>
      <c r="I835" t="s">
        <v>232</v>
      </c>
    </row>
    <row r="836" spans="1:9" hidden="1" x14ac:dyDescent="0.3">
      <c r="A836" t="s">
        <v>2457</v>
      </c>
      <c r="B836" t="s">
        <v>2212</v>
      </c>
      <c r="C836" t="s">
        <v>2425</v>
      </c>
      <c r="D836" t="s">
        <v>13</v>
      </c>
      <c r="E836" t="s">
        <v>429</v>
      </c>
      <c r="F836" t="s">
        <v>2455</v>
      </c>
      <c r="H836" t="s">
        <v>17</v>
      </c>
      <c r="I836" t="s">
        <v>232</v>
      </c>
    </row>
    <row r="837" spans="1:9" hidden="1" x14ac:dyDescent="0.3">
      <c r="A837" t="s">
        <v>2460</v>
      </c>
      <c r="B837" t="s">
        <v>2212</v>
      </c>
      <c r="C837" t="s">
        <v>2456</v>
      </c>
      <c r="D837" t="s">
        <v>13</v>
      </c>
      <c r="E837" t="s">
        <v>432</v>
      </c>
      <c r="F837" t="s">
        <v>2458</v>
      </c>
      <c r="H837" t="s">
        <v>17</v>
      </c>
      <c r="I837" t="s">
        <v>2459</v>
      </c>
    </row>
    <row r="838" spans="1:9" hidden="1" x14ac:dyDescent="0.3">
      <c r="A838" t="s">
        <v>2462</v>
      </c>
      <c r="B838" t="s">
        <v>2212</v>
      </c>
      <c r="C838" t="s">
        <v>2456</v>
      </c>
      <c r="D838" t="s">
        <v>13</v>
      </c>
      <c r="E838" t="s">
        <v>435</v>
      </c>
      <c r="F838" t="s">
        <v>2461</v>
      </c>
      <c r="H838" t="s">
        <v>17</v>
      </c>
      <c r="I838" t="s">
        <v>2459</v>
      </c>
    </row>
    <row r="839" spans="1:9" hidden="1" x14ac:dyDescent="0.3">
      <c r="A839" t="s">
        <v>2464</v>
      </c>
      <c r="B839" t="s">
        <v>2212</v>
      </c>
      <c r="C839" t="s">
        <v>2456</v>
      </c>
      <c r="D839" t="s">
        <v>13</v>
      </c>
      <c r="E839" t="s">
        <v>438</v>
      </c>
      <c r="F839" t="s">
        <v>2463</v>
      </c>
      <c r="H839" t="s">
        <v>17</v>
      </c>
      <c r="I839" t="s">
        <v>2459</v>
      </c>
    </row>
    <row r="840" spans="1:9" hidden="1" x14ac:dyDescent="0.3">
      <c r="A840" t="s">
        <v>2466</v>
      </c>
      <c r="B840" t="s">
        <v>2212</v>
      </c>
      <c r="C840" t="s">
        <v>2456</v>
      </c>
      <c r="D840" t="s">
        <v>13</v>
      </c>
      <c r="E840" t="s">
        <v>441</v>
      </c>
      <c r="F840" t="s">
        <v>2465</v>
      </c>
      <c r="H840" t="s">
        <v>17</v>
      </c>
      <c r="I840" t="s">
        <v>2459</v>
      </c>
    </row>
    <row r="841" spans="1:9" hidden="1" x14ac:dyDescent="0.3">
      <c r="A841" t="s">
        <v>2468</v>
      </c>
      <c r="B841" t="s">
        <v>2212</v>
      </c>
      <c r="C841" t="s">
        <v>2456</v>
      </c>
      <c r="D841" t="s">
        <v>13</v>
      </c>
      <c r="E841" t="s">
        <v>444</v>
      </c>
      <c r="F841" t="s">
        <v>2467</v>
      </c>
      <c r="H841" t="s">
        <v>17</v>
      </c>
      <c r="I841" t="s">
        <v>2459</v>
      </c>
    </row>
    <row r="842" spans="1:9" hidden="1" x14ac:dyDescent="0.3">
      <c r="A842" t="s">
        <v>2470</v>
      </c>
      <c r="B842" t="s">
        <v>2212</v>
      </c>
      <c r="C842" t="s">
        <v>2456</v>
      </c>
      <c r="D842" t="s">
        <v>13</v>
      </c>
      <c r="E842" t="s">
        <v>448</v>
      </c>
      <c r="F842" t="s">
        <v>2469</v>
      </c>
      <c r="H842" t="s">
        <v>17</v>
      </c>
      <c r="I842" t="s">
        <v>2459</v>
      </c>
    </row>
    <row r="843" spans="1:9" hidden="1" x14ac:dyDescent="0.3">
      <c r="A843" t="s">
        <v>2472</v>
      </c>
      <c r="B843" t="s">
        <v>2212</v>
      </c>
      <c r="C843" t="s">
        <v>2456</v>
      </c>
      <c r="D843" t="s">
        <v>13</v>
      </c>
      <c r="E843" t="s">
        <v>453</v>
      </c>
      <c r="F843" t="s">
        <v>2471</v>
      </c>
      <c r="H843" t="s">
        <v>17</v>
      </c>
      <c r="I843" t="s">
        <v>2459</v>
      </c>
    </row>
    <row r="844" spans="1:9" hidden="1" x14ac:dyDescent="0.3">
      <c r="A844" t="s">
        <v>2474</v>
      </c>
      <c r="B844" t="s">
        <v>2212</v>
      </c>
      <c r="C844" t="s">
        <v>2456</v>
      </c>
      <c r="D844" t="s">
        <v>13</v>
      </c>
      <c r="E844" t="s">
        <v>457</v>
      </c>
      <c r="F844" t="s">
        <v>2473</v>
      </c>
      <c r="H844" t="s">
        <v>17</v>
      </c>
      <c r="I844" t="s">
        <v>2459</v>
      </c>
    </row>
    <row r="845" spans="1:9" hidden="1" x14ac:dyDescent="0.3">
      <c r="A845" t="s">
        <v>2476</v>
      </c>
      <c r="B845" t="s">
        <v>2212</v>
      </c>
      <c r="C845" t="s">
        <v>2456</v>
      </c>
      <c r="D845" t="s">
        <v>13</v>
      </c>
      <c r="E845" t="s">
        <v>461</v>
      </c>
      <c r="F845" t="s">
        <v>2475</v>
      </c>
      <c r="H845" t="s">
        <v>17</v>
      </c>
      <c r="I845" t="s">
        <v>2459</v>
      </c>
    </row>
    <row r="846" spans="1:9" hidden="1" x14ac:dyDescent="0.3">
      <c r="A846" t="s">
        <v>2479</v>
      </c>
      <c r="B846" t="s">
        <v>2212</v>
      </c>
      <c r="C846" t="s">
        <v>2456</v>
      </c>
      <c r="D846" t="s">
        <v>13</v>
      </c>
      <c r="E846" t="s">
        <v>464</v>
      </c>
      <c r="F846" t="s">
        <v>2477</v>
      </c>
      <c r="H846" t="s">
        <v>17</v>
      </c>
      <c r="I846" t="s">
        <v>2478</v>
      </c>
    </row>
    <row r="847" spans="1:9" hidden="1" x14ac:dyDescent="0.3">
      <c r="A847" t="s">
        <v>2482</v>
      </c>
      <c r="B847" t="s">
        <v>2212</v>
      </c>
      <c r="C847" t="s">
        <v>2456</v>
      </c>
      <c r="D847" t="s">
        <v>13</v>
      </c>
      <c r="E847" t="s">
        <v>468</v>
      </c>
      <c r="F847" t="s">
        <v>2480</v>
      </c>
      <c r="H847" t="s">
        <v>17</v>
      </c>
      <c r="I847" t="s">
        <v>2481</v>
      </c>
    </row>
    <row r="848" spans="1:9" hidden="1" x14ac:dyDescent="0.3">
      <c r="A848" t="s">
        <v>2485</v>
      </c>
      <c r="B848" t="s">
        <v>2212</v>
      </c>
      <c r="C848" t="s">
        <v>2456</v>
      </c>
      <c r="D848" t="s">
        <v>13</v>
      </c>
      <c r="E848" t="s">
        <v>475</v>
      </c>
      <c r="F848" t="s">
        <v>2483</v>
      </c>
      <c r="H848" t="s">
        <v>17</v>
      </c>
      <c r="I848" t="s">
        <v>2484</v>
      </c>
    </row>
    <row r="849" spans="1:9" hidden="1" x14ac:dyDescent="0.3">
      <c r="A849" t="s">
        <v>2487</v>
      </c>
      <c r="B849" t="s">
        <v>2212</v>
      </c>
      <c r="C849" t="s">
        <v>2456</v>
      </c>
      <c r="D849" t="s">
        <v>13</v>
      </c>
      <c r="E849" t="s">
        <v>478</v>
      </c>
      <c r="F849" t="s">
        <v>2486</v>
      </c>
      <c r="H849" t="s">
        <v>17</v>
      </c>
      <c r="I849" t="s">
        <v>2143</v>
      </c>
    </row>
    <row r="850" spans="1:9" hidden="1" x14ac:dyDescent="0.3">
      <c r="A850" t="s">
        <v>2489</v>
      </c>
      <c r="B850" t="s">
        <v>2212</v>
      </c>
      <c r="C850" t="s">
        <v>2456</v>
      </c>
      <c r="D850" t="s">
        <v>13</v>
      </c>
      <c r="E850" t="s">
        <v>482</v>
      </c>
      <c r="F850" t="s">
        <v>2488</v>
      </c>
      <c r="H850" t="s">
        <v>17</v>
      </c>
      <c r="I850" t="s">
        <v>2143</v>
      </c>
    </row>
    <row r="851" spans="1:9" hidden="1" x14ac:dyDescent="0.3">
      <c r="A851" t="s">
        <v>2492</v>
      </c>
      <c r="B851" t="s">
        <v>2212</v>
      </c>
      <c r="C851" t="s">
        <v>2456</v>
      </c>
      <c r="D851" t="s">
        <v>13</v>
      </c>
      <c r="E851" t="s">
        <v>485</v>
      </c>
      <c r="F851" t="s">
        <v>2490</v>
      </c>
      <c r="H851" t="s">
        <v>17</v>
      </c>
      <c r="I851" t="s">
        <v>2491</v>
      </c>
    </row>
    <row r="852" spans="1:9" hidden="1" x14ac:dyDescent="0.3">
      <c r="A852" t="s">
        <v>2495</v>
      </c>
      <c r="B852" t="s">
        <v>2212</v>
      </c>
      <c r="C852" t="s">
        <v>2456</v>
      </c>
      <c r="D852" t="s">
        <v>13</v>
      </c>
      <c r="E852" t="s">
        <v>489</v>
      </c>
      <c r="F852" t="s">
        <v>2493</v>
      </c>
      <c r="H852" t="s">
        <v>17</v>
      </c>
      <c r="I852" t="s">
        <v>2494</v>
      </c>
    </row>
    <row r="853" spans="1:9" hidden="1" x14ac:dyDescent="0.3">
      <c r="A853" t="s">
        <v>2498</v>
      </c>
      <c r="B853" t="s">
        <v>2212</v>
      </c>
      <c r="C853" t="s">
        <v>2456</v>
      </c>
      <c r="D853" t="s">
        <v>13</v>
      </c>
      <c r="E853" t="s">
        <v>492</v>
      </c>
      <c r="F853" t="s">
        <v>2496</v>
      </c>
      <c r="H853" t="s">
        <v>17</v>
      </c>
      <c r="I853" t="s">
        <v>2497</v>
      </c>
    </row>
    <row r="854" spans="1:9" hidden="1" x14ac:dyDescent="0.3">
      <c r="A854" t="s">
        <v>2502</v>
      </c>
      <c r="B854" t="s">
        <v>2212</v>
      </c>
      <c r="C854" t="s">
        <v>2456</v>
      </c>
      <c r="D854" t="s">
        <v>13</v>
      </c>
      <c r="E854" t="s">
        <v>496</v>
      </c>
      <c r="F854" t="s">
        <v>2499</v>
      </c>
      <c r="H854" t="s">
        <v>17</v>
      </c>
      <c r="I854" t="s">
        <v>2500</v>
      </c>
    </row>
    <row r="855" spans="1:9" hidden="1" x14ac:dyDescent="0.3">
      <c r="A855" t="s">
        <v>2504</v>
      </c>
      <c r="B855" t="s">
        <v>2212</v>
      </c>
      <c r="C855" t="s">
        <v>2456</v>
      </c>
      <c r="D855" t="s">
        <v>13</v>
      </c>
      <c r="E855" t="s">
        <v>2501</v>
      </c>
      <c r="F855" t="s">
        <v>2503</v>
      </c>
      <c r="H855" t="s">
        <v>17</v>
      </c>
    </row>
    <row r="856" spans="1:9" hidden="1" x14ac:dyDescent="0.3">
      <c r="A856" t="s">
        <v>2507</v>
      </c>
      <c r="B856" t="s">
        <v>2212</v>
      </c>
      <c r="C856" t="s">
        <v>2456</v>
      </c>
      <c r="D856" t="s">
        <v>13</v>
      </c>
      <c r="E856" t="s">
        <v>507</v>
      </c>
      <c r="F856" t="s">
        <v>2505</v>
      </c>
      <c r="H856" t="s">
        <v>17</v>
      </c>
      <c r="I856" t="s">
        <v>2506</v>
      </c>
    </row>
    <row r="857" spans="1:9" hidden="1" x14ac:dyDescent="0.3">
      <c r="A857" t="s">
        <v>2510</v>
      </c>
      <c r="B857" t="s">
        <v>2212</v>
      </c>
      <c r="C857" t="s">
        <v>2456</v>
      </c>
      <c r="D857" t="s">
        <v>13</v>
      </c>
      <c r="E857" t="s">
        <v>511</v>
      </c>
      <c r="F857" t="s">
        <v>2508</v>
      </c>
      <c r="H857" t="s">
        <v>17</v>
      </c>
      <c r="I857" t="s">
        <v>2509</v>
      </c>
    </row>
    <row r="858" spans="1:9" hidden="1" x14ac:dyDescent="0.3">
      <c r="A858" t="s">
        <v>2513</v>
      </c>
      <c r="B858" t="s">
        <v>2212</v>
      </c>
      <c r="C858" t="s">
        <v>2456</v>
      </c>
      <c r="D858" t="s">
        <v>13</v>
      </c>
      <c r="E858" t="s">
        <v>514</v>
      </c>
      <c r="F858" t="s">
        <v>2511</v>
      </c>
      <c r="H858" t="s">
        <v>17</v>
      </c>
      <c r="I858" t="s">
        <v>2512</v>
      </c>
    </row>
    <row r="859" spans="1:9" hidden="1" x14ac:dyDescent="0.3">
      <c r="A859" t="s">
        <v>2515</v>
      </c>
      <c r="B859" t="s">
        <v>2212</v>
      </c>
      <c r="C859" t="s">
        <v>2456</v>
      </c>
      <c r="D859" t="s">
        <v>13</v>
      </c>
      <c r="E859" t="s">
        <v>518</v>
      </c>
      <c r="F859" t="s">
        <v>2514</v>
      </c>
      <c r="H859" t="s">
        <v>17</v>
      </c>
      <c r="I859" t="s">
        <v>2512</v>
      </c>
    </row>
    <row r="860" spans="1:9" hidden="1" x14ac:dyDescent="0.3">
      <c r="A860" t="s">
        <v>2518</v>
      </c>
      <c r="B860" t="s">
        <v>2212</v>
      </c>
      <c r="C860" t="s">
        <v>2456</v>
      </c>
      <c r="D860" t="s">
        <v>13</v>
      </c>
      <c r="E860" t="s">
        <v>525</v>
      </c>
      <c r="F860" t="s">
        <v>2516</v>
      </c>
      <c r="H860" t="s">
        <v>17</v>
      </c>
      <c r="I860" t="s">
        <v>2517</v>
      </c>
    </row>
    <row r="861" spans="1:9" hidden="1" x14ac:dyDescent="0.3">
      <c r="A861" t="s">
        <v>2521</v>
      </c>
      <c r="B861" t="s">
        <v>2212</v>
      </c>
      <c r="C861" t="s">
        <v>2456</v>
      </c>
      <c r="D861" t="s">
        <v>13</v>
      </c>
      <c r="E861" t="s">
        <v>528</v>
      </c>
      <c r="F861" t="s">
        <v>2519</v>
      </c>
      <c r="H861" t="s">
        <v>17</v>
      </c>
      <c r="I861" t="s">
        <v>2520</v>
      </c>
    </row>
    <row r="862" spans="1:9" hidden="1" x14ac:dyDescent="0.3">
      <c r="A862" t="s">
        <v>2523</v>
      </c>
      <c r="B862" t="s">
        <v>2212</v>
      </c>
      <c r="C862" t="s">
        <v>2456</v>
      </c>
      <c r="D862" t="s">
        <v>13</v>
      </c>
      <c r="E862" t="s">
        <v>532</v>
      </c>
      <c r="F862" t="s">
        <v>2522</v>
      </c>
      <c r="H862" t="s">
        <v>17</v>
      </c>
      <c r="I862" t="s">
        <v>2517</v>
      </c>
    </row>
    <row r="863" spans="1:9" hidden="1" x14ac:dyDescent="0.3">
      <c r="A863" t="s">
        <v>2526</v>
      </c>
      <c r="B863" t="s">
        <v>2212</v>
      </c>
      <c r="C863" t="s">
        <v>2456</v>
      </c>
      <c r="D863" t="s">
        <v>13</v>
      </c>
      <c r="E863" t="s">
        <v>535</v>
      </c>
      <c r="F863" t="s">
        <v>2524</v>
      </c>
      <c r="H863" t="s">
        <v>17</v>
      </c>
      <c r="I863" t="s">
        <v>2525</v>
      </c>
    </row>
    <row r="864" spans="1:9" hidden="1" x14ac:dyDescent="0.3">
      <c r="A864" t="s">
        <v>2530</v>
      </c>
      <c r="B864" t="s">
        <v>2212</v>
      </c>
      <c r="C864" t="s">
        <v>2456</v>
      </c>
      <c r="D864" t="s">
        <v>13</v>
      </c>
      <c r="E864" t="s">
        <v>1409</v>
      </c>
      <c r="F864" t="s">
        <v>2527</v>
      </c>
      <c r="H864" t="s">
        <v>17</v>
      </c>
      <c r="I864" t="s">
        <v>2528</v>
      </c>
    </row>
    <row r="865" spans="1:9" hidden="1" x14ac:dyDescent="0.3">
      <c r="A865" t="s">
        <v>2533</v>
      </c>
      <c r="B865" t="s">
        <v>2212</v>
      </c>
      <c r="C865" t="s">
        <v>2456</v>
      </c>
      <c r="D865" t="s">
        <v>13</v>
      </c>
      <c r="E865" t="s">
        <v>2529</v>
      </c>
      <c r="F865" t="s">
        <v>2531</v>
      </c>
      <c r="H865" t="s">
        <v>17</v>
      </c>
      <c r="I865" t="s">
        <v>2532</v>
      </c>
    </row>
    <row r="866" spans="1:9" hidden="1" x14ac:dyDescent="0.3">
      <c r="A866" t="s">
        <v>2536</v>
      </c>
      <c r="B866" t="s">
        <v>2212</v>
      </c>
      <c r="C866" t="s">
        <v>2456</v>
      </c>
      <c r="D866" t="s">
        <v>13</v>
      </c>
      <c r="E866" t="s">
        <v>559</v>
      </c>
      <c r="F866" t="s">
        <v>2534</v>
      </c>
      <c r="H866" t="s">
        <v>17</v>
      </c>
      <c r="I866" t="s">
        <v>2535</v>
      </c>
    </row>
    <row r="867" spans="1:9" hidden="1" x14ac:dyDescent="0.3">
      <c r="A867" t="s">
        <v>2540</v>
      </c>
      <c r="B867" t="s">
        <v>2212</v>
      </c>
      <c r="C867" t="s">
        <v>2456</v>
      </c>
      <c r="D867" t="s">
        <v>13</v>
      </c>
      <c r="E867" t="s">
        <v>1422</v>
      </c>
      <c r="F867" t="s">
        <v>2537</v>
      </c>
      <c r="H867" t="s">
        <v>17</v>
      </c>
      <c r="I867" t="s">
        <v>2538</v>
      </c>
    </row>
    <row r="868" spans="1:9" hidden="1" x14ac:dyDescent="0.3">
      <c r="A868" t="s">
        <v>2541</v>
      </c>
      <c r="B868" t="s">
        <v>2212</v>
      </c>
      <c r="C868" t="s">
        <v>2456</v>
      </c>
      <c r="D868" t="s">
        <v>13</v>
      </c>
      <c r="E868" t="s">
        <v>2539</v>
      </c>
      <c r="F868" t="s">
        <v>2537</v>
      </c>
      <c r="H868" t="s">
        <v>17</v>
      </c>
      <c r="I868" t="s">
        <v>2538</v>
      </c>
    </row>
    <row r="869" spans="1:9" hidden="1" x14ac:dyDescent="0.3">
      <c r="A869" t="s">
        <v>2542</v>
      </c>
      <c r="B869" t="s">
        <v>2212</v>
      </c>
      <c r="C869" t="s">
        <v>2456</v>
      </c>
      <c r="D869" t="s">
        <v>13</v>
      </c>
      <c r="E869" t="s">
        <v>569</v>
      </c>
      <c r="F869" t="s">
        <v>2537</v>
      </c>
      <c r="H869" t="s">
        <v>17</v>
      </c>
      <c r="I869" t="s">
        <v>2538</v>
      </c>
    </row>
    <row r="870" spans="1:9" hidden="1" x14ac:dyDescent="0.3">
      <c r="A870" t="s">
        <v>2544</v>
      </c>
      <c r="B870" t="s">
        <v>2212</v>
      </c>
      <c r="C870" t="s">
        <v>2456</v>
      </c>
      <c r="D870" t="s">
        <v>13</v>
      </c>
      <c r="E870" t="s">
        <v>574</v>
      </c>
      <c r="F870" t="s">
        <v>2537</v>
      </c>
      <c r="H870" t="s">
        <v>17</v>
      </c>
      <c r="I870" t="s">
        <v>2538</v>
      </c>
    </row>
    <row r="871" spans="1:9" hidden="1" x14ac:dyDescent="0.3">
      <c r="A871" t="s">
        <v>2548</v>
      </c>
      <c r="B871" t="s">
        <v>2212</v>
      </c>
      <c r="C871" t="s">
        <v>2456</v>
      </c>
      <c r="D871" t="s">
        <v>13</v>
      </c>
      <c r="E871" t="s">
        <v>2543</v>
      </c>
      <c r="F871" t="s">
        <v>2545</v>
      </c>
      <c r="H871" t="s">
        <v>17</v>
      </c>
      <c r="I871" t="s">
        <v>2546</v>
      </c>
    </row>
    <row r="872" spans="1:9" hidden="1" x14ac:dyDescent="0.3">
      <c r="A872" t="s">
        <v>2551</v>
      </c>
      <c r="B872" t="s">
        <v>2212</v>
      </c>
      <c r="C872" t="s">
        <v>2456</v>
      </c>
      <c r="D872" t="s">
        <v>13</v>
      </c>
      <c r="E872" t="s">
        <v>2547</v>
      </c>
      <c r="F872" t="s">
        <v>2549</v>
      </c>
      <c r="H872" t="s">
        <v>17</v>
      </c>
      <c r="I872" t="s">
        <v>2550</v>
      </c>
    </row>
    <row r="873" spans="1:9" hidden="1" x14ac:dyDescent="0.3">
      <c r="A873" t="s">
        <v>2554</v>
      </c>
      <c r="B873" t="s">
        <v>2212</v>
      </c>
      <c r="C873" t="s">
        <v>2456</v>
      </c>
      <c r="D873" t="s">
        <v>13</v>
      </c>
      <c r="E873" t="s">
        <v>1443</v>
      </c>
      <c r="F873" t="s">
        <v>2552</v>
      </c>
      <c r="H873" t="s">
        <v>17</v>
      </c>
      <c r="I873" t="s">
        <v>2553</v>
      </c>
    </row>
    <row r="874" spans="1:9" hidden="1" x14ac:dyDescent="0.3">
      <c r="A874" t="s">
        <v>2557</v>
      </c>
      <c r="B874" t="s">
        <v>2212</v>
      </c>
      <c r="C874" t="s">
        <v>2456</v>
      </c>
      <c r="D874" t="s">
        <v>13</v>
      </c>
      <c r="E874" t="s">
        <v>1447</v>
      </c>
      <c r="F874" t="s">
        <v>2555</v>
      </c>
      <c r="H874" t="s">
        <v>17</v>
      </c>
      <c r="I874" t="s">
        <v>2556</v>
      </c>
    </row>
    <row r="875" spans="1:9" hidden="1" x14ac:dyDescent="0.3">
      <c r="A875" t="s">
        <v>2560</v>
      </c>
      <c r="B875" t="s">
        <v>2212</v>
      </c>
      <c r="C875" t="s">
        <v>2456</v>
      </c>
      <c r="D875" t="s">
        <v>13</v>
      </c>
      <c r="E875" t="s">
        <v>1452</v>
      </c>
      <c r="F875" t="s">
        <v>2558</v>
      </c>
      <c r="H875" t="s">
        <v>17</v>
      </c>
      <c r="I875" t="s">
        <v>2559</v>
      </c>
    </row>
    <row r="876" spans="1:9" hidden="1" x14ac:dyDescent="0.3">
      <c r="A876" t="s">
        <v>2564</v>
      </c>
      <c r="B876" t="s">
        <v>2212</v>
      </c>
      <c r="C876" t="s">
        <v>2456</v>
      </c>
      <c r="D876" t="s">
        <v>13</v>
      </c>
      <c r="E876" t="s">
        <v>1455</v>
      </c>
      <c r="F876" t="s">
        <v>2561</v>
      </c>
      <c r="H876" t="s">
        <v>17</v>
      </c>
      <c r="I876" t="s">
        <v>2562</v>
      </c>
    </row>
    <row r="877" spans="1:9" hidden="1" x14ac:dyDescent="0.3">
      <c r="A877" t="s">
        <v>2567</v>
      </c>
      <c r="B877" t="s">
        <v>2212</v>
      </c>
      <c r="C877" t="s">
        <v>2456</v>
      </c>
      <c r="D877" t="s">
        <v>13</v>
      </c>
      <c r="E877" t="s">
        <v>2563</v>
      </c>
      <c r="F877" t="s">
        <v>2565</v>
      </c>
      <c r="H877" t="s">
        <v>17</v>
      </c>
      <c r="I877" t="s">
        <v>2566</v>
      </c>
    </row>
    <row r="878" spans="1:9" hidden="1" x14ac:dyDescent="0.3">
      <c r="A878" t="s">
        <v>2570</v>
      </c>
      <c r="B878" t="s">
        <v>2212</v>
      </c>
      <c r="C878" t="s">
        <v>2456</v>
      </c>
      <c r="D878" t="s">
        <v>13</v>
      </c>
      <c r="E878" t="s">
        <v>1462</v>
      </c>
      <c r="F878" t="s">
        <v>2568</v>
      </c>
      <c r="H878" t="s">
        <v>17</v>
      </c>
      <c r="I878" t="s">
        <v>2569</v>
      </c>
    </row>
    <row r="879" spans="1:9" hidden="1" x14ac:dyDescent="0.3">
      <c r="A879" t="s">
        <v>2573</v>
      </c>
      <c r="B879" t="s">
        <v>2212</v>
      </c>
      <c r="C879" t="s">
        <v>2456</v>
      </c>
      <c r="D879" t="s">
        <v>13</v>
      </c>
      <c r="E879" t="s">
        <v>1465</v>
      </c>
      <c r="F879" t="s">
        <v>2571</v>
      </c>
      <c r="H879" t="s">
        <v>17</v>
      </c>
      <c r="I879" t="s">
        <v>2572</v>
      </c>
    </row>
    <row r="880" spans="1:9" hidden="1" x14ac:dyDescent="0.3">
      <c r="A880" t="s">
        <v>2575</v>
      </c>
      <c r="B880" t="s">
        <v>2212</v>
      </c>
      <c r="C880" t="s">
        <v>2456</v>
      </c>
      <c r="D880" t="s">
        <v>13</v>
      </c>
      <c r="E880" t="s">
        <v>1469</v>
      </c>
      <c r="F880" t="s">
        <v>2574</v>
      </c>
      <c r="H880" t="s">
        <v>17</v>
      </c>
      <c r="I880" t="s">
        <v>1438</v>
      </c>
    </row>
    <row r="881" spans="1:9" hidden="1" x14ac:dyDescent="0.3">
      <c r="A881" t="s">
        <v>2578</v>
      </c>
      <c r="B881" t="s">
        <v>2212</v>
      </c>
      <c r="C881" t="s">
        <v>2456</v>
      </c>
      <c r="D881" t="s">
        <v>13</v>
      </c>
      <c r="E881" t="s">
        <v>1472</v>
      </c>
      <c r="F881" t="s">
        <v>2576</v>
      </c>
      <c r="H881" t="s">
        <v>17</v>
      </c>
      <c r="I881" t="s">
        <v>2577</v>
      </c>
    </row>
    <row r="882" spans="1:9" hidden="1" x14ac:dyDescent="0.3">
      <c r="A882" t="s">
        <v>2581</v>
      </c>
      <c r="B882" t="s">
        <v>2212</v>
      </c>
      <c r="C882" t="s">
        <v>2456</v>
      </c>
      <c r="D882" t="s">
        <v>13</v>
      </c>
      <c r="E882" t="s">
        <v>1475</v>
      </c>
      <c r="F882" t="s">
        <v>2579</v>
      </c>
      <c r="H882" t="s">
        <v>17</v>
      </c>
      <c r="I882" t="s">
        <v>2580</v>
      </c>
    </row>
    <row r="883" spans="1:9" hidden="1" x14ac:dyDescent="0.3">
      <c r="A883" t="s">
        <v>2583</v>
      </c>
      <c r="B883" t="s">
        <v>2212</v>
      </c>
      <c r="C883" t="s">
        <v>2456</v>
      </c>
      <c r="D883" t="s">
        <v>13</v>
      </c>
      <c r="E883" t="s">
        <v>1478</v>
      </c>
      <c r="F883" t="s">
        <v>2582</v>
      </c>
      <c r="H883" t="s">
        <v>17</v>
      </c>
      <c r="I883" t="s">
        <v>2580</v>
      </c>
    </row>
    <row r="884" spans="1:9" hidden="1" x14ac:dyDescent="0.3">
      <c r="A884" t="s">
        <v>2587</v>
      </c>
      <c r="B884" t="s">
        <v>2212</v>
      </c>
      <c r="C884" t="s">
        <v>2456</v>
      </c>
      <c r="D884" t="s">
        <v>13</v>
      </c>
      <c r="E884" t="s">
        <v>1482</v>
      </c>
      <c r="F884" t="s">
        <v>2584</v>
      </c>
      <c r="H884" t="s">
        <v>17</v>
      </c>
      <c r="I884" t="s">
        <v>2580</v>
      </c>
    </row>
    <row r="885" spans="1:9" hidden="1" x14ac:dyDescent="0.3">
      <c r="A885" t="s">
        <v>2591</v>
      </c>
      <c r="B885" t="s">
        <v>2212</v>
      </c>
      <c r="C885" t="s">
        <v>2585</v>
      </c>
      <c r="D885" t="s">
        <v>13</v>
      </c>
      <c r="E885" t="s">
        <v>2586</v>
      </c>
      <c r="F885" t="s">
        <v>2588</v>
      </c>
      <c r="H885" t="s">
        <v>17</v>
      </c>
      <c r="I885" t="s">
        <v>2589</v>
      </c>
    </row>
    <row r="886" spans="1:9" hidden="1" x14ac:dyDescent="0.3">
      <c r="A886" t="s">
        <v>2593</v>
      </c>
      <c r="B886" t="s">
        <v>2212</v>
      </c>
      <c r="C886" t="s">
        <v>2585</v>
      </c>
      <c r="D886" t="s">
        <v>13</v>
      </c>
      <c r="E886" t="s">
        <v>2590</v>
      </c>
      <c r="F886" t="s">
        <v>843</v>
      </c>
      <c r="H886" t="s">
        <v>17</v>
      </c>
      <c r="I886" t="s">
        <v>845</v>
      </c>
    </row>
    <row r="887" spans="1:9" hidden="1" x14ac:dyDescent="0.3">
      <c r="A887" t="s">
        <v>2595</v>
      </c>
      <c r="B887" t="s">
        <v>2212</v>
      </c>
      <c r="C887" t="s">
        <v>2585</v>
      </c>
      <c r="D887" t="s">
        <v>13</v>
      </c>
      <c r="E887" t="s">
        <v>2592</v>
      </c>
      <c r="F887" t="s">
        <v>747</v>
      </c>
      <c r="H887" t="s">
        <v>17</v>
      </c>
    </row>
    <row r="888" spans="1:9" hidden="1" x14ac:dyDescent="0.3">
      <c r="A888" t="s">
        <v>2599</v>
      </c>
      <c r="B888" t="s">
        <v>2212</v>
      </c>
      <c r="C888" t="s">
        <v>2585</v>
      </c>
      <c r="D888" t="s">
        <v>13</v>
      </c>
      <c r="E888" t="s">
        <v>2594</v>
      </c>
      <c r="F888" t="s">
        <v>2596</v>
      </c>
      <c r="H888" t="s">
        <v>17</v>
      </c>
      <c r="I888" t="s">
        <v>2597</v>
      </c>
    </row>
    <row r="889" spans="1:9" hidden="1" x14ac:dyDescent="0.3">
      <c r="A889" t="s">
        <v>2601</v>
      </c>
      <c r="B889" t="s">
        <v>2212</v>
      </c>
      <c r="C889" t="s">
        <v>2585</v>
      </c>
      <c r="D889" t="s">
        <v>13</v>
      </c>
      <c r="E889" t="s">
        <v>2598</v>
      </c>
      <c r="F889" t="s">
        <v>760</v>
      </c>
      <c r="H889" t="s">
        <v>17</v>
      </c>
    </row>
    <row r="890" spans="1:9" hidden="1" x14ac:dyDescent="0.3">
      <c r="A890" t="s">
        <v>2603</v>
      </c>
      <c r="B890" t="s">
        <v>2212</v>
      </c>
      <c r="C890" t="s">
        <v>2585</v>
      </c>
      <c r="D890" t="s">
        <v>13</v>
      </c>
      <c r="E890" t="s">
        <v>2600</v>
      </c>
      <c r="F890" t="s">
        <v>1692</v>
      </c>
      <c r="H890" t="s">
        <v>17</v>
      </c>
    </row>
    <row r="891" spans="1:9" hidden="1" x14ac:dyDescent="0.3">
      <c r="A891" t="s">
        <v>2605</v>
      </c>
      <c r="B891" t="s">
        <v>2212</v>
      </c>
      <c r="C891" t="s">
        <v>2585</v>
      </c>
      <c r="D891" t="s">
        <v>13</v>
      </c>
      <c r="E891" t="s">
        <v>2602</v>
      </c>
      <c r="F891" t="s">
        <v>1697</v>
      </c>
      <c r="H891" t="s">
        <v>17</v>
      </c>
    </row>
    <row r="892" spans="1:9" hidden="1" x14ac:dyDescent="0.3">
      <c r="A892" t="s">
        <v>2607</v>
      </c>
      <c r="B892" t="s">
        <v>2212</v>
      </c>
      <c r="C892" t="s">
        <v>2585</v>
      </c>
      <c r="D892" t="s">
        <v>13</v>
      </c>
      <c r="E892" t="s">
        <v>2604</v>
      </c>
      <c r="F892" t="s">
        <v>824</v>
      </c>
      <c r="H892" t="s">
        <v>17</v>
      </c>
    </row>
    <row r="893" spans="1:9" hidden="1" x14ac:dyDescent="0.3">
      <c r="A893" t="s">
        <v>2611</v>
      </c>
      <c r="B893" t="s">
        <v>2212</v>
      </c>
      <c r="C893" t="s">
        <v>2585</v>
      </c>
      <c r="D893" t="s">
        <v>13</v>
      </c>
      <c r="E893" t="s">
        <v>2606</v>
      </c>
      <c r="F893" t="s">
        <v>2608</v>
      </c>
      <c r="H893" t="s">
        <v>17</v>
      </c>
      <c r="I893" t="s">
        <v>2609</v>
      </c>
    </row>
    <row r="894" spans="1:9" hidden="1" x14ac:dyDescent="0.3">
      <c r="A894" t="s">
        <v>2615</v>
      </c>
      <c r="B894" t="s">
        <v>2212</v>
      </c>
      <c r="C894" t="s">
        <v>2585</v>
      </c>
      <c r="D894" t="s">
        <v>13</v>
      </c>
      <c r="E894" t="s">
        <v>2610</v>
      </c>
      <c r="F894" t="s">
        <v>2612</v>
      </c>
      <c r="H894" t="s">
        <v>17</v>
      </c>
      <c r="I894" t="s">
        <v>2613</v>
      </c>
    </row>
    <row r="895" spans="1:9" hidden="1" x14ac:dyDescent="0.3">
      <c r="A895" t="s">
        <v>2617</v>
      </c>
      <c r="B895" t="s">
        <v>2212</v>
      </c>
      <c r="C895" t="s">
        <v>2585</v>
      </c>
      <c r="D895" t="s">
        <v>13</v>
      </c>
      <c r="E895" t="s">
        <v>2614</v>
      </c>
      <c r="F895" t="s">
        <v>2195</v>
      </c>
      <c r="H895" t="s">
        <v>17</v>
      </c>
      <c r="I895" t="s">
        <v>414</v>
      </c>
    </row>
    <row r="896" spans="1:9" hidden="1" x14ac:dyDescent="0.3">
      <c r="A896" t="s">
        <v>2620</v>
      </c>
      <c r="B896" t="s">
        <v>2212</v>
      </c>
      <c r="C896" t="s">
        <v>2585</v>
      </c>
      <c r="D896" t="s">
        <v>13</v>
      </c>
      <c r="E896" t="s">
        <v>2616</v>
      </c>
      <c r="F896" t="s">
        <v>2196</v>
      </c>
      <c r="H896" t="s">
        <v>17</v>
      </c>
      <c r="I896" t="s">
        <v>2618</v>
      </c>
    </row>
    <row r="897" spans="1:9" hidden="1" x14ac:dyDescent="0.3">
      <c r="A897" t="s">
        <v>2623</v>
      </c>
      <c r="B897" t="s">
        <v>2212</v>
      </c>
      <c r="C897" t="s">
        <v>2585</v>
      </c>
      <c r="D897" t="s">
        <v>13</v>
      </c>
      <c r="E897" t="s">
        <v>2619</v>
      </c>
      <c r="F897" t="s">
        <v>2621</v>
      </c>
      <c r="H897" t="s">
        <v>17</v>
      </c>
      <c r="I897" t="s">
        <v>2205</v>
      </c>
    </row>
    <row r="898" spans="1:9" hidden="1" x14ac:dyDescent="0.3">
      <c r="A898" t="s">
        <v>2626</v>
      </c>
      <c r="B898" t="s">
        <v>2212</v>
      </c>
      <c r="C898" t="s">
        <v>2585</v>
      </c>
      <c r="D898" t="s">
        <v>13</v>
      </c>
      <c r="E898" t="s">
        <v>2622</v>
      </c>
      <c r="F898" t="s">
        <v>2192</v>
      </c>
      <c r="H898" t="s">
        <v>17</v>
      </c>
      <c r="I898" t="s">
        <v>2194</v>
      </c>
    </row>
    <row r="899" spans="1:9" hidden="1" x14ac:dyDescent="0.3">
      <c r="A899" t="s">
        <v>2630</v>
      </c>
      <c r="B899" t="s">
        <v>2212</v>
      </c>
      <c r="C899" t="s">
        <v>2624</v>
      </c>
      <c r="D899" t="s">
        <v>13</v>
      </c>
      <c r="E899" t="s">
        <v>2625</v>
      </c>
      <c r="F899" t="s">
        <v>2627</v>
      </c>
      <c r="H899" t="s">
        <v>17</v>
      </c>
      <c r="I899" t="s">
        <v>2628</v>
      </c>
    </row>
    <row r="900" spans="1:9" hidden="1" x14ac:dyDescent="0.3">
      <c r="A900" t="s">
        <v>2633</v>
      </c>
      <c r="B900" t="s">
        <v>2212</v>
      </c>
      <c r="C900" t="s">
        <v>2624</v>
      </c>
      <c r="D900" t="s">
        <v>13</v>
      </c>
      <c r="E900" t="s">
        <v>2629</v>
      </c>
      <c r="F900" t="s">
        <v>2631</v>
      </c>
      <c r="H900" t="s">
        <v>17</v>
      </c>
      <c r="I900" t="s">
        <v>2628</v>
      </c>
    </row>
    <row r="901" spans="1:9" hidden="1" x14ac:dyDescent="0.3">
      <c r="A901" t="s">
        <v>2635</v>
      </c>
      <c r="B901" t="s">
        <v>2212</v>
      </c>
      <c r="C901" t="s">
        <v>2624</v>
      </c>
      <c r="D901" t="s">
        <v>13</v>
      </c>
      <c r="E901" t="s">
        <v>2632</v>
      </c>
      <c r="F901" t="s">
        <v>2634</v>
      </c>
      <c r="H901" t="s">
        <v>17</v>
      </c>
      <c r="I901" t="s">
        <v>2628</v>
      </c>
    </row>
    <row r="902" spans="1:9" hidden="1" x14ac:dyDescent="0.3">
      <c r="A902" t="s">
        <v>2637</v>
      </c>
      <c r="B902" t="s">
        <v>2212</v>
      </c>
      <c r="C902" t="s">
        <v>2624</v>
      </c>
      <c r="D902" t="s">
        <v>13</v>
      </c>
      <c r="E902" t="s">
        <v>650</v>
      </c>
      <c r="F902" t="s">
        <v>2636</v>
      </c>
      <c r="H902" t="s">
        <v>17</v>
      </c>
      <c r="I902" t="s">
        <v>2628</v>
      </c>
    </row>
    <row r="903" spans="1:9" hidden="1" x14ac:dyDescent="0.3">
      <c r="A903" t="s">
        <v>2641</v>
      </c>
      <c r="B903" t="s">
        <v>2212</v>
      </c>
      <c r="C903" t="s">
        <v>2624</v>
      </c>
      <c r="D903" t="s">
        <v>13</v>
      </c>
      <c r="E903" t="s">
        <v>655</v>
      </c>
      <c r="F903" t="s">
        <v>2638</v>
      </c>
      <c r="H903" t="s">
        <v>17</v>
      </c>
      <c r="I903" t="s">
        <v>2639</v>
      </c>
    </row>
    <row r="904" spans="1:9" hidden="1" x14ac:dyDescent="0.3">
      <c r="A904" t="s">
        <v>2644</v>
      </c>
      <c r="B904" t="s">
        <v>2212</v>
      </c>
      <c r="C904" t="s">
        <v>2624</v>
      </c>
      <c r="D904" t="s">
        <v>13</v>
      </c>
      <c r="E904" t="s">
        <v>2640</v>
      </c>
      <c r="F904" t="s">
        <v>2642</v>
      </c>
      <c r="H904" t="s">
        <v>17</v>
      </c>
      <c r="I904" t="s">
        <v>2639</v>
      </c>
    </row>
    <row r="905" spans="1:9" hidden="1" x14ac:dyDescent="0.3">
      <c r="A905" t="s">
        <v>2647</v>
      </c>
      <c r="B905" t="s">
        <v>2212</v>
      </c>
      <c r="C905" t="s">
        <v>2624</v>
      </c>
      <c r="D905" t="s">
        <v>13</v>
      </c>
      <c r="E905" t="s">
        <v>2643</v>
      </c>
      <c r="F905" t="s">
        <v>2645</v>
      </c>
      <c r="H905" t="s">
        <v>17</v>
      </c>
      <c r="I905" t="s">
        <v>2639</v>
      </c>
    </row>
    <row r="906" spans="1:9" hidden="1" x14ac:dyDescent="0.3">
      <c r="A906" t="s">
        <v>2650</v>
      </c>
      <c r="B906" t="s">
        <v>2212</v>
      </c>
      <c r="C906" t="s">
        <v>2624</v>
      </c>
      <c r="D906" t="s">
        <v>13</v>
      </c>
      <c r="E906" t="s">
        <v>2646</v>
      </c>
      <c r="F906" t="s">
        <v>2648</v>
      </c>
      <c r="H906" t="s">
        <v>17</v>
      </c>
      <c r="I906" t="s">
        <v>2639</v>
      </c>
    </row>
    <row r="907" spans="1:9" hidden="1" x14ac:dyDescent="0.3">
      <c r="A907" t="s">
        <v>2653</v>
      </c>
      <c r="B907" t="s">
        <v>2212</v>
      </c>
      <c r="C907" t="s">
        <v>2624</v>
      </c>
      <c r="D907" t="s">
        <v>13</v>
      </c>
      <c r="E907" t="s">
        <v>2649</v>
      </c>
      <c r="F907" t="s">
        <v>2651</v>
      </c>
      <c r="H907" t="s">
        <v>17</v>
      </c>
      <c r="I907" t="s">
        <v>2639</v>
      </c>
    </row>
    <row r="908" spans="1:9" hidden="1" x14ac:dyDescent="0.3">
      <c r="A908" t="s">
        <v>2656</v>
      </c>
      <c r="B908" t="s">
        <v>2212</v>
      </c>
      <c r="C908" t="s">
        <v>2624</v>
      </c>
      <c r="D908" t="s">
        <v>13</v>
      </c>
      <c r="E908" t="s">
        <v>2652</v>
      </c>
      <c r="F908" t="s">
        <v>2654</v>
      </c>
      <c r="H908" t="s">
        <v>17</v>
      </c>
      <c r="I908" t="s">
        <v>2639</v>
      </c>
    </row>
    <row r="909" spans="1:9" hidden="1" x14ac:dyDescent="0.3">
      <c r="A909" t="s">
        <v>2658</v>
      </c>
      <c r="B909" t="s">
        <v>2212</v>
      </c>
      <c r="C909" t="s">
        <v>2624</v>
      </c>
      <c r="D909" t="s">
        <v>13</v>
      </c>
      <c r="E909" t="s">
        <v>2655</v>
      </c>
      <c r="F909" t="s">
        <v>1706</v>
      </c>
      <c r="H909" t="s">
        <v>17</v>
      </c>
    </row>
    <row r="910" spans="1:9" hidden="1" x14ac:dyDescent="0.3">
      <c r="A910" t="s">
        <v>2661</v>
      </c>
      <c r="B910" t="s">
        <v>2212</v>
      </c>
      <c r="C910" t="s">
        <v>2624</v>
      </c>
      <c r="D910" t="s">
        <v>13</v>
      </c>
      <c r="E910" t="s">
        <v>2657</v>
      </c>
      <c r="F910" t="s">
        <v>1703</v>
      </c>
      <c r="H910" t="s">
        <v>17</v>
      </c>
      <c r="I910" t="s">
        <v>2659</v>
      </c>
    </row>
    <row r="911" spans="1:9" hidden="1" x14ac:dyDescent="0.3">
      <c r="A911" t="s">
        <v>2665</v>
      </c>
      <c r="B911" t="s">
        <v>2212</v>
      </c>
      <c r="C911" t="s">
        <v>2624</v>
      </c>
      <c r="D911" t="s">
        <v>13</v>
      </c>
      <c r="E911" t="s">
        <v>2660</v>
      </c>
      <c r="F911" t="s">
        <v>2662</v>
      </c>
      <c r="H911" t="s">
        <v>17</v>
      </c>
      <c r="I911" t="s">
        <v>2663</v>
      </c>
    </row>
    <row r="912" spans="1:9" hidden="1" x14ac:dyDescent="0.3">
      <c r="A912" t="s">
        <v>10</v>
      </c>
      <c r="B912" t="s">
        <v>2212</v>
      </c>
      <c r="C912" t="s">
        <v>2624</v>
      </c>
      <c r="D912" t="s">
        <v>13</v>
      </c>
      <c r="E912" t="s">
        <v>2664</v>
      </c>
      <c r="F912" t="s">
        <v>2666</v>
      </c>
      <c r="H912" t="s">
        <v>17</v>
      </c>
      <c r="I912" t="s">
        <v>2667</v>
      </c>
    </row>
    <row r="913" spans="1:9" hidden="1" x14ac:dyDescent="0.3">
      <c r="A913" t="s">
        <v>1518</v>
      </c>
      <c r="B913" t="s">
        <v>2668</v>
      </c>
      <c r="F913" t="s">
        <v>2669</v>
      </c>
    </row>
    <row r="914" spans="1:9" hidden="1" x14ac:dyDescent="0.3">
      <c r="A914" t="s">
        <v>2671</v>
      </c>
      <c r="B914" t="s">
        <v>2668</v>
      </c>
      <c r="D914" t="s">
        <v>13</v>
      </c>
      <c r="E914" t="s">
        <v>1517</v>
      </c>
      <c r="F914" t="s">
        <v>2670</v>
      </c>
      <c r="H914" t="s">
        <v>17</v>
      </c>
    </row>
    <row r="915" spans="1:9" hidden="1" x14ac:dyDescent="0.3">
      <c r="A915" t="s">
        <v>2674</v>
      </c>
      <c r="B915" t="s">
        <v>2668</v>
      </c>
      <c r="D915" t="s">
        <v>13</v>
      </c>
      <c r="E915" t="s">
        <v>996</v>
      </c>
      <c r="F915" t="s">
        <v>2672</v>
      </c>
      <c r="H915" t="s">
        <v>17</v>
      </c>
      <c r="I915" t="s">
        <v>2673</v>
      </c>
    </row>
    <row r="916" spans="1:9" hidden="1" x14ac:dyDescent="0.3">
      <c r="A916" t="s">
        <v>2676</v>
      </c>
      <c r="B916" t="s">
        <v>2668</v>
      </c>
      <c r="D916" t="s">
        <v>13</v>
      </c>
      <c r="E916" t="s">
        <v>1001</v>
      </c>
      <c r="F916" t="s">
        <v>2675</v>
      </c>
      <c r="H916" t="s">
        <v>17</v>
      </c>
      <c r="I916" t="s">
        <v>2673</v>
      </c>
    </row>
    <row r="917" spans="1:9" hidden="1" x14ac:dyDescent="0.3">
      <c r="A917" t="s">
        <v>2679</v>
      </c>
      <c r="B917" t="s">
        <v>2668</v>
      </c>
      <c r="D917" t="s">
        <v>13</v>
      </c>
      <c r="E917" t="s">
        <v>1942</v>
      </c>
      <c r="F917" t="s">
        <v>2677</v>
      </c>
      <c r="H917" t="s">
        <v>17</v>
      </c>
      <c r="I917" t="s">
        <v>2678</v>
      </c>
    </row>
    <row r="918" spans="1:9" hidden="1" x14ac:dyDescent="0.3">
      <c r="A918" t="s">
        <v>23</v>
      </c>
      <c r="B918" t="s">
        <v>2668</v>
      </c>
      <c r="D918" t="s">
        <v>13</v>
      </c>
      <c r="E918" t="s">
        <v>22</v>
      </c>
      <c r="F918" t="s">
        <v>2680</v>
      </c>
      <c r="H918" t="s">
        <v>17</v>
      </c>
      <c r="I918" t="s">
        <v>2678</v>
      </c>
    </row>
    <row r="919" spans="1:9" hidden="1" x14ac:dyDescent="0.3">
      <c r="A919" t="s">
        <v>28</v>
      </c>
      <c r="B919" t="s">
        <v>2668</v>
      </c>
      <c r="D919" t="s">
        <v>13</v>
      </c>
      <c r="E919" t="s">
        <v>27</v>
      </c>
      <c r="F919" t="s">
        <v>2681</v>
      </c>
      <c r="H919" t="s">
        <v>17</v>
      </c>
      <c r="I919" t="s">
        <v>2678</v>
      </c>
    </row>
    <row r="920" spans="1:9" hidden="1" x14ac:dyDescent="0.3">
      <c r="A920" t="s">
        <v>33</v>
      </c>
      <c r="B920" t="s">
        <v>2668</v>
      </c>
      <c r="D920" t="s">
        <v>13</v>
      </c>
      <c r="E920" t="s">
        <v>32</v>
      </c>
      <c r="F920" t="s">
        <v>2682</v>
      </c>
      <c r="H920" t="s">
        <v>17</v>
      </c>
      <c r="I920" t="s">
        <v>2683</v>
      </c>
    </row>
    <row r="921" spans="1:9" hidden="1" x14ac:dyDescent="0.3">
      <c r="A921" t="s">
        <v>2687</v>
      </c>
      <c r="B921" t="s">
        <v>2668</v>
      </c>
      <c r="D921" t="s">
        <v>13</v>
      </c>
      <c r="E921" t="s">
        <v>2684</v>
      </c>
      <c r="F921" t="s">
        <v>2685</v>
      </c>
      <c r="H921" t="s">
        <v>17</v>
      </c>
      <c r="I921" t="s">
        <v>2686</v>
      </c>
    </row>
    <row r="922" spans="1:9" hidden="1" x14ac:dyDescent="0.3">
      <c r="A922" t="s">
        <v>37</v>
      </c>
      <c r="B922" t="s">
        <v>2668</v>
      </c>
      <c r="D922" t="s">
        <v>13</v>
      </c>
      <c r="E922" t="s">
        <v>45</v>
      </c>
      <c r="F922" t="s">
        <v>2688</v>
      </c>
      <c r="H922" t="s">
        <v>17</v>
      </c>
      <c r="I922" t="s">
        <v>2689</v>
      </c>
    </row>
    <row r="923" spans="1:9" hidden="1" x14ac:dyDescent="0.3">
      <c r="A923" t="s">
        <v>42</v>
      </c>
      <c r="B923" t="s">
        <v>2668</v>
      </c>
      <c r="D923" t="s">
        <v>13</v>
      </c>
      <c r="E923" t="s">
        <v>50</v>
      </c>
      <c r="F923" t="s">
        <v>2690</v>
      </c>
      <c r="H923" t="s">
        <v>17</v>
      </c>
      <c r="I923" t="s">
        <v>2691</v>
      </c>
    </row>
    <row r="924" spans="1:9" hidden="1" x14ac:dyDescent="0.3">
      <c r="A924" t="s">
        <v>46</v>
      </c>
      <c r="B924" t="s">
        <v>2668</v>
      </c>
      <c r="D924" t="s">
        <v>13</v>
      </c>
      <c r="E924" t="s">
        <v>53</v>
      </c>
      <c r="F924" t="s">
        <v>2692</v>
      </c>
      <c r="H924" t="s">
        <v>17</v>
      </c>
      <c r="I924" t="s">
        <v>2693</v>
      </c>
    </row>
    <row r="925" spans="1:9" hidden="1" x14ac:dyDescent="0.3">
      <c r="A925" t="s">
        <v>51</v>
      </c>
      <c r="B925" t="s">
        <v>2668</v>
      </c>
      <c r="D925" t="s">
        <v>13</v>
      </c>
      <c r="E925" t="s">
        <v>56</v>
      </c>
      <c r="F925" t="s">
        <v>2694</v>
      </c>
      <c r="H925" t="s">
        <v>17</v>
      </c>
      <c r="I925" t="s">
        <v>2695</v>
      </c>
    </row>
    <row r="926" spans="1:9" hidden="1" x14ac:dyDescent="0.3">
      <c r="A926" t="s">
        <v>54</v>
      </c>
      <c r="B926" t="s">
        <v>2668</v>
      </c>
      <c r="D926" t="s">
        <v>13</v>
      </c>
      <c r="E926" t="s">
        <v>61</v>
      </c>
      <c r="F926" t="s">
        <v>2696</v>
      </c>
      <c r="H926" t="s">
        <v>17</v>
      </c>
      <c r="I926" t="s">
        <v>414</v>
      </c>
    </row>
    <row r="927" spans="1:9" hidden="1" x14ac:dyDescent="0.3">
      <c r="A927" t="s">
        <v>57</v>
      </c>
      <c r="B927" t="s">
        <v>2668</v>
      </c>
      <c r="D927" t="s">
        <v>13</v>
      </c>
      <c r="E927" t="s">
        <v>1039</v>
      </c>
      <c r="F927" t="s">
        <v>2697</v>
      </c>
      <c r="H927" t="s">
        <v>17</v>
      </c>
      <c r="I927" t="s">
        <v>414</v>
      </c>
    </row>
    <row r="928" spans="1:9" hidden="1" x14ac:dyDescent="0.3">
      <c r="A928" t="s">
        <v>62</v>
      </c>
      <c r="B928" t="s">
        <v>2668</v>
      </c>
      <c r="D928" t="s">
        <v>13</v>
      </c>
      <c r="E928" t="s">
        <v>1043</v>
      </c>
      <c r="F928" t="s">
        <v>2698</v>
      </c>
      <c r="H928" t="s">
        <v>17</v>
      </c>
      <c r="I928" t="s">
        <v>2695</v>
      </c>
    </row>
    <row r="929" spans="1:9" hidden="1" x14ac:dyDescent="0.3">
      <c r="A929" t="s">
        <v>67</v>
      </c>
      <c r="B929" t="s">
        <v>2668</v>
      </c>
      <c r="D929" t="s">
        <v>13</v>
      </c>
      <c r="E929" t="s">
        <v>71</v>
      </c>
      <c r="F929" t="s">
        <v>2699</v>
      </c>
      <c r="H929" t="s">
        <v>17</v>
      </c>
      <c r="I929" t="s">
        <v>2700</v>
      </c>
    </row>
    <row r="930" spans="1:9" hidden="1" x14ac:dyDescent="0.3">
      <c r="A930" t="s">
        <v>72</v>
      </c>
      <c r="B930" t="s">
        <v>2668</v>
      </c>
      <c r="D930" t="s">
        <v>13</v>
      </c>
      <c r="E930" t="s">
        <v>1050</v>
      </c>
      <c r="F930" t="s">
        <v>2701</v>
      </c>
      <c r="H930" t="s">
        <v>17</v>
      </c>
      <c r="I930" t="s">
        <v>2702</v>
      </c>
    </row>
    <row r="931" spans="1:9" hidden="1" x14ac:dyDescent="0.3">
      <c r="A931" t="s">
        <v>77</v>
      </c>
      <c r="B931" t="s">
        <v>2668</v>
      </c>
      <c r="D931" t="s">
        <v>13</v>
      </c>
      <c r="E931" t="s">
        <v>1055</v>
      </c>
      <c r="F931" t="s">
        <v>2703</v>
      </c>
      <c r="H931" t="s">
        <v>17</v>
      </c>
      <c r="I931" t="s">
        <v>2704</v>
      </c>
    </row>
    <row r="932" spans="1:9" hidden="1" x14ac:dyDescent="0.3">
      <c r="A932" t="s">
        <v>81</v>
      </c>
      <c r="B932" t="s">
        <v>2668</v>
      </c>
      <c r="D932" t="s">
        <v>13</v>
      </c>
      <c r="E932" t="s">
        <v>80</v>
      </c>
      <c r="F932" t="s">
        <v>2705</v>
      </c>
      <c r="H932" t="s">
        <v>17</v>
      </c>
      <c r="I932" t="s">
        <v>2706</v>
      </c>
    </row>
    <row r="933" spans="1:9" hidden="1" x14ac:dyDescent="0.3">
      <c r="A933" t="s">
        <v>86</v>
      </c>
      <c r="B933" t="s">
        <v>2668</v>
      </c>
      <c r="D933" t="s">
        <v>13</v>
      </c>
      <c r="E933" t="s">
        <v>85</v>
      </c>
      <c r="F933" t="s">
        <v>2707</v>
      </c>
      <c r="H933" t="s">
        <v>17</v>
      </c>
      <c r="I933" t="s">
        <v>2708</v>
      </c>
    </row>
    <row r="934" spans="1:9" hidden="1" x14ac:dyDescent="0.3">
      <c r="A934" t="s">
        <v>91</v>
      </c>
      <c r="B934" t="s">
        <v>2668</v>
      </c>
      <c r="D934" t="s">
        <v>13</v>
      </c>
      <c r="E934" t="s">
        <v>90</v>
      </c>
      <c r="F934" t="s">
        <v>2709</v>
      </c>
      <c r="H934" t="s">
        <v>17</v>
      </c>
      <c r="I934" t="s">
        <v>2710</v>
      </c>
    </row>
    <row r="935" spans="1:9" hidden="1" x14ac:dyDescent="0.3">
      <c r="A935" t="s">
        <v>96</v>
      </c>
      <c r="B935" t="s">
        <v>2668</v>
      </c>
      <c r="D935" t="s">
        <v>13</v>
      </c>
      <c r="E935" t="s">
        <v>95</v>
      </c>
      <c r="F935" t="s">
        <v>2711</v>
      </c>
      <c r="H935" t="s">
        <v>17</v>
      </c>
      <c r="I935" t="s">
        <v>2712</v>
      </c>
    </row>
    <row r="936" spans="1:9" hidden="1" x14ac:dyDescent="0.3">
      <c r="A936" t="s">
        <v>101</v>
      </c>
      <c r="B936" t="s">
        <v>2668</v>
      </c>
      <c r="D936" t="s">
        <v>13</v>
      </c>
      <c r="E936" t="s">
        <v>100</v>
      </c>
      <c r="F936" t="s">
        <v>2713</v>
      </c>
      <c r="H936" t="s">
        <v>17</v>
      </c>
      <c r="I936" t="s">
        <v>2712</v>
      </c>
    </row>
    <row r="937" spans="1:9" hidden="1" x14ac:dyDescent="0.3">
      <c r="A937" t="s">
        <v>112</v>
      </c>
      <c r="B937" t="s">
        <v>2668</v>
      </c>
      <c r="D937" t="s">
        <v>13</v>
      </c>
      <c r="E937" t="s">
        <v>106</v>
      </c>
      <c r="F937" t="s">
        <v>2714</v>
      </c>
      <c r="H937" t="s">
        <v>17</v>
      </c>
      <c r="I937" t="s">
        <v>2712</v>
      </c>
    </row>
    <row r="938" spans="1:9" hidden="1" x14ac:dyDescent="0.3">
      <c r="A938" t="s">
        <v>115</v>
      </c>
      <c r="B938" t="s">
        <v>2668</v>
      </c>
      <c r="D938" t="s">
        <v>13</v>
      </c>
      <c r="E938" t="s">
        <v>111</v>
      </c>
      <c r="F938" t="s">
        <v>2715</v>
      </c>
      <c r="H938" t="s">
        <v>17</v>
      </c>
      <c r="I938" t="s">
        <v>2716</v>
      </c>
    </row>
    <row r="939" spans="1:9" hidden="1" x14ac:dyDescent="0.3">
      <c r="A939" t="s">
        <v>118</v>
      </c>
      <c r="B939" t="s">
        <v>2668</v>
      </c>
      <c r="D939" t="s">
        <v>13</v>
      </c>
      <c r="E939" t="s">
        <v>114</v>
      </c>
      <c r="F939" t="s">
        <v>2717</v>
      </c>
      <c r="H939" t="s">
        <v>17</v>
      </c>
      <c r="I939" t="s">
        <v>2716</v>
      </c>
    </row>
    <row r="940" spans="1:9" hidden="1" x14ac:dyDescent="0.3">
      <c r="A940" t="s">
        <v>122</v>
      </c>
      <c r="B940" t="s">
        <v>2668</v>
      </c>
      <c r="D940" t="s">
        <v>13</v>
      </c>
      <c r="E940" t="s">
        <v>117</v>
      </c>
      <c r="F940" t="s">
        <v>2718</v>
      </c>
      <c r="H940" t="s">
        <v>17</v>
      </c>
      <c r="I940" t="s">
        <v>2716</v>
      </c>
    </row>
    <row r="941" spans="1:9" hidden="1" x14ac:dyDescent="0.3">
      <c r="A941" t="s">
        <v>127</v>
      </c>
      <c r="B941" t="s">
        <v>2668</v>
      </c>
      <c r="D941" t="s">
        <v>13</v>
      </c>
      <c r="E941" t="s">
        <v>121</v>
      </c>
      <c r="F941" t="s">
        <v>2719</v>
      </c>
      <c r="H941" t="s">
        <v>17</v>
      </c>
      <c r="I941" t="s">
        <v>2716</v>
      </c>
    </row>
    <row r="942" spans="1:9" hidden="1" x14ac:dyDescent="0.3">
      <c r="A942" t="s">
        <v>130</v>
      </c>
      <c r="B942" t="s">
        <v>2668</v>
      </c>
      <c r="D942" t="s">
        <v>13</v>
      </c>
      <c r="E942" t="s">
        <v>126</v>
      </c>
      <c r="F942" t="s">
        <v>2720</v>
      </c>
      <c r="H942" t="s">
        <v>17</v>
      </c>
      <c r="I942" t="s">
        <v>2716</v>
      </c>
    </row>
    <row r="943" spans="1:9" hidden="1" x14ac:dyDescent="0.3">
      <c r="A943" t="s">
        <v>136</v>
      </c>
      <c r="B943" t="s">
        <v>2668</v>
      </c>
      <c r="D943" t="s">
        <v>13</v>
      </c>
      <c r="E943" t="s">
        <v>129</v>
      </c>
      <c r="F943" t="s">
        <v>2721</v>
      </c>
      <c r="H943" t="s">
        <v>17</v>
      </c>
      <c r="I943" t="s">
        <v>2722</v>
      </c>
    </row>
    <row r="944" spans="1:9" hidden="1" x14ac:dyDescent="0.3">
      <c r="A944" t="s">
        <v>139</v>
      </c>
      <c r="B944" t="s">
        <v>2668</v>
      </c>
      <c r="D944" t="s">
        <v>13</v>
      </c>
      <c r="E944" t="s">
        <v>132</v>
      </c>
      <c r="F944" t="s">
        <v>2723</v>
      </c>
      <c r="H944" t="s">
        <v>17</v>
      </c>
      <c r="I944" t="s">
        <v>2724</v>
      </c>
    </row>
    <row r="945" spans="1:9" hidden="1" x14ac:dyDescent="0.3">
      <c r="A945" t="s">
        <v>142</v>
      </c>
      <c r="B945" t="s">
        <v>2668</v>
      </c>
      <c r="D945" t="s">
        <v>13</v>
      </c>
      <c r="E945" t="s">
        <v>135</v>
      </c>
      <c r="F945" t="s">
        <v>2725</v>
      </c>
      <c r="H945" t="s">
        <v>17</v>
      </c>
      <c r="I945" t="s">
        <v>2724</v>
      </c>
    </row>
    <row r="946" spans="1:9" hidden="1" x14ac:dyDescent="0.3">
      <c r="A946" t="s">
        <v>145</v>
      </c>
      <c r="B946" t="s">
        <v>2668</v>
      </c>
      <c r="D946" t="s">
        <v>13</v>
      </c>
      <c r="E946" t="s">
        <v>138</v>
      </c>
      <c r="F946" t="s">
        <v>2726</v>
      </c>
      <c r="H946" t="s">
        <v>17</v>
      </c>
      <c r="I946" t="s">
        <v>2724</v>
      </c>
    </row>
    <row r="947" spans="1:9" hidden="1" x14ac:dyDescent="0.3">
      <c r="A947" t="s">
        <v>148</v>
      </c>
      <c r="B947" t="s">
        <v>2668</v>
      </c>
      <c r="D947" t="s">
        <v>13</v>
      </c>
      <c r="E947" t="s">
        <v>141</v>
      </c>
      <c r="F947" t="s">
        <v>2727</v>
      </c>
      <c r="H947" t="s">
        <v>17</v>
      </c>
      <c r="I947" t="s">
        <v>2724</v>
      </c>
    </row>
    <row r="948" spans="1:9" hidden="1" x14ac:dyDescent="0.3">
      <c r="A948" t="s">
        <v>153</v>
      </c>
      <c r="B948" t="s">
        <v>2668</v>
      </c>
      <c r="D948" t="s">
        <v>13</v>
      </c>
      <c r="E948" t="s">
        <v>144</v>
      </c>
      <c r="F948" t="s">
        <v>2728</v>
      </c>
      <c r="H948" t="s">
        <v>17</v>
      </c>
      <c r="I948" t="s">
        <v>2724</v>
      </c>
    </row>
    <row r="949" spans="1:9" hidden="1" x14ac:dyDescent="0.3">
      <c r="A949" t="s">
        <v>158</v>
      </c>
      <c r="B949" t="s">
        <v>2668</v>
      </c>
      <c r="D949" t="s">
        <v>13</v>
      </c>
      <c r="E949" t="s">
        <v>147</v>
      </c>
      <c r="F949" t="s">
        <v>2729</v>
      </c>
      <c r="H949" t="s">
        <v>17</v>
      </c>
      <c r="I949" t="s">
        <v>2724</v>
      </c>
    </row>
    <row r="950" spans="1:9" hidden="1" x14ac:dyDescent="0.3">
      <c r="A950" t="s">
        <v>163</v>
      </c>
      <c r="B950" t="s">
        <v>2668</v>
      </c>
      <c r="D950" t="s">
        <v>13</v>
      </c>
      <c r="E950" t="s">
        <v>152</v>
      </c>
      <c r="F950" t="s">
        <v>2730</v>
      </c>
      <c r="H950" t="s">
        <v>17</v>
      </c>
      <c r="I950" t="s">
        <v>2724</v>
      </c>
    </row>
    <row r="951" spans="1:9" hidden="1" x14ac:dyDescent="0.3">
      <c r="A951" t="s">
        <v>168</v>
      </c>
      <c r="B951" t="s">
        <v>2668</v>
      </c>
      <c r="D951" t="s">
        <v>13</v>
      </c>
      <c r="E951" t="s">
        <v>157</v>
      </c>
      <c r="F951" t="s">
        <v>2731</v>
      </c>
      <c r="H951" t="s">
        <v>17</v>
      </c>
      <c r="I951" t="s">
        <v>2724</v>
      </c>
    </row>
    <row r="952" spans="1:9" hidden="1" x14ac:dyDescent="0.3">
      <c r="A952" t="s">
        <v>173</v>
      </c>
      <c r="B952" t="s">
        <v>2668</v>
      </c>
      <c r="D952" t="s">
        <v>13</v>
      </c>
      <c r="E952" t="s">
        <v>162</v>
      </c>
      <c r="F952" t="s">
        <v>2732</v>
      </c>
      <c r="H952" t="s">
        <v>17</v>
      </c>
      <c r="I952" t="s">
        <v>2733</v>
      </c>
    </row>
    <row r="953" spans="1:9" hidden="1" x14ac:dyDescent="0.3">
      <c r="A953" t="s">
        <v>178</v>
      </c>
      <c r="B953" t="s">
        <v>2668</v>
      </c>
      <c r="D953" t="s">
        <v>13</v>
      </c>
      <c r="E953" t="s">
        <v>167</v>
      </c>
      <c r="F953" t="s">
        <v>2734</v>
      </c>
      <c r="H953" t="s">
        <v>17</v>
      </c>
      <c r="I953" t="s">
        <v>2735</v>
      </c>
    </row>
    <row r="954" spans="1:9" hidden="1" x14ac:dyDescent="0.3">
      <c r="A954" t="s">
        <v>183</v>
      </c>
      <c r="B954" t="s">
        <v>2668</v>
      </c>
      <c r="D954" t="s">
        <v>13</v>
      </c>
      <c r="E954" t="s">
        <v>172</v>
      </c>
      <c r="F954" t="s">
        <v>2736</v>
      </c>
      <c r="H954" t="s">
        <v>17</v>
      </c>
      <c r="I954" t="s">
        <v>2737</v>
      </c>
    </row>
    <row r="955" spans="1:9" hidden="1" x14ac:dyDescent="0.3">
      <c r="A955" t="s">
        <v>188</v>
      </c>
      <c r="B955" t="s">
        <v>2668</v>
      </c>
      <c r="D955" t="s">
        <v>13</v>
      </c>
      <c r="E955" t="s">
        <v>177</v>
      </c>
      <c r="F955" t="s">
        <v>2738</v>
      </c>
      <c r="H955" t="s">
        <v>17</v>
      </c>
      <c r="I955" t="s">
        <v>2739</v>
      </c>
    </row>
    <row r="956" spans="1:9" hidden="1" x14ac:dyDescent="0.3">
      <c r="A956" t="s">
        <v>194</v>
      </c>
      <c r="B956" t="s">
        <v>2668</v>
      </c>
      <c r="D956" t="s">
        <v>13</v>
      </c>
      <c r="E956" t="s">
        <v>182</v>
      </c>
      <c r="F956" t="s">
        <v>2740</v>
      </c>
      <c r="H956" t="s">
        <v>17</v>
      </c>
      <c r="I956" t="s">
        <v>2741</v>
      </c>
    </row>
    <row r="957" spans="1:9" hidden="1" x14ac:dyDescent="0.3">
      <c r="A957" t="s">
        <v>2744</v>
      </c>
      <c r="B957" t="s">
        <v>2668</v>
      </c>
      <c r="D957" t="s">
        <v>13</v>
      </c>
      <c r="E957" t="s">
        <v>187</v>
      </c>
      <c r="F957" t="s">
        <v>2742</v>
      </c>
      <c r="H957" t="s">
        <v>17</v>
      </c>
      <c r="I957" t="s">
        <v>2743</v>
      </c>
    </row>
    <row r="958" spans="1:9" hidden="1" x14ac:dyDescent="0.3">
      <c r="A958" t="s">
        <v>2746</v>
      </c>
      <c r="B958" t="s">
        <v>2668</v>
      </c>
      <c r="D958" t="s">
        <v>13</v>
      </c>
      <c r="E958" t="s">
        <v>193</v>
      </c>
      <c r="F958" t="s">
        <v>2745</v>
      </c>
      <c r="H958" t="s">
        <v>17</v>
      </c>
      <c r="I958" t="s">
        <v>2743</v>
      </c>
    </row>
    <row r="959" spans="1:9" hidden="1" x14ac:dyDescent="0.3">
      <c r="A959" t="s">
        <v>203</v>
      </c>
      <c r="B959" t="s">
        <v>2668</v>
      </c>
      <c r="D959" t="s">
        <v>13</v>
      </c>
      <c r="E959" t="s">
        <v>198</v>
      </c>
      <c r="F959" t="s">
        <v>2745</v>
      </c>
      <c r="H959" t="s">
        <v>17</v>
      </c>
      <c r="I959" t="s">
        <v>2743</v>
      </c>
    </row>
    <row r="960" spans="1:9" hidden="1" x14ac:dyDescent="0.3">
      <c r="A960" t="s">
        <v>207</v>
      </c>
      <c r="B960" t="s">
        <v>2668</v>
      </c>
      <c r="D960" t="s">
        <v>13</v>
      </c>
      <c r="E960" t="s">
        <v>202</v>
      </c>
      <c r="F960" t="s">
        <v>2747</v>
      </c>
      <c r="H960" t="s">
        <v>17</v>
      </c>
      <c r="I960" t="s">
        <v>2748</v>
      </c>
    </row>
    <row r="961" spans="1:9" hidden="1" x14ac:dyDescent="0.3">
      <c r="A961" t="s">
        <v>211</v>
      </c>
      <c r="B961" t="s">
        <v>2668</v>
      </c>
      <c r="D961" t="s">
        <v>13</v>
      </c>
      <c r="E961" t="s">
        <v>206</v>
      </c>
      <c r="F961" t="s">
        <v>2749</v>
      </c>
      <c r="H961" t="s">
        <v>17</v>
      </c>
      <c r="I961" t="s">
        <v>2750</v>
      </c>
    </row>
    <row r="962" spans="1:9" hidden="1" x14ac:dyDescent="0.3">
      <c r="A962" t="s">
        <v>215</v>
      </c>
      <c r="B962" t="s">
        <v>2668</v>
      </c>
      <c r="D962" t="s">
        <v>13</v>
      </c>
      <c r="E962" t="s">
        <v>1123</v>
      </c>
      <c r="F962" t="s">
        <v>2751</v>
      </c>
      <c r="H962" t="s">
        <v>17</v>
      </c>
      <c r="I962" t="s">
        <v>2752</v>
      </c>
    </row>
    <row r="963" spans="1:9" hidden="1" x14ac:dyDescent="0.3">
      <c r="A963" t="s">
        <v>1584</v>
      </c>
      <c r="B963" t="s">
        <v>2668</v>
      </c>
      <c r="D963" t="s">
        <v>13</v>
      </c>
      <c r="E963" t="s">
        <v>218</v>
      </c>
      <c r="F963" t="s">
        <v>2753</v>
      </c>
      <c r="H963" t="s">
        <v>17</v>
      </c>
      <c r="I963" t="s">
        <v>2754</v>
      </c>
    </row>
    <row r="964" spans="1:9" hidden="1" x14ac:dyDescent="0.3">
      <c r="A964" t="s">
        <v>219</v>
      </c>
      <c r="B964" t="s">
        <v>2668</v>
      </c>
      <c r="D964" t="s">
        <v>13</v>
      </c>
      <c r="E964" t="s">
        <v>223</v>
      </c>
      <c r="F964" t="s">
        <v>2755</v>
      </c>
      <c r="H964" t="s">
        <v>17</v>
      </c>
      <c r="I964" t="s">
        <v>2756</v>
      </c>
    </row>
    <row r="965" spans="1:9" hidden="1" x14ac:dyDescent="0.3">
      <c r="A965" t="s">
        <v>224</v>
      </c>
      <c r="B965" t="s">
        <v>2668</v>
      </c>
      <c r="D965" t="s">
        <v>13</v>
      </c>
      <c r="E965" t="s">
        <v>228</v>
      </c>
      <c r="F965" t="s">
        <v>2757</v>
      </c>
      <c r="H965" t="s">
        <v>17</v>
      </c>
      <c r="I965" t="s">
        <v>2754</v>
      </c>
    </row>
    <row r="966" spans="1:9" hidden="1" x14ac:dyDescent="0.3">
      <c r="A966" t="s">
        <v>229</v>
      </c>
      <c r="B966" t="s">
        <v>2668</v>
      </c>
      <c r="D966" t="s">
        <v>13</v>
      </c>
      <c r="E966" t="s">
        <v>233</v>
      </c>
      <c r="F966" t="s">
        <v>2758</v>
      </c>
      <c r="H966" t="s">
        <v>17</v>
      </c>
      <c r="I966" t="s">
        <v>2750</v>
      </c>
    </row>
    <row r="967" spans="1:9" hidden="1" x14ac:dyDescent="0.3">
      <c r="A967" t="s">
        <v>234</v>
      </c>
      <c r="B967" t="s">
        <v>2668</v>
      </c>
      <c r="D967" t="s">
        <v>13</v>
      </c>
      <c r="E967" t="s">
        <v>236</v>
      </c>
      <c r="F967" t="s">
        <v>2759</v>
      </c>
      <c r="H967" t="s">
        <v>17</v>
      </c>
      <c r="I967" t="s">
        <v>2760</v>
      </c>
    </row>
    <row r="968" spans="1:9" hidden="1" x14ac:dyDescent="0.3">
      <c r="A968" t="s">
        <v>237</v>
      </c>
      <c r="B968" t="s">
        <v>2668</v>
      </c>
      <c r="D968" t="s">
        <v>13</v>
      </c>
      <c r="E968" t="s">
        <v>239</v>
      </c>
      <c r="F968" t="s">
        <v>2761</v>
      </c>
      <c r="H968" t="s">
        <v>17</v>
      </c>
      <c r="I968" t="s">
        <v>2760</v>
      </c>
    </row>
    <row r="969" spans="1:9" hidden="1" x14ac:dyDescent="0.3">
      <c r="A969" t="s">
        <v>240</v>
      </c>
      <c r="B969" t="s">
        <v>2668</v>
      </c>
      <c r="D969" t="s">
        <v>13</v>
      </c>
      <c r="E969" t="s">
        <v>1881</v>
      </c>
      <c r="F969" t="s">
        <v>2762</v>
      </c>
      <c r="H969" t="s">
        <v>17</v>
      </c>
      <c r="I969" t="s">
        <v>2763</v>
      </c>
    </row>
    <row r="970" spans="1:9" hidden="1" x14ac:dyDescent="0.3">
      <c r="A970" t="s">
        <v>246</v>
      </c>
      <c r="B970" t="s">
        <v>2668</v>
      </c>
      <c r="D970" t="s">
        <v>13</v>
      </c>
      <c r="E970" t="s">
        <v>1885</v>
      </c>
      <c r="F970" t="s">
        <v>2764</v>
      </c>
      <c r="H970" t="s">
        <v>17</v>
      </c>
      <c r="I970" t="s">
        <v>2763</v>
      </c>
    </row>
    <row r="971" spans="1:9" hidden="1" x14ac:dyDescent="0.3">
      <c r="A971" t="s">
        <v>251</v>
      </c>
      <c r="B971" t="s">
        <v>2668</v>
      </c>
      <c r="D971" t="s">
        <v>13</v>
      </c>
      <c r="E971" t="s">
        <v>1588</v>
      </c>
      <c r="F971" t="s">
        <v>2765</v>
      </c>
      <c r="H971" t="s">
        <v>17</v>
      </c>
      <c r="I971" t="s">
        <v>2766</v>
      </c>
    </row>
    <row r="972" spans="1:9" hidden="1" x14ac:dyDescent="0.3">
      <c r="A972" t="s">
        <v>254</v>
      </c>
      <c r="B972" t="s">
        <v>2668</v>
      </c>
      <c r="D972" t="s">
        <v>13</v>
      </c>
      <c r="E972" t="s">
        <v>1892</v>
      </c>
      <c r="F972" t="s">
        <v>2767</v>
      </c>
      <c r="H972" t="s">
        <v>17</v>
      </c>
      <c r="I972" t="s">
        <v>2768</v>
      </c>
    </row>
    <row r="973" spans="1:9" hidden="1" x14ac:dyDescent="0.3">
      <c r="A973" t="s">
        <v>257</v>
      </c>
      <c r="B973" t="s">
        <v>2668</v>
      </c>
      <c r="D973" t="s">
        <v>13</v>
      </c>
      <c r="E973" t="s">
        <v>1146</v>
      </c>
      <c r="F973" t="s">
        <v>2769</v>
      </c>
      <c r="H973" t="s">
        <v>17</v>
      </c>
      <c r="I973" t="s">
        <v>2770</v>
      </c>
    </row>
    <row r="974" spans="1:9" hidden="1" x14ac:dyDescent="0.3">
      <c r="A974" t="s">
        <v>260</v>
      </c>
      <c r="B974" t="s">
        <v>2668</v>
      </c>
      <c r="D974" t="s">
        <v>13</v>
      </c>
      <c r="E974" t="s">
        <v>1150</v>
      </c>
      <c r="F974" t="s">
        <v>2771</v>
      </c>
      <c r="H974" t="s">
        <v>17</v>
      </c>
      <c r="I974" t="s">
        <v>2772</v>
      </c>
    </row>
    <row r="975" spans="1:9" hidden="1" x14ac:dyDescent="0.3">
      <c r="A975" t="s">
        <v>266</v>
      </c>
      <c r="B975" t="s">
        <v>2668</v>
      </c>
      <c r="D975" t="s">
        <v>13</v>
      </c>
      <c r="E975" t="s">
        <v>1154</v>
      </c>
      <c r="F975" t="s">
        <v>2773</v>
      </c>
      <c r="H975" t="s">
        <v>17</v>
      </c>
      <c r="I975" t="s">
        <v>2774</v>
      </c>
    </row>
    <row r="976" spans="1:9" hidden="1" x14ac:dyDescent="0.3">
      <c r="A976" t="s">
        <v>269</v>
      </c>
      <c r="B976" t="s">
        <v>2668</v>
      </c>
      <c r="D976" t="s">
        <v>13</v>
      </c>
      <c r="E976" t="s">
        <v>1158</v>
      </c>
      <c r="F976" t="s">
        <v>2775</v>
      </c>
      <c r="H976" t="s">
        <v>17</v>
      </c>
      <c r="I976" t="s">
        <v>2776</v>
      </c>
    </row>
    <row r="977" spans="1:9" hidden="1" x14ac:dyDescent="0.3">
      <c r="A977" t="s">
        <v>1610</v>
      </c>
      <c r="B977" t="s">
        <v>2668</v>
      </c>
      <c r="D977" t="s">
        <v>13</v>
      </c>
      <c r="E977" t="s">
        <v>1162</v>
      </c>
      <c r="F977" t="s">
        <v>2777</v>
      </c>
      <c r="H977" t="s">
        <v>17</v>
      </c>
      <c r="I977" t="s">
        <v>2776</v>
      </c>
    </row>
    <row r="978" spans="1:9" hidden="1" x14ac:dyDescent="0.3">
      <c r="A978" t="s">
        <v>274</v>
      </c>
      <c r="B978" t="s">
        <v>2668</v>
      </c>
      <c r="D978" t="s">
        <v>13</v>
      </c>
      <c r="E978" t="s">
        <v>1165</v>
      </c>
      <c r="F978" t="s">
        <v>2778</v>
      </c>
      <c r="H978" t="s">
        <v>17</v>
      </c>
      <c r="I978" t="s">
        <v>2776</v>
      </c>
    </row>
    <row r="979" spans="1:9" hidden="1" x14ac:dyDescent="0.3">
      <c r="A979" t="s">
        <v>277</v>
      </c>
      <c r="B979" t="s">
        <v>2668</v>
      </c>
      <c r="D979" t="s">
        <v>13</v>
      </c>
      <c r="E979" t="s">
        <v>1168</v>
      </c>
      <c r="F979" t="s">
        <v>2779</v>
      </c>
      <c r="H979" t="s">
        <v>17</v>
      </c>
      <c r="I979" t="s">
        <v>2776</v>
      </c>
    </row>
    <row r="980" spans="1:9" hidden="1" x14ac:dyDescent="0.3">
      <c r="A980" t="s">
        <v>280</v>
      </c>
      <c r="B980" t="s">
        <v>2668</v>
      </c>
      <c r="D980" t="s">
        <v>13</v>
      </c>
      <c r="E980" t="s">
        <v>1172</v>
      </c>
      <c r="F980" t="s">
        <v>2780</v>
      </c>
      <c r="H980" t="s">
        <v>17</v>
      </c>
      <c r="I980" t="s">
        <v>2776</v>
      </c>
    </row>
    <row r="981" spans="1:9" hidden="1" x14ac:dyDescent="0.3">
      <c r="A981" t="s">
        <v>283</v>
      </c>
      <c r="B981" t="s">
        <v>2668</v>
      </c>
      <c r="D981" t="s">
        <v>13</v>
      </c>
      <c r="E981" t="s">
        <v>1176</v>
      </c>
      <c r="F981" t="s">
        <v>2781</v>
      </c>
      <c r="H981" t="s">
        <v>17</v>
      </c>
      <c r="I981" t="s">
        <v>2776</v>
      </c>
    </row>
    <row r="982" spans="1:9" hidden="1" x14ac:dyDescent="0.3">
      <c r="A982" t="s">
        <v>286</v>
      </c>
      <c r="B982" t="s">
        <v>2668</v>
      </c>
      <c r="D982" t="s">
        <v>13</v>
      </c>
      <c r="E982" t="s">
        <v>1179</v>
      </c>
      <c r="F982" t="s">
        <v>2782</v>
      </c>
      <c r="H982" t="s">
        <v>17</v>
      </c>
      <c r="I982" t="s">
        <v>2776</v>
      </c>
    </row>
    <row r="983" spans="1:9" hidden="1" x14ac:dyDescent="0.3">
      <c r="A983" t="s">
        <v>289</v>
      </c>
      <c r="B983" t="s">
        <v>2668</v>
      </c>
      <c r="D983" t="s">
        <v>13</v>
      </c>
      <c r="E983" t="s">
        <v>1184</v>
      </c>
      <c r="F983" t="s">
        <v>2783</v>
      </c>
      <c r="H983" t="s">
        <v>17</v>
      </c>
      <c r="I983" t="s">
        <v>2776</v>
      </c>
    </row>
    <row r="984" spans="1:9" hidden="1" x14ac:dyDescent="0.3">
      <c r="A984" t="s">
        <v>292</v>
      </c>
      <c r="B984" t="s">
        <v>2668</v>
      </c>
      <c r="D984" t="s">
        <v>13</v>
      </c>
      <c r="E984" t="s">
        <v>1189</v>
      </c>
      <c r="F984" t="s">
        <v>2784</v>
      </c>
      <c r="H984" t="s">
        <v>17</v>
      </c>
      <c r="I984" t="s">
        <v>2776</v>
      </c>
    </row>
    <row r="985" spans="1:9" hidden="1" x14ac:dyDescent="0.3">
      <c r="A985" t="s">
        <v>295</v>
      </c>
      <c r="B985" t="s">
        <v>2668</v>
      </c>
      <c r="D985" t="s">
        <v>13</v>
      </c>
      <c r="E985" t="s">
        <v>1193</v>
      </c>
      <c r="F985" t="s">
        <v>2785</v>
      </c>
      <c r="H985" t="s">
        <v>17</v>
      </c>
      <c r="I985" t="s">
        <v>2706</v>
      </c>
    </row>
    <row r="986" spans="1:9" hidden="1" x14ac:dyDescent="0.3">
      <c r="A986" t="s">
        <v>298</v>
      </c>
      <c r="B986" t="s">
        <v>2668</v>
      </c>
      <c r="D986" t="s">
        <v>13</v>
      </c>
      <c r="E986" t="s">
        <v>1197</v>
      </c>
      <c r="F986" t="s">
        <v>2786</v>
      </c>
      <c r="H986" t="s">
        <v>17</v>
      </c>
      <c r="I986" t="s">
        <v>2787</v>
      </c>
    </row>
    <row r="987" spans="1:9" hidden="1" x14ac:dyDescent="0.3">
      <c r="A987" t="s">
        <v>301</v>
      </c>
      <c r="B987" t="s">
        <v>2668</v>
      </c>
      <c r="D987" t="s">
        <v>13</v>
      </c>
      <c r="E987" t="s">
        <v>1201</v>
      </c>
      <c r="F987" t="s">
        <v>2788</v>
      </c>
      <c r="H987" t="s">
        <v>17</v>
      </c>
      <c r="I987" t="s">
        <v>2789</v>
      </c>
    </row>
    <row r="988" spans="1:9" hidden="1" x14ac:dyDescent="0.3">
      <c r="A988" t="s">
        <v>304</v>
      </c>
      <c r="B988" t="s">
        <v>2668</v>
      </c>
      <c r="D988" t="s">
        <v>13</v>
      </c>
      <c r="E988" t="s">
        <v>1205</v>
      </c>
      <c r="F988" t="s">
        <v>2790</v>
      </c>
      <c r="H988" t="s">
        <v>17</v>
      </c>
      <c r="I988" t="s">
        <v>2789</v>
      </c>
    </row>
    <row r="989" spans="1:9" hidden="1" x14ac:dyDescent="0.3">
      <c r="A989" t="s">
        <v>309</v>
      </c>
      <c r="B989" t="s">
        <v>2668</v>
      </c>
      <c r="D989" t="s">
        <v>13</v>
      </c>
      <c r="E989" t="s">
        <v>1209</v>
      </c>
      <c r="F989" t="s">
        <v>2791</v>
      </c>
      <c r="H989" t="s">
        <v>17</v>
      </c>
      <c r="I989" t="s">
        <v>2789</v>
      </c>
    </row>
    <row r="990" spans="1:9" hidden="1" x14ac:dyDescent="0.3">
      <c r="A990" t="s">
        <v>313</v>
      </c>
      <c r="B990" t="s">
        <v>2668</v>
      </c>
      <c r="D990" t="s">
        <v>13</v>
      </c>
      <c r="E990" t="s">
        <v>1213</v>
      </c>
      <c r="F990" t="s">
        <v>2792</v>
      </c>
      <c r="H990" t="s">
        <v>17</v>
      </c>
      <c r="I990" t="s">
        <v>2789</v>
      </c>
    </row>
    <row r="991" spans="1:9" hidden="1" x14ac:dyDescent="0.3">
      <c r="A991" t="s">
        <v>317</v>
      </c>
      <c r="B991" t="s">
        <v>2668</v>
      </c>
      <c r="D991" t="s">
        <v>13</v>
      </c>
      <c r="E991" t="s">
        <v>1219</v>
      </c>
      <c r="F991" t="s">
        <v>2793</v>
      </c>
      <c r="H991" t="s">
        <v>17</v>
      </c>
      <c r="I991" t="s">
        <v>2794</v>
      </c>
    </row>
    <row r="992" spans="1:9" hidden="1" x14ac:dyDescent="0.3">
      <c r="A992" t="s">
        <v>320</v>
      </c>
      <c r="B992" t="s">
        <v>2668</v>
      </c>
      <c r="D992" t="s">
        <v>13</v>
      </c>
      <c r="E992" t="s">
        <v>1224</v>
      </c>
      <c r="F992" t="s">
        <v>2795</v>
      </c>
      <c r="H992" t="s">
        <v>17</v>
      </c>
      <c r="I992" t="s">
        <v>2796</v>
      </c>
    </row>
    <row r="993" spans="1:9" hidden="1" x14ac:dyDescent="0.3">
      <c r="A993" t="s">
        <v>324</v>
      </c>
      <c r="B993" t="s">
        <v>2668</v>
      </c>
      <c r="D993" t="s">
        <v>13</v>
      </c>
      <c r="E993" t="s">
        <v>1228</v>
      </c>
      <c r="F993" t="s">
        <v>2797</v>
      </c>
      <c r="H993" t="s">
        <v>17</v>
      </c>
      <c r="I993" t="s">
        <v>2706</v>
      </c>
    </row>
    <row r="994" spans="1:9" hidden="1" x14ac:dyDescent="0.3">
      <c r="A994" t="s">
        <v>328</v>
      </c>
      <c r="B994" t="s">
        <v>2668</v>
      </c>
      <c r="D994" t="s">
        <v>13</v>
      </c>
      <c r="E994" t="s">
        <v>1232</v>
      </c>
      <c r="F994" t="s">
        <v>2798</v>
      </c>
      <c r="H994" t="s">
        <v>17</v>
      </c>
      <c r="I994" t="s">
        <v>2706</v>
      </c>
    </row>
    <row r="995" spans="1:9" hidden="1" x14ac:dyDescent="0.3">
      <c r="A995" t="s">
        <v>336</v>
      </c>
      <c r="B995" t="s">
        <v>2668</v>
      </c>
      <c r="D995" t="s">
        <v>13</v>
      </c>
      <c r="E995" t="s">
        <v>1236</v>
      </c>
      <c r="F995" t="s">
        <v>2799</v>
      </c>
      <c r="H995" t="s">
        <v>17</v>
      </c>
      <c r="I995" t="s">
        <v>2706</v>
      </c>
    </row>
    <row r="996" spans="1:9" hidden="1" x14ac:dyDescent="0.3">
      <c r="A996" t="s">
        <v>339</v>
      </c>
      <c r="B996" t="s">
        <v>2668</v>
      </c>
      <c r="D996" t="s">
        <v>13</v>
      </c>
      <c r="E996" t="s">
        <v>1240</v>
      </c>
      <c r="F996" t="s">
        <v>2445</v>
      </c>
      <c r="H996" t="s">
        <v>17</v>
      </c>
      <c r="I996" t="s">
        <v>2800</v>
      </c>
    </row>
    <row r="997" spans="1:9" hidden="1" x14ac:dyDescent="0.3">
      <c r="A997" t="s">
        <v>342</v>
      </c>
      <c r="B997" t="s">
        <v>2668</v>
      </c>
      <c r="D997" t="s">
        <v>13</v>
      </c>
      <c r="E997" t="s">
        <v>1244</v>
      </c>
      <c r="F997" t="s">
        <v>2801</v>
      </c>
      <c r="H997" t="s">
        <v>17</v>
      </c>
      <c r="I997" t="s">
        <v>2800</v>
      </c>
    </row>
    <row r="998" spans="1:9" hidden="1" x14ac:dyDescent="0.3">
      <c r="A998" t="s">
        <v>345</v>
      </c>
      <c r="B998" t="s">
        <v>2668</v>
      </c>
      <c r="D998" t="s">
        <v>13</v>
      </c>
      <c r="E998" t="s">
        <v>1248</v>
      </c>
      <c r="F998" t="s">
        <v>2802</v>
      </c>
      <c r="H998" t="s">
        <v>17</v>
      </c>
      <c r="I998" t="s">
        <v>2800</v>
      </c>
    </row>
    <row r="999" spans="1:9" hidden="1" x14ac:dyDescent="0.3">
      <c r="A999" t="s">
        <v>348</v>
      </c>
      <c r="B999" t="s">
        <v>2668</v>
      </c>
      <c r="D999" t="s">
        <v>13</v>
      </c>
      <c r="E999" t="s">
        <v>1252</v>
      </c>
      <c r="F999" t="s">
        <v>2803</v>
      </c>
      <c r="H999" t="s">
        <v>17</v>
      </c>
      <c r="I999" t="s">
        <v>2800</v>
      </c>
    </row>
    <row r="1000" spans="1:9" hidden="1" x14ac:dyDescent="0.3">
      <c r="A1000" t="s">
        <v>354</v>
      </c>
      <c r="B1000" t="s">
        <v>2668</v>
      </c>
      <c r="D1000" t="s">
        <v>13</v>
      </c>
      <c r="E1000" t="s">
        <v>1256</v>
      </c>
      <c r="F1000" t="s">
        <v>2804</v>
      </c>
      <c r="H1000" t="s">
        <v>17</v>
      </c>
      <c r="I1000" t="s">
        <v>2800</v>
      </c>
    </row>
    <row r="1001" spans="1:9" hidden="1" x14ac:dyDescent="0.3">
      <c r="A1001" t="s">
        <v>359</v>
      </c>
      <c r="B1001" t="s">
        <v>2668</v>
      </c>
      <c r="D1001" t="s">
        <v>13</v>
      </c>
      <c r="E1001" t="s">
        <v>1261</v>
      </c>
      <c r="F1001" t="s">
        <v>2805</v>
      </c>
      <c r="H1001" t="s">
        <v>17</v>
      </c>
      <c r="I1001" t="s">
        <v>2800</v>
      </c>
    </row>
    <row r="1002" spans="1:9" hidden="1" x14ac:dyDescent="0.3">
      <c r="A1002" t="s">
        <v>362</v>
      </c>
      <c r="B1002" t="s">
        <v>2668</v>
      </c>
      <c r="D1002" t="s">
        <v>13</v>
      </c>
      <c r="E1002" t="s">
        <v>1265</v>
      </c>
      <c r="F1002" t="s">
        <v>2806</v>
      </c>
      <c r="H1002" t="s">
        <v>17</v>
      </c>
      <c r="I1002" t="s">
        <v>2800</v>
      </c>
    </row>
    <row r="1003" spans="1:9" hidden="1" x14ac:dyDescent="0.3">
      <c r="A1003" t="s">
        <v>365</v>
      </c>
      <c r="B1003" t="s">
        <v>2668</v>
      </c>
      <c r="D1003" t="s">
        <v>13</v>
      </c>
      <c r="E1003" t="s">
        <v>1270</v>
      </c>
      <c r="F1003" t="s">
        <v>2807</v>
      </c>
      <c r="H1003" t="s">
        <v>17</v>
      </c>
      <c r="I1003" t="s">
        <v>2800</v>
      </c>
    </row>
    <row r="1004" spans="1:9" hidden="1" x14ac:dyDescent="0.3">
      <c r="A1004" t="s">
        <v>368</v>
      </c>
      <c r="B1004" t="s">
        <v>2668</v>
      </c>
      <c r="D1004" t="s">
        <v>13</v>
      </c>
      <c r="E1004" t="s">
        <v>1276</v>
      </c>
      <c r="F1004" t="s">
        <v>2808</v>
      </c>
      <c r="H1004" t="s">
        <v>17</v>
      </c>
      <c r="I1004" t="s">
        <v>2800</v>
      </c>
    </row>
    <row r="1005" spans="1:9" hidden="1" x14ac:dyDescent="0.3">
      <c r="A1005" t="s">
        <v>371</v>
      </c>
      <c r="B1005" t="s">
        <v>2668</v>
      </c>
      <c r="D1005" t="s">
        <v>13</v>
      </c>
      <c r="E1005" t="s">
        <v>303</v>
      </c>
      <c r="F1005" t="s">
        <v>2809</v>
      </c>
      <c r="H1005" t="s">
        <v>17</v>
      </c>
      <c r="I1005" t="s">
        <v>2800</v>
      </c>
    </row>
    <row r="1006" spans="1:9" hidden="1" x14ac:dyDescent="0.3">
      <c r="A1006" t="s">
        <v>374</v>
      </c>
      <c r="B1006" t="s">
        <v>2668</v>
      </c>
      <c r="D1006" t="s">
        <v>13</v>
      </c>
      <c r="E1006" t="s">
        <v>308</v>
      </c>
      <c r="F1006" t="s">
        <v>2810</v>
      </c>
      <c r="H1006" t="s">
        <v>17</v>
      </c>
      <c r="I1006" t="s">
        <v>2800</v>
      </c>
    </row>
    <row r="1007" spans="1:9" hidden="1" x14ac:dyDescent="0.3">
      <c r="A1007" t="s">
        <v>2812</v>
      </c>
      <c r="B1007" t="s">
        <v>2668</v>
      </c>
      <c r="D1007" t="s">
        <v>13</v>
      </c>
      <c r="E1007" t="s">
        <v>312</v>
      </c>
      <c r="F1007" t="s">
        <v>2811</v>
      </c>
      <c r="H1007" t="s">
        <v>17</v>
      </c>
      <c r="I1007" t="s">
        <v>2800</v>
      </c>
    </row>
    <row r="1008" spans="1:9" hidden="1" x14ac:dyDescent="0.3">
      <c r="A1008" t="s">
        <v>2813</v>
      </c>
      <c r="B1008" t="s">
        <v>2668</v>
      </c>
      <c r="D1008" t="s">
        <v>13</v>
      </c>
      <c r="E1008" t="s">
        <v>316</v>
      </c>
      <c r="F1008" t="s">
        <v>1294</v>
      </c>
      <c r="H1008" t="s">
        <v>17</v>
      </c>
      <c r="I1008" t="s">
        <v>2800</v>
      </c>
    </row>
    <row r="1009" spans="1:9" hidden="1" x14ac:dyDescent="0.3">
      <c r="A1009" t="s">
        <v>2815</v>
      </c>
      <c r="B1009" t="s">
        <v>2668</v>
      </c>
      <c r="D1009" t="s">
        <v>13</v>
      </c>
      <c r="E1009" t="s">
        <v>319</v>
      </c>
      <c r="F1009" t="s">
        <v>2814</v>
      </c>
      <c r="H1009" t="s">
        <v>17</v>
      </c>
      <c r="I1009" t="s">
        <v>2800</v>
      </c>
    </row>
    <row r="1010" spans="1:9" hidden="1" x14ac:dyDescent="0.3">
      <c r="A1010" t="s">
        <v>2818</v>
      </c>
      <c r="B1010" t="s">
        <v>2668</v>
      </c>
      <c r="D1010" t="s">
        <v>13</v>
      </c>
      <c r="E1010" t="s">
        <v>323</v>
      </c>
      <c r="F1010" t="s">
        <v>2816</v>
      </c>
      <c r="H1010" t="s">
        <v>17</v>
      </c>
      <c r="I1010" t="s">
        <v>2817</v>
      </c>
    </row>
    <row r="1011" spans="1:9" hidden="1" x14ac:dyDescent="0.3">
      <c r="A1011" t="s">
        <v>2820</v>
      </c>
      <c r="B1011" t="s">
        <v>2668</v>
      </c>
      <c r="D1011" t="s">
        <v>13</v>
      </c>
      <c r="E1011" t="s">
        <v>327</v>
      </c>
      <c r="F1011" t="s">
        <v>2819</v>
      </c>
      <c r="H1011" t="s">
        <v>17</v>
      </c>
      <c r="I1011" t="s">
        <v>2817</v>
      </c>
    </row>
    <row r="1012" spans="1:9" hidden="1" x14ac:dyDescent="0.3">
      <c r="A1012" t="s">
        <v>2822</v>
      </c>
      <c r="B1012" t="s">
        <v>2668</v>
      </c>
      <c r="D1012" t="s">
        <v>13</v>
      </c>
      <c r="E1012" t="s">
        <v>332</v>
      </c>
      <c r="F1012" t="s">
        <v>2821</v>
      </c>
      <c r="H1012" t="s">
        <v>17</v>
      </c>
      <c r="I1012" t="s">
        <v>2817</v>
      </c>
    </row>
    <row r="1013" spans="1:9" hidden="1" x14ac:dyDescent="0.3">
      <c r="A1013" t="s">
        <v>2824</v>
      </c>
      <c r="B1013" t="s">
        <v>2668</v>
      </c>
      <c r="D1013" t="s">
        <v>13</v>
      </c>
      <c r="E1013" t="s">
        <v>335</v>
      </c>
      <c r="F1013" t="s">
        <v>2823</v>
      </c>
      <c r="H1013" t="s">
        <v>17</v>
      </c>
      <c r="I1013" t="s">
        <v>2817</v>
      </c>
    </row>
    <row r="1014" spans="1:9" hidden="1" x14ac:dyDescent="0.3">
      <c r="A1014" t="s">
        <v>2826</v>
      </c>
      <c r="B1014" t="s">
        <v>2668</v>
      </c>
      <c r="D1014" t="s">
        <v>13</v>
      </c>
      <c r="E1014" t="s">
        <v>338</v>
      </c>
      <c r="F1014" t="s">
        <v>2825</v>
      </c>
      <c r="H1014" t="s">
        <v>17</v>
      </c>
      <c r="I1014" t="s">
        <v>2817</v>
      </c>
    </row>
    <row r="1015" spans="1:9" hidden="1" x14ac:dyDescent="0.3">
      <c r="A1015" t="s">
        <v>2828</v>
      </c>
      <c r="B1015" t="s">
        <v>2668</v>
      </c>
      <c r="D1015" t="s">
        <v>13</v>
      </c>
      <c r="E1015" t="s">
        <v>341</v>
      </c>
      <c r="F1015" t="s">
        <v>2827</v>
      </c>
      <c r="H1015" t="s">
        <v>17</v>
      </c>
      <c r="I1015" t="s">
        <v>2817</v>
      </c>
    </row>
    <row r="1016" spans="1:9" hidden="1" x14ac:dyDescent="0.3">
      <c r="A1016" t="s">
        <v>2830</v>
      </c>
      <c r="B1016" t="s">
        <v>2668</v>
      </c>
      <c r="D1016" t="s">
        <v>13</v>
      </c>
      <c r="E1016" t="s">
        <v>344</v>
      </c>
      <c r="F1016" t="s">
        <v>2829</v>
      </c>
      <c r="H1016" t="s">
        <v>17</v>
      </c>
      <c r="I1016" t="s">
        <v>2817</v>
      </c>
    </row>
    <row r="1017" spans="1:9" hidden="1" x14ac:dyDescent="0.3">
      <c r="A1017" t="s">
        <v>2832</v>
      </c>
      <c r="B1017" t="s">
        <v>2668</v>
      </c>
      <c r="D1017" t="s">
        <v>13</v>
      </c>
      <c r="E1017" t="s">
        <v>347</v>
      </c>
      <c r="F1017" t="s">
        <v>2831</v>
      </c>
      <c r="H1017" t="s">
        <v>17</v>
      </c>
      <c r="I1017" t="s">
        <v>2817</v>
      </c>
    </row>
    <row r="1018" spans="1:9" hidden="1" x14ac:dyDescent="0.3">
      <c r="A1018" t="s">
        <v>2834</v>
      </c>
      <c r="B1018" t="s">
        <v>2668</v>
      </c>
      <c r="D1018" t="s">
        <v>13</v>
      </c>
      <c r="E1018" t="s">
        <v>353</v>
      </c>
      <c r="F1018" t="s">
        <v>2833</v>
      </c>
      <c r="H1018" t="s">
        <v>17</v>
      </c>
      <c r="I1018" t="s">
        <v>2817</v>
      </c>
    </row>
    <row r="1019" spans="1:9" hidden="1" x14ac:dyDescent="0.3">
      <c r="A1019" t="s">
        <v>2837</v>
      </c>
      <c r="B1019" t="s">
        <v>2668</v>
      </c>
      <c r="D1019" t="s">
        <v>13</v>
      </c>
      <c r="E1019" t="s">
        <v>358</v>
      </c>
      <c r="F1019" t="s">
        <v>2835</v>
      </c>
      <c r="H1019" t="s">
        <v>17</v>
      </c>
      <c r="I1019" t="s">
        <v>2836</v>
      </c>
    </row>
    <row r="1020" spans="1:9" hidden="1" x14ac:dyDescent="0.3">
      <c r="A1020" t="s">
        <v>2840</v>
      </c>
      <c r="B1020" t="s">
        <v>2668</v>
      </c>
      <c r="D1020" t="s">
        <v>13</v>
      </c>
      <c r="E1020" t="s">
        <v>361</v>
      </c>
      <c r="F1020" t="s">
        <v>2838</v>
      </c>
      <c r="H1020" t="s">
        <v>17</v>
      </c>
      <c r="I1020" t="s">
        <v>2839</v>
      </c>
    </row>
    <row r="1021" spans="1:9" hidden="1" x14ac:dyDescent="0.3">
      <c r="A1021" t="s">
        <v>2842</v>
      </c>
      <c r="B1021" t="s">
        <v>2668</v>
      </c>
      <c r="D1021" t="s">
        <v>13</v>
      </c>
      <c r="E1021" t="s">
        <v>364</v>
      </c>
      <c r="F1021" t="s">
        <v>2841</v>
      </c>
      <c r="H1021" t="s">
        <v>17</v>
      </c>
      <c r="I1021" t="s">
        <v>2839</v>
      </c>
    </row>
    <row r="1022" spans="1:9" hidden="1" x14ac:dyDescent="0.3">
      <c r="A1022" t="s">
        <v>2843</v>
      </c>
      <c r="B1022" t="s">
        <v>2668</v>
      </c>
      <c r="D1022" t="s">
        <v>13</v>
      </c>
      <c r="E1022" t="s">
        <v>367</v>
      </c>
      <c r="F1022" t="s">
        <v>2463</v>
      </c>
      <c r="H1022" t="s">
        <v>17</v>
      </c>
      <c r="I1022" t="s">
        <v>2839</v>
      </c>
    </row>
    <row r="1023" spans="1:9" hidden="1" x14ac:dyDescent="0.3">
      <c r="A1023" t="s">
        <v>2844</v>
      </c>
      <c r="B1023" t="s">
        <v>2668</v>
      </c>
      <c r="D1023" t="s">
        <v>13</v>
      </c>
      <c r="E1023" t="s">
        <v>370</v>
      </c>
      <c r="F1023" t="s">
        <v>2465</v>
      </c>
      <c r="H1023" t="s">
        <v>17</v>
      </c>
      <c r="I1023" t="s">
        <v>2839</v>
      </c>
    </row>
    <row r="1024" spans="1:9" hidden="1" x14ac:dyDescent="0.3">
      <c r="A1024" t="s">
        <v>2846</v>
      </c>
      <c r="B1024" t="s">
        <v>2668</v>
      </c>
      <c r="D1024" t="s">
        <v>13</v>
      </c>
      <c r="E1024" t="s">
        <v>373</v>
      </c>
      <c r="F1024" t="s">
        <v>2845</v>
      </c>
      <c r="H1024" t="s">
        <v>17</v>
      </c>
      <c r="I1024" t="s">
        <v>2839</v>
      </c>
    </row>
    <row r="1025" spans="1:9" hidden="1" x14ac:dyDescent="0.3">
      <c r="A1025" t="s">
        <v>2848</v>
      </c>
      <c r="B1025" t="s">
        <v>2668</v>
      </c>
      <c r="D1025" t="s">
        <v>13</v>
      </c>
      <c r="E1025" t="s">
        <v>376</v>
      </c>
      <c r="F1025" t="s">
        <v>2847</v>
      </c>
      <c r="H1025" t="s">
        <v>17</v>
      </c>
      <c r="I1025" t="s">
        <v>2839</v>
      </c>
    </row>
    <row r="1026" spans="1:9" hidden="1" x14ac:dyDescent="0.3">
      <c r="A1026" t="s">
        <v>2849</v>
      </c>
      <c r="B1026" t="s">
        <v>2668</v>
      </c>
      <c r="D1026" t="s">
        <v>13</v>
      </c>
      <c r="E1026" t="s">
        <v>1675</v>
      </c>
      <c r="F1026" t="s">
        <v>2473</v>
      </c>
      <c r="H1026" t="s">
        <v>17</v>
      </c>
      <c r="I1026" t="s">
        <v>2839</v>
      </c>
    </row>
    <row r="1027" spans="1:9" hidden="1" x14ac:dyDescent="0.3">
      <c r="A1027" t="s">
        <v>2851</v>
      </c>
      <c r="B1027" t="s">
        <v>2668</v>
      </c>
      <c r="D1027" t="s">
        <v>13</v>
      </c>
      <c r="E1027" t="s">
        <v>1678</v>
      </c>
      <c r="F1027" t="s">
        <v>2850</v>
      </c>
      <c r="H1027" t="s">
        <v>17</v>
      </c>
      <c r="I1027" t="s">
        <v>2839</v>
      </c>
    </row>
    <row r="1028" spans="1:9" hidden="1" x14ac:dyDescent="0.3">
      <c r="A1028" t="s">
        <v>2854</v>
      </c>
      <c r="B1028" t="s">
        <v>2668</v>
      </c>
      <c r="D1028" t="s">
        <v>13</v>
      </c>
      <c r="E1028" t="s">
        <v>1681</v>
      </c>
      <c r="F1028" t="s">
        <v>2852</v>
      </c>
      <c r="H1028" t="s">
        <v>17</v>
      </c>
      <c r="I1028" t="s">
        <v>2853</v>
      </c>
    </row>
    <row r="1029" spans="1:9" hidden="1" x14ac:dyDescent="0.3">
      <c r="A1029" t="s">
        <v>2857</v>
      </c>
      <c r="B1029" t="s">
        <v>2668</v>
      </c>
      <c r="D1029" t="s">
        <v>13</v>
      </c>
      <c r="E1029" t="s">
        <v>1683</v>
      </c>
      <c r="F1029" t="s">
        <v>2855</v>
      </c>
      <c r="H1029" t="s">
        <v>17</v>
      </c>
      <c r="I1029" t="s">
        <v>2856</v>
      </c>
    </row>
    <row r="1030" spans="1:9" hidden="1" x14ac:dyDescent="0.3">
      <c r="A1030" t="s">
        <v>2860</v>
      </c>
      <c r="B1030" t="s">
        <v>2668</v>
      </c>
      <c r="D1030" t="s">
        <v>13</v>
      </c>
      <c r="E1030" t="s">
        <v>1685</v>
      </c>
      <c r="F1030" t="s">
        <v>2858</v>
      </c>
      <c r="H1030" t="s">
        <v>17</v>
      </c>
      <c r="I1030" t="s">
        <v>2856</v>
      </c>
    </row>
    <row r="1031" spans="1:9" hidden="1" x14ac:dyDescent="0.3">
      <c r="A1031" t="s">
        <v>2862</v>
      </c>
      <c r="B1031" t="s">
        <v>2668</v>
      </c>
      <c r="D1031" t="s">
        <v>13</v>
      </c>
      <c r="E1031" t="s">
        <v>2859</v>
      </c>
      <c r="F1031" t="s">
        <v>2861</v>
      </c>
      <c r="H1031" t="s">
        <v>17</v>
      </c>
      <c r="I1031" t="s">
        <v>2856</v>
      </c>
    </row>
    <row r="1032" spans="1:9" hidden="1" x14ac:dyDescent="0.3">
      <c r="A1032" t="s">
        <v>2864</v>
      </c>
      <c r="B1032" t="s">
        <v>2668</v>
      </c>
      <c r="D1032" t="s">
        <v>13</v>
      </c>
      <c r="E1032" t="s">
        <v>2413</v>
      </c>
      <c r="F1032" t="s">
        <v>2863</v>
      </c>
      <c r="H1032" t="s">
        <v>17</v>
      </c>
      <c r="I1032" t="s">
        <v>2856</v>
      </c>
    </row>
    <row r="1033" spans="1:9" hidden="1" x14ac:dyDescent="0.3">
      <c r="A1033" t="s">
        <v>2866</v>
      </c>
      <c r="B1033" t="s">
        <v>2668</v>
      </c>
      <c r="D1033" t="s">
        <v>13</v>
      </c>
      <c r="E1033" t="s">
        <v>2417</v>
      </c>
      <c r="F1033" t="s">
        <v>2865</v>
      </c>
      <c r="H1033" t="s">
        <v>17</v>
      </c>
      <c r="I1033" t="s">
        <v>2856</v>
      </c>
    </row>
    <row r="1034" spans="1:9" hidden="1" x14ac:dyDescent="0.3">
      <c r="A1034" t="s">
        <v>2868</v>
      </c>
      <c r="B1034" t="s">
        <v>2668</v>
      </c>
      <c r="D1034" t="s">
        <v>13</v>
      </c>
      <c r="E1034" t="s">
        <v>2421</v>
      </c>
      <c r="F1034" t="s">
        <v>2867</v>
      </c>
      <c r="H1034" t="s">
        <v>17</v>
      </c>
      <c r="I1034" t="s">
        <v>2856</v>
      </c>
    </row>
    <row r="1035" spans="1:9" hidden="1" x14ac:dyDescent="0.3">
      <c r="A1035" t="s">
        <v>1937</v>
      </c>
      <c r="B1035" t="s">
        <v>2668</v>
      </c>
      <c r="D1035" t="s">
        <v>1936</v>
      </c>
      <c r="E1035" t="s">
        <v>996</v>
      </c>
      <c r="F1035" t="s">
        <v>2869</v>
      </c>
      <c r="H1035" t="s">
        <v>17</v>
      </c>
      <c r="I1035" t="s">
        <v>2856</v>
      </c>
    </row>
    <row r="1036" spans="1:9" hidden="1" x14ac:dyDescent="0.3">
      <c r="A1036" t="s">
        <v>1940</v>
      </c>
      <c r="B1036" t="s">
        <v>2668</v>
      </c>
      <c r="D1036" t="s">
        <v>1936</v>
      </c>
      <c r="E1036" t="s">
        <v>1001</v>
      </c>
      <c r="F1036" t="s">
        <v>2870</v>
      </c>
      <c r="H1036" t="s">
        <v>17</v>
      </c>
      <c r="I1036" t="s">
        <v>2856</v>
      </c>
    </row>
    <row r="1037" spans="1:9" hidden="1" x14ac:dyDescent="0.3">
      <c r="A1037" t="s">
        <v>1943</v>
      </c>
      <c r="B1037" t="s">
        <v>2668</v>
      </c>
      <c r="D1037" t="s">
        <v>1936</v>
      </c>
      <c r="E1037" t="s">
        <v>1942</v>
      </c>
      <c r="F1037" t="s">
        <v>2871</v>
      </c>
      <c r="H1037" t="s">
        <v>17</v>
      </c>
      <c r="I1037" t="s">
        <v>2856</v>
      </c>
    </row>
    <row r="1038" spans="1:9" hidden="1" x14ac:dyDescent="0.3">
      <c r="A1038" t="s">
        <v>1944</v>
      </c>
      <c r="B1038" t="s">
        <v>2668</v>
      </c>
      <c r="D1038" t="s">
        <v>1936</v>
      </c>
      <c r="E1038" t="s">
        <v>22</v>
      </c>
      <c r="F1038" t="s">
        <v>2872</v>
      </c>
      <c r="H1038" t="s">
        <v>17</v>
      </c>
      <c r="I1038" t="s">
        <v>2856</v>
      </c>
    </row>
    <row r="1039" spans="1:9" hidden="1" x14ac:dyDescent="0.3">
      <c r="A1039" t="s">
        <v>1946</v>
      </c>
      <c r="B1039" t="s">
        <v>2668</v>
      </c>
      <c r="D1039" t="s">
        <v>1936</v>
      </c>
      <c r="E1039" t="s">
        <v>27</v>
      </c>
      <c r="F1039" t="s">
        <v>2873</v>
      </c>
      <c r="H1039" t="s">
        <v>17</v>
      </c>
      <c r="I1039" t="s">
        <v>2856</v>
      </c>
    </row>
    <row r="1040" spans="1:9" hidden="1" x14ac:dyDescent="0.3">
      <c r="A1040" t="s">
        <v>1948</v>
      </c>
      <c r="B1040" t="s">
        <v>2668</v>
      </c>
      <c r="D1040" t="s">
        <v>1936</v>
      </c>
      <c r="E1040" t="s">
        <v>1014</v>
      </c>
      <c r="F1040" t="s">
        <v>2874</v>
      </c>
      <c r="H1040" t="s">
        <v>17</v>
      </c>
      <c r="I1040" t="s">
        <v>2856</v>
      </c>
    </row>
    <row r="1041" spans="1:9" hidden="1" x14ac:dyDescent="0.3">
      <c r="A1041" t="s">
        <v>1950</v>
      </c>
      <c r="B1041" t="s">
        <v>2668</v>
      </c>
      <c r="D1041" t="s">
        <v>1936</v>
      </c>
      <c r="E1041" t="s">
        <v>1017</v>
      </c>
      <c r="F1041" t="s">
        <v>2875</v>
      </c>
      <c r="H1041" t="s">
        <v>17</v>
      </c>
      <c r="I1041" t="s">
        <v>2856</v>
      </c>
    </row>
    <row r="1042" spans="1:9" hidden="1" x14ac:dyDescent="0.3">
      <c r="A1042" t="s">
        <v>1952</v>
      </c>
      <c r="B1042" t="s">
        <v>2668</v>
      </c>
      <c r="D1042" t="s">
        <v>1936</v>
      </c>
      <c r="E1042" t="s">
        <v>36</v>
      </c>
      <c r="F1042" t="s">
        <v>2876</v>
      </c>
      <c r="H1042" t="s">
        <v>17</v>
      </c>
      <c r="I1042" t="s">
        <v>2856</v>
      </c>
    </row>
    <row r="1043" spans="1:9" hidden="1" x14ac:dyDescent="0.3">
      <c r="A1043" t="s">
        <v>1954</v>
      </c>
      <c r="B1043" t="s">
        <v>2668</v>
      </c>
      <c r="D1043" t="s">
        <v>1936</v>
      </c>
      <c r="E1043" t="s">
        <v>41</v>
      </c>
      <c r="F1043" t="s">
        <v>2877</v>
      </c>
      <c r="H1043" t="s">
        <v>17</v>
      </c>
      <c r="I1043" t="s">
        <v>2856</v>
      </c>
    </row>
    <row r="1044" spans="1:9" hidden="1" x14ac:dyDescent="0.3">
      <c r="A1044" t="s">
        <v>1956</v>
      </c>
      <c r="B1044" t="s">
        <v>2668</v>
      </c>
      <c r="D1044" t="s">
        <v>1936</v>
      </c>
      <c r="E1044" t="s">
        <v>45</v>
      </c>
      <c r="F1044" t="s">
        <v>2878</v>
      </c>
      <c r="H1044" t="s">
        <v>17</v>
      </c>
      <c r="I1044" t="s">
        <v>2856</v>
      </c>
    </row>
    <row r="1045" spans="1:9" hidden="1" x14ac:dyDescent="0.3">
      <c r="A1045" t="s">
        <v>1960</v>
      </c>
      <c r="B1045" t="s">
        <v>2668</v>
      </c>
      <c r="D1045" t="s">
        <v>1936</v>
      </c>
      <c r="E1045" t="s">
        <v>50</v>
      </c>
      <c r="F1045" t="s">
        <v>2451</v>
      </c>
      <c r="H1045" t="s">
        <v>17</v>
      </c>
      <c r="I1045" t="s">
        <v>2856</v>
      </c>
    </row>
    <row r="1046" spans="1:9" hidden="1" x14ac:dyDescent="0.3">
      <c r="A1046" t="s">
        <v>1962</v>
      </c>
      <c r="B1046" t="s">
        <v>2668</v>
      </c>
      <c r="D1046" t="s">
        <v>1936</v>
      </c>
      <c r="E1046" t="s">
        <v>53</v>
      </c>
      <c r="F1046" t="s">
        <v>2879</v>
      </c>
      <c r="H1046" t="s">
        <v>17</v>
      </c>
      <c r="I1046" t="s">
        <v>2880</v>
      </c>
    </row>
    <row r="1047" spans="1:9" hidden="1" x14ac:dyDescent="0.3">
      <c r="A1047" t="s">
        <v>1964</v>
      </c>
      <c r="B1047" t="s">
        <v>2668</v>
      </c>
      <c r="D1047" t="s">
        <v>1936</v>
      </c>
      <c r="E1047" t="s">
        <v>56</v>
      </c>
      <c r="F1047" t="s">
        <v>2881</v>
      </c>
      <c r="H1047" t="s">
        <v>17</v>
      </c>
      <c r="I1047" t="s">
        <v>2880</v>
      </c>
    </row>
    <row r="1048" spans="1:9" hidden="1" x14ac:dyDescent="0.3">
      <c r="A1048" t="s">
        <v>1966</v>
      </c>
      <c r="B1048" t="s">
        <v>2668</v>
      </c>
      <c r="D1048" t="s">
        <v>1936</v>
      </c>
      <c r="E1048" t="s">
        <v>61</v>
      </c>
      <c r="F1048" t="s">
        <v>2717</v>
      </c>
      <c r="H1048" t="s">
        <v>17</v>
      </c>
      <c r="I1048" t="s">
        <v>2880</v>
      </c>
    </row>
    <row r="1049" spans="1:9" hidden="1" x14ac:dyDescent="0.3">
      <c r="A1049" t="s">
        <v>1968</v>
      </c>
      <c r="B1049" t="s">
        <v>2668</v>
      </c>
      <c r="D1049" t="s">
        <v>1936</v>
      </c>
      <c r="E1049" t="s">
        <v>1039</v>
      </c>
      <c r="F1049" t="s">
        <v>2882</v>
      </c>
      <c r="H1049" t="s">
        <v>17</v>
      </c>
      <c r="I1049" t="s">
        <v>2880</v>
      </c>
    </row>
    <row r="1050" spans="1:9" hidden="1" x14ac:dyDescent="0.3">
      <c r="A1050" t="s">
        <v>1971</v>
      </c>
      <c r="B1050" t="s">
        <v>2668</v>
      </c>
      <c r="D1050" t="s">
        <v>1936</v>
      </c>
      <c r="E1050" t="s">
        <v>1043</v>
      </c>
      <c r="F1050" t="s">
        <v>2883</v>
      </c>
      <c r="H1050" t="s">
        <v>17</v>
      </c>
      <c r="I1050" t="s">
        <v>2880</v>
      </c>
    </row>
    <row r="1051" spans="1:9" hidden="1" x14ac:dyDescent="0.3">
      <c r="A1051" t="s">
        <v>1975</v>
      </c>
      <c r="B1051" t="s">
        <v>2668</v>
      </c>
      <c r="D1051" t="s">
        <v>1936</v>
      </c>
      <c r="E1051" t="s">
        <v>71</v>
      </c>
      <c r="F1051" t="s">
        <v>2884</v>
      </c>
      <c r="H1051" t="s">
        <v>17</v>
      </c>
      <c r="I1051" t="s">
        <v>2880</v>
      </c>
    </row>
    <row r="1052" spans="1:9" hidden="1" x14ac:dyDescent="0.3">
      <c r="A1052" t="s">
        <v>1979</v>
      </c>
      <c r="B1052" t="s">
        <v>2668</v>
      </c>
      <c r="D1052" t="s">
        <v>1936</v>
      </c>
      <c r="E1052" t="s">
        <v>1050</v>
      </c>
      <c r="F1052" t="s">
        <v>2731</v>
      </c>
      <c r="H1052" t="s">
        <v>17</v>
      </c>
      <c r="I1052" t="s">
        <v>2880</v>
      </c>
    </row>
    <row r="1053" spans="1:9" hidden="1" x14ac:dyDescent="0.3">
      <c r="A1053" t="s">
        <v>1982</v>
      </c>
      <c r="B1053" t="s">
        <v>2668</v>
      </c>
      <c r="D1053" t="s">
        <v>1936</v>
      </c>
      <c r="E1053" t="s">
        <v>1055</v>
      </c>
      <c r="F1053" t="s">
        <v>2885</v>
      </c>
      <c r="H1053" t="s">
        <v>17</v>
      </c>
      <c r="I1053" t="s">
        <v>2880</v>
      </c>
    </row>
    <row r="1054" spans="1:9" hidden="1" x14ac:dyDescent="0.3">
      <c r="A1054" t="s">
        <v>1987</v>
      </c>
      <c r="B1054" t="s">
        <v>2668</v>
      </c>
      <c r="D1054" t="s">
        <v>1936</v>
      </c>
      <c r="E1054" t="s">
        <v>80</v>
      </c>
      <c r="F1054" t="s">
        <v>2886</v>
      </c>
      <c r="H1054" t="s">
        <v>17</v>
      </c>
      <c r="I1054" t="s">
        <v>2880</v>
      </c>
    </row>
    <row r="1055" spans="1:9" hidden="1" x14ac:dyDescent="0.3">
      <c r="A1055" t="s">
        <v>1989</v>
      </c>
      <c r="B1055" t="s">
        <v>2668</v>
      </c>
      <c r="D1055" t="s">
        <v>1936</v>
      </c>
      <c r="E1055" t="s">
        <v>85</v>
      </c>
      <c r="F1055" t="s">
        <v>2887</v>
      </c>
      <c r="H1055" t="s">
        <v>17</v>
      </c>
      <c r="I1055" t="s">
        <v>2888</v>
      </c>
    </row>
    <row r="1056" spans="1:9" hidden="1" x14ac:dyDescent="0.3">
      <c r="A1056" t="s">
        <v>1991</v>
      </c>
      <c r="B1056" t="s">
        <v>2668</v>
      </c>
      <c r="D1056" t="s">
        <v>1936</v>
      </c>
      <c r="E1056" t="s">
        <v>90</v>
      </c>
      <c r="F1056" t="s">
        <v>2717</v>
      </c>
      <c r="H1056" t="s">
        <v>17</v>
      </c>
      <c r="I1056" t="s">
        <v>2888</v>
      </c>
    </row>
    <row r="1057" spans="1:9" hidden="1" x14ac:dyDescent="0.3">
      <c r="A1057" t="s">
        <v>1993</v>
      </c>
      <c r="B1057" t="s">
        <v>2668</v>
      </c>
      <c r="D1057" t="s">
        <v>1936</v>
      </c>
      <c r="E1057" t="s">
        <v>95</v>
      </c>
      <c r="F1057" t="s">
        <v>2882</v>
      </c>
      <c r="H1057" t="s">
        <v>17</v>
      </c>
      <c r="I1057" t="s">
        <v>2888</v>
      </c>
    </row>
    <row r="1058" spans="1:9" hidden="1" x14ac:dyDescent="0.3">
      <c r="A1058" t="s">
        <v>1995</v>
      </c>
      <c r="B1058" t="s">
        <v>2668</v>
      </c>
      <c r="D1058" t="s">
        <v>1936</v>
      </c>
      <c r="E1058" t="s">
        <v>100</v>
      </c>
      <c r="F1058" t="s">
        <v>2883</v>
      </c>
      <c r="H1058" t="s">
        <v>17</v>
      </c>
      <c r="I1058" t="s">
        <v>2888</v>
      </c>
    </row>
    <row r="1059" spans="1:9" hidden="1" x14ac:dyDescent="0.3">
      <c r="A1059" t="s">
        <v>1997</v>
      </c>
      <c r="B1059" t="s">
        <v>2668</v>
      </c>
      <c r="D1059" t="s">
        <v>1936</v>
      </c>
      <c r="E1059" t="s">
        <v>106</v>
      </c>
      <c r="F1059" t="s">
        <v>2884</v>
      </c>
      <c r="H1059" t="s">
        <v>17</v>
      </c>
      <c r="I1059" t="s">
        <v>2888</v>
      </c>
    </row>
    <row r="1060" spans="1:9" hidden="1" x14ac:dyDescent="0.3">
      <c r="A1060" t="s">
        <v>1999</v>
      </c>
      <c r="B1060" t="s">
        <v>2668</v>
      </c>
      <c r="D1060" t="s">
        <v>1936</v>
      </c>
      <c r="E1060" t="s">
        <v>111</v>
      </c>
      <c r="F1060" t="s">
        <v>2731</v>
      </c>
      <c r="H1060" t="s">
        <v>17</v>
      </c>
      <c r="I1060" t="s">
        <v>2888</v>
      </c>
    </row>
    <row r="1061" spans="1:9" hidden="1" x14ac:dyDescent="0.3">
      <c r="A1061" t="s">
        <v>2001</v>
      </c>
      <c r="B1061" t="s">
        <v>2668</v>
      </c>
      <c r="D1061" t="s">
        <v>1936</v>
      </c>
      <c r="E1061" t="s">
        <v>114</v>
      </c>
      <c r="F1061" t="s">
        <v>2885</v>
      </c>
      <c r="H1061" t="s">
        <v>17</v>
      </c>
      <c r="I1061" t="s">
        <v>2888</v>
      </c>
    </row>
    <row r="1062" spans="1:9" hidden="1" x14ac:dyDescent="0.3">
      <c r="A1062" t="s">
        <v>2007</v>
      </c>
      <c r="B1062" t="s">
        <v>2668</v>
      </c>
      <c r="D1062" t="s">
        <v>1936</v>
      </c>
      <c r="E1062" t="s">
        <v>117</v>
      </c>
      <c r="F1062" t="s">
        <v>2889</v>
      </c>
      <c r="H1062" t="s">
        <v>17</v>
      </c>
      <c r="I1062" t="s">
        <v>1217</v>
      </c>
    </row>
    <row r="1063" spans="1:9" hidden="1" x14ac:dyDescent="0.3">
      <c r="A1063" t="s">
        <v>2009</v>
      </c>
      <c r="B1063" t="s">
        <v>2668</v>
      </c>
      <c r="D1063" t="s">
        <v>1936</v>
      </c>
      <c r="E1063" t="s">
        <v>121</v>
      </c>
      <c r="F1063" t="s">
        <v>2890</v>
      </c>
      <c r="H1063" t="s">
        <v>17</v>
      </c>
      <c r="I1063" t="s">
        <v>2678</v>
      </c>
    </row>
    <row r="1064" spans="1:9" hidden="1" x14ac:dyDescent="0.3">
      <c r="A1064" t="s">
        <v>2011</v>
      </c>
      <c r="B1064" t="s">
        <v>2668</v>
      </c>
      <c r="D1064" t="s">
        <v>1936</v>
      </c>
      <c r="E1064" t="s">
        <v>126</v>
      </c>
      <c r="F1064" t="s">
        <v>2891</v>
      </c>
      <c r="H1064" t="s">
        <v>17</v>
      </c>
      <c r="I1064" t="s">
        <v>2678</v>
      </c>
    </row>
    <row r="1065" spans="1:9" hidden="1" x14ac:dyDescent="0.3">
      <c r="A1065" t="s">
        <v>2013</v>
      </c>
      <c r="B1065" t="s">
        <v>2668</v>
      </c>
      <c r="D1065" t="s">
        <v>1936</v>
      </c>
      <c r="E1065" t="s">
        <v>129</v>
      </c>
      <c r="F1065" t="s">
        <v>2892</v>
      </c>
      <c r="H1065" t="s">
        <v>17</v>
      </c>
      <c r="I1065" t="s">
        <v>2678</v>
      </c>
    </row>
    <row r="1066" spans="1:9" hidden="1" x14ac:dyDescent="0.3">
      <c r="A1066" t="s">
        <v>2015</v>
      </c>
      <c r="B1066" t="s">
        <v>2668</v>
      </c>
      <c r="D1066" t="s">
        <v>1936</v>
      </c>
      <c r="E1066" t="s">
        <v>132</v>
      </c>
      <c r="F1066" t="s">
        <v>2893</v>
      </c>
      <c r="H1066" t="s">
        <v>17</v>
      </c>
      <c r="I1066" t="s">
        <v>2894</v>
      </c>
    </row>
    <row r="1067" spans="1:9" hidden="1" x14ac:dyDescent="0.3">
      <c r="A1067" t="s">
        <v>2017</v>
      </c>
      <c r="B1067" t="s">
        <v>2668</v>
      </c>
      <c r="D1067" t="s">
        <v>1936</v>
      </c>
      <c r="E1067" t="s">
        <v>135</v>
      </c>
      <c r="F1067" t="s">
        <v>2895</v>
      </c>
      <c r="H1067" t="s">
        <v>17</v>
      </c>
      <c r="I1067" t="s">
        <v>2896</v>
      </c>
    </row>
    <row r="1068" spans="1:9" hidden="1" x14ac:dyDescent="0.3">
      <c r="A1068" t="s">
        <v>2019</v>
      </c>
      <c r="B1068" t="s">
        <v>2668</v>
      </c>
      <c r="D1068" t="s">
        <v>1936</v>
      </c>
      <c r="E1068" t="s">
        <v>138</v>
      </c>
      <c r="F1068" t="s">
        <v>2897</v>
      </c>
      <c r="H1068" t="s">
        <v>17</v>
      </c>
      <c r="I1068" t="s">
        <v>2898</v>
      </c>
    </row>
    <row r="1069" spans="1:9" hidden="1" x14ac:dyDescent="0.3">
      <c r="A1069" t="s">
        <v>2023</v>
      </c>
      <c r="B1069" t="s">
        <v>2668</v>
      </c>
      <c r="D1069" t="s">
        <v>1936</v>
      </c>
      <c r="E1069" t="s">
        <v>141</v>
      </c>
      <c r="F1069" t="s">
        <v>2899</v>
      </c>
      <c r="H1069" t="s">
        <v>17</v>
      </c>
      <c r="I1069" t="s">
        <v>2900</v>
      </c>
    </row>
    <row r="1070" spans="1:9" hidden="1" x14ac:dyDescent="0.3">
      <c r="A1070" t="s">
        <v>2024</v>
      </c>
      <c r="B1070" t="s">
        <v>2668</v>
      </c>
      <c r="D1070" t="s">
        <v>1936</v>
      </c>
      <c r="E1070" t="s">
        <v>144</v>
      </c>
      <c r="F1070" t="s">
        <v>2901</v>
      </c>
      <c r="H1070" t="s">
        <v>17</v>
      </c>
      <c r="I1070" t="s">
        <v>2900</v>
      </c>
    </row>
    <row r="1071" spans="1:9" hidden="1" x14ac:dyDescent="0.3">
      <c r="A1071" t="s">
        <v>2027</v>
      </c>
      <c r="B1071" t="s">
        <v>2668</v>
      </c>
      <c r="D1071" t="s">
        <v>1936</v>
      </c>
      <c r="E1071" t="s">
        <v>2902</v>
      </c>
      <c r="F1071" t="s">
        <v>2903</v>
      </c>
      <c r="H1071" t="s">
        <v>17</v>
      </c>
      <c r="I1071" t="s">
        <v>2904</v>
      </c>
    </row>
    <row r="1072" spans="1:9" hidden="1" x14ac:dyDescent="0.3">
      <c r="A1072" t="s">
        <v>2029</v>
      </c>
      <c r="B1072" t="s">
        <v>2668</v>
      </c>
      <c r="D1072" t="s">
        <v>1936</v>
      </c>
      <c r="E1072" t="s">
        <v>2200</v>
      </c>
      <c r="F1072" t="s">
        <v>2905</v>
      </c>
      <c r="H1072" t="s">
        <v>17</v>
      </c>
      <c r="I1072" t="s">
        <v>2906</v>
      </c>
    </row>
    <row r="1073" spans="1:9" hidden="1" x14ac:dyDescent="0.3">
      <c r="A1073" t="s">
        <v>2031</v>
      </c>
      <c r="B1073" t="s">
        <v>2668</v>
      </c>
      <c r="D1073" t="s">
        <v>1936</v>
      </c>
      <c r="E1073" t="s">
        <v>167</v>
      </c>
      <c r="F1073" t="s">
        <v>2907</v>
      </c>
      <c r="H1073" t="s">
        <v>17</v>
      </c>
      <c r="I1073" t="s">
        <v>2853</v>
      </c>
    </row>
    <row r="1074" spans="1:9" hidden="1" x14ac:dyDescent="0.3">
      <c r="A1074" t="s">
        <v>2033</v>
      </c>
      <c r="B1074" t="s">
        <v>2668</v>
      </c>
      <c r="D1074" t="s">
        <v>1936</v>
      </c>
      <c r="E1074" t="s">
        <v>1104</v>
      </c>
      <c r="F1074" t="s">
        <v>2908</v>
      </c>
      <c r="H1074" t="s">
        <v>17</v>
      </c>
      <c r="I1074" t="s">
        <v>2909</v>
      </c>
    </row>
    <row r="1075" spans="1:9" hidden="1" x14ac:dyDescent="0.3">
      <c r="A1075" t="s">
        <v>2035</v>
      </c>
      <c r="B1075" t="s">
        <v>2668</v>
      </c>
      <c r="D1075" t="s">
        <v>1936</v>
      </c>
      <c r="E1075" t="s">
        <v>182</v>
      </c>
      <c r="F1075" t="s">
        <v>2910</v>
      </c>
      <c r="H1075" t="s">
        <v>17</v>
      </c>
      <c r="I1075" t="s">
        <v>2911</v>
      </c>
    </row>
    <row r="1076" spans="1:9" hidden="1" x14ac:dyDescent="0.3">
      <c r="A1076" t="s">
        <v>2037</v>
      </c>
      <c r="B1076" t="s">
        <v>2668</v>
      </c>
      <c r="D1076" t="s">
        <v>1936</v>
      </c>
      <c r="E1076" t="s">
        <v>187</v>
      </c>
      <c r="F1076" t="s">
        <v>2912</v>
      </c>
      <c r="H1076" t="s">
        <v>17</v>
      </c>
      <c r="I1076" t="s">
        <v>2911</v>
      </c>
    </row>
    <row r="1077" spans="1:9" hidden="1" x14ac:dyDescent="0.3">
      <c r="A1077" t="s">
        <v>2039</v>
      </c>
      <c r="B1077" t="s">
        <v>2668</v>
      </c>
      <c r="D1077" t="s">
        <v>1936</v>
      </c>
      <c r="E1077" t="s">
        <v>193</v>
      </c>
      <c r="F1077" t="s">
        <v>2913</v>
      </c>
      <c r="H1077" t="s">
        <v>17</v>
      </c>
      <c r="I1077" t="s">
        <v>2911</v>
      </c>
    </row>
    <row r="1078" spans="1:9" hidden="1" x14ac:dyDescent="0.3">
      <c r="A1078" t="s">
        <v>2041</v>
      </c>
      <c r="B1078" t="s">
        <v>2668</v>
      </c>
      <c r="D1078" t="s">
        <v>1936</v>
      </c>
      <c r="E1078" t="s">
        <v>198</v>
      </c>
      <c r="F1078" t="s">
        <v>2914</v>
      </c>
      <c r="H1078" t="s">
        <v>17</v>
      </c>
      <c r="I1078" t="s">
        <v>2915</v>
      </c>
    </row>
    <row r="1079" spans="1:9" hidden="1" x14ac:dyDescent="0.3">
      <c r="A1079" t="s">
        <v>2043</v>
      </c>
      <c r="B1079" t="s">
        <v>2668</v>
      </c>
      <c r="D1079" t="s">
        <v>1936</v>
      </c>
      <c r="E1079" t="s">
        <v>202</v>
      </c>
      <c r="F1079" t="s">
        <v>2916</v>
      </c>
      <c r="H1079" t="s">
        <v>17</v>
      </c>
      <c r="I1079" t="s">
        <v>2917</v>
      </c>
    </row>
    <row r="1080" spans="1:9" hidden="1" x14ac:dyDescent="0.3">
      <c r="A1080" t="s">
        <v>2045</v>
      </c>
      <c r="B1080" t="s">
        <v>2668</v>
      </c>
      <c r="D1080" t="s">
        <v>1936</v>
      </c>
      <c r="E1080" t="s">
        <v>206</v>
      </c>
      <c r="F1080" t="s">
        <v>2918</v>
      </c>
      <c r="H1080" t="s">
        <v>17</v>
      </c>
      <c r="I1080" t="s">
        <v>2919</v>
      </c>
    </row>
    <row r="1081" spans="1:9" hidden="1" x14ac:dyDescent="0.3">
      <c r="A1081" t="s">
        <v>2047</v>
      </c>
      <c r="B1081" t="s">
        <v>2668</v>
      </c>
      <c r="D1081" t="s">
        <v>1936</v>
      </c>
      <c r="E1081" t="s">
        <v>210</v>
      </c>
      <c r="F1081" t="s">
        <v>2920</v>
      </c>
      <c r="H1081" t="s">
        <v>17</v>
      </c>
      <c r="I1081" t="s">
        <v>2921</v>
      </c>
    </row>
    <row r="1082" spans="1:9" hidden="1" x14ac:dyDescent="0.3">
      <c r="A1082" t="s">
        <v>2050</v>
      </c>
      <c r="B1082" t="s">
        <v>2668</v>
      </c>
      <c r="D1082" t="s">
        <v>1936</v>
      </c>
      <c r="E1082" t="s">
        <v>2922</v>
      </c>
      <c r="F1082" t="s">
        <v>1449</v>
      </c>
      <c r="H1082" t="s">
        <v>17</v>
      </c>
      <c r="I1082" t="s">
        <v>2923</v>
      </c>
    </row>
    <row r="1083" spans="1:9" hidden="1" x14ac:dyDescent="0.3">
      <c r="A1083" t="s">
        <v>2053</v>
      </c>
      <c r="B1083" t="s">
        <v>2668</v>
      </c>
      <c r="D1083" t="s">
        <v>1936</v>
      </c>
      <c r="E1083" t="s">
        <v>2924</v>
      </c>
      <c r="F1083" t="s">
        <v>760</v>
      </c>
      <c r="H1083" t="s">
        <v>17</v>
      </c>
    </row>
    <row r="1084" spans="1:9" hidden="1" x14ac:dyDescent="0.3">
      <c r="A1084" t="s">
        <v>2055</v>
      </c>
      <c r="B1084" t="s">
        <v>2668</v>
      </c>
      <c r="D1084" t="s">
        <v>1936</v>
      </c>
      <c r="E1084" t="s">
        <v>2925</v>
      </c>
      <c r="F1084" t="s">
        <v>2926</v>
      </c>
      <c r="H1084" t="s">
        <v>17</v>
      </c>
      <c r="I1084" t="s">
        <v>2927</v>
      </c>
    </row>
    <row r="1085" spans="1:9" hidden="1" x14ac:dyDescent="0.3">
      <c r="A1085" t="s">
        <v>2058</v>
      </c>
      <c r="B1085" t="s">
        <v>2668</v>
      </c>
      <c r="D1085" t="s">
        <v>1936</v>
      </c>
      <c r="E1085" t="s">
        <v>239</v>
      </c>
      <c r="F1085" t="s">
        <v>2928</v>
      </c>
      <c r="H1085" t="s">
        <v>17</v>
      </c>
      <c r="I1085" t="s">
        <v>2929</v>
      </c>
    </row>
    <row r="1086" spans="1:9" hidden="1" x14ac:dyDescent="0.3">
      <c r="A1086" t="s">
        <v>2061</v>
      </c>
      <c r="B1086" t="s">
        <v>2668</v>
      </c>
      <c r="D1086" t="s">
        <v>1936</v>
      </c>
      <c r="E1086" t="s">
        <v>1881</v>
      </c>
      <c r="F1086" t="s">
        <v>2574</v>
      </c>
      <c r="H1086" t="s">
        <v>17</v>
      </c>
      <c r="I1086" t="s">
        <v>2930</v>
      </c>
    </row>
    <row r="1087" spans="1:9" hidden="1" x14ac:dyDescent="0.3">
      <c r="A1087" t="s">
        <v>2064</v>
      </c>
      <c r="B1087" t="s">
        <v>2668</v>
      </c>
      <c r="D1087" t="s">
        <v>1936</v>
      </c>
      <c r="E1087" t="s">
        <v>1885</v>
      </c>
      <c r="F1087" t="s">
        <v>2931</v>
      </c>
      <c r="H1087" t="s">
        <v>17</v>
      </c>
      <c r="I1087" t="s">
        <v>414</v>
      </c>
    </row>
    <row r="1088" spans="1:9" hidden="1" x14ac:dyDescent="0.3">
      <c r="A1088" t="s">
        <v>2068</v>
      </c>
      <c r="B1088" t="s">
        <v>2668</v>
      </c>
      <c r="D1088" t="s">
        <v>1936</v>
      </c>
      <c r="E1088" t="s">
        <v>1588</v>
      </c>
      <c r="F1088" t="s">
        <v>2932</v>
      </c>
      <c r="H1088" t="s">
        <v>17</v>
      </c>
      <c r="I1088" t="s">
        <v>2933</v>
      </c>
    </row>
    <row r="1089" spans="1:9" hidden="1" x14ac:dyDescent="0.3">
      <c r="A1089" t="s">
        <v>2071</v>
      </c>
      <c r="B1089" t="s">
        <v>2668</v>
      </c>
      <c r="D1089" t="s">
        <v>1936</v>
      </c>
      <c r="E1089" t="s">
        <v>1892</v>
      </c>
      <c r="F1089" t="s">
        <v>2934</v>
      </c>
      <c r="H1089" t="s">
        <v>17</v>
      </c>
      <c r="I1089" t="s">
        <v>2935</v>
      </c>
    </row>
    <row r="1090" spans="1:9" hidden="1" x14ac:dyDescent="0.3">
      <c r="A1090" t="s">
        <v>2073</v>
      </c>
      <c r="B1090" t="s">
        <v>2668</v>
      </c>
      <c r="D1090" t="s">
        <v>1936</v>
      </c>
      <c r="E1090" t="s">
        <v>1146</v>
      </c>
      <c r="F1090" t="s">
        <v>2936</v>
      </c>
      <c r="H1090" t="s">
        <v>17</v>
      </c>
      <c r="I1090" t="s">
        <v>414</v>
      </c>
    </row>
    <row r="1091" spans="1:9" hidden="1" x14ac:dyDescent="0.3">
      <c r="A1091" t="s">
        <v>2075</v>
      </c>
      <c r="B1091" t="s">
        <v>2668</v>
      </c>
      <c r="D1091" t="s">
        <v>1936</v>
      </c>
      <c r="E1091" t="s">
        <v>1593</v>
      </c>
      <c r="F1091" t="s">
        <v>747</v>
      </c>
      <c r="H1091" t="s">
        <v>17</v>
      </c>
    </row>
    <row r="1092" spans="1:9" hidden="1" x14ac:dyDescent="0.3">
      <c r="A1092" t="s">
        <v>2077</v>
      </c>
      <c r="B1092" t="s">
        <v>2668</v>
      </c>
      <c r="D1092" t="s">
        <v>1936</v>
      </c>
      <c r="E1092" t="s">
        <v>1597</v>
      </c>
      <c r="F1092" t="s">
        <v>797</v>
      </c>
      <c r="H1092" t="s">
        <v>17</v>
      </c>
    </row>
    <row r="1093" spans="1:9" hidden="1" x14ac:dyDescent="0.3">
      <c r="A1093" t="s">
        <v>2079</v>
      </c>
      <c r="B1093" t="s">
        <v>2668</v>
      </c>
      <c r="D1093" t="s">
        <v>1936</v>
      </c>
      <c r="E1093" t="s">
        <v>2937</v>
      </c>
      <c r="F1093" t="s">
        <v>2938</v>
      </c>
      <c r="H1093" t="s">
        <v>17</v>
      </c>
    </row>
    <row r="1094" spans="1:9" hidden="1" x14ac:dyDescent="0.3">
      <c r="A1094" t="s">
        <v>2081</v>
      </c>
      <c r="B1094" t="s">
        <v>2668</v>
      </c>
      <c r="D1094" t="s">
        <v>1936</v>
      </c>
      <c r="E1094" t="s">
        <v>2939</v>
      </c>
      <c r="F1094" t="s">
        <v>2940</v>
      </c>
      <c r="H1094" t="s">
        <v>17</v>
      </c>
    </row>
    <row r="1095" spans="1:9" hidden="1" x14ac:dyDescent="0.3">
      <c r="A1095" t="s">
        <v>2083</v>
      </c>
      <c r="B1095" t="s">
        <v>2668</v>
      </c>
      <c r="D1095" t="s">
        <v>1936</v>
      </c>
      <c r="E1095" t="s">
        <v>1179</v>
      </c>
      <c r="F1095" t="s">
        <v>2941</v>
      </c>
      <c r="H1095" t="s">
        <v>17</v>
      </c>
      <c r="I1095" t="s">
        <v>2942</v>
      </c>
    </row>
    <row r="1096" spans="1:9" hidden="1" x14ac:dyDescent="0.3">
      <c r="A1096" t="s">
        <v>2084</v>
      </c>
      <c r="B1096" t="s">
        <v>2668</v>
      </c>
      <c r="D1096" t="s">
        <v>1936</v>
      </c>
      <c r="E1096" t="s">
        <v>1184</v>
      </c>
      <c r="F1096" t="s">
        <v>2196</v>
      </c>
      <c r="H1096" t="s">
        <v>17</v>
      </c>
      <c r="I1096" t="s">
        <v>2943</v>
      </c>
    </row>
    <row r="1097" spans="1:9" hidden="1" x14ac:dyDescent="0.3">
      <c r="A1097" t="s">
        <v>2086</v>
      </c>
      <c r="B1097" t="s">
        <v>2668</v>
      </c>
      <c r="D1097" t="s">
        <v>1936</v>
      </c>
      <c r="E1097" t="s">
        <v>1189</v>
      </c>
      <c r="F1097" t="s">
        <v>843</v>
      </c>
      <c r="H1097" t="s">
        <v>17</v>
      </c>
      <c r="I1097" t="s">
        <v>2209</v>
      </c>
    </row>
    <row r="1098" spans="1:9" hidden="1" x14ac:dyDescent="0.3">
      <c r="A1098" t="s">
        <v>2088</v>
      </c>
      <c r="B1098" t="s">
        <v>2668</v>
      </c>
      <c r="D1098" t="s">
        <v>1936</v>
      </c>
      <c r="E1098" t="s">
        <v>273</v>
      </c>
      <c r="F1098" t="s">
        <v>2944</v>
      </c>
      <c r="H1098" t="s">
        <v>17</v>
      </c>
    </row>
    <row r="1099" spans="1:9" hidden="1" x14ac:dyDescent="0.3">
      <c r="A1099" t="s">
        <v>2090</v>
      </c>
      <c r="B1099" t="s">
        <v>2668</v>
      </c>
      <c r="D1099" t="s">
        <v>1936</v>
      </c>
      <c r="E1099" t="s">
        <v>276</v>
      </c>
      <c r="F1099" t="s">
        <v>2945</v>
      </c>
      <c r="H1099" t="s">
        <v>17</v>
      </c>
    </row>
    <row r="1100" spans="1:9" hidden="1" x14ac:dyDescent="0.3">
      <c r="A1100" t="s">
        <v>10</v>
      </c>
      <c r="B1100" t="s">
        <v>2668</v>
      </c>
      <c r="D1100" t="s">
        <v>1936</v>
      </c>
      <c r="E1100" t="s">
        <v>279</v>
      </c>
      <c r="F1100" t="s">
        <v>1706</v>
      </c>
      <c r="H1100" t="s">
        <v>17</v>
      </c>
    </row>
    <row r="1101" spans="1:9" hidden="1" x14ac:dyDescent="0.3">
      <c r="A1101" t="s">
        <v>1742</v>
      </c>
      <c r="B1101" t="s">
        <v>2946</v>
      </c>
      <c r="F1101" t="s">
        <v>2947</v>
      </c>
    </row>
    <row r="1102" spans="1:9" hidden="1" x14ac:dyDescent="0.3">
      <c r="A1102" t="s">
        <v>1744</v>
      </c>
      <c r="B1102" t="s">
        <v>2946</v>
      </c>
      <c r="D1102" t="s">
        <v>13</v>
      </c>
      <c r="E1102" t="s">
        <v>2948</v>
      </c>
      <c r="F1102" t="s">
        <v>2670</v>
      </c>
      <c r="H1102" t="s">
        <v>17</v>
      </c>
    </row>
    <row r="1103" spans="1:9" hidden="1" x14ac:dyDescent="0.3">
      <c r="A1103" t="s">
        <v>1747</v>
      </c>
      <c r="B1103" t="s">
        <v>2946</v>
      </c>
      <c r="D1103" t="s">
        <v>13</v>
      </c>
      <c r="E1103" t="s">
        <v>996</v>
      </c>
      <c r="F1103" t="s">
        <v>2677</v>
      </c>
      <c r="H1103" t="s">
        <v>17</v>
      </c>
      <c r="I1103" t="s">
        <v>2678</v>
      </c>
    </row>
    <row r="1104" spans="1:9" hidden="1" x14ac:dyDescent="0.3">
      <c r="A1104" t="s">
        <v>1750</v>
      </c>
      <c r="B1104" t="s">
        <v>2946</v>
      </c>
      <c r="D1104" t="s">
        <v>13</v>
      </c>
      <c r="E1104" t="s">
        <v>1001</v>
      </c>
      <c r="F1104" t="s">
        <v>2680</v>
      </c>
      <c r="H1104" t="s">
        <v>17</v>
      </c>
      <c r="I1104" t="s">
        <v>2678</v>
      </c>
    </row>
    <row r="1105" spans="1:9" hidden="1" x14ac:dyDescent="0.3">
      <c r="A1105" t="s">
        <v>1752</v>
      </c>
      <c r="B1105" t="s">
        <v>2946</v>
      </c>
      <c r="D1105" t="s">
        <v>13</v>
      </c>
      <c r="E1105" t="s">
        <v>1942</v>
      </c>
      <c r="F1105" t="s">
        <v>2681</v>
      </c>
      <c r="H1105" t="s">
        <v>17</v>
      </c>
      <c r="I1105" t="s">
        <v>2678</v>
      </c>
    </row>
    <row r="1106" spans="1:9" hidden="1" x14ac:dyDescent="0.3">
      <c r="A1106" t="s">
        <v>1754</v>
      </c>
      <c r="B1106" t="s">
        <v>2946</v>
      </c>
      <c r="D1106" t="s">
        <v>13</v>
      </c>
      <c r="E1106" t="s">
        <v>22</v>
      </c>
      <c r="F1106" t="s">
        <v>2949</v>
      </c>
      <c r="H1106" t="s">
        <v>17</v>
      </c>
      <c r="I1106" t="s">
        <v>2950</v>
      </c>
    </row>
    <row r="1107" spans="1:9" hidden="1" x14ac:dyDescent="0.3">
      <c r="A1107" t="s">
        <v>1760</v>
      </c>
      <c r="B1107" t="s">
        <v>2946</v>
      </c>
      <c r="D1107" t="s">
        <v>13</v>
      </c>
      <c r="E1107" t="s">
        <v>27</v>
      </c>
      <c r="F1107" t="s">
        <v>2951</v>
      </c>
      <c r="H1107" t="s">
        <v>17</v>
      </c>
      <c r="I1107" t="s">
        <v>2691</v>
      </c>
    </row>
    <row r="1108" spans="1:9" hidden="1" x14ac:dyDescent="0.3">
      <c r="A1108" t="s">
        <v>1763</v>
      </c>
      <c r="B1108" t="s">
        <v>2946</v>
      </c>
      <c r="C1108" t="s">
        <v>2952</v>
      </c>
      <c r="D1108" t="s">
        <v>13</v>
      </c>
      <c r="E1108" t="s">
        <v>1014</v>
      </c>
      <c r="F1108" t="s">
        <v>2953</v>
      </c>
      <c r="H1108" t="s">
        <v>17</v>
      </c>
      <c r="I1108" t="s">
        <v>2954</v>
      </c>
    </row>
    <row r="1109" spans="1:9" hidden="1" x14ac:dyDescent="0.3">
      <c r="A1109" t="s">
        <v>1765</v>
      </c>
      <c r="B1109" t="s">
        <v>2946</v>
      </c>
      <c r="C1109" t="s">
        <v>2952</v>
      </c>
      <c r="D1109" t="s">
        <v>13</v>
      </c>
      <c r="E1109" t="s">
        <v>1017</v>
      </c>
      <c r="F1109" t="s">
        <v>2955</v>
      </c>
      <c r="H1109" t="s">
        <v>17</v>
      </c>
      <c r="I1109" t="s">
        <v>2954</v>
      </c>
    </row>
    <row r="1110" spans="1:9" hidden="1" x14ac:dyDescent="0.3">
      <c r="A1110" t="s">
        <v>1768</v>
      </c>
      <c r="B1110" t="s">
        <v>2946</v>
      </c>
      <c r="C1110" t="s">
        <v>2952</v>
      </c>
      <c r="D1110" t="s">
        <v>13</v>
      </c>
      <c r="E1110" t="s">
        <v>36</v>
      </c>
      <c r="F1110" t="s">
        <v>2956</v>
      </c>
      <c r="H1110" t="s">
        <v>17</v>
      </c>
      <c r="I1110" t="s">
        <v>2954</v>
      </c>
    </row>
    <row r="1111" spans="1:9" hidden="1" x14ac:dyDescent="0.3">
      <c r="A1111" t="s">
        <v>1771</v>
      </c>
      <c r="B1111" t="s">
        <v>2946</v>
      </c>
      <c r="C1111" t="s">
        <v>2952</v>
      </c>
      <c r="D1111" t="s">
        <v>13</v>
      </c>
      <c r="E1111" t="s">
        <v>41</v>
      </c>
      <c r="F1111" t="s">
        <v>2957</v>
      </c>
      <c r="H1111" t="s">
        <v>17</v>
      </c>
      <c r="I1111" t="s">
        <v>2954</v>
      </c>
    </row>
    <row r="1112" spans="1:9" hidden="1" x14ac:dyDescent="0.3">
      <c r="A1112" t="s">
        <v>1775</v>
      </c>
      <c r="B1112" t="s">
        <v>2946</v>
      </c>
      <c r="C1112" t="s">
        <v>2952</v>
      </c>
      <c r="D1112" t="s">
        <v>13</v>
      </c>
      <c r="E1112" t="s">
        <v>45</v>
      </c>
      <c r="F1112" t="s">
        <v>2701</v>
      </c>
      <c r="H1112" t="s">
        <v>17</v>
      </c>
      <c r="I1112" t="s">
        <v>2702</v>
      </c>
    </row>
    <row r="1113" spans="1:9" hidden="1" x14ac:dyDescent="0.3">
      <c r="A1113" t="s">
        <v>1777</v>
      </c>
      <c r="B1113" t="s">
        <v>2946</v>
      </c>
      <c r="C1113" t="s">
        <v>2952</v>
      </c>
      <c r="D1113" t="s">
        <v>13</v>
      </c>
      <c r="E1113" t="s">
        <v>50</v>
      </c>
      <c r="F1113" t="s">
        <v>2958</v>
      </c>
      <c r="H1113" t="s">
        <v>17</v>
      </c>
      <c r="I1113" t="s">
        <v>2959</v>
      </c>
    </row>
    <row r="1114" spans="1:9" hidden="1" x14ac:dyDescent="0.3">
      <c r="A1114" t="s">
        <v>1779</v>
      </c>
      <c r="B1114" t="s">
        <v>2946</v>
      </c>
      <c r="C1114" t="s">
        <v>2952</v>
      </c>
      <c r="D1114" t="s">
        <v>13</v>
      </c>
      <c r="E1114" t="s">
        <v>53</v>
      </c>
      <c r="F1114" t="s">
        <v>2960</v>
      </c>
      <c r="H1114" t="s">
        <v>17</v>
      </c>
      <c r="I1114" t="s">
        <v>2961</v>
      </c>
    </row>
    <row r="1115" spans="1:9" hidden="1" x14ac:dyDescent="0.3">
      <c r="A1115" t="s">
        <v>1781</v>
      </c>
      <c r="B1115" t="s">
        <v>2946</v>
      </c>
      <c r="C1115" t="s">
        <v>2952</v>
      </c>
      <c r="D1115" t="s">
        <v>13</v>
      </c>
      <c r="E1115" t="s">
        <v>56</v>
      </c>
      <c r="F1115" t="s">
        <v>2962</v>
      </c>
      <c r="H1115" t="s">
        <v>17</v>
      </c>
      <c r="I1115" t="s">
        <v>2963</v>
      </c>
    </row>
    <row r="1116" spans="1:9" hidden="1" x14ac:dyDescent="0.3">
      <c r="A1116" t="s">
        <v>1784</v>
      </c>
      <c r="B1116" t="s">
        <v>2946</v>
      </c>
      <c r="C1116" t="s">
        <v>2952</v>
      </c>
      <c r="D1116" t="s">
        <v>13</v>
      </c>
      <c r="E1116" t="s">
        <v>61</v>
      </c>
      <c r="F1116" t="s">
        <v>2964</v>
      </c>
      <c r="H1116" t="s">
        <v>17</v>
      </c>
      <c r="I1116" t="s">
        <v>2965</v>
      </c>
    </row>
    <row r="1117" spans="1:9" hidden="1" x14ac:dyDescent="0.3">
      <c r="A1117" t="s">
        <v>1787</v>
      </c>
      <c r="B1117" t="s">
        <v>2946</v>
      </c>
      <c r="C1117" t="s">
        <v>2952</v>
      </c>
      <c r="D1117" t="s">
        <v>13</v>
      </c>
      <c r="E1117" t="s">
        <v>1039</v>
      </c>
      <c r="F1117" t="s">
        <v>2966</v>
      </c>
      <c r="H1117" t="s">
        <v>17</v>
      </c>
      <c r="I1117" t="s">
        <v>2967</v>
      </c>
    </row>
    <row r="1118" spans="1:9" hidden="1" x14ac:dyDescent="0.3">
      <c r="A1118" t="s">
        <v>1789</v>
      </c>
      <c r="B1118" t="s">
        <v>2946</v>
      </c>
      <c r="C1118" t="s">
        <v>2952</v>
      </c>
      <c r="D1118" t="s">
        <v>13</v>
      </c>
      <c r="E1118" t="s">
        <v>1043</v>
      </c>
      <c r="F1118" t="s">
        <v>2968</v>
      </c>
      <c r="H1118" t="s">
        <v>17</v>
      </c>
      <c r="I1118" t="s">
        <v>2695</v>
      </c>
    </row>
    <row r="1119" spans="1:9" hidden="1" x14ac:dyDescent="0.3">
      <c r="A1119" t="s">
        <v>1793</v>
      </c>
      <c r="B1119" t="s">
        <v>2946</v>
      </c>
      <c r="C1119" t="s">
        <v>2952</v>
      </c>
      <c r="D1119" t="s">
        <v>13</v>
      </c>
      <c r="E1119" t="s">
        <v>71</v>
      </c>
      <c r="F1119" t="s">
        <v>2969</v>
      </c>
      <c r="H1119" t="s">
        <v>17</v>
      </c>
      <c r="I1119" t="s">
        <v>2695</v>
      </c>
    </row>
    <row r="1120" spans="1:9" hidden="1" x14ac:dyDescent="0.3">
      <c r="A1120" t="s">
        <v>1795</v>
      </c>
      <c r="B1120" t="s">
        <v>2946</v>
      </c>
      <c r="C1120" t="s">
        <v>2952</v>
      </c>
      <c r="D1120" t="s">
        <v>13</v>
      </c>
      <c r="E1120" t="s">
        <v>1050</v>
      </c>
      <c r="F1120" t="s">
        <v>2970</v>
      </c>
      <c r="H1120" t="s">
        <v>17</v>
      </c>
      <c r="I1120" t="s">
        <v>2693</v>
      </c>
    </row>
    <row r="1121" spans="1:9" hidden="1" x14ac:dyDescent="0.3">
      <c r="A1121" t="s">
        <v>1798</v>
      </c>
      <c r="B1121" t="s">
        <v>2946</v>
      </c>
      <c r="C1121" t="s">
        <v>2952</v>
      </c>
      <c r="D1121" t="s">
        <v>13</v>
      </c>
      <c r="E1121" t="s">
        <v>1055</v>
      </c>
      <c r="F1121" t="s">
        <v>2971</v>
      </c>
      <c r="H1121" t="s">
        <v>17</v>
      </c>
      <c r="I1121" t="s">
        <v>2972</v>
      </c>
    </row>
    <row r="1122" spans="1:9" hidden="1" x14ac:dyDescent="0.3">
      <c r="A1122" t="s">
        <v>1801</v>
      </c>
      <c r="B1122" t="s">
        <v>2946</v>
      </c>
      <c r="C1122" t="s">
        <v>2952</v>
      </c>
      <c r="D1122" t="s">
        <v>13</v>
      </c>
      <c r="E1122" t="s">
        <v>80</v>
      </c>
      <c r="F1122" t="s">
        <v>2973</v>
      </c>
      <c r="H1122" t="s">
        <v>17</v>
      </c>
      <c r="I1122" t="s">
        <v>2974</v>
      </c>
    </row>
    <row r="1123" spans="1:9" hidden="1" x14ac:dyDescent="0.3">
      <c r="A1123" t="s">
        <v>1803</v>
      </c>
      <c r="B1123" t="s">
        <v>2946</v>
      </c>
      <c r="C1123" t="s">
        <v>2952</v>
      </c>
      <c r="D1123" t="s">
        <v>13</v>
      </c>
      <c r="E1123" t="s">
        <v>85</v>
      </c>
      <c r="F1123" t="s">
        <v>2975</v>
      </c>
      <c r="H1123" t="s">
        <v>17</v>
      </c>
      <c r="I1123" t="s">
        <v>2976</v>
      </c>
    </row>
    <row r="1124" spans="1:9" hidden="1" x14ac:dyDescent="0.3">
      <c r="A1124" t="s">
        <v>1806</v>
      </c>
      <c r="B1124" t="s">
        <v>2946</v>
      </c>
      <c r="C1124" t="s">
        <v>2952</v>
      </c>
      <c r="D1124" t="s">
        <v>13</v>
      </c>
      <c r="E1124" t="s">
        <v>90</v>
      </c>
      <c r="F1124" t="s">
        <v>2977</v>
      </c>
      <c r="H1124" t="s">
        <v>17</v>
      </c>
      <c r="I1124" t="s">
        <v>2978</v>
      </c>
    </row>
    <row r="1125" spans="1:9" hidden="1" x14ac:dyDescent="0.3">
      <c r="A1125" t="s">
        <v>1808</v>
      </c>
      <c r="B1125" t="s">
        <v>2946</v>
      </c>
      <c r="C1125" t="s">
        <v>2952</v>
      </c>
      <c r="D1125" t="s">
        <v>13</v>
      </c>
      <c r="E1125" t="s">
        <v>95</v>
      </c>
      <c r="F1125" t="s">
        <v>2979</v>
      </c>
      <c r="H1125" t="s">
        <v>17</v>
      </c>
      <c r="I1125" t="s">
        <v>414</v>
      </c>
    </row>
    <row r="1126" spans="1:9" hidden="1" x14ac:dyDescent="0.3">
      <c r="A1126" t="s">
        <v>1811</v>
      </c>
      <c r="B1126" t="s">
        <v>2946</v>
      </c>
      <c r="C1126" t="s">
        <v>2952</v>
      </c>
      <c r="D1126" t="s">
        <v>13</v>
      </c>
      <c r="E1126" t="s">
        <v>100</v>
      </c>
      <c r="F1126" t="s">
        <v>2697</v>
      </c>
      <c r="H1126" t="s">
        <v>17</v>
      </c>
      <c r="I1126" t="s">
        <v>414</v>
      </c>
    </row>
    <row r="1127" spans="1:9" hidden="1" x14ac:dyDescent="0.3">
      <c r="A1127" t="s">
        <v>1818</v>
      </c>
      <c r="B1127" t="s">
        <v>2946</v>
      </c>
      <c r="C1127" t="s">
        <v>2952</v>
      </c>
      <c r="D1127" t="s">
        <v>13</v>
      </c>
      <c r="E1127" t="s">
        <v>106</v>
      </c>
      <c r="F1127" t="s">
        <v>2980</v>
      </c>
      <c r="H1127" t="s">
        <v>17</v>
      </c>
      <c r="I1127" t="s">
        <v>2981</v>
      </c>
    </row>
    <row r="1128" spans="1:9" hidden="1" x14ac:dyDescent="0.3">
      <c r="A1128" t="s">
        <v>1820</v>
      </c>
      <c r="B1128" t="s">
        <v>2946</v>
      </c>
      <c r="C1128" t="s">
        <v>2982</v>
      </c>
      <c r="D1128" t="s">
        <v>13</v>
      </c>
      <c r="E1128" t="s">
        <v>111</v>
      </c>
      <c r="F1128" t="s">
        <v>2983</v>
      </c>
      <c r="H1128" t="s">
        <v>17</v>
      </c>
      <c r="I1128" t="s">
        <v>2984</v>
      </c>
    </row>
    <row r="1129" spans="1:9" hidden="1" x14ac:dyDescent="0.3">
      <c r="A1129" t="s">
        <v>1822</v>
      </c>
      <c r="B1129" t="s">
        <v>2946</v>
      </c>
      <c r="C1129" t="s">
        <v>2982</v>
      </c>
      <c r="D1129" t="s">
        <v>13</v>
      </c>
      <c r="E1129" t="s">
        <v>114</v>
      </c>
      <c r="F1129" t="s">
        <v>2985</v>
      </c>
      <c r="H1129" t="s">
        <v>17</v>
      </c>
      <c r="I1129" t="s">
        <v>2984</v>
      </c>
    </row>
    <row r="1130" spans="1:9" hidden="1" x14ac:dyDescent="0.3">
      <c r="A1130" t="s">
        <v>1824</v>
      </c>
      <c r="B1130" t="s">
        <v>2946</v>
      </c>
      <c r="C1130" t="s">
        <v>2982</v>
      </c>
      <c r="D1130" t="s">
        <v>13</v>
      </c>
      <c r="E1130" t="s">
        <v>117</v>
      </c>
      <c r="F1130" t="s">
        <v>2986</v>
      </c>
      <c r="H1130" t="s">
        <v>17</v>
      </c>
      <c r="I1130" t="s">
        <v>2984</v>
      </c>
    </row>
    <row r="1131" spans="1:9" hidden="1" x14ac:dyDescent="0.3">
      <c r="A1131" t="s">
        <v>1826</v>
      </c>
      <c r="B1131" t="s">
        <v>2946</v>
      </c>
      <c r="C1131" t="s">
        <v>2982</v>
      </c>
      <c r="D1131" t="s">
        <v>13</v>
      </c>
      <c r="E1131" t="s">
        <v>121</v>
      </c>
      <c r="F1131" t="s">
        <v>2987</v>
      </c>
      <c r="H1131" t="s">
        <v>17</v>
      </c>
      <c r="I1131" t="s">
        <v>2984</v>
      </c>
    </row>
    <row r="1132" spans="1:9" hidden="1" x14ac:dyDescent="0.3">
      <c r="A1132" t="s">
        <v>1828</v>
      </c>
      <c r="B1132" t="s">
        <v>2946</v>
      </c>
      <c r="C1132" t="s">
        <v>2982</v>
      </c>
      <c r="D1132" t="s">
        <v>13</v>
      </c>
      <c r="E1132" t="s">
        <v>126</v>
      </c>
      <c r="F1132" t="s">
        <v>2988</v>
      </c>
      <c r="H1132" t="s">
        <v>17</v>
      </c>
      <c r="I1132" t="s">
        <v>2984</v>
      </c>
    </row>
    <row r="1133" spans="1:9" hidden="1" x14ac:dyDescent="0.3">
      <c r="A1133" t="s">
        <v>1831</v>
      </c>
      <c r="B1133" t="s">
        <v>2946</v>
      </c>
      <c r="C1133" t="s">
        <v>2982</v>
      </c>
      <c r="D1133" t="s">
        <v>13</v>
      </c>
      <c r="E1133" t="s">
        <v>129</v>
      </c>
      <c r="F1133" t="s">
        <v>2989</v>
      </c>
      <c r="H1133" t="s">
        <v>17</v>
      </c>
      <c r="I1133" t="s">
        <v>2984</v>
      </c>
    </row>
    <row r="1134" spans="1:9" hidden="1" x14ac:dyDescent="0.3">
      <c r="A1134" t="s">
        <v>1833</v>
      </c>
      <c r="B1134" t="s">
        <v>2946</v>
      </c>
      <c r="C1134" t="s">
        <v>2982</v>
      </c>
      <c r="D1134" t="s">
        <v>13</v>
      </c>
      <c r="E1134" t="s">
        <v>132</v>
      </c>
      <c r="F1134" t="s">
        <v>2990</v>
      </c>
      <c r="H1134" t="s">
        <v>17</v>
      </c>
      <c r="I1134" t="s">
        <v>2991</v>
      </c>
    </row>
    <row r="1135" spans="1:9" hidden="1" x14ac:dyDescent="0.3">
      <c r="A1135" t="s">
        <v>1838</v>
      </c>
      <c r="B1135" t="s">
        <v>2946</v>
      </c>
      <c r="C1135" t="s">
        <v>2982</v>
      </c>
      <c r="D1135" t="s">
        <v>13</v>
      </c>
      <c r="E1135" t="s">
        <v>135</v>
      </c>
      <c r="F1135" t="s">
        <v>2992</v>
      </c>
      <c r="H1135" t="s">
        <v>17</v>
      </c>
      <c r="I1135" t="s">
        <v>2991</v>
      </c>
    </row>
    <row r="1136" spans="1:9" hidden="1" x14ac:dyDescent="0.3">
      <c r="A1136" t="s">
        <v>1840</v>
      </c>
      <c r="B1136" t="s">
        <v>2946</v>
      </c>
      <c r="C1136" t="s">
        <v>2993</v>
      </c>
      <c r="D1136" t="s">
        <v>13</v>
      </c>
      <c r="E1136" t="s">
        <v>138</v>
      </c>
      <c r="F1136" t="s">
        <v>2994</v>
      </c>
      <c r="H1136" t="s">
        <v>17</v>
      </c>
      <c r="I1136" t="s">
        <v>2995</v>
      </c>
    </row>
    <row r="1137" spans="1:9" hidden="1" x14ac:dyDescent="0.3">
      <c r="A1137" t="s">
        <v>1843</v>
      </c>
      <c r="B1137" t="s">
        <v>2946</v>
      </c>
      <c r="C1137" t="s">
        <v>2993</v>
      </c>
      <c r="D1137" t="s">
        <v>13</v>
      </c>
      <c r="E1137" t="s">
        <v>141</v>
      </c>
      <c r="F1137" t="s">
        <v>2996</v>
      </c>
      <c r="H1137" t="s">
        <v>17</v>
      </c>
      <c r="I1137" t="s">
        <v>2995</v>
      </c>
    </row>
    <row r="1138" spans="1:9" hidden="1" x14ac:dyDescent="0.3">
      <c r="A1138" t="s">
        <v>1847</v>
      </c>
      <c r="B1138" t="s">
        <v>2946</v>
      </c>
      <c r="C1138" t="s">
        <v>2993</v>
      </c>
      <c r="D1138" t="s">
        <v>13</v>
      </c>
      <c r="E1138" t="s">
        <v>144</v>
      </c>
      <c r="F1138" t="s">
        <v>2997</v>
      </c>
      <c r="H1138" t="s">
        <v>17</v>
      </c>
      <c r="I1138" t="s">
        <v>2995</v>
      </c>
    </row>
    <row r="1139" spans="1:9" hidden="1" x14ac:dyDescent="0.3">
      <c r="A1139" t="s">
        <v>1849</v>
      </c>
      <c r="B1139" t="s">
        <v>2946</v>
      </c>
      <c r="C1139" t="s">
        <v>2993</v>
      </c>
      <c r="D1139" t="s">
        <v>13</v>
      </c>
      <c r="E1139" t="s">
        <v>147</v>
      </c>
      <c r="F1139" t="s">
        <v>2998</v>
      </c>
      <c r="H1139" t="s">
        <v>17</v>
      </c>
      <c r="I1139" t="s">
        <v>2995</v>
      </c>
    </row>
    <row r="1140" spans="1:9" hidden="1" x14ac:dyDescent="0.3">
      <c r="A1140" t="s">
        <v>1851</v>
      </c>
      <c r="B1140" t="s">
        <v>2946</v>
      </c>
      <c r="C1140" t="s">
        <v>2993</v>
      </c>
      <c r="D1140" t="s">
        <v>13</v>
      </c>
      <c r="E1140" t="s">
        <v>152</v>
      </c>
      <c r="F1140" t="s">
        <v>2999</v>
      </c>
      <c r="H1140" t="s">
        <v>17</v>
      </c>
      <c r="I1140" t="s">
        <v>2995</v>
      </c>
    </row>
    <row r="1141" spans="1:9" hidden="1" x14ac:dyDescent="0.3">
      <c r="A1141" t="s">
        <v>1853</v>
      </c>
      <c r="B1141" t="s">
        <v>2946</v>
      </c>
      <c r="C1141" t="s">
        <v>2993</v>
      </c>
      <c r="D1141" t="s">
        <v>13</v>
      </c>
      <c r="E1141" t="s">
        <v>157</v>
      </c>
      <c r="F1141" t="s">
        <v>3000</v>
      </c>
      <c r="H1141" t="s">
        <v>17</v>
      </c>
      <c r="I1141" t="s">
        <v>2995</v>
      </c>
    </row>
    <row r="1142" spans="1:9" hidden="1" x14ac:dyDescent="0.3">
      <c r="A1142" t="s">
        <v>1855</v>
      </c>
      <c r="B1142" t="s">
        <v>2946</v>
      </c>
      <c r="C1142" t="s">
        <v>2993</v>
      </c>
      <c r="D1142" t="s">
        <v>13</v>
      </c>
      <c r="E1142" t="s">
        <v>162</v>
      </c>
      <c r="F1142" t="s">
        <v>3001</v>
      </c>
      <c r="H1142" t="s">
        <v>17</v>
      </c>
      <c r="I1142" t="s">
        <v>2995</v>
      </c>
    </row>
    <row r="1143" spans="1:9" hidden="1" x14ac:dyDescent="0.3">
      <c r="A1143" t="s">
        <v>1857</v>
      </c>
      <c r="B1143" t="s">
        <v>2946</v>
      </c>
      <c r="C1143" t="s">
        <v>2993</v>
      </c>
      <c r="D1143" t="s">
        <v>13</v>
      </c>
      <c r="E1143" t="s">
        <v>167</v>
      </c>
      <c r="F1143" t="s">
        <v>3002</v>
      </c>
      <c r="H1143" t="s">
        <v>17</v>
      </c>
      <c r="I1143" t="s">
        <v>2995</v>
      </c>
    </row>
    <row r="1144" spans="1:9" hidden="1" x14ac:dyDescent="0.3">
      <c r="A1144" t="s">
        <v>1859</v>
      </c>
      <c r="B1144" t="s">
        <v>2946</v>
      </c>
      <c r="C1144" t="s">
        <v>2993</v>
      </c>
      <c r="D1144" t="s">
        <v>13</v>
      </c>
      <c r="E1144" t="s">
        <v>172</v>
      </c>
      <c r="F1144" t="s">
        <v>3003</v>
      </c>
      <c r="H1144" t="s">
        <v>17</v>
      </c>
      <c r="I1144" t="s">
        <v>2995</v>
      </c>
    </row>
    <row r="1145" spans="1:9" hidden="1" x14ac:dyDescent="0.3">
      <c r="A1145" t="s">
        <v>1861</v>
      </c>
      <c r="B1145" t="s">
        <v>2946</v>
      </c>
      <c r="C1145" t="s">
        <v>2993</v>
      </c>
      <c r="D1145" t="s">
        <v>13</v>
      </c>
      <c r="E1145" t="s">
        <v>177</v>
      </c>
      <c r="F1145" t="s">
        <v>3004</v>
      </c>
      <c r="H1145" t="s">
        <v>17</v>
      </c>
      <c r="I1145" t="s">
        <v>2995</v>
      </c>
    </row>
    <row r="1146" spans="1:9" hidden="1" x14ac:dyDescent="0.3">
      <c r="A1146" t="s">
        <v>1863</v>
      </c>
      <c r="B1146" t="s">
        <v>2946</v>
      </c>
      <c r="C1146" t="s">
        <v>2993</v>
      </c>
      <c r="D1146" t="s">
        <v>13</v>
      </c>
      <c r="E1146" t="s">
        <v>182</v>
      </c>
      <c r="F1146" t="s">
        <v>3005</v>
      </c>
      <c r="H1146" t="s">
        <v>17</v>
      </c>
      <c r="I1146" t="s">
        <v>414</v>
      </c>
    </row>
    <row r="1147" spans="1:9" hidden="1" x14ac:dyDescent="0.3">
      <c r="A1147" t="s">
        <v>1867</v>
      </c>
      <c r="B1147" t="s">
        <v>2946</v>
      </c>
      <c r="C1147" t="s">
        <v>2993</v>
      </c>
      <c r="D1147" t="s">
        <v>13</v>
      </c>
      <c r="E1147" t="s">
        <v>187</v>
      </c>
      <c r="F1147" t="s">
        <v>3006</v>
      </c>
      <c r="H1147" t="s">
        <v>17</v>
      </c>
      <c r="I1147" t="s">
        <v>3007</v>
      </c>
    </row>
    <row r="1148" spans="1:9" hidden="1" x14ac:dyDescent="0.3">
      <c r="A1148" t="s">
        <v>1869</v>
      </c>
      <c r="B1148" t="s">
        <v>2946</v>
      </c>
      <c r="C1148" t="s">
        <v>3008</v>
      </c>
      <c r="D1148" t="s">
        <v>13</v>
      </c>
      <c r="E1148" t="s">
        <v>193</v>
      </c>
      <c r="F1148" t="s">
        <v>3009</v>
      </c>
      <c r="H1148" t="s">
        <v>17</v>
      </c>
      <c r="I1148" t="s">
        <v>2995</v>
      </c>
    </row>
    <row r="1149" spans="1:9" hidden="1" x14ac:dyDescent="0.3">
      <c r="A1149" t="s">
        <v>1871</v>
      </c>
      <c r="B1149" t="s">
        <v>2946</v>
      </c>
      <c r="C1149" t="s">
        <v>3008</v>
      </c>
      <c r="D1149" t="s">
        <v>13</v>
      </c>
      <c r="E1149" t="s">
        <v>198</v>
      </c>
      <c r="F1149" t="s">
        <v>3010</v>
      </c>
      <c r="H1149" t="s">
        <v>17</v>
      </c>
      <c r="I1149" t="s">
        <v>2995</v>
      </c>
    </row>
    <row r="1150" spans="1:9" hidden="1" x14ac:dyDescent="0.3">
      <c r="A1150" t="s">
        <v>1873</v>
      </c>
      <c r="B1150" t="s">
        <v>2946</v>
      </c>
      <c r="C1150" t="s">
        <v>3008</v>
      </c>
      <c r="D1150" t="s">
        <v>13</v>
      </c>
      <c r="E1150" t="s">
        <v>202</v>
      </c>
      <c r="F1150" t="s">
        <v>3011</v>
      </c>
      <c r="H1150" t="s">
        <v>17</v>
      </c>
      <c r="I1150" t="s">
        <v>2995</v>
      </c>
    </row>
    <row r="1151" spans="1:9" hidden="1" x14ac:dyDescent="0.3">
      <c r="A1151" t="s">
        <v>1875</v>
      </c>
      <c r="B1151" t="s">
        <v>2946</v>
      </c>
      <c r="C1151" t="s">
        <v>3008</v>
      </c>
      <c r="D1151" t="s">
        <v>13</v>
      </c>
      <c r="E1151" t="s">
        <v>206</v>
      </c>
      <c r="F1151" t="s">
        <v>3012</v>
      </c>
      <c r="H1151" t="s">
        <v>17</v>
      </c>
      <c r="I1151" t="s">
        <v>2995</v>
      </c>
    </row>
    <row r="1152" spans="1:9" hidden="1" x14ac:dyDescent="0.3">
      <c r="A1152" t="s">
        <v>1878</v>
      </c>
      <c r="B1152" t="s">
        <v>2946</v>
      </c>
      <c r="C1152" t="s">
        <v>3008</v>
      </c>
      <c r="D1152" t="s">
        <v>13</v>
      </c>
      <c r="E1152" t="s">
        <v>210</v>
      </c>
      <c r="F1152" t="s">
        <v>3013</v>
      </c>
      <c r="H1152" t="s">
        <v>17</v>
      </c>
      <c r="I1152" t="s">
        <v>2995</v>
      </c>
    </row>
    <row r="1153" spans="1:9" hidden="1" x14ac:dyDescent="0.3">
      <c r="A1153" t="s">
        <v>1882</v>
      </c>
      <c r="B1153" t="s">
        <v>2946</v>
      </c>
      <c r="C1153" t="s">
        <v>3008</v>
      </c>
      <c r="D1153" t="s">
        <v>13</v>
      </c>
      <c r="E1153" t="s">
        <v>214</v>
      </c>
      <c r="F1153" t="s">
        <v>3014</v>
      </c>
      <c r="H1153" t="s">
        <v>17</v>
      </c>
      <c r="I1153" t="s">
        <v>3015</v>
      </c>
    </row>
    <row r="1154" spans="1:9" hidden="1" x14ac:dyDescent="0.3">
      <c r="A1154" t="s">
        <v>1886</v>
      </c>
      <c r="B1154" t="s">
        <v>2946</v>
      </c>
      <c r="C1154" t="s">
        <v>3008</v>
      </c>
      <c r="D1154" t="s">
        <v>13</v>
      </c>
      <c r="E1154" t="s">
        <v>218</v>
      </c>
      <c r="F1154" t="s">
        <v>3016</v>
      </c>
      <c r="H1154" t="s">
        <v>17</v>
      </c>
      <c r="I1154" t="s">
        <v>3017</v>
      </c>
    </row>
    <row r="1155" spans="1:9" hidden="1" x14ac:dyDescent="0.3">
      <c r="A1155" t="s">
        <v>1889</v>
      </c>
      <c r="B1155" t="s">
        <v>2946</v>
      </c>
      <c r="C1155" t="s">
        <v>3008</v>
      </c>
      <c r="D1155" t="s">
        <v>13</v>
      </c>
      <c r="E1155" t="s">
        <v>223</v>
      </c>
      <c r="F1155" t="s">
        <v>3018</v>
      </c>
      <c r="H1155" t="s">
        <v>17</v>
      </c>
      <c r="I1155" t="s">
        <v>3019</v>
      </c>
    </row>
    <row r="1156" spans="1:9" hidden="1" x14ac:dyDescent="0.3">
      <c r="A1156" t="s">
        <v>1896</v>
      </c>
      <c r="B1156" t="s">
        <v>2946</v>
      </c>
      <c r="C1156" t="s">
        <v>3008</v>
      </c>
      <c r="D1156" t="s">
        <v>13</v>
      </c>
      <c r="E1156" t="s">
        <v>228</v>
      </c>
      <c r="F1156" t="s">
        <v>3020</v>
      </c>
      <c r="H1156" t="s">
        <v>17</v>
      </c>
      <c r="I1156" t="s">
        <v>3021</v>
      </c>
    </row>
    <row r="1157" spans="1:9" hidden="1" x14ac:dyDescent="0.3">
      <c r="A1157" t="s">
        <v>1898</v>
      </c>
      <c r="B1157" t="s">
        <v>2946</v>
      </c>
      <c r="C1157" t="s">
        <v>3008</v>
      </c>
      <c r="D1157" t="s">
        <v>13</v>
      </c>
      <c r="E1157" t="s">
        <v>233</v>
      </c>
      <c r="F1157" t="s">
        <v>3022</v>
      </c>
      <c r="H1157" t="s">
        <v>17</v>
      </c>
      <c r="I1157" t="s">
        <v>2991</v>
      </c>
    </row>
    <row r="1158" spans="1:9" hidden="1" x14ac:dyDescent="0.3">
      <c r="A1158" t="s">
        <v>1901</v>
      </c>
      <c r="B1158" t="s">
        <v>2946</v>
      </c>
      <c r="C1158" t="s">
        <v>3008</v>
      </c>
      <c r="D1158" t="s">
        <v>13</v>
      </c>
      <c r="E1158" t="s">
        <v>236</v>
      </c>
      <c r="F1158" t="s">
        <v>3023</v>
      </c>
      <c r="H1158" t="s">
        <v>17</v>
      </c>
      <c r="I1158" t="s">
        <v>2991</v>
      </c>
    </row>
    <row r="1159" spans="1:9" hidden="1" x14ac:dyDescent="0.3">
      <c r="A1159" t="s">
        <v>1903</v>
      </c>
      <c r="B1159" t="s">
        <v>2946</v>
      </c>
      <c r="C1159" t="s">
        <v>3008</v>
      </c>
      <c r="D1159" t="s">
        <v>13</v>
      </c>
      <c r="E1159" t="s">
        <v>239</v>
      </c>
      <c r="F1159" t="s">
        <v>3024</v>
      </c>
      <c r="H1159" t="s">
        <v>17</v>
      </c>
      <c r="I1159" t="s">
        <v>2991</v>
      </c>
    </row>
    <row r="1160" spans="1:9" hidden="1" x14ac:dyDescent="0.3">
      <c r="A1160" t="s">
        <v>1905</v>
      </c>
      <c r="B1160" t="s">
        <v>2946</v>
      </c>
      <c r="C1160" t="s">
        <v>3008</v>
      </c>
      <c r="D1160" t="s">
        <v>13</v>
      </c>
      <c r="E1160" t="s">
        <v>1881</v>
      </c>
      <c r="F1160" t="s">
        <v>3025</v>
      </c>
      <c r="H1160" t="s">
        <v>17</v>
      </c>
      <c r="I1160" t="s">
        <v>2991</v>
      </c>
    </row>
    <row r="1161" spans="1:9" hidden="1" x14ac:dyDescent="0.3">
      <c r="A1161" t="s">
        <v>1907</v>
      </c>
      <c r="B1161" t="s">
        <v>2946</v>
      </c>
      <c r="C1161" t="s">
        <v>3008</v>
      </c>
      <c r="D1161" t="s">
        <v>13</v>
      </c>
      <c r="E1161" t="s">
        <v>1885</v>
      </c>
      <c r="F1161" t="s">
        <v>3026</v>
      </c>
      <c r="H1161" t="s">
        <v>17</v>
      </c>
      <c r="I1161" t="s">
        <v>2991</v>
      </c>
    </row>
    <row r="1162" spans="1:9" hidden="1" x14ac:dyDescent="0.3">
      <c r="A1162" t="s">
        <v>1909</v>
      </c>
      <c r="B1162" t="s">
        <v>2946</v>
      </c>
      <c r="C1162" t="s">
        <v>3008</v>
      </c>
      <c r="D1162" t="s">
        <v>13</v>
      </c>
      <c r="E1162" t="s">
        <v>1588</v>
      </c>
      <c r="F1162" t="s">
        <v>2707</v>
      </c>
      <c r="H1162" t="s">
        <v>17</v>
      </c>
      <c r="I1162" t="s">
        <v>2708</v>
      </c>
    </row>
    <row r="1163" spans="1:9" hidden="1" x14ac:dyDescent="0.3">
      <c r="A1163" t="s">
        <v>1911</v>
      </c>
      <c r="B1163" t="s">
        <v>2946</v>
      </c>
      <c r="C1163" t="s">
        <v>3008</v>
      </c>
      <c r="D1163" t="s">
        <v>13</v>
      </c>
      <c r="E1163" t="s">
        <v>1892</v>
      </c>
      <c r="F1163" t="s">
        <v>2709</v>
      </c>
      <c r="H1163" t="s">
        <v>17</v>
      </c>
      <c r="I1163" t="s">
        <v>3027</v>
      </c>
    </row>
    <row r="1164" spans="1:9" hidden="1" x14ac:dyDescent="0.3">
      <c r="A1164" t="s">
        <v>1914</v>
      </c>
      <c r="B1164" t="s">
        <v>2946</v>
      </c>
      <c r="C1164" t="s">
        <v>3008</v>
      </c>
      <c r="D1164" t="s">
        <v>13</v>
      </c>
      <c r="E1164" t="s">
        <v>1146</v>
      </c>
      <c r="F1164" t="s">
        <v>3028</v>
      </c>
      <c r="H1164" t="s">
        <v>17</v>
      </c>
      <c r="I1164" t="s">
        <v>3029</v>
      </c>
    </row>
    <row r="1165" spans="1:9" hidden="1" x14ac:dyDescent="0.3">
      <c r="A1165" t="s">
        <v>1917</v>
      </c>
      <c r="B1165" t="s">
        <v>2946</v>
      </c>
      <c r="C1165" t="s">
        <v>3008</v>
      </c>
      <c r="D1165" t="s">
        <v>13</v>
      </c>
      <c r="E1165" t="s">
        <v>1150</v>
      </c>
      <c r="F1165" t="s">
        <v>2714</v>
      </c>
      <c r="H1165" t="s">
        <v>17</v>
      </c>
      <c r="I1165" t="s">
        <v>3029</v>
      </c>
    </row>
    <row r="1166" spans="1:9" hidden="1" x14ac:dyDescent="0.3">
      <c r="A1166" t="s">
        <v>3032</v>
      </c>
      <c r="B1166" t="s">
        <v>2946</v>
      </c>
      <c r="C1166" t="s">
        <v>3008</v>
      </c>
      <c r="D1166" t="s">
        <v>13</v>
      </c>
      <c r="E1166" t="s">
        <v>1154</v>
      </c>
      <c r="F1166" t="s">
        <v>3030</v>
      </c>
      <c r="H1166" t="s">
        <v>17</v>
      </c>
      <c r="I1166" t="s">
        <v>3031</v>
      </c>
    </row>
    <row r="1167" spans="1:9" hidden="1" x14ac:dyDescent="0.3">
      <c r="A1167" t="s">
        <v>1919</v>
      </c>
      <c r="B1167" t="s">
        <v>2946</v>
      </c>
      <c r="C1167" t="s">
        <v>3008</v>
      </c>
      <c r="D1167" t="s">
        <v>13</v>
      </c>
      <c r="E1167" t="s">
        <v>1158</v>
      </c>
      <c r="F1167" t="s">
        <v>3033</v>
      </c>
      <c r="H1167" t="s">
        <v>17</v>
      </c>
      <c r="I1167" t="s">
        <v>3031</v>
      </c>
    </row>
    <row r="1168" spans="1:9" hidden="1" x14ac:dyDescent="0.3">
      <c r="A1168" t="s">
        <v>1921</v>
      </c>
      <c r="B1168" t="s">
        <v>2946</v>
      </c>
      <c r="C1168" t="s">
        <v>3008</v>
      </c>
      <c r="D1168" t="s">
        <v>13</v>
      </c>
      <c r="E1168" t="s">
        <v>1162</v>
      </c>
      <c r="F1168" t="s">
        <v>3034</v>
      </c>
      <c r="H1168" t="s">
        <v>17</v>
      </c>
      <c r="I1168" t="s">
        <v>3035</v>
      </c>
    </row>
    <row r="1169" spans="1:9" hidden="1" x14ac:dyDescent="0.3">
      <c r="A1169" t="s">
        <v>1925</v>
      </c>
      <c r="B1169" t="s">
        <v>2946</v>
      </c>
      <c r="C1169" t="s">
        <v>3008</v>
      </c>
      <c r="D1169" t="s">
        <v>13</v>
      </c>
      <c r="E1169" t="s">
        <v>1165</v>
      </c>
      <c r="F1169" t="s">
        <v>3036</v>
      </c>
      <c r="H1169" t="s">
        <v>17</v>
      </c>
      <c r="I1169" t="s">
        <v>3035</v>
      </c>
    </row>
    <row r="1170" spans="1:9" hidden="1" x14ac:dyDescent="0.3">
      <c r="A1170" t="s">
        <v>1927</v>
      </c>
      <c r="B1170" t="s">
        <v>2946</v>
      </c>
      <c r="C1170" t="s">
        <v>3037</v>
      </c>
      <c r="D1170" t="s">
        <v>13</v>
      </c>
      <c r="E1170" t="s">
        <v>1168</v>
      </c>
      <c r="F1170" t="s">
        <v>3038</v>
      </c>
      <c r="H1170" t="s">
        <v>17</v>
      </c>
      <c r="I1170" t="s">
        <v>3039</v>
      </c>
    </row>
    <row r="1171" spans="1:9" hidden="1" x14ac:dyDescent="0.3">
      <c r="A1171" t="s">
        <v>1929</v>
      </c>
      <c r="B1171" t="s">
        <v>2946</v>
      </c>
      <c r="C1171" t="s">
        <v>3037</v>
      </c>
      <c r="D1171" t="s">
        <v>13</v>
      </c>
      <c r="E1171" t="s">
        <v>1172</v>
      </c>
      <c r="F1171" t="s">
        <v>3040</v>
      </c>
      <c r="H1171" t="s">
        <v>17</v>
      </c>
      <c r="I1171" t="s">
        <v>3039</v>
      </c>
    </row>
    <row r="1172" spans="1:9" hidden="1" x14ac:dyDescent="0.3">
      <c r="A1172" t="s">
        <v>1931</v>
      </c>
      <c r="B1172" t="s">
        <v>2946</v>
      </c>
      <c r="C1172" t="s">
        <v>3037</v>
      </c>
      <c r="D1172" t="s">
        <v>13</v>
      </c>
      <c r="E1172" t="s">
        <v>1176</v>
      </c>
      <c r="F1172" t="s">
        <v>3041</v>
      </c>
      <c r="H1172" t="s">
        <v>17</v>
      </c>
      <c r="I1172" t="s">
        <v>3039</v>
      </c>
    </row>
    <row r="1173" spans="1:9" hidden="1" x14ac:dyDescent="0.3">
      <c r="A1173" t="s">
        <v>1933</v>
      </c>
      <c r="B1173" t="s">
        <v>2946</v>
      </c>
      <c r="C1173" t="s">
        <v>3037</v>
      </c>
      <c r="D1173" t="s">
        <v>13</v>
      </c>
      <c r="E1173" t="s">
        <v>1179</v>
      </c>
      <c r="F1173" t="s">
        <v>3042</v>
      </c>
      <c r="H1173" t="s">
        <v>17</v>
      </c>
      <c r="I1173" t="s">
        <v>3039</v>
      </c>
    </row>
    <row r="1174" spans="1:9" hidden="1" x14ac:dyDescent="0.3">
      <c r="A1174" t="s">
        <v>3044</v>
      </c>
      <c r="B1174" t="s">
        <v>2946</v>
      </c>
      <c r="C1174" t="s">
        <v>3037</v>
      </c>
      <c r="D1174" t="s">
        <v>13</v>
      </c>
      <c r="E1174" t="s">
        <v>1184</v>
      </c>
      <c r="F1174" t="s">
        <v>3043</v>
      </c>
      <c r="H1174" t="s">
        <v>17</v>
      </c>
      <c r="I1174" t="s">
        <v>3039</v>
      </c>
    </row>
    <row r="1175" spans="1:9" hidden="1" x14ac:dyDescent="0.3">
      <c r="A1175" t="s">
        <v>3047</v>
      </c>
      <c r="B1175" t="s">
        <v>2946</v>
      </c>
      <c r="C1175" t="s">
        <v>3037</v>
      </c>
      <c r="D1175" t="s">
        <v>13</v>
      </c>
      <c r="E1175" t="s">
        <v>1189</v>
      </c>
      <c r="F1175" t="s">
        <v>3045</v>
      </c>
      <c r="H1175" t="s">
        <v>17</v>
      </c>
      <c r="I1175" t="s">
        <v>3039</v>
      </c>
    </row>
    <row r="1176" spans="1:9" hidden="1" x14ac:dyDescent="0.3">
      <c r="A1176" t="s">
        <v>3049</v>
      </c>
      <c r="B1176" t="s">
        <v>2946</v>
      </c>
      <c r="C1176" t="s">
        <v>3046</v>
      </c>
      <c r="D1176" t="s">
        <v>13</v>
      </c>
      <c r="E1176" t="s">
        <v>1193</v>
      </c>
      <c r="F1176" t="s">
        <v>3048</v>
      </c>
      <c r="H1176" t="s">
        <v>17</v>
      </c>
      <c r="I1176" t="s">
        <v>2724</v>
      </c>
    </row>
    <row r="1177" spans="1:9" hidden="1" x14ac:dyDescent="0.3">
      <c r="A1177" t="s">
        <v>3051</v>
      </c>
      <c r="B1177" t="s">
        <v>2946</v>
      </c>
      <c r="C1177" t="s">
        <v>3046</v>
      </c>
      <c r="D1177" t="s">
        <v>13</v>
      </c>
      <c r="E1177" t="s">
        <v>1197</v>
      </c>
      <c r="F1177" t="s">
        <v>3050</v>
      </c>
      <c r="H1177" t="s">
        <v>17</v>
      </c>
      <c r="I1177" t="s">
        <v>2724</v>
      </c>
    </row>
    <row r="1178" spans="1:9" hidden="1" x14ac:dyDescent="0.3">
      <c r="A1178" t="s">
        <v>3053</v>
      </c>
      <c r="B1178" t="s">
        <v>2946</v>
      </c>
      <c r="C1178" t="s">
        <v>3046</v>
      </c>
      <c r="D1178" t="s">
        <v>13</v>
      </c>
      <c r="E1178" t="s">
        <v>1201</v>
      </c>
      <c r="F1178" t="s">
        <v>3052</v>
      </c>
      <c r="H1178" t="s">
        <v>17</v>
      </c>
      <c r="I1178" t="s">
        <v>2724</v>
      </c>
    </row>
    <row r="1179" spans="1:9" hidden="1" x14ac:dyDescent="0.3">
      <c r="A1179" t="s">
        <v>3055</v>
      </c>
      <c r="B1179" t="s">
        <v>2946</v>
      </c>
      <c r="C1179" t="s">
        <v>3046</v>
      </c>
      <c r="D1179" t="s">
        <v>13</v>
      </c>
      <c r="E1179" t="s">
        <v>1213</v>
      </c>
      <c r="F1179" t="s">
        <v>3054</v>
      </c>
      <c r="H1179" t="s">
        <v>17</v>
      </c>
      <c r="I1179" t="s">
        <v>2724</v>
      </c>
    </row>
    <row r="1180" spans="1:9" hidden="1" x14ac:dyDescent="0.3">
      <c r="A1180" t="s">
        <v>3057</v>
      </c>
      <c r="B1180" t="s">
        <v>2946</v>
      </c>
      <c r="C1180" t="s">
        <v>3046</v>
      </c>
      <c r="D1180" t="s">
        <v>13</v>
      </c>
      <c r="E1180" t="s">
        <v>1209</v>
      </c>
      <c r="F1180" t="s">
        <v>3056</v>
      </c>
      <c r="H1180" t="s">
        <v>17</v>
      </c>
      <c r="I1180" t="s">
        <v>2724</v>
      </c>
    </row>
    <row r="1181" spans="1:9" hidden="1" x14ac:dyDescent="0.3">
      <c r="A1181" t="s">
        <v>3059</v>
      </c>
      <c r="B1181" t="s">
        <v>2946</v>
      </c>
      <c r="C1181" t="s">
        <v>3046</v>
      </c>
      <c r="D1181" t="s">
        <v>13</v>
      </c>
      <c r="E1181" t="s">
        <v>1213</v>
      </c>
      <c r="F1181" t="s">
        <v>3058</v>
      </c>
      <c r="H1181" t="s">
        <v>17</v>
      </c>
      <c r="I1181" t="s">
        <v>2724</v>
      </c>
    </row>
    <row r="1182" spans="1:9" hidden="1" x14ac:dyDescent="0.3">
      <c r="A1182" t="s">
        <v>3061</v>
      </c>
      <c r="B1182" t="s">
        <v>2946</v>
      </c>
      <c r="C1182" t="s">
        <v>3046</v>
      </c>
      <c r="D1182" t="s">
        <v>13</v>
      </c>
      <c r="E1182" t="s">
        <v>1219</v>
      </c>
      <c r="F1182" t="s">
        <v>3060</v>
      </c>
      <c r="H1182" t="s">
        <v>17</v>
      </c>
      <c r="I1182" t="s">
        <v>2724</v>
      </c>
    </row>
    <row r="1183" spans="1:9" hidden="1" x14ac:dyDescent="0.3">
      <c r="A1183" t="s">
        <v>3064</v>
      </c>
      <c r="B1183" t="s">
        <v>2946</v>
      </c>
      <c r="C1183" t="s">
        <v>3046</v>
      </c>
      <c r="D1183" t="s">
        <v>13</v>
      </c>
      <c r="E1183" t="s">
        <v>1224</v>
      </c>
      <c r="F1183" t="s">
        <v>3062</v>
      </c>
      <c r="H1183" t="s">
        <v>17</v>
      </c>
      <c r="I1183" t="s">
        <v>3063</v>
      </c>
    </row>
    <row r="1184" spans="1:9" hidden="1" x14ac:dyDescent="0.3">
      <c r="A1184" t="s">
        <v>3067</v>
      </c>
      <c r="B1184" t="s">
        <v>2946</v>
      </c>
      <c r="C1184" t="s">
        <v>3046</v>
      </c>
      <c r="D1184" t="s">
        <v>13</v>
      </c>
      <c r="E1184" t="s">
        <v>1228</v>
      </c>
      <c r="F1184" t="s">
        <v>3065</v>
      </c>
      <c r="H1184" t="s">
        <v>17</v>
      </c>
      <c r="I1184" t="s">
        <v>3066</v>
      </c>
    </row>
    <row r="1185" spans="1:9" hidden="1" x14ac:dyDescent="0.3">
      <c r="A1185" t="s">
        <v>3069</v>
      </c>
      <c r="B1185" t="s">
        <v>2946</v>
      </c>
      <c r="C1185" t="s">
        <v>3046</v>
      </c>
      <c r="D1185" t="s">
        <v>13</v>
      </c>
      <c r="E1185" t="s">
        <v>1232</v>
      </c>
      <c r="F1185" t="s">
        <v>3068</v>
      </c>
      <c r="H1185" t="s">
        <v>17</v>
      </c>
      <c r="I1185" t="s">
        <v>3066</v>
      </c>
    </row>
    <row r="1186" spans="1:9" hidden="1" x14ac:dyDescent="0.3">
      <c r="A1186" t="s">
        <v>3073</v>
      </c>
      <c r="B1186" t="s">
        <v>2946</v>
      </c>
      <c r="C1186" t="s">
        <v>3046</v>
      </c>
      <c r="D1186" t="s">
        <v>13</v>
      </c>
      <c r="E1186" t="s">
        <v>1236</v>
      </c>
      <c r="F1186" t="s">
        <v>3070</v>
      </c>
      <c r="H1186" t="s">
        <v>17</v>
      </c>
      <c r="I1186" t="s">
        <v>3071</v>
      </c>
    </row>
    <row r="1187" spans="1:9" hidden="1" x14ac:dyDescent="0.3">
      <c r="A1187" t="s">
        <v>3076</v>
      </c>
      <c r="B1187" t="s">
        <v>2946</v>
      </c>
      <c r="C1187" t="s">
        <v>3072</v>
      </c>
      <c r="D1187" t="s">
        <v>13</v>
      </c>
      <c r="E1187" t="s">
        <v>1240</v>
      </c>
      <c r="F1187" t="s">
        <v>3074</v>
      </c>
      <c r="H1187" t="s">
        <v>17</v>
      </c>
      <c r="I1187" t="s">
        <v>3075</v>
      </c>
    </row>
    <row r="1188" spans="1:9" hidden="1" x14ac:dyDescent="0.3">
      <c r="A1188" t="s">
        <v>3078</v>
      </c>
      <c r="B1188" t="s">
        <v>2946</v>
      </c>
      <c r="C1188" t="s">
        <v>3072</v>
      </c>
      <c r="D1188" t="s">
        <v>13</v>
      </c>
      <c r="E1188" t="s">
        <v>1244</v>
      </c>
      <c r="F1188" t="s">
        <v>3077</v>
      </c>
      <c r="H1188" t="s">
        <v>17</v>
      </c>
      <c r="I1188" t="s">
        <v>3075</v>
      </c>
    </row>
    <row r="1189" spans="1:9" hidden="1" x14ac:dyDescent="0.3">
      <c r="A1189" t="s">
        <v>3080</v>
      </c>
      <c r="B1189" t="s">
        <v>2946</v>
      </c>
      <c r="C1189" t="s">
        <v>3072</v>
      </c>
      <c r="D1189" t="s">
        <v>13</v>
      </c>
      <c r="E1189" t="s">
        <v>1248</v>
      </c>
      <c r="F1189" t="s">
        <v>3079</v>
      </c>
      <c r="H1189" t="s">
        <v>17</v>
      </c>
      <c r="I1189" t="s">
        <v>3075</v>
      </c>
    </row>
    <row r="1190" spans="1:9" hidden="1" x14ac:dyDescent="0.3">
      <c r="A1190" t="s">
        <v>3082</v>
      </c>
      <c r="B1190" t="s">
        <v>2946</v>
      </c>
      <c r="C1190" t="s">
        <v>3072</v>
      </c>
      <c r="D1190" t="s">
        <v>13</v>
      </c>
      <c r="E1190" t="s">
        <v>1252</v>
      </c>
      <c r="F1190" t="s">
        <v>3081</v>
      </c>
      <c r="H1190" t="s">
        <v>17</v>
      </c>
      <c r="I1190" t="s">
        <v>3075</v>
      </c>
    </row>
    <row r="1191" spans="1:9" hidden="1" x14ac:dyDescent="0.3">
      <c r="A1191" t="s">
        <v>3084</v>
      </c>
      <c r="B1191" t="s">
        <v>2946</v>
      </c>
      <c r="C1191" t="s">
        <v>3072</v>
      </c>
      <c r="D1191" t="s">
        <v>13</v>
      </c>
      <c r="E1191" t="s">
        <v>1256</v>
      </c>
      <c r="F1191" t="s">
        <v>3083</v>
      </c>
      <c r="H1191" t="s">
        <v>17</v>
      </c>
      <c r="I1191" t="s">
        <v>3075</v>
      </c>
    </row>
    <row r="1192" spans="1:9" hidden="1" x14ac:dyDescent="0.3">
      <c r="A1192" t="s">
        <v>3086</v>
      </c>
      <c r="B1192" t="s">
        <v>2946</v>
      </c>
      <c r="C1192" t="s">
        <v>3072</v>
      </c>
      <c r="D1192" t="s">
        <v>13</v>
      </c>
      <c r="E1192" t="s">
        <v>1261</v>
      </c>
      <c r="F1192" t="s">
        <v>3085</v>
      </c>
      <c r="H1192" t="s">
        <v>17</v>
      </c>
      <c r="I1192" t="s">
        <v>3075</v>
      </c>
    </row>
    <row r="1193" spans="1:9" hidden="1" x14ac:dyDescent="0.3">
      <c r="A1193" t="s">
        <v>3089</v>
      </c>
      <c r="B1193" t="s">
        <v>2946</v>
      </c>
      <c r="C1193" t="s">
        <v>3072</v>
      </c>
      <c r="D1193" t="s">
        <v>13</v>
      </c>
      <c r="E1193" t="s">
        <v>1265</v>
      </c>
      <c r="F1193" t="s">
        <v>3087</v>
      </c>
      <c r="H1193" t="s">
        <v>17</v>
      </c>
      <c r="I1193" t="s">
        <v>3088</v>
      </c>
    </row>
    <row r="1194" spans="1:9" hidden="1" x14ac:dyDescent="0.3">
      <c r="A1194" t="s">
        <v>3092</v>
      </c>
      <c r="B1194" t="s">
        <v>2946</v>
      </c>
      <c r="C1194" t="s">
        <v>3072</v>
      </c>
      <c r="D1194" t="s">
        <v>13</v>
      </c>
      <c r="E1194" t="s">
        <v>1270</v>
      </c>
      <c r="F1194" t="s">
        <v>3090</v>
      </c>
      <c r="H1194" t="s">
        <v>17</v>
      </c>
      <c r="I1194" t="s">
        <v>3088</v>
      </c>
    </row>
    <row r="1195" spans="1:9" hidden="1" x14ac:dyDescent="0.3">
      <c r="A1195" t="s">
        <v>3095</v>
      </c>
      <c r="B1195" t="s">
        <v>2946</v>
      </c>
      <c r="C1195" t="s">
        <v>3091</v>
      </c>
      <c r="D1195" t="s">
        <v>13</v>
      </c>
      <c r="E1195" t="s">
        <v>1276</v>
      </c>
      <c r="F1195" t="s">
        <v>3093</v>
      </c>
      <c r="H1195" t="s">
        <v>17</v>
      </c>
      <c r="I1195" t="s">
        <v>3094</v>
      </c>
    </row>
    <row r="1196" spans="1:9" hidden="1" x14ac:dyDescent="0.3">
      <c r="A1196" t="s">
        <v>3097</v>
      </c>
      <c r="B1196" t="s">
        <v>2946</v>
      </c>
      <c r="C1196" t="s">
        <v>3091</v>
      </c>
      <c r="D1196" t="s">
        <v>13</v>
      </c>
      <c r="E1196" t="s">
        <v>303</v>
      </c>
      <c r="F1196" t="s">
        <v>3096</v>
      </c>
      <c r="H1196" t="s">
        <v>17</v>
      </c>
      <c r="I1196" t="s">
        <v>3094</v>
      </c>
    </row>
    <row r="1197" spans="1:9" hidden="1" x14ac:dyDescent="0.3">
      <c r="A1197" t="s">
        <v>3099</v>
      </c>
      <c r="B1197" t="s">
        <v>2946</v>
      </c>
      <c r="C1197" t="s">
        <v>3091</v>
      </c>
      <c r="D1197" t="s">
        <v>13</v>
      </c>
      <c r="E1197" t="s">
        <v>308</v>
      </c>
      <c r="F1197" t="s">
        <v>3098</v>
      </c>
      <c r="H1197" t="s">
        <v>17</v>
      </c>
      <c r="I1197" t="s">
        <v>3094</v>
      </c>
    </row>
    <row r="1198" spans="1:9" hidden="1" x14ac:dyDescent="0.3">
      <c r="A1198" t="s">
        <v>3102</v>
      </c>
      <c r="B1198" t="s">
        <v>2946</v>
      </c>
      <c r="C1198" t="s">
        <v>3091</v>
      </c>
      <c r="D1198" t="s">
        <v>13</v>
      </c>
      <c r="E1198" t="s">
        <v>312</v>
      </c>
      <c r="F1198" t="s">
        <v>3100</v>
      </c>
      <c r="H1198" t="s">
        <v>17</v>
      </c>
      <c r="I1198" t="s">
        <v>3101</v>
      </c>
    </row>
    <row r="1199" spans="1:9" hidden="1" x14ac:dyDescent="0.3">
      <c r="A1199" t="s">
        <v>3105</v>
      </c>
      <c r="B1199" t="s">
        <v>2946</v>
      </c>
      <c r="C1199" t="s">
        <v>3091</v>
      </c>
      <c r="D1199" t="s">
        <v>13</v>
      </c>
      <c r="E1199" t="s">
        <v>316</v>
      </c>
      <c r="F1199" t="s">
        <v>3103</v>
      </c>
      <c r="H1199" t="s">
        <v>17</v>
      </c>
      <c r="I1199" t="s">
        <v>3104</v>
      </c>
    </row>
    <row r="1200" spans="1:9" hidden="1" x14ac:dyDescent="0.3">
      <c r="A1200" t="s">
        <v>3108</v>
      </c>
      <c r="B1200" t="s">
        <v>2946</v>
      </c>
      <c r="C1200" t="s">
        <v>3091</v>
      </c>
      <c r="D1200" t="s">
        <v>13</v>
      </c>
      <c r="E1200" t="s">
        <v>319</v>
      </c>
      <c r="F1200" t="s">
        <v>3106</v>
      </c>
      <c r="H1200" t="s">
        <v>17</v>
      </c>
      <c r="I1200" t="s">
        <v>3107</v>
      </c>
    </row>
    <row r="1201" spans="1:9" hidden="1" x14ac:dyDescent="0.3">
      <c r="A1201" t="s">
        <v>3111</v>
      </c>
      <c r="B1201" t="s">
        <v>2946</v>
      </c>
      <c r="C1201" t="s">
        <v>3091</v>
      </c>
      <c r="D1201" t="s">
        <v>13</v>
      </c>
      <c r="E1201" t="s">
        <v>323</v>
      </c>
      <c r="F1201" t="s">
        <v>3109</v>
      </c>
      <c r="H1201" t="s">
        <v>17</v>
      </c>
      <c r="I1201" t="s">
        <v>3110</v>
      </c>
    </row>
    <row r="1202" spans="1:9" hidden="1" x14ac:dyDescent="0.3">
      <c r="A1202" t="s">
        <v>3113</v>
      </c>
      <c r="B1202" t="s">
        <v>2946</v>
      </c>
      <c r="C1202" t="s">
        <v>3091</v>
      </c>
      <c r="D1202" t="s">
        <v>13</v>
      </c>
      <c r="E1202" t="s">
        <v>327</v>
      </c>
      <c r="F1202" t="s">
        <v>3112</v>
      </c>
      <c r="H1202" t="s">
        <v>17</v>
      </c>
      <c r="I1202" t="s">
        <v>3110</v>
      </c>
    </row>
    <row r="1203" spans="1:9" hidden="1" x14ac:dyDescent="0.3">
      <c r="A1203" t="s">
        <v>3116</v>
      </c>
      <c r="B1203" t="s">
        <v>2946</v>
      </c>
      <c r="C1203" t="s">
        <v>3091</v>
      </c>
      <c r="D1203" t="s">
        <v>13</v>
      </c>
      <c r="E1203" t="s">
        <v>332</v>
      </c>
      <c r="F1203" t="s">
        <v>3114</v>
      </c>
      <c r="H1203" t="s">
        <v>17</v>
      </c>
      <c r="I1203" t="s">
        <v>3115</v>
      </c>
    </row>
    <row r="1204" spans="1:9" hidden="1" x14ac:dyDescent="0.3">
      <c r="A1204" t="s">
        <v>3119</v>
      </c>
      <c r="B1204" t="s">
        <v>2946</v>
      </c>
      <c r="C1204" t="s">
        <v>3091</v>
      </c>
      <c r="D1204" t="s">
        <v>13</v>
      </c>
      <c r="E1204" t="s">
        <v>335</v>
      </c>
      <c r="F1204" t="s">
        <v>3117</v>
      </c>
      <c r="H1204" t="s">
        <v>17</v>
      </c>
      <c r="I1204" t="s">
        <v>3118</v>
      </c>
    </row>
    <row r="1205" spans="1:9" hidden="1" x14ac:dyDescent="0.3">
      <c r="A1205" t="s">
        <v>3122</v>
      </c>
      <c r="B1205" t="s">
        <v>2946</v>
      </c>
      <c r="C1205" t="s">
        <v>3091</v>
      </c>
      <c r="D1205" t="s">
        <v>13</v>
      </c>
      <c r="E1205" t="s">
        <v>338</v>
      </c>
      <c r="F1205" t="s">
        <v>3120</v>
      </c>
      <c r="H1205" t="s">
        <v>17</v>
      </c>
      <c r="I1205" t="s">
        <v>3121</v>
      </c>
    </row>
    <row r="1206" spans="1:9" hidden="1" x14ac:dyDescent="0.3">
      <c r="A1206" t="s">
        <v>3125</v>
      </c>
      <c r="B1206" t="s">
        <v>2946</v>
      </c>
      <c r="C1206" t="s">
        <v>3091</v>
      </c>
      <c r="D1206" t="s">
        <v>13</v>
      </c>
      <c r="E1206" t="s">
        <v>341</v>
      </c>
      <c r="F1206" t="s">
        <v>3123</v>
      </c>
      <c r="H1206" t="s">
        <v>17</v>
      </c>
      <c r="I1206" t="s">
        <v>3124</v>
      </c>
    </row>
    <row r="1207" spans="1:9" hidden="1" x14ac:dyDescent="0.3">
      <c r="A1207" t="s">
        <v>3128</v>
      </c>
      <c r="B1207" t="s">
        <v>2946</v>
      </c>
      <c r="C1207" t="s">
        <v>3091</v>
      </c>
      <c r="D1207" t="s">
        <v>13</v>
      </c>
      <c r="E1207" t="s">
        <v>344</v>
      </c>
      <c r="F1207" t="s">
        <v>3126</v>
      </c>
      <c r="H1207" t="s">
        <v>17</v>
      </c>
      <c r="I1207" t="s">
        <v>3127</v>
      </c>
    </row>
    <row r="1208" spans="1:9" hidden="1" x14ac:dyDescent="0.3">
      <c r="A1208" t="s">
        <v>3131</v>
      </c>
      <c r="B1208" t="s">
        <v>2946</v>
      </c>
      <c r="C1208" t="s">
        <v>3091</v>
      </c>
      <c r="D1208" t="s">
        <v>13</v>
      </c>
      <c r="E1208" t="s">
        <v>347</v>
      </c>
      <c r="F1208" t="s">
        <v>3129</v>
      </c>
      <c r="H1208" t="s">
        <v>17</v>
      </c>
      <c r="I1208" t="s">
        <v>3130</v>
      </c>
    </row>
    <row r="1209" spans="1:9" hidden="1" x14ac:dyDescent="0.3">
      <c r="A1209" t="s">
        <v>3134</v>
      </c>
      <c r="B1209" t="s">
        <v>2946</v>
      </c>
      <c r="C1209" t="s">
        <v>3091</v>
      </c>
      <c r="D1209" t="s">
        <v>13</v>
      </c>
      <c r="E1209" t="s">
        <v>353</v>
      </c>
      <c r="F1209" t="s">
        <v>3132</v>
      </c>
      <c r="H1209" t="s">
        <v>17</v>
      </c>
      <c r="I1209" t="s">
        <v>3133</v>
      </c>
    </row>
    <row r="1210" spans="1:9" hidden="1" x14ac:dyDescent="0.3">
      <c r="A1210" t="s">
        <v>3136</v>
      </c>
      <c r="B1210" t="s">
        <v>2946</v>
      </c>
      <c r="C1210" t="s">
        <v>3091</v>
      </c>
      <c r="D1210" t="s">
        <v>13</v>
      </c>
      <c r="E1210" t="s">
        <v>358</v>
      </c>
      <c r="F1210" t="s">
        <v>3135</v>
      </c>
      <c r="H1210" t="s">
        <v>17</v>
      </c>
      <c r="I1210" t="s">
        <v>3133</v>
      </c>
    </row>
    <row r="1211" spans="1:9" hidden="1" x14ac:dyDescent="0.3">
      <c r="A1211" t="s">
        <v>3139</v>
      </c>
      <c r="B1211" t="s">
        <v>2946</v>
      </c>
      <c r="C1211" t="s">
        <v>3091</v>
      </c>
      <c r="D1211" t="s">
        <v>13</v>
      </c>
      <c r="E1211" t="s">
        <v>361</v>
      </c>
      <c r="F1211" t="s">
        <v>3137</v>
      </c>
      <c r="H1211" t="s">
        <v>17</v>
      </c>
      <c r="I1211" t="s">
        <v>3138</v>
      </c>
    </row>
    <row r="1212" spans="1:9" hidden="1" x14ac:dyDescent="0.3">
      <c r="A1212" t="s">
        <v>3141</v>
      </c>
      <c r="B1212" t="s">
        <v>2946</v>
      </c>
      <c r="C1212" t="s">
        <v>3091</v>
      </c>
      <c r="D1212" t="s">
        <v>13</v>
      </c>
      <c r="E1212" t="s">
        <v>364</v>
      </c>
      <c r="F1212" t="s">
        <v>3140</v>
      </c>
      <c r="H1212" t="s">
        <v>17</v>
      </c>
      <c r="I1212" t="s">
        <v>3138</v>
      </c>
    </row>
    <row r="1213" spans="1:9" hidden="1" x14ac:dyDescent="0.3">
      <c r="A1213" t="s">
        <v>3145</v>
      </c>
      <c r="B1213" t="s">
        <v>2946</v>
      </c>
      <c r="C1213" t="s">
        <v>3091</v>
      </c>
      <c r="D1213" t="s">
        <v>13</v>
      </c>
      <c r="E1213" t="s">
        <v>367</v>
      </c>
      <c r="F1213" t="s">
        <v>3142</v>
      </c>
      <c r="H1213" t="s">
        <v>17</v>
      </c>
      <c r="I1213" t="s">
        <v>3143</v>
      </c>
    </row>
    <row r="1214" spans="1:9" hidden="1" x14ac:dyDescent="0.3">
      <c r="A1214" t="s">
        <v>3148</v>
      </c>
      <c r="B1214" t="s">
        <v>2946</v>
      </c>
      <c r="C1214" t="s">
        <v>3144</v>
      </c>
      <c r="D1214" t="s">
        <v>13</v>
      </c>
      <c r="E1214" t="s">
        <v>370</v>
      </c>
      <c r="F1214" t="s">
        <v>3146</v>
      </c>
      <c r="H1214" t="s">
        <v>17</v>
      </c>
      <c r="I1214" t="s">
        <v>3147</v>
      </c>
    </row>
    <row r="1215" spans="1:9" hidden="1" x14ac:dyDescent="0.3">
      <c r="A1215" t="s">
        <v>3150</v>
      </c>
      <c r="B1215" t="s">
        <v>2946</v>
      </c>
      <c r="C1215" t="s">
        <v>3144</v>
      </c>
      <c r="D1215" t="s">
        <v>13</v>
      </c>
      <c r="E1215" t="s">
        <v>373</v>
      </c>
      <c r="F1215" t="s">
        <v>3149</v>
      </c>
      <c r="H1215" t="s">
        <v>17</v>
      </c>
      <c r="I1215" t="s">
        <v>3147</v>
      </c>
    </row>
    <row r="1216" spans="1:9" hidden="1" x14ac:dyDescent="0.3">
      <c r="A1216" t="s">
        <v>3152</v>
      </c>
      <c r="B1216" t="s">
        <v>2946</v>
      </c>
      <c r="C1216" t="s">
        <v>3144</v>
      </c>
      <c r="D1216" t="s">
        <v>13</v>
      </c>
      <c r="E1216" t="s">
        <v>376</v>
      </c>
      <c r="F1216" t="s">
        <v>3151</v>
      </c>
      <c r="H1216" t="s">
        <v>17</v>
      </c>
      <c r="I1216" t="s">
        <v>3147</v>
      </c>
    </row>
    <row r="1217" spans="1:9" hidden="1" x14ac:dyDescent="0.3">
      <c r="A1217" t="s">
        <v>3154</v>
      </c>
      <c r="B1217" t="s">
        <v>2946</v>
      </c>
      <c r="C1217" t="s">
        <v>3144</v>
      </c>
      <c r="D1217" t="s">
        <v>13</v>
      </c>
      <c r="E1217" t="s">
        <v>1675</v>
      </c>
      <c r="F1217" t="s">
        <v>3153</v>
      </c>
      <c r="H1217" t="s">
        <v>17</v>
      </c>
      <c r="I1217" t="s">
        <v>3147</v>
      </c>
    </row>
    <row r="1218" spans="1:9" hidden="1" x14ac:dyDescent="0.3">
      <c r="A1218" t="s">
        <v>3156</v>
      </c>
      <c r="B1218" t="s">
        <v>2946</v>
      </c>
      <c r="C1218" t="s">
        <v>3144</v>
      </c>
      <c r="D1218" t="s">
        <v>13</v>
      </c>
      <c r="E1218" t="s">
        <v>1678</v>
      </c>
      <c r="F1218" t="s">
        <v>3155</v>
      </c>
      <c r="H1218" t="s">
        <v>17</v>
      </c>
      <c r="I1218" t="s">
        <v>3147</v>
      </c>
    </row>
    <row r="1219" spans="1:9" hidden="1" x14ac:dyDescent="0.3">
      <c r="A1219" t="s">
        <v>3158</v>
      </c>
      <c r="B1219" t="s">
        <v>2946</v>
      </c>
      <c r="C1219" t="s">
        <v>3144</v>
      </c>
      <c r="D1219" t="s">
        <v>13</v>
      </c>
      <c r="E1219" t="s">
        <v>1681</v>
      </c>
      <c r="F1219" t="s">
        <v>3157</v>
      </c>
      <c r="H1219" t="s">
        <v>17</v>
      </c>
      <c r="I1219" t="s">
        <v>3147</v>
      </c>
    </row>
    <row r="1220" spans="1:9" hidden="1" x14ac:dyDescent="0.3">
      <c r="A1220" t="s">
        <v>3160</v>
      </c>
      <c r="B1220" t="s">
        <v>2946</v>
      </c>
      <c r="C1220" t="s">
        <v>3144</v>
      </c>
      <c r="D1220" t="s">
        <v>13</v>
      </c>
      <c r="E1220" t="s">
        <v>1683</v>
      </c>
      <c r="F1220" t="s">
        <v>3159</v>
      </c>
      <c r="H1220" t="s">
        <v>17</v>
      </c>
      <c r="I1220" t="s">
        <v>3147</v>
      </c>
    </row>
    <row r="1221" spans="1:9" hidden="1" x14ac:dyDescent="0.3">
      <c r="A1221" t="s">
        <v>3162</v>
      </c>
      <c r="B1221" t="s">
        <v>2946</v>
      </c>
      <c r="C1221" t="s">
        <v>3144</v>
      </c>
      <c r="D1221" t="s">
        <v>13</v>
      </c>
      <c r="E1221" t="s">
        <v>1685</v>
      </c>
      <c r="F1221" t="s">
        <v>3161</v>
      </c>
      <c r="H1221" t="s">
        <v>17</v>
      </c>
      <c r="I1221" t="s">
        <v>3147</v>
      </c>
    </row>
    <row r="1222" spans="1:9" hidden="1" x14ac:dyDescent="0.3">
      <c r="A1222" t="s">
        <v>3164</v>
      </c>
      <c r="B1222" t="s">
        <v>2946</v>
      </c>
      <c r="C1222" t="s">
        <v>3144</v>
      </c>
      <c r="D1222" t="s">
        <v>13</v>
      </c>
      <c r="E1222" t="s">
        <v>2859</v>
      </c>
      <c r="F1222" t="s">
        <v>3163</v>
      </c>
      <c r="H1222" t="s">
        <v>17</v>
      </c>
      <c r="I1222" t="s">
        <v>3147</v>
      </c>
    </row>
    <row r="1223" spans="1:9" hidden="1" x14ac:dyDescent="0.3">
      <c r="A1223" t="s">
        <v>3167</v>
      </c>
      <c r="B1223" t="s">
        <v>2946</v>
      </c>
      <c r="C1223" t="s">
        <v>3144</v>
      </c>
      <c r="D1223" t="s">
        <v>13</v>
      </c>
      <c r="E1223" t="s">
        <v>2413</v>
      </c>
      <c r="F1223" t="s">
        <v>3165</v>
      </c>
      <c r="H1223" t="s">
        <v>17</v>
      </c>
      <c r="I1223" t="s">
        <v>3166</v>
      </c>
    </row>
    <row r="1224" spans="1:9" hidden="1" x14ac:dyDescent="0.3">
      <c r="A1224" t="s">
        <v>3170</v>
      </c>
      <c r="B1224" t="s">
        <v>2946</v>
      </c>
      <c r="C1224" t="s">
        <v>3144</v>
      </c>
      <c r="D1224" t="s">
        <v>13</v>
      </c>
      <c r="E1224" t="s">
        <v>2417</v>
      </c>
      <c r="F1224" t="s">
        <v>3168</v>
      </c>
      <c r="H1224" t="s">
        <v>17</v>
      </c>
      <c r="I1224" t="s">
        <v>3169</v>
      </c>
    </row>
    <row r="1225" spans="1:9" hidden="1" x14ac:dyDescent="0.3">
      <c r="A1225" t="s">
        <v>2671</v>
      </c>
      <c r="B1225" t="s">
        <v>2946</v>
      </c>
      <c r="C1225" t="s">
        <v>3144</v>
      </c>
      <c r="D1225" t="s">
        <v>13</v>
      </c>
      <c r="E1225" t="s">
        <v>2421</v>
      </c>
      <c r="F1225" t="s">
        <v>3171</v>
      </c>
      <c r="H1225" t="s">
        <v>17</v>
      </c>
      <c r="I1225" t="s">
        <v>2984</v>
      </c>
    </row>
    <row r="1226" spans="1:9" hidden="1" x14ac:dyDescent="0.3">
      <c r="A1226" t="s">
        <v>2674</v>
      </c>
      <c r="B1226" t="s">
        <v>2946</v>
      </c>
      <c r="C1226" t="s">
        <v>3144</v>
      </c>
      <c r="D1226" t="s">
        <v>1936</v>
      </c>
      <c r="E1226" t="s">
        <v>996</v>
      </c>
      <c r="F1226" t="s">
        <v>3172</v>
      </c>
      <c r="H1226" t="s">
        <v>17</v>
      </c>
      <c r="I1226" t="s">
        <v>3173</v>
      </c>
    </row>
    <row r="1227" spans="1:9" hidden="1" x14ac:dyDescent="0.3">
      <c r="A1227" t="s">
        <v>2679</v>
      </c>
      <c r="B1227" t="s">
        <v>2946</v>
      </c>
      <c r="C1227" t="s">
        <v>3144</v>
      </c>
      <c r="D1227" t="s">
        <v>1936</v>
      </c>
      <c r="E1227" t="s">
        <v>1001</v>
      </c>
      <c r="F1227" t="s">
        <v>3174</v>
      </c>
      <c r="H1227" t="s">
        <v>17</v>
      </c>
      <c r="I1227" t="s">
        <v>3175</v>
      </c>
    </row>
    <row r="1228" spans="1:9" hidden="1" x14ac:dyDescent="0.3">
      <c r="A1228" t="s">
        <v>23</v>
      </c>
      <c r="B1228" t="s">
        <v>2946</v>
      </c>
      <c r="C1228" t="s">
        <v>3176</v>
      </c>
      <c r="D1228" t="s">
        <v>1936</v>
      </c>
      <c r="E1228" t="s">
        <v>1942</v>
      </c>
      <c r="F1228" t="s">
        <v>3177</v>
      </c>
      <c r="H1228" t="s">
        <v>17</v>
      </c>
      <c r="I1228" t="s">
        <v>3178</v>
      </c>
    </row>
    <row r="1229" spans="1:9" hidden="1" x14ac:dyDescent="0.3">
      <c r="A1229" t="s">
        <v>28</v>
      </c>
      <c r="B1229" t="s">
        <v>2946</v>
      </c>
      <c r="C1229" t="s">
        <v>3176</v>
      </c>
      <c r="D1229" t="s">
        <v>1936</v>
      </c>
      <c r="E1229" t="s">
        <v>22</v>
      </c>
      <c r="F1229" t="s">
        <v>3179</v>
      </c>
      <c r="H1229" t="s">
        <v>17</v>
      </c>
      <c r="I1229" t="s">
        <v>3178</v>
      </c>
    </row>
    <row r="1230" spans="1:9" hidden="1" x14ac:dyDescent="0.3">
      <c r="A1230" t="s">
        <v>33</v>
      </c>
      <c r="B1230" t="s">
        <v>2946</v>
      </c>
      <c r="C1230" t="s">
        <v>3176</v>
      </c>
      <c r="D1230" t="s">
        <v>1936</v>
      </c>
      <c r="E1230" t="s">
        <v>27</v>
      </c>
      <c r="F1230" t="s">
        <v>3180</v>
      </c>
      <c r="H1230" t="s">
        <v>17</v>
      </c>
      <c r="I1230" t="s">
        <v>3178</v>
      </c>
    </row>
    <row r="1231" spans="1:9" hidden="1" x14ac:dyDescent="0.3">
      <c r="A1231" t="s">
        <v>2687</v>
      </c>
      <c r="B1231" t="s">
        <v>2946</v>
      </c>
      <c r="C1231" t="s">
        <v>3176</v>
      </c>
      <c r="D1231" t="s">
        <v>1936</v>
      </c>
      <c r="E1231" t="s">
        <v>1014</v>
      </c>
      <c r="F1231" t="s">
        <v>3181</v>
      </c>
      <c r="H1231" t="s">
        <v>17</v>
      </c>
      <c r="I1231" t="s">
        <v>3178</v>
      </c>
    </row>
    <row r="1232" spans="1:9" hidden="1" x14ac:dyDescent="0.3">
      <c r="A1232" t="s">
        <v>37</v>
      </c>
      <c r="B1232" t="s">
        <v>2946</v>
      </c>
      <c r="C1232" t="s">
        <v>3176</v>
      </c>
      <c r="D1232" t="s">
        <v>1936</v>
      </c>
      <c r="E1232" t="s">
        <v>1017</v>
      </c>
      <c r="F1232" t="s">
        <v>3182</v>
      </c>
      <c r="H1232" t="s">
        <v>17</v>
      </c>
      <c r="I1232" t="s">
        <v>3178</v>
      </c>
    </row>
    <row r="1233" spans="1:9" hidden="1" x14ac:dyDescent="0.3">
      <c r="A1233" t="s">
        <v>42</v>
      </c>
      <c r="B1233" t="s">
        <v>2946</v>
      </c>
      <c r="C1233" t="s">
        <v>3176</v>
      </c>
      <c r="D1233" t="s">
        <v>1936</v>
      </c>
      <c r="E1233" t="s">
        <v>36</v>
      </c>
      <c r="F1233" t="s">
        <v>3183</v>
      </c>
      <c r="H1233" t="s">
        <v>17</v>
      </c>
      <c r="I1233" t="s">
        <v>3184</v>
      </c>
    </row>
    <row r="1234" spans="1:9" hidden="1" x14ac:dyDescent="0.3">
      <c r="A1234" t="s">
        <v>46</v>
      </c>
      <c r="B1234" t="s">
        <v>2946</v>
      </c>
      <c r="C1234" t="s">
        <v>3176</v>
      </c>
      <c r="D1234" t="s">
        <v>1936</v>
      </c>
      <c r="E1234" t="s">
        <v>41</v>
      </c>
      <c r="F1234" t="s">
        <v>3185</v>
      </c>
      <c r="H1234" t="s">
        <v>17</v>
      </c>
      <c r="I1234" t="s">
        <v>3186</v>
      </c>
    </row>
    <row r="1235" spans="1:9" hidden="1" x14ac:dyDescent="0.3">
      <c r="A1235" t="s">
        <v>51</v>
      </c>
      <c r="B1235" t="s">
        <v>2946</v>
      </c>
      <c r="C1235" t="s">
        <v>3176</v>
      </c>
      <c r="D1235" t="s">
        <v>1936</v>
      </c>
      <c r="E1235" t="s">
        <v>45</v>
      </c>
      <c r="F1235" t="s">
        <v>3187</v>
      </c>
      <c r="H1235" t="s">
        <v>17</v>
      </c>
      <c r="I1235" t="s">
        <v>3188</v>
      </c>
    </row>
    <row r="1236" spans="1:9" hidden="1" x14ac:dyDescent="0.3">
      <c r="A1236" t="s">
        <v>54</v>
      </c>
      <c r="B1236" t="s">
        <v>2946</v>
      </c>
      <c r="C1236" t="s">
        <v>3176</v>
      </c>
      <c r="D1236" t="s">
        <v>1936</v>
      </c>
      <c r="E1236" t="s">
        <v>50</v>
      </c>
      <c r="F1236" t="s">
        <v>3189</v>
      </c>
      <c r="H1236" t="s">
        <v>17</v>
      </c>
      <c r="I1236" t="s">
        <v>3190</v>
      </c>
    </row>
    <row r="1237" spans="1:9" hidden="1" x14ac:dyDescent="0.3">
      <c r="A1237" t="s">
        <v>57</v>
      </c>
      <c r="B1237" t="s">
        <v>2946</v>
      </c>
      <c r="C1237" t="s">
        <v>3176</v>
      </c>
      <c r="D1237" t="s">
        <v>1936</v>
      </c>
      <c r="E1237" t="s">
        <v>53</v>
      </c>
      <c r="F1237" t="s">
        <v>3191</v>
      </c>
      <c r="H1237" t="s">
        <v>17</v>
      </c>
      <c r="I1237" t="s">
        <v>3192</v>
      </c>
    </row>
    <row r="1238" spans="1:9" hidden="1" x14ac:dyDescent="0.3">
      <c r="A1238" t="s">
        <v>62</v>
      </c>
      <c r="B1238" t="s">
        <v>2946</v>
      </c>
      <c r="C1238" t="s">
        <v>3176</v>
      </c>
      <c r="D1238" t="s">
        <v>1936</v>
      </c>
      <c r="E1238" t="s">
        <v>56</v>
      </c>
      <c r="F1238" t="s">
        <v>3193</v>
      </c>
      <c r="H1238" t="s">
        <v>17</v>
      </c>
      <c r="I1238" t="s">
        <v>3194</v>
      </c>
    </row>
    <row r="1239" spans="1:9" hidden="1" x14ac:dyDescent="0.3">
      <c r="A1239" t="s">
        <v>67</v>
      </c>
      <c r="B1239" t="s">
        <v>2946</v>
      </c>
      <c r="C1239" t="s">
        <v>3176</v>
      </c>
      <c r="D1239" t="s">
        <v>1936</v>
      </c>
      <c r="E1239" t="s">
        <v>61</v>
      </c>
      <c r="F1239" t="s">
        <v>3195</v>
      </c>
      <c r="H1239" t="s">
        <v>17</v>
      </c>
      <c r="I1239" t="s">
        <v>3196</v>
      </c>
    </row>
    <row r="1240" spans="1:9" hidden="1" x14ac:dyDescent="0.3">
      <c r="A1240" t="s">
        <v>77</v>
      </c>
      <c r="B1240" t="s">
        <v>2946</v>
      </c>
      <c r="C1240" t="s">
        <v>3176</v>
      </c>
      <c r="D1240" t="s">
        <v>1936</v>
      </c>
      <c r="E1240" t="s">
        <v>1039</v>
      </c>
      <c r="F1240" t="s">
        <v>3197</v>
      </c>
      <c r="H1240" t="s">
        <v>17</v>
      </c>
      <c r="I1240" t="s">
        <v>3198</v>
      </c>
    </row>
    <row r="1241" spans="1:9" hidden="1" x14ac:dyDescent="0.3">
      <c r="A1241" t="s">
        <v>81</v>
      </c>
      <c r="B1241" t="s">
        <v>2946</v>
      </c>
      <c r="C1241" t="s">
        <v>3199</v>
      </c>
      <c r="D1241" t="s">
        <v>1936</v>
      </c>
      <c r="E1241" t="s">
        <v>1043</v>
      </c>
      <c r="F1241" t="s">
        <v>3200</v>
      </c>
      <c r="H1241" t="s">
        <v>17</v>
      </c>
      <c r="I1241" t="s">
        <v>3147</v>
      </c>
    </row>
    <row r="1242" spans="1:9" hidden="1" x14ac:dyDescent="0.3">
      <c r="A1242" t="s">
        <v>86</v>
      </c>
      <c r="B1242" t="s">
        <v>2946</v>
      </c>
      <c r="C1242" t="s">
        <v>3199</v>
      </c>
      <c r="D1242" t="s">
        <v>1936</v>
      </c>
      <c r="E1242" t="s">
        <v>71</v>
      </c>
      <c r="F1242" t="s">
        <v>3201</v>
      </c>
      <c r="H1242" t="s">
        <v>17</v>
      </c>
      <c r="I1242" t="s">
        <v>3147</v>
      </c>
    </row>
    <row r="1243" spans="1:9" hidden="1" x14ac:dyDescent="0.3">
      <c r="A1243" t="s">
        <v>91</v>
      </c>
      <c r="B1243" t="s">
        <v>2946</v>
      </c>
      <c r="C1243" t="s">
        <v>3199</v>
      </c>
      <c r="D1243" t="s">
        <v>1936</v>
      </c>
      <c r="E1243" t="s">
        <v>1050</v>
      </c>
      <c r="F1243" t="s">
        <v>3202</v>
      </c>
      <c r="H1243" t="s">
        <v>17</v>
      </c>
      <c r="I1243" t="s">
        <v>3147</v>
      </c>
    </row>
    <row r="1244" spans="1:9" hidden="1" x14ac:dyDescent="0.3">
      <c r="A1244" t="s">
        <v>101</v>
      </c>
      <c r="B1244" t="s">
        <v>2946</v>
      </c>
      <c r="C1244" t="s">
        <v>3199</v>
      </c>
      <c r="D1244" t="s">
        <v>1936</v>
      </c>
      <c r="E1244" t="s">
        <v>1055</v>
      </c>
      <c r="F1244" t="s">
        <v>3203</v>
      </c>
      <c r="H1244" t="s">
        <v>17</v>
      </c>
      <c r="I1244" t="s">
        <v>3147</v>
      </c>
    </row>
    <row r="1245" spans="1:9" hidden="1" x14ac:dyDescent="0.3">
      <c r="A1245" t="s">
        <v>107</v>
      </c>
      <c r="B1245" t="s">
        <v>2946</v>
      </c>
      <c r="C1245" t="s">
        <v>3204</v>
      </c>
      <c r="D1245" t="s">
        <v>1936</v>
      </c>
      <c r="E1245" t="s">
        <v>80</v>
      </c>
      <c r="F1245" t="s">
        <v>3205</v>
      </c>
      <c r="H1245" t="s">
        <v>17</v>
      </c>
      <c r="I1245" t="s">
        <v>3206</v>
      </c>
    </row>
    <row r="1246" spans="1:9" hidden="1" x14ac:dyDescent="0.3">
      <c r="A1246" t="s">
        <v>112</v>
      </c>
      <c r="B1246" t="s">
        <v>2946</v>
      </c>
      <c r="C1246" t="s">
        <v>3204</v>
      </c>
      <c r="D1246" t="s">
        <v>1936</v>
      </c>
      <c r="E1246" t="s">
        <v>85</v>
      </c>
      <c r="F1246" t="s">
        <v>3207</v>
      </c>
      <c r="H1246" t="s">
        <v>17</v>
      </c>
      <c r="I1246" t="s">
        <v>3208</v>
      </c>
    </row>
    <row r="1247" spans="1:9" hidden="1" x14ac:dyDescent="0.3">
      <c r="A1247" t="s">
        <v>115</v>
      </c>
      <c r="B1247" t="s">
        <v>2946</v>
      </c>
      <c r="C1247" t="s">
        <v>3204</v>
      </c>
      <c r="D1247" t="s">
        <v>1936</v>
      </c>
      <c r="E1247" t="s">
        <v>90</v>
      </c>
      <c r="F1247" t="s">
        <v>3209</v>
      </c>
      <c r="H1247" t="s">
        <v>17</v>
      </c>
      <c r="I1247" t="s">
        <v>3210</v>
      </c>
    </row>
    <row r="1248" spans="1:9" hidden="1" x14ac:dyDescent="0.3">
      <c r="A1248" t="s">
        <v>118</v>
      </c>
      <c r="B1248" t="s">
        <v>2946</v>
      </c>
      <c r="C1248" t="s">
        <v>3204</v>
      </c>
      <c r="D1248" t="s">
        <v>1936</v>
      </c>
      <c r="E1248" t="s">
        <v>95</v>
      </c>
      <c r="F1248" t="s">
        <v>3211</v>
      </c>
      <c r="H1248" t="s">
        <v>17</v>
      </c>
      <c r="I1248" t="s">
        <v>3212</v>
      </c>
    </row>
    <row r="1249" spans="1:9" hidden="1" x14ac:dyDescent="0.3">
      <c r="A1249" t="s">
        <v>122</v>
      </c>
      <c r="B1249" t="s">
        <v>2946</v>
      </c>
      <c r="C1249" t="s">
        <v>3204</v>
      </c>
      <c r="D1249" t="s">
        <v>1936</v>
      </c>
      <c r="E1249" t="s">
        <v>100</v>
      </c>
      <c r="F1249" t="s">
        <v>3213</v>
      </c>
      <c r="H1249" t="s">
        <v>17</v>
      </c>
      <c r="I1249" t="s">
        <v>3214</v>
      </c>
    </row>
    <row r="1250" spans="1:9" hidden="1" x14ac:dyDescent="0.3">
      <c r="A1250" t="s">
        <v>127</v>
      </c>
      <c r="B1250" t="s">
        <v>2946</v>
      </c>
      <c r="C1250" t="s">
        <v>3204</v>
      </c>
      <c r="D1250" t="s">
        <v>1936</v>
      </c>
      <c r="E1250" t="s">
        <v>106</v>
      </c>
      <c r="F1250" t="s">
        <v>3215</v>
      </c>
      <c r="H1250" t="s">
        <v>17</v>
      </c>
      <c r="I1250" t="s">
        <v>3216</v>
      </c>
    </row>
    <row r="1251" spans="1:9" hidden="1" x14ac:dyDescent="0.3">
      <c r="A1251" t="s">
        <v>130</v>
      </c>
      <c r="B1251" t="s">
        <v>2946</v>
      </c>
      <c r="C1251" t="s">
        <v>3204</v>
      </c>
      <c r="D1251" t="s">
        <v>1936</v>
      </c>
      <c r="E1251" t="s">
        <v>111</v>
      </c>
      <c r="F1251" t="s">
        <v>3217</v>
      </c>
      <c r="H1251" t="s">
        <v>17</v>
      </c>
      <c r="I1251" t="s">
        <v>3216</v>
      </c>
    </row>
    <row r="1252" spans="1:9" hidden="1" x14ac:dyDescent="0.3">
      <c r="A1252" t="s">
        <v>133</v>
      </c>
      <c r="B1252" t="s">
        <v>2946</v>
      </c>
      <c r="C1252" t="s">
        <v>3204</v>
      </c>
      <c r="D1252" t="s">
        <v>1936</v>
      </c>
      <c r="E1252" t="s">
        <v>114</v>
      </c>
      <c r="F1252" t="s">
        <v>3218</v>
      </c>
      <c r="H1252" t="s">
        <v>17</v>
      </c>
      <c r="I1252" t="s">
        <v>3219</v>
      </c>
    </row>
    <row r="1253" spans="1:9" hidden="1" x14ac:dyDescent="0.3">
      <c r="A1253" t="s">
        <v>136</v>
      </c>
      <c r="B1253" t="s">
        <v>2946</v>
      </c>
      <c r="C1253" t="s">
        <v>3204</v>
      </c>
      <c r="D1253" t="s">
        <v>1936</v>
      </c>
      <c r="E1253" t="s">
        <v>117</v>
      </c>
      <c r="F1253" t="s">
        <v>3220</v>
      </c>
      <c r="H1253" t="s">
        <v>17</v>
      </c>
      <c r="I1253" t="s">
        <v>3221</v>
      </c>
    </row>
    <row r="1254" spans="1:9" hidden="1" x14ac:dyDescent="0.3">
      <c r="A1254" t="s">
        <v>139</v>
      </c>
      <c r="B1254" t="s">
        <v>2946</v>
      </c>
      <c r="C1254" t="s">
        <v>3204</v>
      </c>
      <c r="D1254" t="s">
        <v>1936</v>
      </c>
      <c r="E1254" t="s">
        <v>121</v>
      </c>
      <c r="F1254" t="s">
        <v>3222</v>
      </c>
      <c r="H1254" t="s">
        <v>17</v>
      </c>
      <c r="I1254" t="s">
        <v>3223</v>
      </c>
    </row>
    <row r="1255" spans="1:9" hidden="1" x14ac:dyDescent="0.3">
      <c r="A1255" t="s">
        <v>145</v>
      </c>
      <c r="B1255" t="s">
        <v>2946</v>
      </c>
      <c r="C1255" t="s">
        <v>3204</v>
      </c>
      <c r="D1255" t="s">
        <v>1936</v>
      </c>
      <c r="E1255" t="s">
        <v>126</v>
      </c>
      <c r="F1255" t="s">
        <v>3224</v>
      </c>
      <c r="H1255" t="s">
        <v>17</v>
      </c>
      <c r="I1255" t="s">
        <v>3225</v>
      </c>
    </row>
    <row r="1256" spans="1:9" hidden="1" x14ac:dyDescent="0.3">
      <c r="A1256" t="s">
        <v>148</v>
      </c>
      <c r="B1256" t="s">
        <v>2946</v>
      </c>
      <c r="C1256" t="s">
        <v>3226</v>
      </c>
      <c r="D1256" t="s">
        <v>1936</v>
      </c>
      <c r="E1256" t="s">
        <v>129</v>
      </c>
      <c r="F1256" t="s">
        <v>3227</v>
      </c>
      <c r="H1256" t="s">
        <v>17</v>
      </c>
      <c r="I1256" t="s">
        <v>3228</v>
      </c>
    </row>
    <row r="1257" spans="1:9" hidden="1" x14ac:dyDescent="0.3">
      <c r="A1257" t="s">
        <v>153</v>
      </c>
      <c r="B1257" t="s">
        <v>2946</v>
      </c>
      <c r="C1257" t="s">
        <v>3226</v>
      </c>
      <c r="D1257" t="s">
        <v>1936</v>
      </c>
      <c r="E1257" t="s">
        <v>132</v>
      </c>
      <c r="F1257" t="s">
        <v>3229</v>
      </c>
      <c r="H1257" t="s">
        <v>17</v>
      </c>
      <c r="I1257" t="s">
        <v>3228</v>
      </c>
    </row>
    <row r="1258" spans="1:9" hidden="1" x14ac:dyDescent="0.3">
      <c r="A1258" t="s">
        <v>158</v>
      </c>
      <c r="B1258" t="s">
        <v>2946</v>
      </c>
      <c r="C1258" t="s">
        <v>3226</v>
      </c>
      <c r="D1258" t="s">
        <v>1936</v>
      </c>
      <c r="E1258" t="s">
        <v>135</v>
      </c>
      <c r="F1258" t="s">
        <v>3230</v>
      </c>
      <c r="H1258" t="s">
        <v>17</v>
      </c>
      <c r="I1258" t="s">
        <v>3228</v>
      </c>
    </row>
    <row r="1259" spans="1:9" hidden="1" x14ac:dyDescent="0.3">
      <c r="A1259" t="s">
        <v>163</v>
      </c>
      <c r="B1259" t="s">
        <v>2946</v>
      </c>
      <c r="C1259" t="s">
        <v>3226</v>
      </c>
      <c r="D1259" t="s">
        <v>1936</v>
      </c>
      <c r="E1259" t="s">
        <v>138</v>
      </c>
      <c r="F1259" t="s">
        <v>3231</v>
      </c>
      <c r="H1259" t="s">
        <v>17</v>
      </c>
      <c r="I1259" t="s">
        <v>3228</v>
      </c>
    </row>
    <row r="1260" spans="1:9" hidden="1" x14ac:dyDescent="0.3">
      <c r="A1260" t="s">
        <v>168</v>
      </c>
      <c r="B1260" t="s">
        <v>2946</v>
      </c>
      <c r="C1260" t="s">
        <v>3226</v>
      </c>
      <c r="D1260" t="s">
        <v>1936</v>
      </c>
      <c r="E1260" t="s">
        <v>141</v>
      </c>
      <c r="F1260" t="s">
        <v>3232</v>
      </c>
      <c r="H1260" t="s">
        <v>17</v>
      </c>
      <c r="I1260" t="s">
        <v>3228</v>
      </c>
    </row>
    <row r="1261" spans="1:9" hidden="1" x14ac:dyDescent="0.3">
      <c r="A1261" t="s">
        <v>173</v>
      </c>
      <c r="B1261" t="s">
        <v>2946</v>
      </c>
      <c r="C1261" t="s">
        <v>3226</v>
      </c>
      <c r="D1261" t="s">
        <v>1936</v>
      </c>
      <c r="E1261" t="s">
        <v>144</v>
      </c>
      <c r="F1261" t="s">
        <v>3233</v>
      </c>
      <c r="H1261" t="s">
        <v>17</v>
      </c>
      <c r="I1261" t="s">
        <v>3228</v>
      </c>
    </row>
    <row r="1262" spans="1:9" hidden="1" x14ac:dyDescent="0.3">
      <c r="A1262" t="s">
        <v>178</v>
      </c>
      <c r="B1262" t="s">
        <v>2946</v>
      </c>
      <c r="C1262" t="s">
        <v>3226</v>
      </c>
      <c r="D1262" t="s">
        <v>1936</v>
      </c>
      <c r="E1262" t="s">
        <v>147</v>
      </c>
      <c r="F1262" t="s">
        <v>3234</v>
      </c>
      <c r="H1262" t="s">
        <v>17</v>
      </c>
      <c r="I1262" t="s">
        <v>3228</v>
      </c>
    </row>
    <row r="1263" spans="1:9" hidden="1" x14ac:dyDescent="0.3">
      <c r="A1263" t="s">
        <v>188</v>
      </c>
      <c r="B1263" t="s">
        <v>2946</v>
      </c>
      <c r="C1263" t="s">
        <v>3226</v>
      </c>
      <c r="D1263" t="s">
        <v>1936</v>
      </c>
      <c r="E1263" t="s">
        <v>152</v>
      </c>
      <c r="F1263" t="s">
        <v>3235</v>
      </c>
      <c r="H1263" t="s">
        <v>17</v>
      </c>
      <c r="I1263" t="s">
        <v>3228</v>
      </c>
    </row>
    <row r="1264" spans="1:9" hidden="1" x14ac:dyDescent="0.3">
      <c r="A1264" t="s">
        <v>194</v>
      </c>
      <c r="B1264" t="s">
        <v>2946</v>
      </c>
      <c r="C1264" t="s">
        <v>3236</v>
      </c>
      <c r="D1264" t="s">
        <v>1936</v>
      </c>
      <c r="E1264" t="s">
        <v>157</v>
      </c>
      <c r="F1264" t="s">
        <v>3237</v>
      </c>
      <c r="H1264" t="s">
        <v>17</v>
      </c>
      <c r="I1264" t="s">
        <v>3238</v>
      </c>
    </row>
    <row r="1265" spans="1:9" hidden="1" x14ac:dyDescent="0.3">
      <c r="A1265" t="s">
        <v>199</v>
      </c>
      <c r="B1265" t="s">
        <v>2946</v>
      </c>
      <c r="C1265" t="s">
        <v>3236</v>
      </c>
      <c r="D1265" t="s">
        <v>1936</v>
      </c>
      <c r="E1265" t="s">
        <v>162</v>
      </c>
      <c r="F1265" t="s">
        <v>3239</v>
      </c>
      <c r="H1265" t="s">
        <v>17</v>
      </c>
      <c r="I1265" t="s">
        <v>3240</v>
      </c>
    </row>
    <row r="1266" spans="1:9" hidden="1" x14ac:dyDescent="0.3">
      <c r="A1266" t="s">
        <v>203</v>
      </c>
      <c r="B1266" t="s">
        <v>2946</v>
      </c>
      <c r="C1266" t="s">
        <v>3236</v>
      </c>
      <c r="D1266" t="s">
        <v>1936</v>
      </c>
      <c r="E1266" t="s">
        <v>167</v>
      </c>
      <c r="F1266" t="s">
        <v>3241</v>
      </c>
      <c r="H1266" t="s">
        <v>17</v>
      </c>
      <c r="I1266" t="s">
        <v>3242</v>
      </c>
    </row>
    <row r="1267" spans="1:9" hidden="1" x14ac:dyDescent="0.3">
      <c r="A1267" t="s">
        <v>207</v>
      </c>
      <c r="B1267" t="s">
        <v>2946</v>
      </c>
      <c r="C1267" t="s">
        <v>3236</v>
      </c>
      <c r="D1267" t="s">
        <v>1936</v>
      </c>
      <c r="E1267" t="s">
        <v>172</v>
      </c>
      <c r="F1267" t="s">
        <v>3243</v>
      </c>
      <c r="H1267" t="s">
        <v>17</v>
      </c>
      <c r="I1267" t="s">
        <v>3244</v>
      </c>
    </row>
    <row r="1268" spans="1:9" hidden="1" x14ac:dyDescent="0.3">
      <c r="A1268" t="s">
        <v>211</v>
      </c>
      <c r="B1268" t="s">
        <v>2946</v>
      </c>
      <c r="C1268" t="s">
        <v>3236</v>
      </c>
      <c r="D1268" t="s">
        <v>1936</v>
      </c>
      <c r="E1268" t="s">
        <v>177</v>
      </c>
      <c r="F1268" t="s">
        <v>3245</v>
      </c>
      <c r="H1268" t="s">
        <v>17</v>
      </c>
      <c r="I1268" t="s">
        <v>3246</v>
      </c>
    </row>
    <row r="1269" spans="1:9" hidden="1" x14ac:dyDescent="0.3">
      <c r="A1269" t="s">
        <v>215</v>
      </c>
      <c r="B1269" t="s">
        <v>2946</v>
      </c>
      <c r="C1269" t="s">
        <v>3236</v>
      </c>
      <c r="D1269" t="s">
        <v>1936</v>
      </c>
      <c r="E1269" t="s">
        <v>182</v>
      </c>
      <c r="F1269" t="s">
        <v>3247</v>
      </c>
      <c r="H1269" t="s">
        <v>17</v>
      </c>
      <c r="I1269" t="s">
        <v>3246</v>
      </c>
    </row>
    <row r="1270" spans="1:9" hidden="1" x14ac:dyDescent="0.3">
      <c r="A1270" t="s">
        <v>1584</v>
      </c>
      <c r="B1270" t="s">
        <v>2946</v>
      </c>
      <c r="C1270" t="s">
        <v>3236</v>
      </c>
      <c r="D1270" t="s">
        <v>1936</v>
      </c>
      <c r="E1270" t="s">
        <v>187</v>
      </c>
      <c r="F1270" t="s">
        <v>3248</v>
      </c>
      <c r="H1270" t="s">
        <v>17</v>
      </c>
      <c r="I1270" t="s">
        <v>3249</v>
      </c>
    </row>
    <row r="1271" spans="1:9" hidden="1" x14ac:dyDescent="0.3">
      <c r="A1271" t="s">
        <v>224</v>
      </c>
      <c r="B1271" t="s">
        <v>2946</v>
      </c>
      <c r="C1271" t="s">
        <v>3236</v>
      </c>
      <c r="D1271" t="s">
        <v>1936</v>
      </c>
      <c r="E1271" t="s">
        <v>1114</v>
      </c>
      <c r="F1271" t="s">
        <v>3250</v>
      </c>
      <c r="H1271" t="s">
        <v>17</v>
      </c>
      <c r="I1271" t="s">
        <v>3251</v>
      </c>
    </row>
    <row r="1272" spans="1:9" hidden="1" x14ac:dyDescent="0.3">
      <c r="A1272" t="s">
        <v>234</v>
      </c>
      <c r="B1272" t="s">
        <v>2946</v>
      </c>
      <c r="C1272" t="s">
        <v>3236</v>
      </c>
      <c r="D1272" t="s">
        <v>1936</v>
      </c>
      <c r="E1272" t="s">
        <v>202</v>
      </c>
      <c r="F1272" t="s">
        <v>3252</v>
      </c>
      <c r="H1272" t="s">
        <v>17</v>
      </c>
      <c r="I1272" t="s">
        <v>3253</v>
      </c>
    </row>
    <row r="1273" spans="1:9" hidden="1" x14ac:dyDescent="0.3">
      <c r="A1273" t="s">
        <v>237</v>
      </c>
      <c r="B1273" t="s">
        <v>2946</v>
      </c>
      <c r="C1273" t="s">
        <v>3254</v>
      </c>
      <c r="D1273" t="s">
        <v>1936</v>
      </c>
      <c r="E1273" t="s">
        <v>206</v>
      </c>
      <c r="F1273" t="s">
        <v>3255</v>
      </c>
      <c r="H1273" t="s">
        <v>17</v>
      </c>
      <c r="I1273" t="s">
        <v>3256</v>
      </c>
    </row>
    <row r="1274" spans="1:9" hidden="1" x14ac:dyDescent="0.3">
      <c r="A1274" t="s">
        <v>240</v>
      </c>
      <c r="B1274" t="s">
        <v>2946</v>
      </c>
      <c r="C1274" t="s">
        <v>3254</v>
      </c>
      <c r="D1274" t="s">
        <v>1936</v>
      </c>
      <c r="E1274" t="s">
        <v>210</v>
      </c>
      <c r="F1274" t="s">
        <v>3257</v>
      </c>
      <c r="H1274" t="s">
        <v>17</v>
      </c>
      <c r="I1274" t="s">
        <v>3256</v>
      </c>
    </row>
    <row r="1275" spans="1:9" hidden="1" x14ac:dyDescent="0.3">
      <c r="A1275" t="s">
        <v>246</v>
      </c>
      <c r="B1275" t="s">
        <v>2946</v>
      </c>
      <c r="C1275" t="s">
        <v>3254</v>
      </c>
      <c r="D1275" t="s">
        <v>1936</v>
      </c>
      <c r="E1275" t="s">
        <v>214</v>
      </c>
      <c r="F1275" t="s">
        <v>3258</v>
      </c>
      <c r="H1275" t="s">
        <v>17</v>
      </c>
      <c r="I1275" t="s">
        <v>3256</v>
      </c>
    </row>
    <row r="1276" spans="1:9" hidden="1" x14ac:dyDescent="0.3">
      <c r="A1276" t="s">
        <v>251</v>
      </c>
      <c r="B1276" t="s">
        <v>2946</v>
      </c>
      <c r="C1276" t="s">
        <v>3254</v>
      </c>
      <c r="D1276" t="s">
        <v>1936</v>
      </c>
      <c r="E1276" t="s">
        <v>218</v>
      </c>
      <c r="F1276" t="s">
        <v>3259</v>
      </c>
      <c r="H1276" t="s">
        <v>17</v>
      </c>
      <c r="I1276" t="s">
        <v>3260</v>
      </c>
    </row>
    <row r="1277" spans="1:9" hidden="1" x14ac:dyDescent="0.3">
      <c r="A1277" t="s">
        <v>254</v>
      </c>
      <c r="B1277" t="s">
        <v>2946</v>
      </c>
      <c r="C1277" t="s">
        <v>3254</v>
      </c>
      <c r="D1277" t="s">
        <v>1936</v>
      </c>
      <c r="E1277" t="s">
        <v>223</v>
      </c>
      <c r="F1277" t="s">
        <v>3261</v>
      </c>
      <c r="H1277" t="s">
        <v>17</v>
      </c>
      <c r="I1277" t="s">
        <v>3262</v>
      </c>
    </row>
    <row r="1278" spans="1:9" hidden="1" x14ac:dyDescent="0.3">
      <c r="A1278" t="s">
        <v>257</v>
      </c>
      <c r="B1278" t="s">
        <v>2946</v>
      </c>
      <c r="C1278" t="s">
        <v>3254</v>
      </c>
      <c r="D1278" t="s">
        <v>1936</v>
      </c>
      <c r="E1278" t="s">
        <v>228</v>
      </c>
      <c r="F1278" t="s">
        <v>3263</v>
      </c>
      <c r="H1278" t="s">
        <v>17</v>
      </c>
      <c r="I1278" t="s">
        <v>3264</v>
      </c>
    </row>
    <row r="1279" spans="1:9" hidden="1" x14ac:dyDescent="0.3">
      <c r="A1279" t="s">
        <v>260</v>
      </c>
      <c r="B1279" t="s">
        <v>2946</v>
      </c>
      <c r="C1279" t="s">
        <v>3254</v>
      </c>
      <c r="D1279" t="s">
        <v>1936</v>
      </c>
      <c r="E1279" t="s">
        <v>2925</v>
      </c>
      <c r="F1279" t="s">
        <v>3265</v>
      </c>
      <c r="H1279" t="s">
        <v>17</v>
      </c>
      <c r="I1279" t="s">
        <v>3266</v>
      </c>
    </row>
    <row r="1280" spans="1:9" hidden="1" x14ac:dyDescent="0.3">
      <c r="A1280" t="s">
        <v>263</v>
      </c>
      <c r="B1280" t="s">
        <v>2946</v>
      </c>
      <c r="C1280" t="s">
        <v>3254</v>
      </c>
      <c r="D1280" t="s">
        <v>1936</v>
      </c>
      <c r="E1280" t="s">
        <v>3267</v>
      </c>
      <c r="F1280" t="s">
        <v>3268</v>
      </c>
      <c r="H1280" t="s">
        <v>17</v>
      </c>
      <c r="I1280" t="s">
        <v>3269</v>
      </c>
    </row>
    <row r="1281" spans="1:9" hidden="1" x14ac:dyDescent="0.3">
      <c r="A1281" t="s">
        <v>266</v>
      </c>
      <c r="B1281" t="s">
        <v>2946</v>
      </c>
      <c r="C1281" t="s">
        <v>3254</v>
      </c>
      <c r="D1281" t="s">
        <v>1936</v>
      </c>
      <c r="E1281" t="s">
        <v>3270</v>
      </c>
      <c r="F1281" t="s">
        <v>3271</v>
      </c>
      <c r="H1281" t="s">
        <v>17</v>
      </c>
      <c r="I1281" t="s">
        <v>3272</v>
      </c>
    </row>
    <row r="1282" spans="1:9" hidden="1" x14ac:dyDescent="0.3">
      <c r="A1282" t="s">
        <v>269</v>
      </c>
      <c r="B1282" t="s">
        <v>2946</v>
      </c>
      <c r="C1282" t="s">
        <v>3254</v>
      </c>
      <c r="D1282" t="s">
        <v>1936</v>
      </c>
      <c r="E1282" t="s">
        <v>1590</v>
      </c>
      <c r="F1282" t="s">
        <v>3273</v>
      </c>
      <c r="H1282" t="s">
        <v>17</v>
      </c>
      <c r="I1282" t="s">
        <v>3274</v>
      </c>
    </row>
    <row r="1283" spans="1:9" hidden="1" x14ac:dyDescent="0.3">
      <c r="A1283" t="s">
        <v>1610</v>
      </c>
      <c r="B1283" t="s">
        <v>2946</v>
      </c>
      <c r="C1283" t="s">
        <v>3254</v>
      </c>
      <c r="D1283" t="s">
        <v>1936</v>
      </c>
      <c r="E1283" t="s">
        <v>1593</v>
      </c>
      <c r="F1283" t="s">
        <v>3275</v>
      </c>
      <c r="H1283" t="s">
        <v>17</v>
      </c>
    </row>
    <row r="1284" spans="1:9" hidden="1" x14ac:dyDescent="0.3">
      <c r="A1284" t="s">
        <v>274</v>
      </c>
      <c r="B1284" t="s">
        <v>2946</v>
      </c>
      <c r="C1284" t="s">
        <v>3254</v>
      </c>
      <c r="D1284" t="s">
        <v>1936</v>
      </c>
      <c r="E1284" t="s">
        <v>1597</v>
      </c>
      <c r="F1284" t="s">
        <v>3276</v>
      </c>
      <c r="H1284" t="s">
        <v>17</v>
      </c>
    </row>
    <row r="1285" spans="1:9" hidden="1" x14ac:dyDescent="0.3">
      <c r="A1285" t="s">
        <v>277</v>
      </c>
      <c r="B1285" t="s">
        <v>2946</v>
      </c>
      <c r="C1285" t="s">
        <v>3254</v>
      </c>
      <c r="D1285" t="s">
        <v>1936</v>
      </c>
      <c r="E1285" t="s">
        <v>2937</v>
      </c>
      <c r="F1285" t="s">
        <v>3277</v>
      </c>
      <c r="H1285" t="s">
        <v>17</v>
      </c>
    </row>
    <row r="1286" spans="1:9" hidden="1" x14ac:dyDescent="0.3">
      <c r="A1286" t="s">
        <v>280</v>
      </c>
      <c r="B1286" t="s">
        <v>2946</v>
      </c>
      <c r="C1286" t="s">
        <v>3254</v>
      </c>
      <c r="D1286" t="s">
        <v>1936</v>
      </c>
      <c r="E1286" t="s">
        <v>1172</v>
      </c>
      <c r="F1286" t="s">
        <v>2926</v>
      </c>
      <c r="H1286" t="s">
        <v>17</v>
      </c>
      <c r="I1286" t="s">
        <v>3278</v>
      </c>
    </row>
    <row r="1287" spans="1:9" hidden="1" x14ac:dyDescent="0.3">
      <c r="A1287" t="s">
        <v>283</v>
      </c>
      <c r="B1287" t="s">
        <v>2946</v>
      </c>
      <c r="C1287" t="s">
        <v>3254</v>
      </c>
      <c r="D1287" t="s">
        <v>1936</v>
      </c>
      <c r="E1287" t="s">
        <v>1176</v>
      </c>
      <c r="F1287" t="s">
        <v>3279</v>
      </c>
      <c r="H1287" t="s">
        <v>17</v>
      </c>
    </row>
    <row r="1288" spans="1:9" hidden="1" x14ac:dyDescent="0.3">
      <c r="A1288" t="s">
        <v>286</v>
      </c>
      <c r="B1288" t="s">
        <v>2946</v>
      </c>
      <c r="C1288" t="s">
        <v>3254</v>
      </c>
      <c r="D1288" t="s">
        <v>1936</v>
      </c>
      <c r="E1288" t="s">
        <v>1179</v>
      </c>
      <c r="F1288" t="s">
        <v>3280</v>
      </c>
      <c r="H1288" t="s">
        <v>17</v>
      </c>
      <c r="I1288" t="s">
        <v>3281</v>
      </c>
    </row>
    <row r="1289" spans="1:9" hidden="1" x14ac:dyDescent="0.3">
      <c r="A1289" t="s">
        <v>289</v>
      </c>
      <c r="B1289" t="s">
        <v>2946</v>
      </c>
      <c r="C1289" t="s">
        <v>3254</v>
      </c>
      <c r="D1289" t="s">
        <v>1936</v>
      </c>
      <c r="E1289" t="s">
        <v>1184</v>
      </c>
      <c r="F1289" t="s">
        <v>3282</v>
      </c>
      <c r="H1289" t="s">
        <v>17</v>
      </c>
      <c r="I1289" t="s">
        <v>3283</v>
      </c>
    </row>
    <row r="1290" spans="1:9" hidden="1" x14ac:dyDescent="0.3">
      <c r="A1290" t="s">
        <v>292</v>
      </c>
      <c r="B1290" t="s">
        <v>2946</v>
      </c>
      <c r="C1290" t="s">
        <v>3254</v>
      </c>
      <c r="D1290" t="s">
        <v>1936</v>
      </c>
      <c r="E1290" t="s">
        <v>1189</v>
      </c>
      <c r="F1290" t="s">
        <v>3284</v>
      </c>
      <c r="H1290" t="s">
        <v>17</v>
      </c>
      <c r="I1290" t="s">
        <v>3285</v>
      </c>
    </row>
    <row r="1291" spans="1:9" hidden="1" x14ac:dyDescent="0.3">
      <c r="A1291" t="s">
        <v>295</v>
      </c>
      <c r="B1291" t="s">
        <v>2946</v>
      </c>
      <c r="C1291" t="s">
        <v>3254</v>
      </c>
      <c r="D1291" t="s">
        <v>1936</v>
      </c>
      <c r="E1291" t="s">
        <v>1193</v>
      </c>
      <c r="F1291" t="s">
        <v>3286</v>
      </c>
      <c r="H1291" t="s">
        <v>17</v>
      </c>
      <c r="I1291" t="s">
        <v>3287</v>
      </c>
    </row>
    <row r="1292" spans="1:9" hidden="1" x14ac:dyDescent="0.3">
      <c r="A1292" t="s">
        <v>298</v>
      </c>
      <c r="B1292" t="s">
        <v>2946</v>
      </c>
      <c r="C1292" t="s">
        <v>3254</v>
      </c>
      <c r="D1292" t="s">
        <v>1936</v>
      </c>
      <c r="E1292" t="s">
        <v>1197</v>
      </c>
      <c r="F1292" t="s">
        <v>3288</v>
      </c>
      <c r="H1292" t="s">
        <v>17</v>
      </c>
      <c r="I1292" t="s">
        <v>3289</v>
      </c>
    </row>
    <row r="1293" spans="1:9" hidden="1" x14ac:dyDescent="0.3">
      <c r="A1293" t="s">
        <v>301</v>
      </c>
      <c r="B1293" t="s">
        <v>2946</v>
      </c>
      <c r="C1293" t="s">
        <v>3254</v>
      </c>
      <c r="D1293" t="s">
        <v>1936</v>
      </c>
      <c r="E1293" t="s">
        <v>1201</v>
      </c>
      <c r="F1293" t="s">
        <v>3290</v>
      </c>
      <c r="H1293" t="s">
        <v>17</v>
      </c>
      <c r="I1293" t="s">
        <v>3291</v>
      </c>
    </row>
    <row r="1294" spans="1:9" hidden="1" x14ac:dyDescent="0.3">
      <c r="A1294" t="s">
        <v>304</v>
      </c>
      <c r="B1294" t="s">
        <v>2946</v>
      </c>
      <c r="C1294" t="s">
        <v>3254</v>
      </c>
      <c r="D1294" t="s">
        <v>1936</v>
      </c>
      <c r="E1294" t="s">
        <v>1205</v>
      </c>
      <c r="F1294" t="s">
        <v>3292</v>
      </c>
      <c r="H1294" t="s">
        <v>17</v>
      </c>
      <c r="I1294" t="s">
        <v>3293</v>
      </c>
    </row>
    <row r="1295" spans="1:9" hidden="1" x14ac:dyDescent="0.3">
      <c r="A1295" t="s">
        <v>309</v>
      </c>
      <c r="B1295" t="s">
        <v>2946</v>
      </c>
      <c r="C1295" t="s">
        <v>3254</v>
      </c>
      <c r="D1295" t="s">
        <v>1936</v>
      </c>
      <c r="E1295" t="s">
        <v>1209</v>
      </c>
      <c r="F1295" t="s">
        <v>3294</v>
      </c>
      <c r="H1295" t="s">
        <v>17</v>
      </c>
      <c r="I1295" t="s">
        <v>3295</v>
      </c>
    </row>
    <row r="1296" spans="1:9" hidden="1" x14ac:dyDescent="0.3">
      <c r="A1296" t="s">
        <v>313</v>
      </c>
      <c r="B1296" t="s">
        <v>2946</v>
      </c>
      <c r="C1296" t="s">
        <v>3254</v>
      </c>
      <c r="D1296" t="s">
        <v>1936</v>
      </c>
      <c r="E1296" t="s">
        <v>1213</v>
      </c>
      <c r="F1296" t="s">
        <v>3296</v>
      </c>
      <c r="H1296" t="s">
        <v>17</v>
      </c>
      <c r="I1296" t="s">
        <v>3297</v>
      </c>
    </row>
    <row r="1297" spans="1:9" hidden="1" x14ac:dyDescent="0.3">
      <c r="A1297" t="s">
        <v>317</v>
      </c>
      <c r="B1297" t="s">
        <v>2946</v>
      </c>
      <c r="C1297" t="s">
        <v>3254</v>
      </c>
      <c r="D1297" t="s">
        <v>1936</v>
      </c>
      <c r="E1297" t="s">
        <v>1219</v>
      </c>
      <c r="F1297" t="s">
        <v>3298</v>
      </c>
      <c r="H1297" t="s">
        <v>17</v>
      </c>
      <c r="I1297" t="s">
        <v>3299</v>
      </c>
    </row>
    <row r="1298" spans="1:9" hidden="1" x14ac:dyDescent="0.3">
      <c r="A1298" t="s">
        <v>320</v>
      </c>
      <c r="B1298" t="s">
        <v>2946</v>
      </c>
      <c r="C1298" t="s">
        <v>3254</v>
      </c>
      <c r="D1298" t="s">
        <v>1936</v>
      </c>
      <c r="E1298" t="s">
        <v>1224</v>
      </c>
      <c r="F1298" t="s">
        <v>3300</v>
      </c>
      <c r="H1298" t="s">
        <v>17</v>
      </c>
      <c r="I1298" t="s">
        <v>3301</v>
      </c>
    </row>
    <row r="1299" spans="1:9" hidden="1" x14ac:dyDescent="0.3">
      <c r="A1299" t="s">
        <v>324</v>
      </c>
      <c r="B1299" t="s">
        <v>2946</v>
      </c>
      <c r="C1299" t="s">
        <v>3254</v>
      </c>
      <c r="D1299" t="s">
        <v>1936</v>
      </c>
      <c r="E1299" t="s">
        <v>1228</v>
      </c>
      <c r="F1299" t="s">
        <v>3302</v>
      </c>
      <c r="H1299" t="s">
        <v>17</v>
      </c>
      <c r="I1299" t="s">
        <v>3303</v>
      </c>
    </row>
    <row r="1300" spans="1:9" hidden="1" x14ac:dyDescent="0.3">
      <c r="A1300" t="s">
        <v>328</v>
      </c>
      <c r="B1300" t="s">
        <v>2946</v>
      </c>
      <c r="C1300" t="s">
        <v>3254</v>
      </c>
      <c r="D1300" t="s">
        <v>1936</v>
      </c>
      <c r="E1300" t="s">
        <v>1232</v>
      </c>
      <c r="F1300" t="s">
        <v>3304</v>
      </c>
      <c r="H1300" t="s">
        <v>17</v>
      </c>
      <c r="I1300" t="s">
        <v>3305</v>
      </c>
    </row>
    <row r="1301" spans="1:9" hidden="1" x14ac:dyDescent="0.3">
      <c r="A1301" t="s">
        <v>333</v>
      </c>
      <c r="B1301" t="s">
        <v>2946</v>
      </c>
      <c r="C1301" t="s">
        <v>3254</v>
      </c>
      <c r="D1301" t="s">
        <v>1936</v>
      </c>
      <c r="E1301" t="s">
        <v>1236</v>
      </c>
      <c r="F1301" t="s">
        <v>3306</v>
      </c>
      <c r="H1301" t="s">
        <v>17</v>
      </c>
      <c r="I1301" t="s">
        <v>414</v>
      </c>
    </row>
    <row r="1302" spans="1:9" hidden="1" x14ac:dyDescent="0.3">
      <c r="A1302" t="s">
        <v>336</v>
      </c>
      <c r="B1302" t="s">
        <v>2946</v>
      </c>
      <c r="C1302" t="s">
        <v>3254</v>
      </c>
      <c r="D1302" t="s">
        <v>1936</v>
      </c>
      <c r="E1302" t="s">
        <v>3307</v>
      </c>
      <c r="F1302" t="s">
        <v>3308</v>
      </c>
      <c r="H1302" t="s">
        <v>17</v>
      </c>
    </row>
    <row r="1303" spans="1:9" hidden="1" x14ac:dyDescent="0.3">
      <c r="A1303" t="s">
        <v>339</v>
      </c>
      <c r="B1303" t="s">
        <v>2946</v>
      </c>
      <c r="C1303" t="s">
        <v>3254</v>
      </c>
      <c r="D1303" t="s">
        <v>1936</v>
      </c>
      <c r="E1303" t="s">
        <v>1248</v>
      </c>
      <c r="F1303" t="s">
        <v>3309</v>
      </c>
      <c r="H1303" t="s">
        <v>17</v>
      </c>
      <c r="I1303" t="s">
        <v>3310</v>
      </c>
    </row>
    <row r="1304" spans="1:9" hidden="1" x14ac:dyDescent="0.3">
      <c r="A1304" t="s">
        <v>342</v>
      </c>
      <c r="B1304" t="s">
        <v>2946</v>
      </c>
      <c r="C1304" t="s">
        <v>3254</v>
      </c>
      <c r="D1304" t="s">
        <v>1936</v>
      </c>
      <c r="E1304" t="s">
        <v>1252</v>
      </c>
      <c r="F1304" t="s">
        <v>3311</v>
      </c>
      <c r="H1304" t="s">
        <v>17</v>
      </c>
      <c r="I1304" t="s">
        <v>3312</v>
      </c>
    </row>
    <row r="1305" spans="1:9" hidden="1" x14ac:dyDescent="0.3">
      <c r="A1305" t="s">
        <v>345</v>
      </c>
      <c r="B1305" t="s">
        <v>2946</v>
      </c>
      <c r="C1305" t="s">
        <v>3254</v>
      </c>
      <c r="D1305" t="s">
        <v>1936</v>
      </c>
      <c r="E1305" t="s">
        <v>1256</v>
      </c>
      <c r="F1305" t="s">
        <v>3313</v>
      </c>
      <c r="H1305" t="s">
        <v>17</v>
      </c>
      <c r="I1305" t="s">
        <v>3314</v>
      </c>
    </row>
    <row r="1306" spans="1:9" hidden="1" x14ac:dyDescent="0.3">
      <c r="A1306" t="s">
        <v>348</v>
      </c>
      <c r="B1306" t="s">
        <v>2946</v>
      </c>
      <c r="C1306" t="s">
        <v>3254</v>
      </c>
      <c r="D1306" t="s">
        <v>1936</v>
      </c>
      <c r="E1306" t="s">
        <v>1261</v>
      </c>
      <c r="F1306" t="s">
        <v>3315</v>
      </c>
      <c r="H1306" t="s">
        <v>17</v>
      </c>
      <c r="I1306" t="s">
        <v>3316</v>
      </c>
    </row>
    <row r="1307" spans="1:9" hidden="1" x14ac:dyDescent="0.3">
      <c r="A1307" t="s">
        <v>354</v>
      </c>
      <c r="B1307" t="s">
        <v>2946</v>
      </c>
      <c r="C1307" t="s">
        <v>3254</v>
      </c>
      <c r="D1307" t="s">
        <v>1936</v>
      </c>
      <c r="E1307" t="s">
        <v>1265</v>
      </c>
      <c r="F1307" t="s">
        <v>3317</v>
      </c>
      <c r="H1307" t="s">
        <v>17</v>
      </c>
    </row>
    <row r="1308" spans="1:9" hidden="1" x14ac:dyDescent="0.3">
      <c r="A1308" t="s">
        <v>359</v>
      </c>
      <c r="B1308" t="s">
        <v>2946</v>
      </c>
      <c r="C1308" t="s">
        <v>3254</v>
      </c>
      <c r="D1308" t="s">
        <v>1936</v>
      </c>
      <c r="E1308" t="s">
        <v>1270</v>
      </c>
      <c r="F1308" t="s">
        <v>3318</v>
      </c>
      <c r="H1308" t="s">
        <v>17</v>
      </c>
      <c r="I1308" t="s">
        <v>3319</v>
      </c>
    </row>
    <row r="1309" spans="1:9" hidden="1" x14ac:dyDescent="0.3">
      <c r="A1309" t="s">
        <v>362</v>
      </c>
      <c r="B1309" t="s">
        <v>2946</v>
      </c>
      <c r="C1309" t="s">
        <v>3254</v>
      </c>
      <c r="D1309" t="s">
        <v>1936</v>
      </c>
      <c r="E1309" t="s">
        <v>1276</v>
      </c>
      <c r="F1309" t="s">
        <v>3320</v>
      </c>
      <c r="H1309" t="s">
        <v>17</v>
      </c>
      <c r="I1309" t="s">
        <v>3321</v>
      </c>
    </row>
    <row r="1310" spans="1:9" hidden="1" x14ac:dyDescent="0.3">
      <c r="A1310" t="s">
        <v>365</v>
      </c>
      <c r="B1310" t="s">
        <v>2946</v>
      </c>
      <c r="C1310" t="s">
        <v>3254</v>
      </c>
      <c r="D1310" t="s">
        <v>1936</v>
      </c>
      <c r="E1310" t="s">
        <v>303</v>
      </c>
      <c r="F1310" t="s">
        <v>3322</v>
      </c>
      <c r="H1310" t="s">
        <v>17</v>
      </c>
      <c r="I1310" t="s">
        <v>3323</v>
      </c>
    </row>
    <row r="1311" spans="1:9" hidden="1" x14ac:dyDescent="0.3">
      <c r="A1311" t="s">
        <v>368</v>
      </c>
      <c r="B1311" t="s">
        <v>2946</v>
      </c>
      <c r="C1311" t="s">
        <v>3254</v>
      </c>
      <c r="D1311" t="s">
        <v>1936</v>
      </c>
      <c r="E1311" t="s">
        <v>308</v>
      </c>
      <c r="F1311" t="s">
        <v>3324</v>
      </c>
      <c r="H1311" t="s">
        <v>17</v>
      </c>
      <c r="I1311" t="s">
        <v>414</v>
      </c>
    </row>
    <row r="1312" spans="1:9" hidden="1" x14ac:dyDescent="0.3">
      <c r="A1312" t="s">
        <v>371</v>
      </c>
      <c r="B1312" t="s">
        <v>2946</v>
      </c>
      <c r="C1312" t="s">
        <v>3254</v>
      </c>
      <c r="D1312" t="s">
        <v>1936</v>
      </c>
      <c r="E1312" t="s">
        <v>3325</v>
      </c>
      <c r="F1312" t="s">
        <v>747</v>
      </c>
      <c r="H1312" t="s">
        <v>17</v>
      </c>
    </row>
    <row r="1313" spans="1:9" hidden="1" x14ac:dyDescent="0.3">
      <c r="A1313" t="s">
        <v>374</v>
      </c>
      <c r="B1313" t="s">
        <v>2946</v>
      </c>
      <c r="C1313" t="s">
        <v>3254</v>
      </c>
      <c r="D1313" t="s">
        <v>1936</v>
      </c>
      <c r="E1313" t="s">
        <v>319</v>
      </c>
      <c r="F1313" t="s">
        <v>3326</v>
      </c>
      <c r="H1313" t="s">
        <v>17</v>
      </c>
      <c r="I1313" t="s">
        <v>3327</v>
      </c>
    </row>
    <row r="1314" spans="1:9" hidden="1" x14ac:dyDescent="0.3">
      <c r="A1314" t="s">
        <v>2812</v>
      </c>
      <c r="B1314" t="s">
        <v>2946</v>
      </c>
      <c r="C1314" t="s">
        <v>3254</v>
      </c>
      <c r="D1314" t="s">
        <v>1936</v>
      </c>
      <c r="E1314" t="s">
        <v>3328</v>
      </c>
      <c r="F1314" t="s">
        <v>3329</v>
      </c>
      <c r="H1314" t="s">
        <v>17</v>
      </c>
      <c r="I1314" t="s">
        <v>3330</v>
      </c>
    </row>
    <row r="1315" spans="1:9" hidden="1" x14ac:dyDescent="0.3">
      <c r="A1315" t="s">
        <v>2813</v>
      </c>
      <c r="B1315" t="s">
        <v>2946</v>
      </c>
      <c r="C1315" t="s">
        <v>3254</v>
      </c>
      <c r="D1315" t="s">
        <v>1936</v>
      </c>
      <c r="E1315" t="s">
        <v>1652</v>
      </c>
      <c r="F1315" t="s">
        <v>3331</v>
      </c>
      <c r="H1315" t="s">
        <v>17</v>
      </c>
    </row>
    <row r="1316" spans="1:9" hidden="1" x14ac:dyDescent="0.3">
      <c r="A1316" t="s">
        <v>3333</v>
      </c>
      <c r="B1316" t="s">
        <v>2946</v>
      </c>
      <c r="C1316" t="s">
        <v>3254</v>
      </c>
      <c r="D1316" t="s">
        <v>1936</v>
      </c>
      <c r="E1316" t="s">
        <v>3332</v>
      </c>
      <c r="F1316" t="s">
        <v>797</v>
      </c>
      <c r="H1316" t="s">
        <v>17</v>
      </c>
    </row>
    <row r="1317" spans="1:9" hidden="1" x14ac:dyDescent="0.3">
      <c r="A1317" t="s">
        <v>2818</v>
      </c>
      <c r="B1317" t="s">
        <v>2946</v>
      </c>
      <c r="C1317" t="s">
        <v>3254</v>
      </c>
      <c r="D1317" t="s">
        <v>1936</v>
      </c>
      <c r="E1317" t="s">
        <v>344</v>
      </c>
      <c r="F1317" t="s">
        <v>3334</v>
      </c>
      <c r="H1317" t="s">
        <v>17</v>
      </c>
      <c r="I1317" t="s">
        <v>3335</v>
      </c>
    </row>
    <row r="1318" spans="1:9" hidden="1" x14ac:dyDescent="0.3">
      <c r="A1318" t="s">
        <v>2820</v>
      </c>
      <c r="B1318" t="s">
        <v>2946</v>
      </c>
      <c r="C1318" t="s">
        <v>3336</v>
      </c>
      <c r="D1318" t="s">
        <v>1936</v>
      </c>
      <c r="E1318" t="s">
        <v>347</v>
      </c>
      <c r="F1318" t="s">
        <v>3337</v>
      </c>
      <c r="H1318" t="s">
        <v>17</v>
      </c>
      <c r="I1318" t="s">
        <v>3338</v>
      </c>
    </row>
    <row r="1319" spans="1:9" hidden="1" x14ac:dyDescent="0.3">
      <c r="A1319" t="s">
        <v>2822</v>
      </c>
      <c r="B1319" t="s">
        <v>2946</v>
      </c>
      <c r="C1319" t="s">
        <v>3336</v>
      </c>
      <c r="D1319" t="s">
        <v>1936</v>
      </c>
      <c r="E1319" t="s">
        <v>353</v>
      </c>
      <c r="F1319" t="s">
        <v>3339</v>
      </c>
      <c r="H1319" t="s">
        <v>17</v>
      </c>
      <c r="I1319" t="s">
        <v>3338</v>
      </c>
    </row>
    <row r="1320" spans="1:9" hidden="1" x14ac:dyDescent="0.3">
      <c r="A1320" t="s">
        <v>2824</v>
      </c>
      <c r="B1320" t="s">
        <v>2946</v>
      </c>
      <c r="C1320" t="s">
        <v>3336</v>
      </c>
      <c r="D1320" t="s">
        <v>1936</v>
      </c>
      <c r="E1320" t="s">
        <v>358</v>
      </c>
      <c r="F1320" t="s">
        <v>3340</v>
      </c>
      <c r="H1320" t="s">
        <v>17</v>
      </c>
      <c r="I1320" t="s">
        <v>3338</v>
      </c>
    </row>
    <row r="1321" spans="1:9" hidden="1" x14ac:dyDescent="0.3">
      <c r="A1321" t="s">
        <v>2826</v>
      </c>
      <c r="B1321" t="s">
        <v>2946</v>
      </c>
      <c r="C1321" t="s">
        <v>3336</v>
      </c>
      <c r="D1321" t="s">
        <v>1936</v>
      </c>
      <c r="E1321" t="s">
        <v>361</v>
      </c>
      <c r="F1321" t="s">
        <v>3341</v>
      </c>
      <c r="H1321" t="s">
        <v>17</v>
      </c>
      <c r="I1321" t="s">
        <v>3342</v>
      </c>
    </row>
    <row r="1322" spans="1:9" hidden="1" x14ac:dyDescent="0.3">
      <c r="A1322" t="s">
        <v>2828</v>
      </c>
      <c r="B1322" t="s">
        <v>2946</v>
      </c>
      <c r="C1322" t="s">
        <v>3336</v>
      </c>
      <c r="D1322" t="s">
        <v>1936</v>
      </c>
      <c r="E1322" t="s">
        <v>364</v>
      </c>
      <c r="F1322" t="s">
        <v>3343</v>
      </c>
      <c r="H1322" t="s">
        <v>17</v>
      </c>
    </row>
    <row r="1323" spans="1:9" hidden="1" x14ac:dyDescent="0.3">
      <c r="A1323" t="s">
        <v>2830</v>
      </c>
      <c r="B1323" t="s">
        <v>2946</v>
      </c>
      <c r="C1323" t="s">
        <v>3336</v>
      </c>
      <c r="D1323" t="s">
        <v>1936</v>
      </c>
      <c r="E1323" t="s">
        <v>1669</v>
      </c>
      <c r="F1323" t="s">
        <v>3344</v>
      </c>
      <c r="H1323" t="s">
        <v>17</v>
      </c>
    </row>
    <row r="1324" spans="1:9" hidden="1" x14ac:dyDescent="0.3">
      <c r="A1324" t="s">
        <v>2832</v>
      </c>
      <c r="B1324" t="s">
        <v>2946</v>
      </c>
      <c r="C1324" t="s">
        <v>3336</v>
      </c>
      <c r="D1324" t="s">
        <v>1936</v>
      </c>
      <c r="E1324" t="s">
        <v>373</v>
      </c>
      <c r="F1324" t="s">
        <v>3345</v>
      </c>
      <c r="H1324" t="s">
        <v>17</v>
      </c>
      <c r="I1324" t="s">
        <v>3346</v>
      </c>
    </row>
    <row r="1325" spans="1:9" hidden="1" x14ac:dyDescent="0.3">
      <c r="A1325" t="s">
        <v>2834</v>
      </c>
      <c r="B1325" t="s">
        <v>2946</v>
      </c>
      <c r="C1325" t="s">
        <v>3336</v>
      </c>
      <c r="D1325" t="s">
        <v>1936</v>
      </c>
      <c r="E1325" t="s">
        <v>376</v>
      </c>
      <c r="F1325" t="s">
        <v>3347</v>
      </c>
      <c r="H1325" t="s">
        <v>17</v>
      </c>
      <c r="I1325" t="s">
        <v>414</v>
      </c>
    </row>
    <row r="1326" spans="1:9" hidden="1" x14ac:dyDescent="0.3">
      <c r="A1326" t="s">
        <v>3349</v>
      </c>
      <c r="B1326" t="s">
        <v>2946</v>
      </c>
      <c r="C1326" t="s">
        <v>3336</v>
      </c>
      <c r="D1326" t="s">
        <v>1936</v>
      </c>
      <c r="E1326" t="s">
        <v>1675</v>
      </c>
      <c r="F1326" t="s">
        <v>2196</v>
      </c>
      <c r="H1326" t="s">
        <v>17</v>
      </c>
      <c r="I1326" t="s">
        <v>3348</v>
      </c>
    </row>
    <row r="1327" spans="1:9" hidden="1" x14ac:dyDescent="0.3">
      <c r="A1327" t="s">
        <v>2837</v>
      </c>
      <c r="B1327" t="s">
        <v>2946</v>
      </c>
      <c r="C1327" t="s">
        <v>3336</v>
      </c>
      <c r="D1327" t="s">
        <v>1936</v>
      </c>
      <c r="E1327" t="s">
        <v>1678</v>
      </c>
      <c r="F1327" t="s">
        <v>3350</v>
      </c>
      <c r="H1327" t="s">
        <v>17</v>
      </c>
      <c r="I1327" t="s">
        <v>3351</v>
      </c>
    </row>
    <row r="1328" spans="1:9" hidden="1" x14ac:dyDescent="0.3">
      <c r="A1328" t="s">
        <v>2840</v>
      </c>
      <c r="B1328" t="s">
        <v>2946</v>
      </c>
      <c r="C1328" t="s">
        <v>3336</v>
      </c>
      <c r="D1328" t="s">
        <v>1936</v>
      </c>
      <c r="E1328" t="s">
        <v>1681</v>
      </c>
      <c r="F1328" t="s">
        <v>3352</v>
      </c>
      <c r="H1328" t="s">
        <v>17</v>
      </c>
      <c r="I1328" t="s">
        <v>2768</v>
      </c>
    </row>
    <row r="1329" spans="1:9" hidden="1" x14ac:dyDescent="0.3">
      <c r="A1329" t="s">
        <v>2842</v>
      </c>
      <c r="B1329" t="s">
        <v>2946</v>
      </c>
      <c r="C1329" t="s">
        <v>3336</v>
      </c>
      <c r="D1329" t="s">
        <v>1936</v>
      </c>
      <c r="E1329" t="s">
        <v>1683</v>
      </c>
      <c r="F1329" t="s">
        <v>3353</v>
      </c>
      <c r="H1329" t="s">
        <v>17</v>
      </c>
      <c r="I1329" t="s">
        <v>2768</v>
      </c>
    </row>
    <row r="1330" spans="1:9" hidden="1" x14ac:dyDescent="0.3">
      <c r="A1330" t="s">
        <v>2843</v>
      </c>
      <c r="B1330" t="s">
        <v>2946</v>
      </c>
      <c r="C1330" t="s">
        <v>3336</v>
      </c>
      <c r="D1330" t="s">
        <v>1936</v>
      </c>
      <c r="E1330" t="s">
        <v>1685</v>
      </c>
      <c r="F1330" t="s">
        <v>3354</v>
      </c>
      <c r="H1330" t="s">
        <v>17</v>
      </c>
      <c r="I1330" t="s">
        <v>414</v>
      </c>
    </row>
    <row r="1331" spans="1:9" hidden="1" x14ac:dyDescent="0.3">
      <c r="A1331" t="s">
        <v>2844</v>
      </c>
      <c r="B1331" t="s">
        <v>2946</v>
      </c>
      <c r="C1331" t="s">
        <v>3336</v>
      </c>
      <c r="D1331" t="s">
        <v>1936</v>
      </c>
      <c r="E1331" t="s">
        <v>2859</v>
      </c>
      <c r="F1331" t="s">
        <v>3355</v>
      </c>
      <c r="H1331" t="s">
        <v>17</v>
      </c>
      <c r="I1331" t="s">
        <v>414</v>
      </c>
    </row>
    <row r="1332" spans="1:9" hidden="1" x14ac:dyDescent="0.3">
      <c r="A1332" t="s">
        <v>2846</v>
      </c>
      <c r="B1332" t="s">
        <v>2946</v>
      </c>
      <c r="C1332" t="s">
        <v>3336</v>
      </c>
      <c r="D1332" t="s">
        <v>1936</v>
      </c>
      <c r="E1332" t="s">
        <v>2413</v>
      </c>
      <c r="F1332" t="s">
        <v>3356</v>
      </c>
      <c r="H1332" t="s">
        <v>17</v>
      </c>
      <c r="I1332" t="s">
        <v>414</v>
      </c>
    </row>
    <row r="1333" spans="1:9" hidden="1" x14ac:dyDescent="0.3">
      <c r="A1333" t="s">
        <v>2848</v>
      </c>
      <c r="B1333" t="s">
        <v>2946</v>
      </c>
      <c r="C1333" t="s">
        <v>3336</v>
      </c>
      <c r="D1333" t="s">
        <v>1936</v>
      </c>
      <c r="E1333" t="s">
        <v>2417</v>
      </c>
      <c r="F1333" t="s">
        <v>3357</v>
      </c>
      <c r="H1333" t="s">
        <v>17</v>
      </c>
      <c r="I1333" t="s">
        <v>3358</v>
      </c>
    </row>
    <row r="1334" spans="1:9" hidden="1" x14ac:dyDescent="0.3">
      <c r="A1334" t="s">
        <v>2849</v>
      </c>
      <c r="B1334" t="s">
        <v>2946</v>
      </c>
      <c r="C1334" t="s">
        <v>3336</v>
      </c>
      <c r="D1334" t="s">
        <v>1936</v>
      </c>
      <c r="E1334" t="s">
        <v>2421</v>
      </c>
      <c r="F1334" t="s">
        <v>3359</v>
      </c>
      <c r="H1334" t="s">
        <v>17</v>
      </c>
      <c r="I1334" t="s">
        <v>414</v>
      </c>
    </row>
    <row r="1335" spans="1:9" hidden="1" x14ac:dyDescent="0.3">
      <c r="A1335" t="s">
        <v>3360</v>
      </c>
      <c r="B1335" t="s">
        <v>2946</v>
      </c>
      <c r="C1335" t="s">
        <v>3336</v>
      </c>
      <c r="D1335" t="s">
        <v>1936</v>
      </c>
      <c r="E1335" t="s">
        <v>1690</v>
      </c>
      <c r="F1335" t="s">
        <v>843</v>
      </c>
      <c r="H1335" t="s">
        <v>17</v>
      </c>
      <c r="I1335" t="s">
        <v>2209</v>
      </c>
    </row>
    <row r="1336" spans="1:9" hidden="1" x14ac:dyDescent="0.3">
      <c r="A1336" t="s">
        <v>3361</v>
      </c>
      <c r="B1336" t="s">
        <v>2946</v>
      </c>
      <c r="C1336" t="s">
        <v>3336</v>
      </c>
      <c r="D1336" t="s">
        <v>2135</v>
      </c>
      <c r="E1336" t="s">
        <v>996</v>
      </c>
      <c r="F1336" t="s">
        <v>2672</v>
      </c>
      <c r="H1336" t="s">
        <v>17</v>
      </c>
      <c r="I1336" t="s">
        <v>2673</v>
      </c>
    </row>
    <row r="1337" spans="1:9" hidden="1" x14ac:dyDescent="0.3">
      <c r="A1337" t="s">
        <v>3365</v>
      </c>
      <c r="B1337" t="s">
        <v>2946</v>
      </c>
      <c r="C1337" t="s">
        <v>3336</v>
      </c>
      <c r="D1337" t="s">
        <v>2135</v>
      </c>
      <c r="E1337" t="s">
        <v>1001</v>
      </c>
      <c r="F1337" t="s">
        <v>3362</v>
      </c>
      <c r="H1337" t="s">
        <v>17</v>
      </c>
      <c r="I1337" t="s">
        <v>3363</v>
      </c>
    </row>
    <row r="1338" spans="1:9" hidden="1" x14ac:dyDescent="0.3">
      <c r="A1338" t="s">
        <v>377</v>
      </c>
      <c r="B1338" t="s">
        <v>2946</v>
      </c>
      <c r="C1338" t="s">
        <v>3364</v>
      </c>
      <c r="D1338" t="s">
        <v>2135</v>
      </c>
      <c r="E1338" t="s">
        <v>1942</v>
      </c>
      <c r="F1338" t="s">
        <v>2677</v>
      </c>
      <c r="H1338" t="s">
        <v>17</v>
      </c>
      <c r="I1338" t="s">
        <v>2678</v>
      </c>
    </row>
    <row r="1339" spans="1:9" hidden="1" x14ac:dyDescent="0.3">
      <c r="A1339" t="s">
        <v>383</v>
      </c>
      <c r="B1339" t="s">
        <v>2946</v>
      </c>
      <c r="C1339" t="s">
        <v>3364</v>
      </c>
      <c r="D1339" t="s">
        <v>2135</v>
      </c>
      <c r="E1339" t="s">
        <v>22</v>
      </c>
      <c r="F1339" t="s">
        <v>2680</v>
      </c>
      <c r="H1339" t="s">
        <v>17</v>
      </c>
      <c r="I1339" t="s">
        <v>2678</v>
      </c>
    </row>
    <row r="1340" spans="1:9" hidden="1" x14ac:dyDescent="0.3">
      <c r="A1340" t="s">
        <v>1638</v>
      </c>
      <c r="B1340" t="s">
        <v>2946</v>
      </c>
      <c r="C1340" t="s">
        <v>3364</v>
      </c>
      <c r="D1340" t="s">
        <v>2135</v>
      </c>
      <c r="E1340" t="s">
        <v>27</v>
      </c>
      <c r="F1340" t="s">
        <v>2681</v>
      </c>
      <c r="H1340" t="s">
        <v>17</v>
      </c>
      <c r="I1340" t="s">
        <v>2678</v>
      </c>
    </row>
    <row r="1341" spans="1:9" hidden="1" x14ac:dyDescent="0.3">
      <c r="A1341" t="s">
        <v>1640</v>
      </c>
      <c r="B1341" t="s">
        <v>2946</v>
      </c>
      <c r="C1341" t="s">
        <v>3364</v>
      </c>
      <c r="D1341" t="s">
        <v>2135</v>
      </c>
      <c r="E1341" t="s">
        <v>32</v>
      </c>
      <c r="F1341" t="s">
        <v>3366</v>
      </c>
      <c r="H1341" t="s">
        <v>17</v>
      </c>
      <c r="I1341" t="s">
        <v>3251</v>
      </c>
    </row>
    <row r="1342" spans="1:9" hidden="1" x14ac:dyDescent="0.3">
      <c r="A1342" t="s">
        <v>1643</v>
      </c>
      <c r="B1342" t="s">
        <v>2946</v>
      </c>
      <c r="C1342" t="s">
        <v>3364</v>
      </c>
      <c r="D1342" t="s">
        <v>2135</v>
      </c>
      <c r="E1342" t="s">
        <v>2684</v>
      </c>
      <c r="F1342" t="s">
        <v>2685</v>
      </c>
      <c r="H1342" t="s">
        <v>17</v>
      </c>
      <c r="I1342" t="s">
        <v>3367</v>
      </c>
    </row>
    <row r="1343" spans="1:9" hidden="1" x14ac:dyDescent="0.3">
      <c r="A1343" t="s">
        <v>388</v>
      </c>
      <c r="B1343" t="s">
        <v>2946</v>
      </c>
      <c r="C1343" t="s">
        <v>3364</v>
      </c>
      <c r="D1343" t="s">
        <v>2135</v>
      </c>
      <c r="E1343" t="s">
        <v>45</v>
      </c>
      <c r="F1343" t="s">
        <v>2688</v>
      </c>
      <c r="H1343" t="s">
        <v>17</v>
      </c>
      <c r="I1343" t="s">
        <v>3368</v>
      </c>
    </row>
    <row r="1344" spans="1:9" hidden="1" x14ac:dyDescent="0.3">
      <c r="A1344" t="s">
        <v>1647</v>
      </c>
      <c r="B1344" t="s">
        <v>2946</v>
      </c>
      <c r="C1344" t="s">
        <v>3364</v>
      </c>
      <c r="D1344" t="s">
        <v>2135</v>
      </c>
      <c r="E1344" t="s">
        <v>50</v>
      </c>
      <c r="F1344" t="s">
        <v>3369</v>
      </c>
      <c r="H1344" t="s">
        <v>17</v>
      </c>
      <c r="I1344" t="s">
        <v>3370</v>
      </c>
    </row>
    <row r="1345" spans="1:9" hidden="1" x14ac:dyDescent="0.3">
      <c r="A1345" t="s">
        <v>392</v>
      </c>
      <c r="B1345" t="s">
        <v>2946</v>
      </c>
      <c r="C1345" t="s">
        <v>3364</v>
      </c>
      <c r="D1345" t="s">
        <v>2135</v>
      </c>
      <c r="E1345" t="s">
        <v>53</v>
      </c>
      <c r="F1345" t="s">
        <v>3371</v>
      </c>
      <c r="H1345" t="s">
        <v>17</v>
      </c>
      <c r="I1345" t="s">
        <v>3372</v>
      </c>
    </row>
    <row r="1346" spans="1:9" hidden="1" x14ac:dyDescent="0.3">
      <c r="A1346" t="s">
        <v>1653</v>
      </c>
      <c r="B1346" t="s">
        <v>2946</v>
      </c>
      <c r="C1346" t="s">
        <v>3364</v>
      </c>
      <c r="D1346" t="s">
        <v>2135</v>
      </c>
      <c r="E1346" t="s">
        <v>56</v>
      </c>
      <c r="F1346" t="s">
        <v>3373</v>
      </c>
      <c r="H1346" t="s">
        <v>17</v>
      </c>
      <c r="I1346" t="s">
        <v>414</v>
      </c>
    </row>
    <row r="1347" spans="1:9" hidden="1" x14ac:dyDescent="0.3">
      <c r="A1347" t="s">
        <v>395</v>
      </c>
      <c r="B1347" t="s">
        <v>2946</v>
      </c>
      <c r="C1347" t="s">
        <v>3364</v>
      </c>
      <c r="D1347" t="s">
        <v>2135</v>
      </c>
      <c r="E1347" t="s">
        <v>61</v>
      </c>
      <c r="F1347" t="s">
        <v>3374</v>
      </c>
      <c r="H1347" t="s">
        <v>17</v>
      </c>
      <c r="I1347" t="s">
        <v>414</v>
      </c>
    </row>
    <row r="1348" spans="1:9" hidden="1" x14ac:dyDescent="0.3">
      <c r="A1348" t="s">
        <v>1656</v>
      </c>
      <c r="B1348" t="s">
        <v>2946</v>
      </c>
      <c r="C1348" t="s">
        <v>3364</v>
      </c>
      <c r="D1348" t="s">
        <v>2135</v>
      </c>
      <c r="E1348" t="s">
        <v>1039</v>
      </c>
      <c r="F1348" t="s">
        <v>3375</v>
      </c>
      <c r="H1348" t="s">
        <v>17</v>
      </c>
      <c r="I1348" t="s">
        <v>2695</v>
      </c>
    </row>
    <row r="1349" spans="1:9" hidden="1" x14ac:dyDescent="0.3">
      <c r="A1349" t="s">
        <v>398</v>
      </c>
      <c r="B1349" t="s">
        <v>2946</v>
      </c>
      <c r="C1349" t="s">
        <v>3364</v>
      </c>
      <c r="D1349" t="s">
        <v>2135</v>
      </c>
      <c r="E1349" t="s">
        <v>1043</v>
      </c>
      <c r="F1349" t="s">
        <v>2966</v>
      </c>
      <c r="H1349" t="s">
        <v>17</v>
      </c>
      <c r="I1349" t="s">
        <v>3376</v>
      </c>
    </row>
    <row r="1350" spans="1:9" hidden="1" x14ac:dyDescent="0.3">
      <c r="A1350" t="s">
        <v>3378</v>
      </c>
      <c r="B1350" t="s">
        <v>2946</v>
      </c>
      <c r="C1350" t="s">
        <v>3364</v>
      </c>
      <c r="D1350" t="s">
        <v>2135</v>
      </c>
      <c r="E1350" t="s">
        <v>71</v>
      </c>
      <c r="F1350" t="s">
        <v>3377</v>
      </c>
      <c r="H1350" t="s">
        <v>17</v>
      </c>
      <c r="I1350" t="s">
        <v>2702</v>
      </c>
    </row>
    <row r="1351" spans="1:9" hidden="1" x14ac:dyDescent="0.3">
      <c r="A1351" t="s">
        <v>401</v>
      </c>
      <c r="B1351" t="s">
        <v>2946</v>
      </c>
      <c r="C1351" t="s">
        <v>3364</v>
      </c>
      <c r="D1351" t="s">
        <v>2135</v>
      </c>
      <c r="E1351" t="s">
        <v>1050</v>
      </c>
      <c r="F1351" t="s">
        <v>3379</v>
      </c>
      <c r="H1351" t="s">
        <v>17</v>
      </c>
      <c r="I1351" t="s">
        <v>2704</v>
      </c>
    </row>
    <row r="1352" spans="1:9" hidden="1" x14ac:dyDescent="0.3">
      <c r="A1352" t="s">
        <v>1663</v>
      </c>
      <c r="B1352" t="s">
        <v>2946</v>
      </c>
      <c r="C1352" t="s">
        <v>3364</v>
      </c>
      <c r="D1352" t="s">
        <v>2135</v>
      </c>
      <c r="E1352" t="s">
        <v>1055</v>
      </c>
      <c r="F1352" t="s">
        <v>3380</v>
      </c>
      <c r="H1352" t="s">
        <v>17</v>
      </c>
      <c r="I1352" t="s">
        <v>2706</v>
      </c>
    </row>
    <row r="1353" spans="1:9" hidden="1" x14ac:dyDescent="0.3">
      <c r="A1353" t="s">
        <v>404</v>
      </c>
      <c r="B1353" t="s">
        <v>2946</v>
      </c>
      <c r="C1353" t="s">
        <v>3364</v>
      </c>
      <c r="D1353" t="s">
        <v>2135</v>
      </c>
      <c r="E1353" t="s">
        <v>80</v>
      </c>
      <c r="F1353" t="s">
        <v>3381</v>
      </c>
      <c r="H1353" t="s">
        <v>17</v>
      </c>
      <c r="I1353" t="s">
        <v>2708</v>
      </c>
    </row>
    <row r="1354" spans="1:9" hidden="1" x14ac:dyDescent="0.3">
      <c r="A1354" t="s">
        <v>3382</v>
      </c>
      <c r="B1354" t="s">
        <v>2946</v>
      </c>
      <c r="C1354" t="s">
        <v>3364</v>
      </c>
      <c r="D1354" t="s">
        <v>2135</v>
      </c>
      <c r="E1354" t="s">
        <v>85</v>
      </c>
      <c r="F1354" t="s">
        <v>2709</v>
      </c>
      <c r="H1354" t="s">
        <v>17</v>
      </c>
      <c r="I1354" t="s">
        <v>3027</v>
      </c>
    </row>
    <row r="1355" spans="1:9" hidden="1" x14ac:dyDescent="0.3">
      <c r="A1355" t="s">
        <v>407</v>
      </c>
      <c r="B1355" t="s">
        <v>2946</v>
      </c>
      <c r="C1355" t="s">
        <v>3364</v>
      </c>
      <c r="D1355" t="s">
        <v>2135</v>
      </c>
      <c r="E1355" t="s">
        <v>90</v>
      </c>
      <c r="F1355" t="s">
        <v>3383</v>
      </c>
      <c r="H1355" t="s">
        <v>17</v>
      </c>
      <c r="I1355" t="s">
        <v>3029</v>
      </c>
    </row>
    <row r="1356" spans="1:9" hidden="1" x14ac:dyDescent="0.3">
      <c r="A1356" t="s">
        <v>411</v>
      </c>
      <c r="B1356" t="s">
        <v>2946</v>
      </c>
      <c r="C1356" t="s">
        <v>3364</v>
      </c>
      <c r="D1356" t="s">
        <v>2135</v>
      </c>
      <c r="E1356" t="s">
        <v>95</v>
      </c>
      <c r="F1356" t="s">
        <v>2714</v>
      </c>
      <c r="H1356" t="s">
        <v>17</v>
      </c>
      <c r="I1356" t="s">
        <v>3029</v>
      </c>
    </row>
    <row r="1357" spans="1:9" hidden="1" x14ac:dyDescent="0.3">
      <c r="A1357" t="s">
        <v>416</v>
      </c>
      <c r="B1357" t="s">
        <v>2946</v>
      </c>
      <c r="C1357" t="s">
        <v>3384</v>
      </c>
      <c r="D1357" t="s">
        <v>2135</v>
      </c>
      <c r="E1357" t="s">
        <v>100</v>
      </c>
      <c r="F1357" t="s">
        <v>3385</v>
      </c>
      <c r="H1357" t="s">
        <v>17</v>
      </c>
      <c r="I1357" t="s">
        <v>3386</v>
      </c>
    </row>
    <row r="1358" spans="1:9" hidden="1" x14ac:dyDescent="0.3">
      <c r="A1358" t="s">
        <v>421</v>
      </c>
      <c r="B1358" t="s">
        <v>2946</v>
      </c>
      <c r="C1358" t="s">
        <v>3384</v>
      </c>
      <c r="D1358" t="s">
        <v>2135</v>
      </c>
      <c r="E1358" t="s">
        <v>106</v>
      </c>
      <c r="F1358" t="s">
        <v>3387</v>
      </c>
      <c r="H1358" t="s">
        <v>17</v>
      </c>
      <c r="I1358" t="s">
        <v>3386</v>
      </c>
    </row>
    <row r="1359" spans="1:9" hidden="1" x14ac:dyDescent="0.3">
      <c r="A1359" t="s">
        <v>427</v>
      </c>
      <c r="B1359" t="s">
        <v>2946</v>
      </c>
      <c r="C1359" t="s">
        <v>3384</v>
      </c>
      <c r="D1359" t="s">
        <v>2135</v>
      </c>
      <c r="E1359" t="s">
        <v>111</v>
      </c>
      <c r="F1359" t="s">
        <v>3388</v>
      </c>
      <c r="H1359" t="s">
        <v>17</v>
      </c>
      <c r="I1359" t="s">
        <v>3389</v>
      </c>
    </row>
    <row r="1360" spans="1:9" hidden="1" x14ac:dyDescent="0.3">
      <c r="A1360" t="s">
        <v>430</v>
      </c>
      <c r="B1360" t="s">
        <v>2946</v>
      </c>
      <c r="C1360" t="s">
        <v>3046</v>
      </c>
      <c r="D1360" t="s">
        <v>2135</v>
      </c>
      <c r="E1360" t="s">
        <v>114</v>
      </c>
      <c r="F1360" t="s">
        <v>2723</v>
      </c>
      <c r="H1360" t="s">
        <v>17</v>
      </c>
      <c r="I1360" t="s">
        <v>2724</v>
      </c>
    </row>
    <row r="1361" spans="1:9" hidden="1" x14ac:dyDescent="0.3">
      <c r="A1361" t="s">
        <v>433</v>
      </c>
      <c r="B1361" t="s">
        <v>2946</v>
      </c>
      <c r="C1361" t="s">
        <v>3046</v>
      </c>
      <c r="D1361" t="s">
        <v>2135</v>
      </c>
      <c r="E1361" t="s">
        <v>117</v>
      </c>
      <c r="F1361" t="s">
        <v>2726</v>
      </c>
      <c r="H1361" t="s">
        <v>17</v>
      </c>
      <c r="I1361" t="s">
        <v>2724</v>
      </c>
    </row>
    <row r="1362" spans="1:9" hidden="1" x14ac:dyDescent="0.3">
      <c r="A1362" t="s">
        <v>436</v>
      </c>
      <c r="B1362" t="s">
        <v>2946</v>
      </c>
      <c r="C1362" t="s">
        <v>3046</v>
      </c>
      <c r="D1362" t="s">
        <v>2135</v>
      </c>
      <c r="E1362" t="s">
        <v>121</v>
      </c>
      <c r="F1362" t="s">
        <v>3390</v>
      </c>
      <c r="H1362" t="s">
        <v>17</v>
      </c>
      <c r="I1362" t="s">
        <v>2724</v>
      </c>
    </row>
    <row r="1363" spans="1:9" hidden="1" x14ac:dyDescent="0.3">
      <c r="A1363" t="s">
        <v>439</v>
      </c>
      <c r="B1363" t="s">
        <v>2946</v>
      </c>
      <c r="C1363" t="s">
        <v>3046</v>
      </c>
      <c r="D1363" t="s">
        <v>2135</v>
      </c>
      <c r="E1363" t="s">
        <v>126</v>
      </c>
      <c r="F1363" t="s">
        <v>2730</v>
      </c>
      <c r="H1363" t="s">
        <v>17</v>
      </c>
      <c r="I1363" t="s">
        <v>2724</v>
      </c>
    </row>
    <row r="1364" spans="1:9" hidden="1" x14ac:dyDescent="0.3">
      <c r="A1364" t="s">
        <v>442</v>
      </c>
      <c r="B1364" t="s">
        <v>2946</v>
      </c>
      <c r="C1364" t="s">
        <v>3046</v>
      </c>
      <c r="D1364" t="s">
        <v>2135</v>
      </c>
      <c r="E1364" t="s">
        <v>129</v>
      </c>
      <c r="F1364" t="s">
        <v>2728</v>
      </c>
      <c r="H1364" t="s">
        <v>17</v>
      </c>
      <c r="I1364" t="s">
        <v>2724</v>
      </c>
    </row>
    <row r="1365" spans="1:9" hidden="1" x14ac:dyDescent="0.3">
      <c r="A1365" t="s">
        <v>445</v>
      </c>
      <c r="B1365" t="s">
        <v>2946</v>
      </c>
      <c r="C1365" t="s">
        <v>3046</v>
      </c>
      <c r="D1365" t="s">
        <v>2135</v>
      </c>
      <c r="E1365" t="s">
        <v>132</v>
      </c>
      <c r="F1365" t="s">
        <v>3391</v>
      </c>
      <c r="H1365" t="s">
        <v>17</v>
      </c>
      <c r="I1365" t="s">
        <v>2724</v>
      </c>
    </row>
    <row r="1366" spans="1:9" hidden="1" x14ac:dyDescent="0.3">
      <c r="A1366" t="s">
        <v>449</v>
      </c>
      <c r="B1366" t="s">
        <v>2946</v>
      </c>
      <c r="C1366" t="s">
        <v>3046</v>
      </c>
      <c r="D1366" t="s">
        <v>2135</v>
      </c>
      <c r="E1366" t="s">
        <v>135</v>
      </c>
      <c r="F1366" t="s">
        <v>3392</v>
      </c>
      <c r="H1366" t="s">
        <v>17</v>
      </c>
      <c r="I1366" t="s">
        <v>2724</v>
      </c>
    </row>
    <row r="1367" spans="1:9" hidden="1" x14ac:dyDescent="0.3">
      <c r="A1367" t="s">
        <v>454</v>
      </c>
      <c r="B1367" t="s">
        <v>2946</v>
      </c>
      <c r="C1367" t="s">
        <v>3046</v>
      </c>
      <c r="D1367" t="s">
        <v>2135</v>
      </c>
      <c r="E1367" t="s">
        <v>138</v>
      </c>
      <c r="F1367" t="s">
        <v>2732</v>
      </c>
      <c r="H1367" t="s">
        <v>17</v>
      </c>
      <c r="I1367" t="s">
        <v>3393</v>
      </c>
    </row>
    <row r="1368" spans="1:9" hidden="1" x14ac:dyDescent="0.3">
      <c r="A1368" t="s">
        <v>458</v>
      </c>
      <c r="B1368" t="s">
        <v>2946</v>
      </c>
      <c r="C1368" t="s">
        <v>3046</v>
      </c>
      <c r="D1368" t="s">
        <v>2135</v>
      </c>
      <c r="E1368" t="s">
        <v>141</v>
      </c>
      <c r="F1368" t="s">
        <v>3394</v>
      </c>
      <c r="H1368" t="s">
        <v>17</v>
      </c>
      <c r="I1368" t="s">
        <v>3395</v>
      </c>
    </row>
    <row r="1369" spans="1:9" hidden="1" x14ac:dyDescent="0.3">
      <c r="A1369" t="s">
        <v>462</v>
      </c>
      <c r="B1369" t="s">
        <v>2946</v>
      </c>
      <c r="C1369" t="s">
        <v>3046</v>
      </c>
      <c r="D1369" t="s">
        <v>2135</v>
      </c>
      <c r="E1369" t="s">
        <v>144</v>
      </c>
      <c r="F1369" t="s">
        <v>2734</v>
      </c>
      <c r="H1369" t="s">
        <v>17</v>
      </c>
      <c r="I1369" t="s">
        <v>3396</v>
      </c>
    </row>
    <row r="1370" spans="1:9" hidden="1" x14ac:dyDescent="0.3">
      <c r="A1370" t="s">
        <v>465</v>
      </c>
      <c r="B1370" t="s">
        <v>2946</v>
      </c>
      <c r="C1370" t="s">
        <v>3046</v>
      </c>
      <c r="D1370" t="s">
        <v>2135</v>
      </c>
      <c r="E1370" t="s">
        <v>147</v>
      </c>
      <c r="F1370" t="s">
        <v>3397</v>
      </c>
      <c r="H1370" t="s">
        <v>17</v>
      </c>
      <c r="I1370" t="s">
        <v>3398</v>
      </c>
    </row>
    <row r="1371" spans="1:9" hidden="1" x14ac:dyDescent="0.3">
      <c r="A1371" t="s">
        <v>469</v>
      </c>
      <c r="B1371" t="s">
        <v>2946</v>
      </c>
      <c r="C1371" t="s">
        <v>3046</v>
      </c>
      <c r="D1371" t="s">
        <v>2135</v>
      </c>
      <c r="E1371" t="s">
        <v>152</v>
      </c>
      <c r="F1371" t="s">
        <v>3399</v>
      </c>
      <c r="H1371" t="s">
        <v>17</v>
      </c>
      <c r="I1371" t="s">
        <v>3400</v>
      </c>
    </row>
    <row r="1372" spans="1:9" hidden="1" x14ac:dyDescent="0.3">
      <c r="A1372" t="s">
        <v>472</v>
      </c>
      <c r="B1372" t="s">
        <v>2946</v>
      </c>
      <c r="C1372" t="s">
        <v>3046</v>
      </c>
      <c r="D1372" t="s">
        <v>2135</v>
      </c>
      <c r="E1372" t="s">
        <v>157</v>
      </c>
      <c r="F1372" t="s">
        <v>3401</v>
      </c>
      <c r="H1372" t="s">
        <v>17</v>
      </c>
      <c r="I1372" t="s">
        <v>3402</v>
      </c>
    </row>
    <row r="1373" spans="1:9" hidden="1" x14ac:dyDescent="0.3">
      <c r="A1373" t="s">
        <v>476</v>
      </c>
      <c r="B1373" t="s">
        <v>2946</v>
      </c>
      <c r="C1373" t="s">
        <v>3046</v>
      </c>
      <c r="D1373" t="s">
        <v>2135</v>
      </c>
      <c r="E1373" t="s">
        <v>162</v>
      </c>
      <c r="F1373" t="s">
        <v>3403</v>
      </c>
      <c r="H1373" t="s">
        <v>17</v>
      </c>
      <c r="I1373" t="s">
        <v>3404</v>
      </c>
    </row>
    <row r="1374" spans="1:9" hidden="1" x14ac:dyDescent="0.3">
      <c r="A1374" t="s">
        <v>479</v>
      </c>
      <c r="B1374" t="s">
        <v>2946</v>
      </c>
      <c r="C1374" t="s">
        <v>3046</v>
      </c>
      <c r="D1374" t="s">
        <v>2135</v>
      </c>
      <c r="E1374" t="s">
        <v>167</v>
      </c>
      <c r="F1374" t="s">
        <v>3405</v>
      </c>
      <c r="H1374" t="s">
        <v>17</v>
      </c>
      <c r="I1374" t="s">
        <v>3406</v>
      </c>
    </row>
    <row r="1375" spans="1:9" hidden="1" x14ac:dyDescent="0.3">
      <c r="A1375" t="s">
        <v>483</v>
      </c>
      <c r="B1375" t="s">
        <v>2946</v>
      </c>
      <c r="C1375" t="s">
        <v>3046</v>
      </c>
      <c r="D1375" t="s">
        <v>2135</v>
      </c>
      <c r="E1375" t="s">
        <v>172</v>
      </c>
      <c r="F1375" t="s">
        <v>3407</v>
      </c>
      <c r="H1375" t="s">
        <v>17</v>
      </c>
      <c r="I1375" t="s">
        <v>3019</v>
      </c>
    </row>
    <row r="1376" spans="1:9" hidden="1" x14ac:dyDescent="0.3">
      <c r="A1376" t="s">
        <v>490</v>
      </c>
      <c r="B1376" t="s">
        <v>2946</v>
      </c>
      <c r="C1376" t="s">
        <v>3408</v>
      </c>
      <c r="D1376" t="s">
        <v>2135</v>
      </c>
      <c r="E1376" t="s">
        <v>177</v>
      </c>
      <c r="F1376" t="s">
        <v>3409</v>
      </c>
      <c r="H1376" t="s">
        <v>17</v>
      </c>
      <c r="I1376" t="s">
        <v>3410</v>
      </c>
    </row>
    <row r="1377" spans="1:9" hidden="1" x14ac:dyDescent="0.3">
      <c r="A1377" t="s">
        <v>493</v>
      </c>
      <c r="B1377" t="s">
        <v>2946</v>
      </c>
      <c r="C1377" t="s">
        <v>3408</v>
      </c>
      <c r="D1377" t="s">
        <v>2135</v>
      </c>
      <c r="E1377" t="s">
        <v>182</v>
      </c>
      <c r="F1377" t="s">
        <v>3411</v>
      </c>
      <c r="H1377" t="s">
        <v>17</v>
      </c>
      <c r="I1377" t="s">
        <v>3412</v>
      </c>
    </row>
    <row r="1378" spans="1:9" hidden="1" x14ac:dyDescent="0.3">
      <c r="A1378" t="s">
        <v>497</v>
      </c>
      <c r="B1378" t="s">
        <v>2946</v>
      </c>
      <c r="C1378" t="s">
        <v>3408</v>
      </c>
      <c r="D1378" t="s">
        <v>2135</v>
      </c>
      <c r="E1378" t="s">
        <v>187</v>
      </c>
      <c r="F1378" t="s">
        <v>3413</v>
      </c>
      <c r="H1378" t="s">
        <v>17</v>
      </c>
      <c r="I1378" t="s">
        <v>3412</v>
      </c>
    </row>
    <row r="1379" spans="1:9" hidden="1" x14ac:dyDescent="0.3">
      <c r="A1379" t="s">
        <v>500</v>
      </c>
      <c r="B1379" t="s">
        <v>2946</v>
      </c>
      <c r="C1379" t="s">
        <v>3408</v>
      </c>
      <c r="D1379" t="s">
        <v>2135</v>
      </c>
      <c r="E1379" t="s">
        <v>193</v>
      </c>
      <c r="F1379" t="s">
        <v>3414</v>
      </c>
      <c r="H1379" t="s">
        <v>17</v>
      </c>
      <c r="I1379" t="s">
        <v>3415</v>
      </c>
    </row>
    <row r="1380" spans="1:9" hidden="1" x14ac:dyDescent="0.3">
      <c r="A1380" t="s">
        <v>505</v>
      </c>
      <c r="B1380" t="s">
        <v>2946</v>
      </c>
      <c r="C1380" t="s">
        <v>3408</v>
      </c>
      <c r="D1380" t="s">
        <v>2135</v>
      </c>
      <c r="E1380" t="s">
        <v>198</v>
      </c>
      <c r="F1380" t="s">
        <v>3416</v>
      </c>
      <c r="H1380" t="s">
        <v>17</v>
      </c>
      <c r="I1380" t="s">
        <v>3417</v>
      </c>
    </row>
    <row r="1381" spans="1:9" hidden="1" x14ac:dyDescent="0.3">
      <c r="A1381" t="s">
        <v>508</v>
      </c>
      <c r="B1381" t="s">
        <v>2946</v>
      </c>
      <c r="C1381" t="s">
        <v>3408</v>
      </c>
      <c r="D1381" t="s">
        <v>2135</v>
      </c>
      <c r="E1381" t="s">
        <v>202</v>
      </c>
      <c r="F1381" t="s">
        <v>3418</v>
      </c>
      <c r="H1381" t="s">
        <v>17</v>
      </c>
      <c r="I1381" t="s">
        <v>3417</v>
      </c>
    </row>
    <row r="1382" spans="1:9" hidden="1" x14ac:dyDescent="0.3">
      <c r="A1382" t="s">
        <v>512</v>
      </c>
      <c r="B1382" t="s">
        <v>2946</v>
      </c>
      <c r="C1382" t="s">
        <v>3408</v>
      </c>
      <c r="D1382" t="s">
        <v>2135</v>
      </c>
      <c r="E1382" t="s">
        <v>206</v>
      </c>
      <c r="F1382" t="s">
        <v>3419</v>
      </c>
      <c r="H1382" t="s">
        <v>17</v>
      </c>
      <c r="I1382" t="s">
        <v>3420</v>
      </c>
    </row>
    <row r="1383" spans="1:9" hidden="1" x14ac:dyDescent="0.3">
      <c r="A1383" t="s">
        <v>515</v>
      </c>
      <c r="B1383" t="s">
        <v>2946</v>
      </c>
      <c r="C1383" t="s">
        <v>3408</v>
      </c>
      <c r="D1383" t="s">
        <v>2135</v>
      </c>
      <c r="E1383" t="s">
        <v>210</v>
      </c>
      <c r="F1383" t="s">
        <v>3421</v>
      </c>
      <c r="H1383" t="s">
        <v>17</v>
      </c>
      <c r="I1383" t="s">
        <v>3422</v>
      </c>
    </row>
    <row r="1384" spans="1:9" hidden="1" x14ac:dyDescent="0.3">
      <c r="A1384" t="s">
        <v>519</v>
      </c>
      <c r="B1384" t="s">
        <v>2946</v>
      </c>
      <c r="C1384" t="s">
        <v>3408</v>
      </c>
      <c r="D1384" t="s">
        <v>2135</v>
      </c>
      <c r="E1384" t="s">
        <v>214</v>
      </c>
      <c r="F1384" t="s">
        <v>3423</v>
      </c>
      <c r="H1384" t="s">
        <v>17</v>
      </c>
      <c r="I1384" t="s">
        <v>3424</v>
      </c>
    </row>
    <row r="1385" spans="1:9" hidden="1" x14ac:dyDescent="0.3">
      <c r="A1385" t="s">
        <v>522</v>
      </c>
      <c r="B1385" t="s">
        <v>2946</v>
      </c>
      <c r="C1385" t="s">
        <v>3408</v>
      </c>
      <c r="D1385" t="s">
        <v>2135</v>
      </c>
      <c r="E1385" t="s">
        <v>218</v>
      </c>
      <c r="F1385" t="s">
        <v>3425</v>
      </c>
      <c r="H1385" t="s">
        <v>17</v>
      </c>
      <c r="I1385" t="s">
        <v>3424</v>
      </c>
    </row>
    <row r="1386" spans="1:9" hidden="1" x14ac:dyDescent="0.3">
      <c r="A1386" t="s">
        <v>526</v>
      </c>
      <c r="B1386" t="s">
        <v>2946</v>
      </c>
      <c r="C1386" t="s">
        <v>3408</v>
      </c>
      <c r="D1386" t="s">
        <v>2135</v>
      </c>
      <c r="E1386" t="s">
        <v>2924</v>
      </c>
      <c r="F1386" t="s">
        <v>3426</v>
      </c>
      <c r="H1386" t="s">
        <v>17</v>
      </c>
      <c r="I1386" t="s">
        <v>3427</v>
      </c>
    </row>
    <row r="1387" spans="1:9" hidden="1" x14ac:dyDescent="0.3">
      <c r="A1387" t="s">
        <v>529</v>
      </c>
      <c r="B1387" t="s">
        <v>2946</v>
      </c>
      <c r="C1387" t="s">
        <v>3408</v>
      </c>
      <c r="D1387" t="s">
        <v>2135</v>
      </c>
      <c r="E1387" t="s">
        <v>233</v>
      </c>
      <c r="F1387" t="s">
        <v>3428</v>
      </c>
      <c r="H1387" t="s">
        <v>17</v>
      </c>
      <c r="I1387" t="s">
        <v>3429</v>
      </c>
    </row>
    <row r="1388" spans="1:9" hidden="1" x14ac:dyDescent="0.3">
      <c r="A1388" t="s">
        <v>533</v>
      </c>
      <c r="B1388" t="s">
        <v>2946</v>
      </c>
      <c r="C1388" t="s">
        <v>3408</v>
      </c>
      <c r="D1388" t="s">
        <v>2135</v>
      </c>
      <c r="E1388" t="s">
        <v>236</v>
      </c>
      <c r="F1388" t="s">
        <v>3430</v>
      </c>
      <c r="H1388" t="s">
        <v>17</v>
      </c>
      <c r="I1388" t="s">
        <v>3431</v>
      </c>
    </row>
    <row r="1389" spans="1:9" hidden="1" x14ac:dyDescent="0.3">
      <c r="A1389" t="s">
        <v>536</v>
      </c>
      <c r="B1389" t="s">
        <v>2946</v>
      </c>
      <c r="C1389" t="s">
        <v>3408</v>
      </c>
      <c r="D1389" t="s">
        <v>2135</v>
      </c>
      <c r="E1389" t="s">
        <v>239</v>
      </c>
      <c r="F1389" t="s">
        <v>3432</v>
      </c>
      <c r="H1389" t="s">
        <v>17</v>
      </c>
      <c r="I1389" t="s">
        <v>3433</v>
      </c>
    </row>
    <row r="1390" spans="1:9" hidden="1" x14ac:dyDescent="0.3">
      <c r="A1390" t="s">
        <v>541</v>
      </c>
      <c r="B1390" t="s">
        <v>2946</v>
      </c>
      <c r="C1390" t="s">
        <v>3408</v>
      </c>
      <c r="D1390" t="s">
        <v>2135</v>
      </c>
      <c r="E1390" t="s">
        <v>1881</v>
      </c>
      <c r="F1390" t="s">
        <v>3434</v>
      </c>
      <c r="H1390" t="s">
        <v>17</v>
      </c>
      <c r="I1390" t="s">
        <v>3435</v>
      </c>
    </row>
    <row r="1391" spans="1:9" hidden="1" x14ac:dyDescent="0.3">
      <c r="A1391" t="s">
        <v>546</v>
      </c>
      <c r="B1391" t="s">
        <v>2946</v>
      </c>
      <c r="C1391" t="s">
        <v>3408</v>
      </c>
      <c r="D1391" t="s">
        <v>2135</v>
      </c>
      <c r="E1391" t="s">
        <v>1885</v>
      </c>
      <c r="F1391" t="s">
        <v>3436</v>
      </c>
      <c r="H1391" t="s">
        <v>17</v>
      </c>
      <c r="I1391" t="s">
        <v>3437</v>
      </c>
    </row>
    <row r="1392" spans="1:9" hidden="1" x14ac:dyDescent="0.3">
      <c r="A1392" t="s">
        <v>551</v>
      </c>
      <c r="B1392" t="s">
        <v>2946</v>
      </c>
      <c r="C1392" t="s">
        <v>3408</v>
      </c>
      <c r="D1392" t="s">
        <v>2135</v>
      </c>
      <c r="E1392" t="s">
        <v>1588</v>
      </c>
      <c r="F1392" t="s">
        <v>3438</v>
      </c>
      <c r="H1392" t="s">
        <v>17</v>
      </c>
      <c r="I1392" t="s">
        <v>3439</v>
      </c>
    </row>
    <row r="1393" spans="1:9" hidden="1" x14ac:dyDescent="0.3">
      <c r="A1393" t="s">
        <v>556</v>
      </c>
      <c r="B1393" t="s">
        <v>2946</v>
      </c>
      <c r="C1393" t="s">
        <v>3408</v>
      </c>
      <c r="D1393" t="s">
        <v>2135</v>
      </c>
      <c r="E1393" t="s">
        <v>1892</v>
      </c>
      <c r="F1393" t="s">
        <v>3440</v>
      </c>
      <c r="H1393" t="s">
        <v>17</v>
      </c>
      <c r="I1393" t="s">
        <v>3429</v>
      </c>
    </row>
    <row r="1394" spans="1:9" hidden="1" x14ac:dyDescent="0.3">
      <c r="A1394" t="s">
        <v>1712</v>
      </c>
      <c r="B1394" t="s">
        <v>2946</v>
      </c>
      <c r="C1394" t="s">
        <v>3408</v>
      </c>
      <c r="D1394" t="s">
        <v>2135</v>
      </c>
      <c r="E1394" t="s">
        <v>1146</v>
      </c>
      <c r="F1394" t="s">
        <v>3441</v>
      </c>
      <c r="H1394" t="s">
        <v>17</v>
      </c>
      <c r="I1394" t="s">
        <v>3442</v>
      </c>
    </row>
    <row r="1395" spans="1:9" hidden="1" x14ac:dyDescent="0.3">
      <c r="A1395" t="s">
        <v>560</v>
      </c>
      <c r="B1395" t="s">
        <v>2946</v>
      </c>
      <c r="C1395" t="s">
        <v>3408</v>
      </c>
      <c r="D1395" t="s">
        <v>2135</v>
      </c>
      <c r="E1395" t="s">
        <v>1150</v>
      </c>
      <c r="F1395" t="s">
        <v>3443</v>
      </c>
      <c r="H1395" t="s">
        <v>17</v>
      </c>
      <c r="I1395" t="s">
        <v>3442</v>
      </c>
    </row>
    <row r="1396" spans="1:9" hidden="1" x14ac:dyDescent="0.3">
      <c r="A1396" t="s">
        <v>565</v>
      </c>
      <c r="B1396" t="s">
        <v>2946</v>
      </c>
      <c r="C1396" t="s">
        <v>3408</v>
      </c>
      <c r="D1396" t="s">
        <v>2135</v>
      </c>
      <c r="E1396" t="s">
        <v>1154</v>
      </c>
      <c r="F1396" t="s">
        <v>3444</v>
      </c>
      <c r="H1396" t="s">
        <v>17</v>
      </c>
      <c r="I1396" t="s">
        <v>3445</v>
      </c>
    </row>
    <row r="1397" spans="1:9" hidden="1" x14ac:dyDescent="0.3">
      <c r="A1397" t="s">
        <v>1717</v>
      </c>
      <c r="B1397" t="s">
        <v>2946</v>
      </c>
      <c r="C1397" t="s">
        <v>3408</v>
      </c>
      <c r="D1397" t="s">
        <v>2135</v>
      </c>
      <c r="E1397" t="s">
        <v>1158</v>
      </c>
      <c r="F1397" t="s">
        <v>2761</v>
      </c>
      <c r="H1397" t="s">
        <v>17</v>
      </c>
      <c r="I1397" t="s">
        <v>3446</v>
      </c>
    </row>
    <row r="1398" spans="1:9" hidden="1" x14ac:dyDescent="0.3">
      <c r="A1398" t="s">
        <v>570</v>
      </c>
      <c r="B1398" t="s">
        <v>2946</v>
      </c>
      <c r="C1398" t="s">
        <v>3408</v>
      </c>
      <c r="D1398" t="s">
        <v>2135</v>
      </c>
      <c r="E1398" t="s">
        <v>1162</v>
      </c>
      <c r="F1398" t="s">
        <v>2762</v>
      </c>
      <c r="H1398" t="s">
        <v>17</v>
      </c>
      <c r="I1398" t="s">
        <v>3447</v>
      </c>
    </row>
    <row r="1399" spans="1:9" hidden="1" x14ac:dyDescent="0.3">
      <c r="A1399" t="s">
        <v>575</v>
      </c>
      <c r="B1399" t="s">
        <v>2946</v>
      </c>
      <c r="C1399" t="s">
        <v>3408</v>
      </c>
      <c r="D1399" t="s">
        <v>2135</v>
      </c>
      <c r="E1399" t="s">
        <v>1165</v>
      </c>
      <c r="F1399" t="s">
        <v>3448</v>
      </c>
      <c r="H1399" t="s">
        <v>17</v>
      </c>
      <c r="I1399" t="s">
        <v>3447</v>
      </c>
    </row>
    <row r="1400" spans="1:9" hidden="1" x14ac:dyDescent="0.3">
      <c r="A1400" t="s">
        <v>580</v>
      </c>
      <c r="B1400" t="s">
        <v>2946</v>
      </c>
      <c r="C1400" t="s">
        <v>3408</v>
      </c>
      <c r="D1400" t="s">
        <v>2135</v>
      </c>
      <c r="E1400" t="s">
        <v>1168</v>
      </c>
      <c r="F1400" t="s">
        <v>3449</v>
      </c>
      <c r="H1400" t="s">
        <v>17</v>
      </c>
      <c r="I1400" t="s">
        <v>3450</v>
      </c>
    </row>
    <row r="1401" spans="1:9" hidden="1" x14ac:dyDescent="0.3">
      <c r="A1401" t="s">
        <v>586</v>
      </c>
      <c r="B1401" t="s">
        <v>2946</v>
      </c>
      <c r="C1401" t="s">
        <v>3408</v>
      </c>
      <c r="D1401" t="s">
        <v>2135</v>
      </c>
      <c r="E1401" t="s">
        <v>1172</v>
      </c>
      <c r="F1401" t="s">
        <v>3451</v>
      </c>
      <c r="H1401" t="s">
        <v>17</v>
      </c>
      <c r="I1401" t="s">
        <v>2768</v>
      </c>
    </row>
    <row r="1402" spans="1:9" hidden="1" x14ac:dyDescent="0.3">
      <c r="A1402" t="s">
        <v>591</v>
      </c>
      <c r="B1402" t="s">
        <v>2946</v>
      </c>
      <c r="C1402" t="s">
        <v>3408</v>
      </c>
      <c r="D1402" t="s">
        <v>2135</v>
      </c>
      <c r="E1402" t="s">
        <v>1176</v>
      </c>
      <c r="F1402" t="s">
        <v>2769</v>
      </c>
      <c r="H1402" t="s">
        <v>17</v>
      </c>
      <c r="I1402" t="s">
        <v>2770</v>
      </c>
    </row>
    <row r="1403" spans="1:9" hidden="1" x14ac:dyDescent="0.3">
      <c r="A1403" t="s">
        <v>1724</v>
      </c>
      <c r="B1403" t="s">
        <v>2946</v>
      </c>
      <c r="C1403" t="s">
        <v>3408</v>
      </c>
      <c r="D1403" t="s">
        <v>2135</v>
      </c>
      <c r="E1403" t="s">
        <v>1179</v>
      </c>
      <c r="F1403" t="s">
        <v>2771</v>
      </c>
      <c r="H1403" t="s">
        <v>17</v>
      </c>
      <c r="I1403" t="s">
        <v>3452</v>
      </c>
    </row>
    <row r="1404" spans="1:9" hidden="1" x14ac:dyDescent="0.3">
      <c r="A1404" t="s">
        <v>1727</v>
      </c>
      <c r="B1404" t="s">
        <v>2946</v>
      </c>
      <c r="C1404" t="s">
        <v>3408</v>
      </c>
      <c r="D1404" t="s">
        <v>2135</v>
      </c>
      <c r="E1404" t="s">
        <v>268</v>
      </c>
      <c r="F1404" t="s">
        <v>3453</v>
      </c>
      <c r="H1404" t="s">
        <v>17</v>
      </c>
      <c r="I1404" t="s">
        <v>3454</v>
      </c>
    </row>
    <row r="1405" spans="1:9" hidden="1" x14ac:dyDescent="0.3">
      <c r="A1405" t="s">
        <v>1729</v>
      </c>
      <c r="B1405" t="s">
        <v>2946</v>
      </c>
      <c r="C1405" t="s">
        <v>3455</v>
      </c>
      <c r="D1405" t="s">
        <v>2135</v>
      </c>
      <c r="E1405" t="s">
        <v>1193</v>
      </c>
      <c r="F1405" t="s">
        <v>3456</v>
      </c>
      <c r="H1405" t="s">
        <v>17</v>
      </c>
      <c r="I1405" t="s">
        <v>3457</v>
      </c>
    </row>
    <row r="1406" spans="1:9" hidden="1" x14ac:dyDescent="0.3">
      <c r="A1406" t="s">
        <v>600</v>
      </c>
      <c r="B1406" t="s">
        <v>2946</v>
      </c>
      <c r="C1406" t="s">
        <v>3455</v>
      </c>
      <c r="D1406" t="s">
        <v>2135</v>
      </c>
      <c r="E1406" t="s">
        <v>1197</v>
      </c>
      <c r="F1406" t="s">
        <v>3458</v>
      </c>
      <c r="H1406" t="s">
        <v>17</v>
      </c>
      <c r="I1406" t="s">
        <v>3457</v>
      </c>
    </row>
    <row r="1407" spans="1:9" hidden="1" x14ac:dyDescent="0.3">
      <c r="A1407" t="s">
        <v>1731</v>
      </c>
      <c r="B1407" t="s">
        <v>2946</v>
      </c>
      <c r="C1407" t="s">
        <v>3455</v>
      </c>
      <c r="D1407" t="s">
        <v>2135</v>
      </c>
      <c r="E1407" t="s">
        <v>1201</v>
      </c>
      <c r="F1407" t="s">
        <v>3459</v>
      </c>
      <c r="H1407" t="s">
        <v>17</v>
      </c>
      <c r="I1407" t="s">
        <v>3457</v>
      </c>
    </row>
    <row r="1408" spans="1:9" hidden="1" x14ac:dyDescent="0.3">
      <c r="A1408" t="s">
        <v>3461</v>
      </c>
      <c r="B1408" t="s">
        <v>2946</v>
      </c>
      <c r="C1408" t="s">
        <v>3455</v>
      </c>
      <c r="D1408" t="s">
        <v>2135</v>
      </c>
      <c r="E1408" t="s">
        <v>1205</v>
      </c>
      <c r="F1408" t="s">
        <v>3460</v>
      </c>
      <c r="H1408" t="s">
        <v>17</v>
      </c>
      <c r="I1408" t="s">
        <v>3457</v>
      </c>
    </row>
    <row r="1409" spans="1:9" hidden="1" x14ac:dyDescent="0.3">
      <c r="A1409" t="s">
        <v>3465</v>
      </c>
      <c r="B1409" t="s">
        <v>2946</v>
      </c>
      <c r="C1409" t="s">
        <v>3455</v>
      </c>
      <c r="D1409" t="s">
        <v>2135</v>
      </c>
      <c r="E1409" t="s">
        <v>1209</v>
      </c>
      <c r="F1409" t="s">
        <v>3462</v>
      </c>
      <c r="H1409" t="s">
        <v>17</v>
      </c>
      <c r="I1409" t="s">
        <v>3463</v>
      </c>
    </row>
    <row r="1410" spans="1:9" hidden="1" x14ac:dyDescent="0.3">
      <c r="A1410" t="s">
        <v>1734</v>
      </c>
      <c r="B1410" t="s">
        <v>2946</v>
      </c>
      <c r="C1410" t="s">
        <v>3464</v>
      </c>
      <c r="D1410" t="s">
        <v>2135</v>
      </c>
      <c r="E1410" t="s">
        <v>1213</v>
      </c>
      <c r="F1410" t="s">
        <v>3466</v>
      </c>
      <c r="H1410" t="s">
        <v>17</v>
      </c>
      <c r="I1410" t="s">
        <v>3467</v>
      </c>
    </row>
    <row r="1411" spans="1:9" hidden="1" x14ac:dyDescent="0.3">
      <c r="A1411" t="s">
        <v>608</v>
      </c>
      <c r="B1411" t="s">
        <v>2946</v>
      </c>
      <c r="C1411" t="s">
        <v>3464</v>
      </c>
      <c r="D1411" t="s">
        <v>2135</v>
      </c>
      <c r="E1411" t="s">
        <v>1219</v>
      </c>
      <c r="F1411" t="s">
        <v>3468</v>
      </c>
      <c r="H1411" t="s">
        <v>17</v>
      </c>
      <c r="I1411" t="s">
        <v>3467</v>
      </c>
    </row>
    <row r="1412" spans="1:9" hidden="1" x14ac:dyDescent="0.3">
      <c r="A1412" t="s">
        <v>1737</v>
      </c>
      <c r="B1412" t="s">
        <v>2946</v>
      </c>
      <c r="C1412" t="s">
        <v>3464</v>
      </c>
      <c r="D1412" t="s">
        <v>2135</v>
      </c>
      <c r="E1412" t="s">
        <v>1224</v>
      </c>
      <c r="F1412" t="s">
        <v>3469</v>
      </c>
      <c r="H1412" t="s">
        <v>17</v>
      </c>
      <c r="I1412" t="s">
        <v>3467</v>
      </c>
    </row>
    <row r="1413" spans="1:9" hidden="1" x14ac:dyDescent="0.3">
      <c r="A1413" t="s">
        <v>3471</v>
      </c>
      <c r="B1413" t="s">
        <v>2946</v>
      </c>
      <c r="C1413" t="s">
        <v>3464</v>
      </c>
      <c r="D1413" t="s">
        <v>2135</v>
      </c>
      <c r="E1413" t="s">
        <v>1228</v>
      </c>
      <c r="F1413" t="s">
        <v>3470</v>
      </c>
      <c r="H1413" t="s">
        <v>17</v>
      </c>
      <c r="I1413" t="s">
        <v>3467</v>
      </c>
    </row>
    <row r="1414" spans="1:9" hidden="1" x14ac:dyDescent="0.3">
      <c r="A1414" t="s">
        <v>3474</v>
      </c>
      <c r="B1414" t="s">
        <v>2946</v>
      </c>
      <c r="C1414" t="s">
        <v>3464</v>
      </c>
      <c r="D1414" t="s">
        <v>2135</v>
      </c>
      <c r="E1414" t="s">
        <v>1232</v>
      </c>
      <c r="F1414" t="s">
        <v>3472</v>
      </c>
      <c r="H1414" t="s">
        <v>17</v>
      </c>
      <c r="I1414" t="s">
        <v>3467</v>
      </c>
    </row>
    <row r="1415" spans="1:9" hidden="1" x14ac:dyDescent="0.3">
      <c r="A1415" t="s">
        <v>616</v>
      </c>
      <c r="B1415" t="s">
        <v>2946</v>
      </c>
      <c r="C1415" t="s">
        <v>3473</v>
      </c>
      <c r="D1415" t="s">
        <v>2135</v>
      </c>
      <c r="E1415" t="s">
        <v>1236</v>
      </c>
      <c r="F1415" t="s">
        <v>3475</v>
      </c>
      <c r="H1415" t="s">
        <v>17</v>
      </c>
      <c r="I1415" t="s">
        <v>3457</v>
      </c>
    </row>
    <row r="1416" spans="1:9" hidden="1" x14ac:dyDescent="0.3">
      <c r="A1416" t="s">
        <v>3477</v>
      </c>
      <c r="B1416" t="s">
        <v>2946</v>
      </c>
      <c r="C1416" t="s">
        <v>3473</v>
      </c>
      <c r="D1416" t="s">
        <v>2135</v>
      </c>
      <c r="E1416" t="s">
        <v>1240</v>
      </c>
      <c r="F1416" t="s">
        <v>3476</v>
      </c>
      <c r="H1416" t="s">
        <v>17</v>
      </c>
      <c r="I1416" t="s">
        <v>3457</v>
      </c>
    </row>
    <row r="1417" spans="1:9" hidden="1" x14ac:dyDescent="0.3">
      <c r="A1417" t="s">
        <v>620</v>
      </c>
      <c r="B1417" t="s">
        <v>2946</v>
      </c>
      <c r="C1417" t="s">
        <v>3473</v>
      </c>
      <c r="D1417" t="s">
        <v>2135</v>
      </c>
      <c r="E1417" t="s">
        <v>1244</v>
      </c>
      <c r="F1417" t="s">
        <v>3478</v>
      </c>
      <c r="H1417" t="s">
        <v>17</v>
      </c>
      <c r="I1417" t="s">
        <v>3457</v>
      </c>
    </row>
    <row r="1418" spans="1:9" hidden="1" x14ac:dyDescent="0.3">
      <c r="A1418" t="s">
        <v>3480</v>
      </c>
      <c r="B1418" t="s">
        <v>2946</v>
      </c>
      <c r="C1418" t="s">
        <v>3473</v>
      </c>
      <c r="D1418" t="s">
        <v>2135</v>
      </c>
      <c r="E1418" t="s">
        <v>1248</v>
      </c>
      <c r="F1418" t="s">
        <v>3479</v>
      </c>
      <c r="H1418" t="s">
        <v>17</v>
      </c>
      <c r="I1418" t="s">
        <v>3457</v>
      </c>
    </row>
    <row r="1419" spans="1:9" hidden="1" x14ac:dyDescent="0.3">
      <c r="A1419" t="s">
        <v>3483</v>
      </c>
      <c r="B1419" t="s">
        <v>2946</v>
      </c>
      <c r="C1419" t="s">
        <v>3473</v>
      </c>
      <c r="D1419" t="s">
        <v>2135</v>
      </c>
      <c r="E1419" t="s">
        <v>1252</v>
      </c>
      <c r="F1419" t="s">
        <v>3481</v>
      </c>
      <c r="H1419" t="s">
        <v>17</v>
      </c>
      <c r="I1419" t="s">
        <v>3457</v>
      </c>
    </row>
    <row r="1420" spans="1:9" hidden="1" x14ac:dyDescent="0.3">
      <c r="A1420" t="s">
        <v>3486</v>
      </c>
      <c r="B1420" t="s">
        <v>2946</v>
      </c>
      <c r="C1420" t="s">
        <v>3482</v>
      </c>
      <c r="D1420" t="s">
        <v>2135</v>
      </c>
      <c r="E1420" t="s">
        <v>1256</v>
      </c>
      <c r="F1420" t="s">
        <v>3484</v>
      </c>
      <c r="H1420" t="s">
        <v>17</v>
      </c>
      <c r="I1420" t="s">
        <v>3485</v>
      </c>
    </row>
    <row r="1421" spans="1:9" hidden="1" x14ac:dyDescent="0.3">
      <c r="A1421" t="s">
        <v>3488</v>
      </c>
      <c r="B1421" t="s">
        <v>2946</v>
      </c>
      <c r="C1421" t="s">
        <v>3482</v>
      </c>
      <c r="D1421" t="s">
        <v>2135</v>
      </c>
      <c r="E1421" t="s">
        <v>1261</v>
      </c>
      <c r="F1421" t="s">
        <v>3487</v>
      </c>
      <c r="H1421" t="s">
        <v>17</v>
      </c>
      <c r="I1421" t="s">
        <v>3485</v>
      </c>
    </row>
    <row r="1422" spans="1:9" hidden="1" x14ac:dyDescent="0.3">
      <c r="A1422" t="s">
        <v>3490</v>
      </c>
      <c r="B1422" t="s">
        <v>2946</v>
      </c>
      <c r="C1422" t="s">
        <v>3482</v>
      </c>
      <c r="D1422" t="s">
        <v>2135</v>
      </c>
      <c r="E1422" t="s">
        <v>1265</v>
      </c>
      <c r="F1422" t="s">
        <v>3489</v>
      </c>
      <c r="H1422" t="s">
        <v>17</v>
      </c>
      <c r="I1422" t="s">
        <v>3485</v>
      </c>
    </row>
    <row r="1423" spans="1:9" hidden="1" x14ac:dyDescent="0.3">
      <c r="A1423" t="s">
        <v>3492</v>
      </c>
      <c r="B1423" t="s">
        <v>2946</v>
      </c>
      <c r="C1423" t="s">
        <v>3482</v>
      </c>
      <c r="D1423" t="s">
        <v>2135</v>
      </c>
      <c r="E1423" t="s">
        <v>1270</v>
      </c>
      <c r="F1423" t="s">
        <v>3491</v>
      </c>
      <c r="H1423" t="s">
        <v>17</v>
      </c>
      <c r="I1423" t="s">
        <v>3485</v>
      </c>
    </row>
    <row r="1424" spans="1:9" hidden="1" x14ac:dyDescent="0.3">
      <c r="A1424" t="s">
        <v>3494</v>
      </c>
      <c r="B1424" t="s">
        <v>2946</v>
      </c>
      <c r="C1424" t="s">
        <v>3482</v>
      </c>
      <c r="D1424" t="s">
        <v>2135</v>
      </c>
      <c r="E1424" t="s">
        <v>1276</v>
      </c>
      <c r="F1424" t="s">
        <v>3493</v>
      </c>
      <c r="H1424" t="s">
        <v>17</v>
      </c>
      <c r="I1424" t="s">
        <v>3485</v>
      </c>
    </row>
    <row r="1425" spans="1:9" hidden="1" x14ac:dyDescent="0.3">
      <c r="A1425" t="s">
        <v>3496</v>
      </c>
      <c r="B1425" t="s">
        <v>2946</v>
      </c>
      <c r="C1425" t="s">
        <v>3482</v>
      </c>
      <c r="D1425" t="s">
        <v>2135</v>
      </c>
      <c r="E1425" t="s">
        <v>303</v>
      </c>
      <c r="F1425" t="s">
        <v>3495</v>
      </c>
      <c r="H1425" t="s">
        <v>17</v>
      </c>
      <c r="I1425" t="s">
        <v>3485</v>
      </c>
    </row>
    <row r="1426" spans="1:9" hidden="1" x14ac:dyDescent="0.3">
      <c r="A1426" t="s">
        <v>3498</v>
      </c>
      <c r="B1426" t="s">
        <v>2946</v>
      </c>
      <c r="C1426" t="s">
        <v>3482</v>
      </c>
      <c r="D1426" t="s">
        <v>2135</v>
      </c>
      <c r="E1426" t="s">
        <v>308</v>
      </c>
      <c r="F1426" t="s">
        <v>3497</v>
      </c>
      <c r="H1426" t="s">
        <v>17</v>
      </c>
      <c r="I1426" t="s">
        <v>3485</v>
      </c>
    </row>
    <row r="1427" spans="1:9" hidden="1" x14ac:dyDescent="0.3">
      <c r="A1427" t="s">
        <v>3500</v>
      </c>
      <c r="B1427" t="s">
        <v>2946</v>
      </c>
      <c r="C1427" t="s">
        <v>3482</v>
      </c>
      <c r="D1427" t="s">
        <v>2135</v>
      </c>
      <c r="E1427" t="s">
        <v>312</v>
      </c>
      <c r="F1427" t="s">
        <v>3499</v>
      </c>
      <c r="H1427" t="s">
        <v>17</v>
      </c>
      <c r="I1427" t="s">
        <v>3485</v>
      </c>
    </row>
    <row r="1428" spans="1:9" hidden="1" x14ac:dyDescent="0.3">
      <c r="A1428" t="s">
        <v>3502</v>
      </c>
      <c r="B1428" t="s">
        <v>2946</v>
      </c>
      <c r="C1428" t="s">
        <v>3482</v>
      </c>
      <c r="D1428" t="s">
        <v>2135</v>
      </c>
      <c r="E1428" t="s">
        <v>316</v>
      </c>
      <c r="F1428" t="s">
        <v>3501</v>
      </c>
      <c r="H1428" t="s">
        <v>17</v>
      </c>
      <c r="I1428" t="s">
        <v>3485</v>
      </c>
    </row>
    <row r="1429" spans="1:9" hidden="1" x14ac:dyDescent="0.3">
      <c r="A1429" t="s">
        <v>3504</v>
      </c>
      <c r="B1429" t="s">
        <v>2946</v>
      </c>
      <c r="C1429" t="s">
        <v>3482</v>
      </c>
      <c r="D1429" t="s">
        <v>2135</v>
      </c>
      <c r="E1429" t="s">
        <v>319</v>
      </c>
      <c r="F1429" t="s">
        <v>3503</v>
      </c>
      <c r="H1429" t="s">
        <v>17</v>
      </c>
      <c r="I1429" t="s">
        <v>3485</v>
      </c>
    </row>
    <row r="1430" spans="1:9" hidden="1" x14ac:dyDescent="0.3">
      <c r="A1430" t="s">
        <v>3506</v>
      </c>
      <c r="B1430" t="s">
        <v>2946</v>
      </c>
      <c r="C1430" t="s">
        <v>3482</v>
      </c>
      <c r="D1430" t="s">
        <v>2135</v>
      </c>
      <c r="E1430" t="s">
        <v>323</v>
      </c>
      <c r="F1430" t="s">
        <v>3505</v>
      </c>
      <c r="H1430" t="s">
        <v>17</v>
      </c>
      <c r="I1430" t="s">
        <v>3485</v>
      </c>
    </row>
    <row r="1431" spans="1:9" hidden="1" x14ac:dyDescent="0.3">
      <c r="A1431" t="s">
        <v>3508</v>
      </c>
      <c r="B1431" t="s">
        <v>2946</v>
      </c>
      <c r="C1431" t="s">
        <v>3482</v>
      </c>
      <c r="D1431" t="s">
        <v>2135</v>
      </c>
      <c r="E1431" t="s">
        <v>327</v>
      </c>
      <c r="F1431" t="s">
        <v>3507</v>
      </c>
      <c r="H1431" t="s">
        <v>17</v>
      </c>
      <c r="I1431" t="s">
        <v>3485</v>
      </c>
    </row>
    <row r="1432" spans="1:9" hidden="1" x14ac:dyDescent="0.3">
      <c r="A1432" t="s">
        <v>3510</v>
      </c>
      <c r="B1432" t="s">
        <v>2946</v>
      </c>
      <c r="C1432" t="s">
        <v>3482</v>
      </c>
      <c r="D1432" t="s">
        <v>2135</v>
      </c>
      <c r="E1432" t="s">
        <v>332</v>
      </c>
      <c r="F1432" t="s">
        <v>3509</v>
      </c>
      <c r="H1432" t="s">
        <v>17</v>
      </c>
      <c r="I1432" t="s">
        <v>3485</v>
      </c>
    </row>
    <row r="1433" spans="1:9" hidden="1" x14ac:dyDescent="0.3">
      <c r="A1433" t="s">
        <v>3512</v>
      </c>
      <c r="B1433" t="s">
        <v>2946</v>
      </c>
      <c r="C1433" t="s">
        <v>3482</v>
      </c>
      <c r="D1433" t="s">
        <v>2135</v>
      </c>
      <c r="E1433" t="s">
        <v>335</v>
      </c>
      <c r="F1433" t="s">
        <v>3511</v>
      </c>
      <c r="H1433" t="s">
        <v>17</v>
      </c>
      <c r="I1433" t="s">
        <v>3485</v>
      </c>
    </row>
    <row r="1434" spans="1:9" hidden="1" x14ac:dyDescent="0.3">
      <c r="A1434" t="s">
        <v>3515</v>
      </c>
      <c r="B1434" t="s">
        <v>2946</v>
      </c>
      <c r="C1434" t="s">
        <v>3482</v>
      </c>
      <c r="D1434" t="s">
        <v>2135</v>
      </c>
      <c r="E1434" t="s">
        <v>338</v>
      </c>
      <c r="F1434" t="s">
        <v>3513</v>
      </c>
      <c r="H1434" t="s">
        <v>17</v>
      </c>
      <c r="I1434" t="s">
        <v>3485</v>
      </c>
    </row>
    <row r="1435" spans="1:9" hidden="1" x14ac:dyDescent="0.3">
      <c r="A1435" t="s">
        <v>3518</v>
      </c>
      <c r="B1435" t="s">
        <v>2946</v>
      </c>
      <c r="C1435" t="s">
        <v>3514</v>
      </c>
      <c r="D1435" t="s">
        <v>2135</v>
      </c>
      <c r="E1435" t="s">
        <v>341</v>
      </c>
      <c r="F1435" t="s">
        <v>3516</v>
      </c>
      <c r="H1435" t="s">
        <v>17</v>
      </c>
      <c r="I1435" t="s">
        <v>3517</v>
      </c>
    </row>
    <row r="1436" spans="1:9" hidden="1" x14ac:dyDescent="0.3">
      <c r="A1436" t="s">
        <v>3520</v>
      </c>
      <c r="B1436" t="s">
        <v>2946</v>
      </c>
      <c r="C1436" t="s">
        <v>3514</v>
      </c>
      <c r="D1436" t="s">
        <v>2135</v>
      </c>
      <c r="E1436" t="s">
        <v>344</v>
      </c>
      <c r="F1436" t="s">
        <v>3519</v>
      </c>
      <c r="H1436" t="s">
        <v>17</v>
      </c>
      <c r="I1436" t="s">
        <v>3517</v>
      </c>
    </row>
    <row r="1437" spans="1:9" hidden="1" x14ac:dyDescent="0.3">
      <c r="A1437" t="s">
        <v>3522</v>
      </c>
      <c r="B1437" t="s">
        <v>2946</v>
      </c>
      <c r="C1437" t="s">
        <v>3514</v>
      </c>
      <c r="D1437" t="s">
        <v>2135</v>
      </c>
      <c r="E1437" t="s">
        <v>347</v>
      </c>
      <c r="F1437" t="s">
        <v>3521</v>
      </c>
      <c r="H1437" t="s">
        <v>17</v>
      </c>
      <c r="I1437" t="s">
        <v>3517</v>
      </c>
    </row>
    <row r="1438" spans="1:9" hidden="1" x14ac:dyDescent="0.3">
      <c r="A1438" t="s">
        <v>3523</v>
      </c>
      <c r="B1438" t="s">
        <v>2946</v>
      </c>
      <c r="C1438" t="s">
        <v>3514</v>
      </c>
      <c r="D1438" t="s">
        <v>2135</v>
      </c>
      <c r="E1438" t="s">
        <v>353</v>
      </c>
      <c r="F1438" t="s">
        <v>2821</v>
      </c>
      <c r="H1438" t="s">
        <v>17</v>
      </c>
      <c r="I1438" t="s">
        <v>3517</v>
      </c>
    </row>
    <row r="1439" spans="1:9" hidden="1" x14ac:dyDescent="0.3">
      <c r="A1439" t="s">
        <v>3524</v>
      </c>
      <c r="B1439" t="s">
        <v>2946</v>
      </c>
      <c r="C1439" t="s">
        <v>3514</v>
      </c>
      <c r="D1439" t="s">
        <v>2135</v>
      </c>
      <c r="E1439" t="s">
        <v>358</v>
      </c>
      <c r="F1439" t="s">
        <v>2827</v>
      </c>
      <c r="H1439" t="s">
        <v>17</v>
      </c>
      <c r="I1439" t="s">
        <v>3517</v>
      </c>
    </row>
    <row r="1440" spans="1:9" hidden="1" x14ac:dyDescent="0.3">
      <c r="A1440" t="s">
        <v>3526</v>
      </c>
      <c r="B1440" t="s">
        <v>2946</v>
      </c>
      <c r="C1440" t="s">
        <v>3514</v>
      </c>
      <c r="D1440" t="s">
        <v>2135</v>
      </c>
      <c r="E1440" t="s">
        <v>361</v>
      </c>
      <c r="F1440" t="s">
        <v>3525</v>
      </c>
      <c r="H1440" t="s">
        <v>17</v>
      </c>
      <c r="I1440" t="s">
        <v>3517</v>
      </c>
    </row>
    <row r="1441" spans="1:9" hidden="1" x14ac:dyDescent="0.3">
      <c r="A1441" t="s">
        <v>3528</v>
      </c>
      <c r="B1441" t="s">
        <v>2946</v>
      </c>
      <c r="C1441" t="s">
        <v>3514</v>
      </c>
      <c r="D1441" t="s">
        <v>2135</v>
      </c>
      <c r="E1441" t="s">
        <v>364</v>
      </c>
      <c r="F1441" t="s">
        <v>3527</v>
      </c>
      <c r="H1441" t="s">
        <v>17</v>
      </c>
      <c r="I1441" t="s">
        <v>3517</v>
      </c>
    </row>
    <row r="1442" spans="1:9" hidden="1" x14ac:dyDescent="0.3">
      <c r="A1442" t="s">
        <v>3530</v>
      </c>
      <c r="B1442" t="s">
        <v>2946</v>
      </c>
      <c r="C1442" t="s">
        <v>3514</v>
      </c>
      <c r="D1442" t="s">
        <v>2135</v>
      </c>
      <c r="E1442" t="s">
        <v>367</v>
      </c>
      <c r="F1442" t="s">
        <v>3529</v>
      </c>
      <c r="H1442" t="s">
        <v>17</v>
      </c>
      <c r="I1442" t="s">
        <v>3517</v>
      </c>
    </row>
    <row r="1443" spans="1:9" hidden="1" x14ac:dyDescent="0.3">
      <c r="A1443" t="s">
        <v>3532</v>
      </c>
      <c r="B1443" t="s">
        <v>2946</v>
      </c>
      <c r="C1443" t="s">
        <v>3514</v>
      </c>
      <c r="D1443" t="s">
        <v>2135</v>
      </c>
      <c r="E1443" t="s">
        <v>370</v>
      </c>
      <c r="F1443" t="s">
        <v>3531</v>
      </c>
      <c r="H1443" t="s">
        <v>17</v>
      </c>
      <c r="I1443" t="s">
        <v>3517</v>
      </c>
    </row>
    <row r="1444" spans="1:9" hidden="1" x14ac:dyDescent="0.3">
      <c r="A1444" t="s">
        <v>3534</v>
      </c>
      <c r="B1444" t="s">
        <v>2946</v>
      </c>
      <c r="C1444" t="s">
        <v>3514</v>
      </c>
      <c r="D1444" t="s">
        <v>2135</v>
      </c>
      <c r="E1444" t="s">
        <v>373</v>
      </c>
      <c r="F1444" t="s">
        <v>3533</v>
      </c>
      <c r="H1444" t="s">
        <v>17</v>
      </c>
      <c r="I1444" t="s">
        <v>3517</v>
      </c>
    </row>
    <row r="1445" spans="1:9" hidden="1" x14ac:dyDescent="0.3">
      <c r="A1445" t="s">
        <v>3536</v>
      </c>
      <c r="B1445" t="s">
        <v>2946</v>
      </c>
      <c r="C1445" t="s">
        <v>3514</v>
      </c>
      <c r="D1445" t="s">
        <v>2135</v>
      </c>
      <c r="E1445" t="s">
        <v>376</v>
      </c>
      <c r="F1445" t="s">
        <v>3535</v>
      </c>
      <c r="H1445" t="s">
        <v>17</v>
      </c>
      <c r="I1445" t="s">
        <v>3517</v>
      </c>
    </row>
    <row r="1446" spans="1:9" hidden="1" x14ac:dyDescent="0.3">
      <c r="A1446" t="s">
        <v>3537</v>
      </c>
      <c r="B1446" t="s">
        <v>2946</v>
      </c>
      <c r="C1446" t="s">
        <v>3514</v>
      </c>
      <c r="D1446" t="s">
        <v>2135</v>
      </c>
      <c r="E1446" t="s">
        <v>1675</v>
      </c>
      <c r="F1446" t="s">
        <v>2823</v>
      </c>
      <c r="H1446" t="s">
        <v>17</v>
      </c>
      <c r="I1446" t="s">
        <v>3517</v>
      </c>
    </row>
    <row r="1447" spans="1:9" hidden="1" x14ac:dyDescent="0.3">
      <c r="A1447" t="s">
        <v>3539</v>
      </c>
      <c r="B1447" t="s">
        <v>2946</v>
      </c>
      <c r="C1447" t="s">
        <v>3514</v>
      </c>
      <c r="D1447" t="s">
        <v>2135</v>
      </c>
      <c r="E1447" t="s">
        <v>1678</v>
      </c>
      <c r="F1447" t="s">
        <v>3538</v>
      </c>
      <c r="H1447" t="s">
        <v>17</v>
      </c>
      <c r="I1447" t="s">
        <v>3517</v>
      </c>
    </row>
    <row r="1448" spans="1:9" hidden="1" x14ac:dyDescent="0.3">
      <c r="A1448" t="s">
        <v>3540</v>
      </c>
      <c r="B1448" t="s">
        <v>2946</v>
      </c>
      <c r="C1448" t="s">
        <v>3514</v>
      </c>
      <c r="D1448" t="s">
        <v>2135</v>
      </c>
      <c r="E1448" t="s">
        <v>1681</v>
      </c>
      <c r="F1448" t="s">
        <v>3470</v>
      </c>
      <c r="H1448" t="s">
        <v>17</v>
      </c>
      <c r="I1448" t="s">
        <v>3517</v>
      </c>
    </row>
    <row r="1449" spans="1:9" hidden="1" x14ac:dyDescent="0.3">
      <c r="A1449" t="s">
        <v>3541</v>
      </c>
      <c r="B1449" t="s">
        <v>2946</v>
      </c>
      <c r="C1449" t="s">
        <v>3514</v>
      </c>
      <c r="D1449" t="s">
        <v>2135</v>
      </c>
      <c r="E1449" t="s">
        <v>1683</v>
      </c>
      <c r="F1449" t="s">
        <v>3472</v>
      </c>
      <c r="H1449" t="s">
        <v>17</v>
      </c>
      <c r="I1449" t="s">
        <v>3517</v>
      </c>
    </row>
    <row r="1450" spans="1:9" hidden="1" x14ac:dyDescent="0.3">
      <c r="A1450" t="s">
        <v>3543</v>
      </c>
      <c r="B1450" t="s">
        <v>2946</v>
      </c>
      <c r="C1450" t="s">
        <v>3514</v>
      </c>
      <c r="D1450" t="s">
        <v>2135</v>
      </c>
      <c r="E1450" t="s">
        <v>1685</v>
      </c>
      <c r="F1450" t="s">
        <v>3542</v>
      </c>
      <c r="H1450" t="s">
        <v>17</v>
      </c>
      <c r="I1450" t="s">
        <v>3517</v>
      </c>
    </row>
    <row r="1451" spans="1:9" hidden="1" x14ac:dyDescent="0.3">
      <c r="A1451" t="s">
        <v>2136</v>
      </c>
      <c r="B1451" t="s">
        <v>2946</v>
      </c>
      <c r="C1451" t="s">
        <v>3514</v>
      </c>
      <c r="D1451" t="s">
        <v>2135</v>
      </c>
      <c r="E1451" t="s">
        <v>2859</v>
      </c>
      <c r="F1451" t="s">
        <v>3544</v>
      </c>
      <c r="H1451" t="s">
        <v>17</v>
      </c>
      <c r="I1451" t="s">
        <v>548</v>
      </c>
    </row>
    <row r="1452" spans="1:9" hidden="1" x14ac:dyDescent="0.3">
      <c r="A1452" t="s">
        <v>2138</v>
      </c>
      <c r="B1452" t="s">
        <v>2946</v>
      </c>
      <c r="C1452" t="s">
        <v>3545</v>
      </c>
      <c r="D1452" t="s">
        <v>3546</v>
      </c>
      <c r="E1452" t="s">
        <v>996</v>
      </c>
      <c r="F1452" t="s">
        <v>3547</v>
      </c>
      <c r="H1452" t="s">
        <v>17</v>
      </c>
      <c r="I1452" t="s">
        <v>3457</v>
      </c>
    </row>
    <row r="1453" spans="1:9" hidden="1" x14ac:dyDescent="0.3">
      <c r="A1453" t="s">
        <v>2140</v>
      </c>
      <c r="B1453" t="s">
        <v>2946</v>
      </c>
      <c r="C1453" t="s">
        <v>3545</v>
      </c>
      <c r="D1453" t="s">
        <v>3546</v>
      </c>
      <c r="E1453" t="s">
        <v>1001</v>
      </c>
      <c r="F1453" t="s">
        <v>3548</v>
      </c>
      <c r="H1453" t="s">
        <v>17</v>
      </c>
      <c r="I1453" t="s">
        <v>3457</v>
      </c>
    </row>
    <row r="1454" spans="1:9" hidden="1" x14ac:dyDescent="0.3">
      <c r="A1454" t="s">
        <v>629</v>
      </c>
      <c r="B1454" t="s">
        <v>2946</v>
      </c>
      <c r="C1454" t="s">
        <v>3545</v>
      </c>
      <c r="D1454" t="s">
        <v>3546</v>
      </c>
      <c r="E1454" t="s">
        <v>1942</v>
      </c>
      <c r="F1454" t="s">
        <v>3549</v>
      </c>
      <c r="H1454" t="s">
        <v>17</v>
      </c>
      <c r="I1454" t="s">
        <v>3457</v>
      </c>
    </row>
    <row r="1455" spans="1:9" hidden="1" x14ac:dyDescent="0.3">
      <c r="A1455" t="s">
        <v>2144</v>
      </c>
      <c r="B1455" t="s">
        <v>2946</v>
      </c>
      <c r="C1455" t="s">
        <v>3545</v>
      </c>
      <c r="D1455" t="s">
        <v>3546</v>
      </c>
      <c r="E1455" t="s">
        <v>22</v>
      </c>
      <c r="F1455" t="s">
        <v>3550</v>
      </c>
      <c r="H1455" t="s">
        <v>17</v>
      </c>
      <c r="I1455" t="s">
        <v>3457</v>
      </c>
    </row>
    <row r="1456" spans="1:9" hidden="1" x14ac:dyDescent="0.3">
      <c r="A1456" t="s">
        <v>2147</v>
      </c>
      <c r="B1456" t="s">
        <v>2946</v>
      </c>
      <c r="C1456" t="s">
        <v>3545</v>
      </c>
      <c r="D1456" t="s">
        <v>3546</v>
      </c>
      <c r="E1456" t="s">
        <v>27</v>
      </c>
      <c r="F1456" t="s">
        <v>3551</v>
      </c>
      <c r="H1456" t="s">
        <v>17</v>
      </c>
      <c r="I1456" t="s">
        <v>3457</v>
      </c>
    </row>
    <row r="1457" spans="1:9" hidden="1" x14ac:dyDescent="0.3">
      <c r="A1457" t="s">
        <v>633</v>
      </c>
      <c r="B1457" t="s">
        <v>2946</v>
      </c>
      <c r="C1457" t="s">
        <v>3545</v>
      </c>
      <c r="D1457" t="s">
        <v>3546</v>
      </c>
      <c r="E1457" t="s">
        <v>1014</v>
      </c>
      <c r="F1457" t="s">
        <v>3552</v>
      </c>
      <c r="H1457" t="s">
        <v>17</v>
      </c>
      <c r="I1457" t="s">
        <v>3457</v>
      </c>
    </row>
    <row r="1458" spans="1:9" hidden="1" x14ac:dyDescent="0.3">
      <c r="A1458" t="s">
        <v>2151</v>
      </c>
      <c r="B1458" t="s">
        <v>2946</v>
      </c>
      <c r="C1458" t="s">
        <v>3545</v>
      </c>
      <c r="D1458" t="s">
        <v>3546</v>
      </c>
      <c r="E1458" t="s">
        <v>1017</v>
      </c>
      <c r="F1458" t="s">
        <v>3553</v>
      </c>
      <c r="H1458" t="s">
        <v>17</v>
      </c>
      <c r="I1458" t="s">
        <v>3457</v>
      </c>
    </row>
    <row r="1459" spans="1:9" hidden="1" x14ac:dyDescent="0.3">
      <c r="A1459" t="s">
        <v>2153</v>
      </c>
      <c r="B1459" t="s">
        <v>2946</v>
      </c>
      <c r="C1459" t="s">
        <v>3545</v>
      </c>
      <c r="D1459" t="s">
        <v>3546</v>
      </c>
      <c r="E1459" t="s">
        <v>36</v>
      </c>
      <c r="F1459" t="s">
        <v>3554</v>
      </c>
      <c r="H1459" t="s">
        <v>17</v>
      </c>
      <c r="I1459" t="s">
        <v>3457</v>
      </c>
    </row>
    <row r="1460" spans="1:9" hidden="1" x14ac:dyDescent="0.3">
      <c r="A1460" t="s">
        <v>636</v>
      </c>
      <c r="B1460" t="s">
        <v>2946</v>
      </c>
      <c r="C1460" t="s">
        <v>3545</v>
      </c>
      <c r="D1460" t="s">
        <v>3546</v>
      </c>
      <c r="E1460" t="s">
        <v>41</v>
      </c>
      <c r="F1460" t="s">
        <v>3555</v>
      </c>
      <c r="H1460" t="s">
        <v>17</v>
      </c>
      <c r="I1460" t="s">
        <v>2794</v>
      </c>
    </row>
    <row r="1461" spans="1:9" hidden="1" x14ac:dyDescent="0.3">
      <c r="A1461" t="s">
        <v>2159</v>
      </c>
      <c r="B1461" t="s">
        <v>2946</v>
      </c>
      <c r="C1461" t="s">
        <v>3545</v>
      </c>
      <c r="D1461" t="s">
        <v>3546</v>
      </c>
      <c r="E1461" t="s">
        <v>45</v>
      </c>
      <c r="F1461" t="s">
        <v>3556</v>
      </c>
      <c r="H1461" t="s">
        <v>17</v>
      </c>
      <c r="I1461" t="s">
        <v>3557</v>
      </c>
    </row>
    <row r="1462" spans="1:9" hidden="1" x14ac:dyDescent="0.3">
      <c r="A1462" t="s">
        <v>2162</v>
      </c>
      <c r="B1462" t="s">
        <v>2946</v>
      </c>
      <c r="C1462" t="s">
        <v>3545</v>
      </c>
      <c r="D1462" t="s">
        <v>3546</v>
      </c>
      <c r="E1462" t="s">
        <v>50</v>
      </c>
      <c r="F1462" t="s">
        <v>3558</v>
      </c>
      <c r="H1462" t="s">
        <v>17</v>
      </c>
      <c r="I1462" t="s">
        <v>3557</v>
      </c>
    </row>
    <row r="1463" spans="1:9" hidden="1" x14ac:dyDescent="0.3">
      <c r="A1463" t="s">
        <v>639</v>
      </c>
      <c r="B1463" t="s">
        <v>2946</v>
      </c>
      <c r="C1463" t="s">
        <v>3545</v>
      </c>
      <c r="D1463" t="s">
        <v>3546</v>
      </c>
      <c r="E1463" t="s">
        <v>53</v>
      </c>
      <c r="F1463" t="s">
        <v>3559</v>
      </c>
      <c r="H1463" t="s">
        <v>17</v>
      </c>
      <c r="I1463" t="s">
        <v>3560</v>
      </c>
    </row>
    <row r="1464" spans="1:9" hidden="1" x14ac:dyDescent="0.3">
      <c r="A1464" t="s">
        <v>2165</v>
      </c>
      <c r="B1464" t="s">
        <v>2946</v>
      </c>
      <c r="C1464" t="s">
        <v>3545</v>
      </c>
      <c r="D1464" t="s">
        <v>3546</v>
      </c>
      <c r="E1464" t="s">
        <v>1537</v>
      </c>
      <c r="F1464" t="s">
        <v>3561</v>
      </c>
      <c r="H1464" t="s">
        <v>17</v>
      </c>
      <c r="I1464" t="s">
        <v>3562</v>
      </c>
    </row>
    <row r="1465" spans="1:9" hidden="1" x14ac:dyDescent="0.3">
      <c r="A1465" t="s">
        <v>2169</v>
      </c>
      <c r="B1465" t="s">
        <v>2946</v>
      </c>
      <c r="C1465" t="s">
        <v>3545</v>
      </c>
      <c r="D1465" t="s">
        <v>3546</v>
      </c>
      <c r="E1465" t="s">
        <v>66</v>
      </c>
      <c r="F1465" t="s">
        <v>3563</v>
      </c>
      <c r="H1465" t="s">
        <v>17</v>
      </c>
      <c r="I1465" t="s">
        <v>3564</v>
      </c>
    </row>
    <row r="1466" spans="1:9" hidden="1" x14ac:dyDescent="0.3">
      <c r="A1466" t="s">
        <v>642</v>
      </c>
      <c r="B1466" t="s">
        <v>2946</v>
      </c>
      <c r="C1466" t="s">
        <v>3545</v>
      </c>
      <c r="D1466" t="s">
        <v>3546</v>
      </c>
      <c r="E1466" t="s">
        <v>3565</v>
      </c>
      <c r="F1466" t="s">
        <v>3566</v>
      </c>
      <c r="H1466" t="s">
        <v>17</v>
      </c>
      <c r="I1466" t="s">
        <v>3567</v>
      </c>
    </row>
    <row r="1467" spans="1:9" hidden="1" x14ac:dyDescent="0.3">
      <c r="A1467" t="s">
        <v>2176</v>
      </c>
      <c r="B1467" t="s">
        <v>2946</v>
      </c>
      <c r="C1467" t="s">
        <v>3545</v>
      </c>
      <c r="D1467" t="s">
        <v>3546</v>
      </c>
      <c r="E1467" t="s">
        <v>3568</v>
      </c>
      <c r="F1467" t="s">
        <v>3569</v>
      </c>
      <c r="H1467" t="s">
        <v>17</v>
      </c>
      <c r="I1467" t="s">
        <v>3570</v>
      </c>
    </row>
    <row r="1468" spans="1:9" hidden="1" x14ac:dyDescent="0.3">
      <c r="A1468" t="s">
        <v>645</v>
      </c>
      <c r="B1468" t="s">
        <v>2946</v>
      </c>
      <c r="C1468" t="s">
        <v>3571</v>
      </c>
      <c r="D1468" t="s">
        <v>3546</v>
      </c>
      <c r="E1468" t="s">
        <v>3572</v>
      </c>
      <c r="F1468" t="s">
        <v>3573</v>
      </c>
      <c r="H1468" t="s">
        <v>17</v>
      </c>
      <c r="I1468" t="s">
        <v>3570</v>
      </c>
    </row>
    <row r="1469" spans="1:9" hidden="1" x14ac:dyDescent="0.3">
      <c r="A1469" t="s">
        <v>2179</v>
      </c>
      <c r="B1469" t="s">
        <v>2946</v>
      </c>
      <c r="C1469" t="s">
        <v>3571</v>
      </c>
      <c r="D1469" t="s">
        <v>3546</v>
      </c>
      <c r="E1469" t="s">
        <v>3574</v>
      </c>
      <c r="F1469" t="s">
        <v>3575</v>
      </c>
      <c r="H1469" t="s">
        <v>17</v>
      </c>
      <c r="I1469" t="s">
        <v>3570</v>
      </c>
    </row>
    <row r="1470" spans="1:9" hidden="1" x14ac:dyDescent="0.3">
      <c r="A1470" t="s">
        <v>2181</v>
      </c>
      <c r="B1470" t="s">
        <v>2946</v>
      </c>
      <c r="C1470" t="s">
        <v>3571</v>
      </c>
      <c r="D1470" t="s">
        <v>3546</v>
      </c>
      <c r="E1470" t="s">
        <v>1556</v>
      </c>
      <c r="F1470" t="s">
        <v>3576</v>
      </c>
      <c r="H1470" t="s">
        <v>17</v>
      </c>
      <c r="I1470" t="s">
        <v>3577</v>
      </c>
    </row>
    <row r="1471" spans="1:9" hidden="1" x14ac:dyDescent="0.3">
      <c r="A1471" t="s">
        <v>648</v>
      </c>
      <c r="B1471" t="s">
        <v>2946</v>
      </c>
      <c r="C1471" t="s">
        <v>3571</v>
      </c>
      <c r="D1471" t="s">
        <v>3546</v>
      </c>
      <c r="E1471" t="s">
        <v>2183</v>
      </c>
      <c r="F1471" t="s">
        <v>3578</v>
      </c>
      <c r="H1471" t="s">
        <v>17</v>
      </c>
      <c r="I1471" t="s">
        <v>3570</v>
      </c>
    </row>
    <row r="1472" spans="1:9" hidden="1" x14ac:dyDescent="0.3">
      <c r="A1472" t="s">
        <v>2182</v>
      </c>
      <c r="B1472" t="s">
        <v>2946</v>
      </c>
      <c r="C1472" t="s">
        <v>3571</v>
      </c>
      <c r="D1472" t="s">
        <v>3546</v>
      </c>
      <c r="E1472" t="s">
        <v>121</v>
      </c>
      <c r="F1472" t="s">
        <v>2926</v>
      </c>
      <c r="H1472" t="s">
        <v>17</v>
      </c>
      <c r="I1472" t="s">
        <v>3579</v>
      </c>
    </row>
    <row r="1473" spans="1:9" hidden="1" x14ac:dyDescent="0.3">
      <c r="A1473" t="s">
        <v>2184</v>
      </c>
      <c r="B1473" t="s">
        <v>2946</v>
      </c>
      <c r="C1473" t="s">
        <v>3571</v>
      </c>
      <c r="D1473" t="s">
        <v>3546</v>
      </c>
      <c r="E1473" t="s">
        <v>1080</v>
      </c>
      <c r="F1473" t="s">
        <v>3580</v>
      </c>
      <c r="H1473" t="s">
        <v>17</v>
      </c>
      <c r="I1473" t="s">
        <v>3570</v>
      </c>
    </row>
    <row r="1474" spans="1:9" hidden="1" x14ac:dyDescent="0.3">
      <c r="A1474" t="s">
        <v>651</v>
      </c>
      <c r="B1474" t="s">
        <v>2946</v>
      </c>
      <c r="C1474" t="s">
        <v>3571</v>
      </c>
      <c r="D1474" t="s">
        <v>3546</v>
      </c>
      <c r="E1474" t="s">
        <v>132</v>
      </c>
      <c r="F1474" t="s">
        <v>3581</v>
      </c>
      <c r="H1474" t="s">
        <v>17</v>
      </c>
      <c r="I1474" t="s">
        <v>3582</v>
      </c>
    </row>
    <row r="1475" spans="1:9" hidden="1" x14ac:dyDescent="0.3">
      <c r="A1475" t="s">
        <v>656</v>
      </c>
      <c r="B1475" t="s">
        <v>2946</v>
      </c>
      <c r="C1475" t="s">
        <v>3571</v>
      </c>
      <c r="D1475" t="s">
        <v>3546</v>
      </c>
      <c r="E1475" t="s">
        <v>3583</v>
      </c>
      <c r="F1475" t="s">
        <v>3584</v>
      </c>
      <c r="H1475" t="s">
        <v>17</v>
      </c>
      <c r="I1475" t="s">
        <v>3585</v>
      </c>
    </row>
    <row r="1476" spans="1:9" hidden="1" x14ac:dyDescent="0.3">
      <c r="A1476" t="s">
        <v>659</v>
      </c>
      <c r="B1476" t="s">
        <v>2946</v>
      </c>
      <c r="C1476" t="s">
        <v>3571</v>
      </c>
      <c r="D1476" t="s">
        <v>3546</v>
      </c>
      <c r="E1476" t="s">
        <v>3586</v>
      </c>
      <c r="F1476" t="s">
        <v>3587</v>
      </c>
      <c r="H1476" t="s">
        <v>17</v>
      </c>
    </row>
    <row r="1477" spans="1:9" hidden="1" x14ac:dyDescent="0.3">
      <c r="A1477" t="s">
        <v>662</v>
      </c>
      <c r="B1477" t="s">
        <v>2946</v>
      </c>
      <c r="C1477" t="s">
        <v>3571</v>
      </c>
      <c r="D1477" t="s">
        <v>3546</v>
      </c>
      <c r="E1477" t="s">
        <v>147</v>
      </c>
      <c r="F1477" t="s">
        <v>3588</v>
      </c>
      <c r="H1477" t="s">
        <v>17</v>
      </c>
      <c r="I1477" t="s">
        <v>3589</v>
      </c>
    </row>
    <row r="1478" spans="1:9" hidden="1" x14ac:dyDescent="0.3">
      <c r="A1478" t="s">
        <v>665</v>
      </c>
      <c r="B1478" t="s">
        <v>2946</v>
      </c>
      <c r="C1478" t="s">
        <v>3571</v>
      </c>
      <c r="D1478" t="s">
        <v>3546</v>
      </c>
      <c r="E1478" t="s">
        <v>1096</v>
      </c>
      <c r="F1478" t="s">
        <v>3590</v>
      </c>
      <c r="H1478" t="s">
        <v>17</v>
      </c>
      <c r="I1478" t="s">
        <v>3585</v>
      </c>
    </row>
    <row r="1479" spans="1:9" hidden="1" x14ac:dyDescent="0.3">
      <c r="A1479" t="s">
        <v>668</v>
      </c>
      <c r="B1479" t="s">
        <v>2946</v>
      </c>
      <c r="C1479" t="s">
        <v>3571</v>
      </c>
      <c r="D1479" t="s">
        <v>3546</v>
      </c>
      <c r="E1479" t="s">
        <v>1100</v>
      </c>
      <c r="F1479" t="s">
        <v>3587</v>
      </c>
      <c r="H1479" t="s">
        <v>17</v>
      </c>
    </row>
    <row r="1480" spans="1:9" hidden="1" x14ac:dyDescent="0.3">
      <c r="A1480" t="s">
        <v>671</v>
      </c>
      <c r="B1480" t="s">
        <v>2946</v>
      </c>
      <c r="C1480" t="s">
        <v>3571</v>
      </c>
      <c r="D1480" t="s">
        <v>3546</v>
      </c>
      <c r="E1480" t="s">
        <v>172</v>
      </c>
      <c r="F1480" t="s">
        <v>3591</v>
      </c>
      <c r="H1480" t="s">
        <v>17</v>
      </c>
      <c r="I1480" t="s">
        <v>3592</v>
      </c>
    </row>
    <row r="1481" spans="1:9" hidden="1" x14ac:dyDescent="0.3">
      <c r="A1481" t="s">
        <v>674</v>
      </c>
      <c r="B1481" t="s">
        <v>2946</v>
      </c>
      <c r="C1481" t="s">
        <v>3571</v>
      </c>
      <c r="D1481" t="s">
        <v>3546</v>
      </c>
      <c r="E1481" t="s">
        <v>3593</v>
      </c>
      <c r="F1481" t="s">
        <v>3594</v>
      </c>
      <c r="H1481" t="s">
        <v>17</v>
      </c>
      <c r="I1481" t="s">
        <v>3585</v>
      </c>
    </row>
    <row r="1482" spans="1:9" hidden="1" x14ac:dyDescent="0.3">
      <c r="A1482" t="s">
        <v>2201</v>
      </c>
      <c r="B1482" t="s">
        <v>2946</v>
      </c>
      <c r="C1482" t="s">
        <v>3571</v>
      </c>
      <c r="D1482" t="s">
        <v>3546</v>
      </c>
      <c r="E1482" t="s">
        <v>3595</v>
      </c>
      <c r="F1482" t="s">
        <v>3587</v>
      </c>
      <c r="H1482" t="s">
        <v>17</v>
      </c>
    </row>
    <row r="1483" spans="1:9" hidden="1" x14ac:dyDescent="0.3">
      <c r="A1483" t="s">
        <v>680</v>
      </c>
      <c r="B1483" t="s">
        <v>2946</v>
      </c>
      <c r="C1483" t="s">
        <v>3571</v>
      </c>
      <c r="D1483" t="s">
        <v>3546</v>
      </c>
      <c r="E1483" t="s">
        <v>198</v>
      </c>
      <c r="F1483" t="s">
        <v>3596</v>
      </c>
      <c r="H1483" t="s">
        <v>17</v>
      </c>
      <c r="I1483" t="s">
        <v>3582</v>
      </c>
    </row>
    <row r="1484" spans="1:9" hidden="1" x14ac:dyDescent="0.3">
      <c r="A1484" t="s">
        <v>2203</v>
      </c>
      <c r="B1484" t="s">
        <v>2946</v>
      </c>
      <c r="C1484" t="s">
        <v>3571</v>
      </c>
      <c r="D1484" t="s">
        <v>3546</v>
      </c>
      <c r="E1484" t="s">
        <v>1118</v>
      </c>
      <c r="F1484" t="s">
        <v>3597</v>
      </c>
      <c r="H1484" t="s">
        <v>17</v>
      </c>
      <c r="I1484" t="s">
        <v>3585</v>
      </c>
    </row>
    <row r="1485" spans="1:9" hidden="1" x14ac:dyDescent="0.3">
      <c r="A1485" t="s">
        <v>685</v>
      </c>
      <c r="B1485" t="s">
        <v>2946</v>
      </c>
      <c r="C1485" t="s">
        <v>3571</v>
      </c>
      <c r="D1485" t="s">
        <v>3546</v>
      </c>
      <c r="E1485" t="s">
        <v>1123</v>
      </c>
      <c r="F1485" t="s">
        <v>3587</v>
      </c>
      <c r="H1485" t="s">
        <v>17</v>
      </c>
    </row>
    <row r="1486" spans="1:9" hidden="1" x14ac:dyDescent="0.3">
      <c r="A1486" t="s">
        <v>2208</v>
      </c>
      <c r="B1486" t="s">
        <v>2946</v>
      </c>
      <c r="C1486" t="s">
        <v>3571</v>
      </c>
      <c r="D1486" t="s">
        <v>3546</v>
      </c>
      <c r="E1486" t="s">
        <v>218</v>
      </c>
      <c r="F1486" t="s">
        <v>3598</v>
      </c>
      <c r="H1486" t="s">
        <v>17</v>
      </c>
      <c r="I1486" t="s">
        <v>3599</v>
      </c>
    </row>
    <row r="1487" spans="1:9" hidden="1" x14ac:dyDescent="0.3">
      <c r="A1487" t="s">
        <v>690</v>
      </c>
      <c r="B1487" t="s">
        <v>2946</v>
      </c>
      <c r="C1487" t="s">
        <v>3571</v>
      </c>
      <c r="D1487" t="s">
        <v>3546</v>
      </c>
      <c r="E1487" t="s">
        <v>2924</v>
      </c>
      <c r="F1487" t="s">
        <v>3600</v>
      </c>
      <c r="H1487" t="s">
        <v>17</v>
      </c>
      <c r="I1487" t="s">
        <v>3585</v>
      </c>
    </row>
    <row r="1488" spans="1:9" hidden="1" x14ac:dyDescent="0.3">
      <c r="A1488" t="s">
        <v>695</v>
      </c>
      <c r="B1488" t="s">
        <v>2946</v>
      </c>
      <c r="C1488" t="s">
        <v>3571</v>
      </c>
      <c r="D1488" t="s">
        <v>3546</v>
      </c>
      <c r="E1488" t="s">
        <v>2925</v>
      </c>
      <c r="F1488" t="s">
        <v>3587</v>
      </c>
      <c r="H1488" t="s">
        <v>17</v>
      </c>
    </row>
    <row r="1489" spans="1:9" hidden="1" x14ac:dyDescent="0.3">
      <c r="A1489" t="s">
        <v>701</v>
      </c>
      <c r="B1489" t="s">
        <v>2946</v>
      </c>
      <c r="C1489" t="s">
        <v>3601</v>
      </c>
      <c r="D1489" t="s">
        <v>3546</v>
      </c>
      <c r="E1489" t="s">
        <v>239</v>
      </c>
      <c r="F1489" t="s">
        <v>3602</v>
      </c>
      <c r="H1489" t="s">
        <v>17</v>
      </c>
      <c r="I1489" t="s">
        <v>3603</v>
      </c>
    </row>
    <row r="1490" spans="1:9" hidden="1" x14ac:dyDescent="0.3">
      <c r="A1490" t="s">
        <v>706</v>
      </c>
      <c r="B1490" t="s">
        <v>2946</v>
      </c>
      <c r="C1490" t="s">
        <v>3601</v>
      </c>
      <c r="D1490" t="s">
        <v>3546</v>
      </c>
      <c r="E1490" t="s">
        <v>1881</v>
      </c>
      <c r="F1490" t="s">
        <v>3604</v>
      </c>
      <c r="H1490" t="s">
        <v>17</v>
      </c>
      <c r="I1490" t="s">
        <v>3603</v>
      </c>
    </row>
    <row r="1491" spans="1:9" hidden="1" x14ac:dyDescent="0.3">
      <c r="A1491" t="s">
        <v>709</v>
      </c>
      <c r="B1491" t="s">
        <v>2946</v>
      </c>
      <c r="C1491" t="s">
        <v>3601</v>
      </c>
      <c r="D1491" t="s">
        <v>3546</v>
      </c>
      <c r="E1491" t="s">
        <v>1885</v>
      </c>
      <c r="F1491" t="s">
        <v>3605</v>
      </c>
      <c r="H1491" t="s">
        <v>17</v>
      </c>
      <c r="I1491" t="s">
        <v>3603</v>
      </c>
    </row>
    <row r="1492" spans="1:9" hidden="1" x14ac:dyDescent="0.3">
      <c r="A1492" t="s">
        <v>713</v>
      </c>
      <c r="B1492" t="s">
        <v>2946</v>
      </c>
      <c r="C1492" t="s">
        <v>3601</v>
      </c>
      <c r="D1492" t="s">
        <v>3546</v>
      </c>
      <c r="E1492" t="s">
        <v>1588</v>
      </c>
      <c r="F1492" t="s">
        <v>3606</v>
      </c>
      <c r="H1492" t="s">
        <v>17</v>
      </c>
      <c r="I1492" t="s">
        <v>3603</v>
      </c>
    </row>
    <row r="1493" spans="1:9" hidden="1" x14ac:dyDescent="0.3">
      <c r="A1493" t="s">
        <v>716</v>
      </c>
      <c r="B1493" t="s">
        <v>2946</v>
      </c>
      <c r="C1493" t="s">
        <v>3601</v>
      </c>
      <c r="D1493" t="s">
        <v>3546</v>
      </c>
      <c r="E1493" t="s">
        <v>1892</v>
      </c>
      <c r="F1493" t="s">
        <v>3607</v>
      </c>
      <c r="H1493" t="s">
        <v>17</v>
      </c>
      <c r="I1493" t="s">
        <v>3608</v>
      </c>
    </row>
    <row r="1494" spans="1:9" hidden="1" x14ac:dyDescent="0.3">
      <c r="A1494" t="s">
        <v>721</v>
      </c>
      <c r="B1494" t="s">
        <v>2946</v>
      </c>
      <c r="C1494" t="s">
        <v>3601</v>
      </c>
      <c r="D1494" t="s">
        <v>3546</v>
      </c>
      <c r="E1494" t="s">
        <v>1146</v>
      </c>
      <c r="F1494" t="s">
        <v>3609</v>
      </c>
      <c r="H1494" t="s">
        <v>17</v>
      </c>
      <c r="I1494" t="s">
        <v>3610</v>
      </c>
    </row>
    <row r="1495" spans="1:9" hidden="1" x14ac:dyDescent="0.3">
      <c r="A1495" t="s">
        <v>724</v>
      </c>
      <c r="B1495" t="s">
        <v>2946</v>
      </c>
      <c r="C1495" t="s">
        <v>3601</v>
      </c>
      <c r="D1495" t="s">
        <v>3546</v>
      </c>
      <c r="E1495" t="s">
        <v>1593</v>
      </c>
      <c r="F1495" t="s">
        <v>1449</v>
      </c>
      <c r="H1495" t="s">
        <v>17</v>
      </c>
      <c r="I1495" t="s">
        <v>3611</v>
      </c>
    </row>
    <row r="1496" spans="1:9" hidden="1" x14ac:dyDescent="0.3">
      <c r="A1496" t="s">
        <v>727</v>
      </c>
      <c r="B1496" t="s">
        <v>2946</v>
      </c>
      <c r="C1496" t="s">
        <v>3601</v>
      </c>
      <c r="D1496" t="s">
        <v>3546</v>
      </c>
      <c r="E1496" t="s">
        <v>1158</v>
      </c>
      <c r="F1496" t="s">
        <v>3612</v>
      </c>
      <c r="H1496" t="s">
        <v>17</v>
      </c>
      <c r="I1496" t="s">
        <v>3613</v>
      </c>
    </row>
    <row r="1497" spans="1:9" hidden="1" x14ac:dyDescent="0.3">
      <c r="A1497" t="s">
        <v>730</v>
      </c>
      <c r="B1497" t="s">
        <v>2946</v>
      </c>
      <c r="C1497" t="s">
        <v>3601</v>
      </c>
      <c r="D1497" t="s">
        <v>3546</v>
      </c>
      <c r="E1497" t="s">
        <v>1162</v>
      </c>
      <c r="F1497" t="s">
        <v>3614</v>
      </c>
      <c r="H1497" t="s">
        <v>17</v>
      </c>
      <c r="I1497" t="s">
        <v>3615</v>
      </c>
    </row>
    <row r="1498" spans="1:9" hidden="1" x14ac:dyDescent="0.3">
      <c r="A1498" t="s">
        <v>735</v>
      </c>
      <c r="B1498" t="s">
        <v>2946</v>
      </c>
      <c r="C1498" t="s">
        <v>3601</v>
      </c>
      <c r="D1498" t="s">
        <v>3546</v>
      </c>
      <c r="E1498" t="s">
        <v>1165</v>
      </c>
      <c r="F1498" t="s">
        <v>3616</v>
      </c>
      <c r="H1498" t="s">
        <v>17</v>
      </c>
      <c r="I1498" t="s">
        <v>3617</v>
      </c>
    </row>
    <row r="1499" spans="1:9" hidden="1" x14ac:dyDescent="0.3">
      <c r="A1499" t="s">
        <v>740</v>
      </c>
      <c r="B1499" t="s">
        <v>2946</v>
      </c>
      <c r="C1499" t="s">
        <v>3601</v>
      </c>
      <c r="D1499" t="s">
        <v>3546</v>
      </c>
      <c r="E1499" t="s">
        <v>1168</v>
      </c>
      <c r="F1499" t="s">
        <v>2931</v>
      </c>
      <c r="H1499" t="s">
        <v>17</v>
      </c>
      <c r="I1499" t="s">
        <v>414</v>
      </c>
    </row>
    <row r="1500" spans="1:9" hidden="1" x14ac:dyDescent="0.3">
      <c r="A1500" t="s">
        <v>746</v>
      </c>
      <c r="B1500" t="s">
        <v>2946</v>
      </c>
      <c r="C1500" t="s">
        <v>3601</v>
      </c>
      <c r="D1500" t="s">
        <v>3546</v>
      </c>
      <c r="E1500" t="s">
        <v>1172</v>
      </c>
      <c r="F1500" t="s">
        <v>3350</v>
      </c>
      <c r="H1500" t="s">
        <v>17</v>
      </c>
      <c r="I1500" t="s">
        <v>3618</v>
      </c>
    </row>
    <row r="1501" spans="1:9" hidden="1" x14ac:dyDescent="0.3">
      <c r="A1501" t="s">
        <v>3621</v>
      </c>
      <c r="B1501" t="s">
        <v>2946</v>
      </c>
      <c r="C1501" t="s">
        <v>3601</v>
      </c>
      <c r="D1501" t="s">
        <v>3546</v>
      </c>
      <c r="E1501" t="s">
        <v>1176</v>
      </c>
      <c r="F1501" t="s">
        <v>3619</v>
      </c>
      <c r="H1501" t="s">
        <v>17</v>
      </c>
      <c r="I1501" t="s">
        <v>3620</v>
      </c>
    </row>
    <row r="1502" spans="1:9" hidden="1" x14ac:dyDescent="0.3">
      <c r="A1502" t="s">
        <v>750</v>
      </c>
      <c r="B1502" t="s">
        <v>2946</v>
      </c>
      <c r="C1502" t="s">
        <v>3601</v>
      </c>
      <c r="D1502" t="s">
        <v>3546</v>
      </c>
      <c r="E1502" t="s">
        <v>1179</v>
      </c>
      <c r="F1502" t="s">
        <v>3622</v>
      </c>
      <c r="H1502" t="s">
        <v>17</v>
      </c>
      <c r="I1502" t="s">
        <v>414</v>
      </c>
    </row>
    <row r="1503" spans="1:9" hidden="1" x14ac:dyDescent="0.3">
      <c r="A1503" t="s">
        <v>755</v>
      </c>
      <c r="B1503" t="s">
        <v>2946</v>
      </c>
      <c r="C1503" t="s">
        <v>3601</v>
      </c>
      <c r="D1503" t="s">
        <v>3546</v>
      </c>
      <c r="E1503" t="s">
        <v>1184</v>
      </c>
      <c r="F1503" t="s">
        <v>3623</v>
      </c>
      <c r="H1503" t="s">
        <v>17</v>
      </c>
      <c r="I1503" t="s">
        <v>414</v>
      </c>
    </row>
    <row r="1504" spans="1:9" hidden="1" x14ac:dyDescent="0.3">
      <c r="A1504" t="s">
        <v>2291</v>
      </c>
      <c r="B1504" t="s">
        <v>2946</v>
      </c>
      <c r="C1504" t="s">
        <v>3601</v>
      </c>
      <c r="D1504" t="s">
        <v>3546</v>
      </c>
      <c r="E1504" t="s">
        <v>3624</v>
      </c>
      <c r="F1504" t="s">
        <v>747</v>
      </c>
      <c r="H1504" t="s">
        <v>17</v>
      </c>
    </row>
    <row r="1505" spans="1:9" hidden="1" x14ac:dyDescent="0.3">
      <c r="A1505" t="s">
        <v>2294</v>
      </c>
      <c r="B1505" t="s">
        <v>2946</v>
      </c>
      <c r="C1505" t="s">
        <v>3601</v>
      </c>
      <c r="D1505" t="s">
        <v>3546</v>
      </c>
      <c r="E1505" t="s">
        <v>3625</v>
      </c>
      <c r="F1505" t="s">
        <v>797</v>
      </c>
      <c r="H1505" t="s">
        <v>17</v>
      </c>
    </row>
    <row r="1506" spans="1:9" hidden="1" x14ac:dyDescent="0.3">
      <c r="A1506" t="s">
        <v>759</v>
      </c>
      <c r="B1506" t="s">
        <v>2946</v>
      </c>
      <c r="C1506" t="s">
        <v>3601</v>
      </c>
      <c r="D1506" t="s">
        <v>3546</v>
      </c>
      <c r="E1506" t="s">
        <v>1205</v>
      </c>
      <c r="F1506" t="s">
        <v>3626</v>
      </c>
      <c r="H1506" t="s">
        <v>17</v>
      </c>
      <c r="I1506" t="s">
        <v>3627</v>
      </c>
    </row>
    <row r="1507" spans="1:9" hidden="1" x14ac:dyDescent="0.3">
      <c r="A1507" t="s">
        <v>2297</v>
      </c>
      <c r="B1507" t="s">
        <v>2946</v>
      </c>
      <c r="C1507" t="s">
        <v>3601</v>
      </c>
      <c r="D1507" t="s">
        <v>3546</v>
      </c>
      <c r="E1507" t="s">
        <v>1209</v>
      </c>
      <c r="F1507" t="s">
        <v>3628</v>
      </c>
      <c r="H1507" t="s">
        <v>17</v>
      </c>
    </row>
    <row r="1508" spans="1:9" hidden="1" x14ac:dyDescent="0.3">
      <c r="A1508" t="s">
        <v>763</v>
      </c>
      <c r="B1508" t="s">
        <v>2946</v>
      </c>
      <c r="C1508" t="s">
        <v>3601</v>
      </c>
      <c r="D1508" t="s">
        <v>3546</v>
      </c>
      <c r="E1508" t="s">
        <v>1213</v>
      </c>
      <c r="F1508" t="s">
        <v>3629</v>
      </c>
      <c r="H1508" t="s">
        <v>17</v>
      </c>
    </row>
    <row r="1509" spans="1:9" hidden="1" x14ac:dyDescent="0.3">
      <c r="A1509" t="s">
        <v>768</v>
      </c>
      <c r="B1509" t="s">
        <v>2946</v>
      </c>
      <c r="C1509" t="s">
        <v>3601</v>
      </c>
      <c r="D1509" t="s">
        <v>3546</v>
      </c>
      <c r="E1509" t="s">
        <v>1219</v>
      </c>
      <c r="F1509" t="s">
        <v>2192</v>
      </c>
      <c r="H1509" t="s">
        <v>17</v>
      </c>
      <c r="I1509" t="s">
        <v>3630</v>
      </c>
    </row>
    <row r="1510" spans="1:9" hidden="1" x14ac:dyDescent="0.3">
      <c r="A1510" t="s">
        <v>2301</v>
      </c>
      <c r="B1510" t="s">
        <v>2946</v>
      </c>
      <c r="C1510" t="s">
        <v>3601</v>
      </c>
      <c r="D1510" t="s">
        <v>3546</v>
      </c>
      <c r="E1510" t="s">
        <v>1224</v>
      </c>
      <c r="F1510" t="s">
        <v>2196</v>
      </c>
      <c r="H1510" t="s">
        <v>17</v>
      </c>
      <c r="I1510" t="s">
        <v>3631</v>
      </c>
    </row>
    <row r="1511" spans="1:9" hidden="1" x14ac:dyDescent="0.3">
      <c r="A1511" t="s">
        <v>773</v>
      </c>
      <c r="B1511" t="s">
        <v>2946</v>
      </c>
      <c r="C1511" t="s">
        <v>3601</v>
      </c>
      <c r="D1511" t="s">
        <v>3546</v>
      </c>
      <c r="E1511" t="s">
        <v>285</v>
      </c>
      <c r="F1511" t="s">
        <v>1703</v>
      </c>
      <c r="H1511" t="s">
        <v>17</v>
      </c>
    </row>
    <row r="1512" spans="1:9" hidden="1" x14ac:dyDescent="0.3">
      <c r="A1512" t="s">
        <v>2304</v>
      </c>
      <c r="B1512" t="s">
        <v>2946</v>
      </c>
      <c r="C1512" t="s">
        <v>3601</v>
      </c>
      <c r="D1512" t="s">
        <v>3546</v>
      </c>
      <c r="E1512" t="s">
        <v>288</v>
      </c>
      <c r="F1512" t="s">
        <v>2945</v>
      </c>
      <c r="H1512" t="s">
        <v>17</v>
      </c>
    </row>
    <row r="1513" spans="1:9" hidden="1" x14ac:dyDescent="0.3">
      <c r="A1513" t="s">
        <v>778</v>
      </c>
      <c r="B1513" t="s">
        <v>2946</v>
      </c>
      <c r="C1513" t="s">
        <v>3601</v>
      </c>
      <c r="D1513" t="s">
        <v>3546</v>
      </c>
      <c r="E1513" t="s">
        <v>291</v>
      </c>
      <c r="F1513" t="s">
        <v>1706</v>
      </c>
      <c r="H1513" t="s">
        <v>17</v>
      </c>
    </row>
    <row r="1514" spans="1:9" hidden="1" x14ac:dyDescent="0.3">
      <c r="A1514" t="s">
        <v>10</v>
      </c>
      <c r="B1514" t="s">
        <v>2946</v>
      </c>
      <c r="C1514" t="s">
        <v>3601</v>
      </c>
      <c r="D1514" t="s">
        <v>3546</v>
      </c>
      <c r="E1514" t="s">
        <v>3632</v>
      </c>
      <c r="F1514" t="s">
        <v>3633</v>
      </c>
      <c r="H1514" t="s">
        <v>17</v>
      </c>
    </row>
    <row r="1515" spans="1:9" hidden="1" x14ac:dyDescent="0.3">
      <c r="A1515" t="s">
        <v>1742</v>
      </c>
      <c r="B1515" t="s">
        <v>2946</v>
      </c>
      <c r="F1515" t="s">
        <v>2947</v>
      </c>
    </row>
    <row r="1516" spans="1:9" hidden="1" x14ac:dyDescent="0.3">
      <c r="A1516" t="s">
        <v>1744</v>
      </c>
      <c r="B1516" t="s">
        <v>2946</v>
      </c>
      <c r="D1516" t="s">
        <v>13</v>
      </c>
      <c r="E1516" t="s">
        <v>2948</v>
      </c>
      <c r="F1516" t="s">
        <v>2670</v>
      </c>
      <c r="H1516" t="s">
        <v>17</v>
      </c>
    </row>
    <row r="1517" spans="1:9" hidden="1" x14ac:dyDescent="0.3">
      <c r="A1517" t="s">
        <v>1747</v>
      </c>
      <c r="B1517" t="s">
        <v>2946</v>
      </c>
      <c r="D1517" t="s">
        <v>13</v>
      </c>
      <c r="E1517" t="s">
        <v>996</v>
      </c>
      <c r="F1517" t="s">
        <v>2677</v>
      </c>
      <c r="H1517" t="s">
        <v>17</v>
      </c>
      <c r="I1517" t="s">
        <v>2678</v>
      </c>
    </row>
    <row r="1518" spans="1:9" hidden="1" x14ac:dyDescent="0.3">
      <c r="A1518" t="s">
        <v>1750</v>
      </c>
      <c r="B1518" t="s">
        <v>2946</v>
      </c>
      <c r="D1518" t="s">
        <v>13</v>
      </c>
      <c r="E1518" t="s">
        <v>1001</v>
      </c>
      <c r="F1518" t="s">
        <v>2680</v>
      </c>
      <c r="H1518" t="s">
        <v>17</v>
      </c>
      <c r="I1518" t="s">
        <v>2678</v>
      </c>
    </row>
    <row r="1519" spans="1:9" hidden="1" x14ac:dyDescent="0.3">
      <c r="A1519" t="s">
        <v>1752</v>
      </c>
      <c r="B1519" t="s">
        <v>2946</v>
      </c>
      <c r="D1519" t="s">
        <v>13</v>
      </c>
      <c r="E1519" t="s">
        <v>1942</v>
      </c>
      <c r="F1519" t="s">
        <v>2681</v>
      </c>
      <c r="H1519" t="s">
        <v>17</v>
      </c>
      <c r="I1519" t="s">
        <v>2678</v>
      </c>
    </row>
    <row r="1520" spans="1:9" hidden="1" x14ac:dyDescent="0.3">
      <c r="A1520" t="s">
        <v>1754</v>
      </c>
      <c r="B1520" t="s">
        <v>2946</v>
      </c>
      <c r="D1520" t="s">
        <v>13</v>
      </c>
      <c r="E1520" t="s">
        <v>22</v>
      </c>
      <c r="F1520" t="s">
        <v>2949</v>
      </c>
      <c r="H1520" t="s">
        <v>17</v>
      </c>
      <c r="I1520" t="s">
        <v>2950</v>
      </c>
    </row>
    <row r="1521" spans="1:9" hidden="1" x14ac:dyDescent="0.3">
      <c r="A1521" t="s">
        <v>1760</v>
      </c>
      <c r="B1521" t="s">
        <v>2946</v>
      </c>
      <c r="D1521" t="s">
        <v>13</v>
      </c>
      <c r="E1521" t="s">
        <v>27</v>
      </c>
      <c r="F1521" t="s">
        <v>2951</v>
      </c>
      <c r="H1521" t="s">
        <v>17</v>
      </c>
      <c r="I1521" t="s">
        <v>2691</v>
      </c>
    </row>
    <row r="1522" spans="1:9" hidden="1" x14ac:dyDescent="0.3">
      <c r="A1522" t="s">
        <v>1763</v>
      </c>
      <c r="B1522" t="s">
        <v>2946</v>
      </c>
      <c r="C1522" t="s">
        <v>2952</v>
      </c>
      <c r="D1522" t="s">
        <v>13</v>
      </c>
      <c r="E1522" t="s">
        <v>1014</v>
      </c>
      <c r="F1522" t="s">
        <v>2953</v>
      </c>
      <c r="H1522" t="s">
        <v>17</v>
      </c>
      <c r="I1522" t="s">
        <v>2954</v>
      </c>
    </row>
    <row r="1523" spans="1:9" hidden="1" x14ac:dyDescent="0.3">
      <c r="A1523" t="s">
        <v>1765</v>
      </c>
      <c r="B1523" t="s">
        <v>2946</v>
      </c>
      <c r="C1523" t="s">
        <v>2952</v>
      </c>
      <c r="D1523" t="s">
        <v>13</v>
      </c>
      <c r="E1523" t="s">
        <v>1017</v>
      </c>
      <c r="F1523" t="s">
        <v>2955</v>
      </c>
      <c r="H1523" t="s">
        <v>17</v>
      </c>
      <c r="I1523" t="s">
        <v>2954</v>
      </c>
    </row>
    <row r="1524" spans="1:9" hidden="1" x14ac:dyDescent="0.3">
      <c r="A1524" t="s">
        <v>1768</v>
      </c>
      <c r="B1524" t="s">
        <v>2946</v>
      </c>
      <c r="C1524" t="s">
        <v>2952</v>
      </c>
      <c r="D1524" t="s">
        <v>13</v>
      </c>
      <c r="E1524" t="s">
        <v>36</v>
      </c>
      <c r="F1524" t="s">
        <v>2956</v>
      </c>
      <c r="H1524" t="s">
        <v>17</v>
      </c>
      <c r="I1524" t="s">
        <v>2954</v>
      </c>
    </row>
    <row r="1525" spans="1:9" hidden="1" x14ac:dyDescent="0.3">
      <c r="A1525" t="s">
        <v>1771</v>
      </c>
      <c r="B1525" t="s">
        <v>2946</v>
      </c>
      <c r="C1525" t="s">
        <v>2952</v>
      </c>
      <c r="D1525" t="s">
        <v>13</v>
      </c>
      <c r="E1525" t="s">
        <v>41</v>
      </c>
      <c r="F1525" t="s">
        <v>2957</v>
      </c>
      <c r="H1525" t="s">
        <v>17</v>
      </c>
      <c r="I1525" t="s">
        <v>2954</v>
      </c>
    </row>
    <row r="1526" spans="1:9" hidden="1" x14ac:dyDescent="0.3">
      <c r="A1526" t="s">
        <v>1775</v>
      </c>
      <c r="B1526" t="s">
        <v>2946</v>
      </c>
      <c r="C1526" t="s">
        <v>2952</v>
      </c>
      <c r="D1526" t="s">
        <v>13</v>
      </c>
      <c r="E1526" t="s">
        <v>45</v>
      </c>
      <c r="F1526" t="s">
        <v>2701</v>
      </c>
      <c r="H1526" t="s">
        <v>17</v>
      </c>
      <c r="I1526" t="s">
        <v>2702</v>
      </c>
    </row>
    <row r="1527" spans="1:9" hidden="1" x14ac:dyDescent="0.3">
      <c r="A1527" t="s">
        <v>1777</v>
      </c>
      <c r="B1527" t="s">
        <v>2946</v>
      </c>
      <c r="C1527" t="s">
        <v>2952</v>
      </c>
      <c r="D1527" t="s">
        <v>13</v>
      </c>
      <c r="E1527" t="s">
        <v>50</v>
      </c>
      <c r="F1527" t="s">
        <v>2958</v>
      </c>
      <c r="H1527" t="s">
        <v>17</v>
      </c>
      <c r="I1527" t="s">
        <v>2959</v>
      </c>
    </row>
    <row r="1528" spans="1:9" hidden="1" x14ac:dyDescent="0.3">
      <c r="A1528" t="s">
        <v>1779</v>
      </c>
      <c r="B1528" t="s">
        <v>2946</v>
      </c>
      <c r="C1528" t="s">
        <v>2952</v>
      </c>
      <c r="D1528" t="s">
        <v>13</v>
      </c>
      <c r="E1528" t="s">
        <v>53</v>
      </c>
      <c r="F1528" t="s">
        <v>2960</v>
      </c>
      <c r="H1528" t="s">
        <v>17</v>
      </c>
      <c r="I1528" t="s">
        <v>2961</v>
      </c>
    </row>
    <row r="1529" spans="1:9" hidden="1" x14ac:dyDescent="0.3">
      <c r="A1529" t="s">
        <v>1781</v>
      </c>
      <c r="B1529" t="s">
        <v>2946</v>
      </c>
      <c r="C1529" t="s">
        <v>2952</v>
      </c>
      <c r="D1529" t="s">
        <v>13</v>
      </c>
      <c r="E1529" t="s">
        <v>56</v>
      </c>
      <c r="F1529" t="s">
        <v>2962</v>
      </c>
      <c r="H1529" t="s">
        <v>17</v>
      </c>
      <c r="I1529" t="s">
        <v>2963</v>
      </c>
    </row>
    <row r="1530" spans="1:9" hidden="1" x14ac:dyDescent="0.3">
      <c r="A1530" t="s">
        <v>1784</v>
      </c>
      <c r="B1530" t="s">
        <v>2946</v>
      </c>
      <c r="C1530" t="s">
        <v>2952</v>
      </c>
      <c r="D1530" t="s">
        <v>13</v>
      </c>
      <c r="E1530" t="s">
        <v>61</v>
      </c>
      <c r="F1530" t="s">
        <v>2964</v>
      </c>
      <c r="H1530" t="s">
        <v>17</v>
      </c>
      <c r="I1530" t="s">
        <v>2965</v>
      </c>
    </row>
    <row r="1531" spans="1:9" hidden="1" x14ac:dyDescent="0.3">
      <c r="A1531" t="s">
        <v>1787</v>
      </c>
      <c r="B1531" t="s">
        <v>2946</v>
      </c>
      <c r="C1531" t="s">
        <v>2952</v>
      </c>
      <c r="D1531" t="s">
        <v>13</v>
      </c>
      <c r="E1531" t="s">
        <v>1039</v>
      </c>
      <c r="F1531" t="s">
        <v>2966</v>
      </c>
      <c r="H1531" t="s">
        <v>17</v>
      </c>
      <c r="I1531" t="s">
        <v>2967</v>
      </c>
    </row>
    <row r="1532" spans="1:9" hidden="1" x14ac:dyDescent="0.3">
      <c r="A1532" t="s">
        <v>1789</v>
      </c>
      <c r="B1532" t="s">
        <v>2946</v>
      </c>
      <c r="C1532" t="s">
        <v>2952</v>
      </c>
      <c r="D1532" t="s">
        <v>13</v>
      </c>
      <c r="E1532" t="s">
        <v>1043</v>
      </c>
      <c r="F1532" t="s">
        <v>2968</v>
      </c>
      <c r="H1532" t="s">
        <v>17</v>
      </c>
      <c r="I1532" t="s">
        <v>2695</v>
      </c>
    </row>
    <row r="1533" spans="1:9" hidden="1" x14ac:dyDescent="0.3">
      <c r="A1533" t="s">
        <v>1793</v>
      </c>
      <c r="B1533" t="s">
        <v>2946</v>
      </c>
      <c r="C1533" t="s">
        <v>2952</v>
      </c>
      <c r="D1533" t="s">
        <v>13</v>
      </c>
      <c r="E1533" t="s">
        <v>71</v>
      </c>
      <c r="F1533" t="s">
        <v>2969</v>
      </c>
      <c r="H1533" t="s">
        <v>17</v>
      </c>
      <c r="I1533" t="s">
        <v>2695</v>
      </c>
    </row>
    <row r="1534" spans="1:9" hidden="1" x14ac:dyDescent="0.3">
      <c r="A1534" t="s">
        <v>1795</v>
      </c>
      <c r="B1534" t="s">
        <v>2946</v>
      </c>
      <c r="C1534" t="s">
        <v>2952</v>
      </c>
      <c r="D1534" t="s">
        <v>13</v>
      </c>
      <c r="E1534" t="s">
        <v>1050</v>
      </c>
      <c r="F1534" t="s">
        <v>2970</v>
      </c>
      <c r="H1534" t="s">
        <v>17</v>
      </c>
      <c r="I1534" t="s">
        <v>2693</v>
      </c>
    </row>
    <row r="1535" spans="1:9" hidden="1" x14ac:dyDescent="0.3">
      <c r="A1535" t="s">
        <v>1798</v>
      </c>
      <c r="B1535" t="s">
        <v>2946</v>
      </c>
      <c r="C1535" t="s">
        <v>2952</v>
      </c>
      <c r="D1535" t="s">
        <v>13</v>
      </c>
      <c r="E1535" t="s">
        <v>1055</v>
      </c>
      <c r="F1535" t="s">
        <v>2971</v>
      </c>
      <c r="H1535" t="s">
        <v>17</v>
      </c>
      <c r="I1535" t="s">
        <v>2972</v>
      </c>
    </row>
    <row r="1536" spans="1:9" hidden="1" x14ac:dyDescent="0.3">
      <c r="A1536" t="s">
        <v>1801</v>
      </c>
      <c r="B1536" t="s">
        <v>2946</v>
      </c>
      <c r="C1536" t="s">
        <v>2952</v>
      </c>
      <c r="D1536" t="s">
        <v>13</v>
      </c>
      <c r="E1536" t="s">
        <v>80</v>
      </c>
      <c r="F1536" t="s">
        <v>2973</v>
      </c>
      <c r="H1536" t="s">
        <v>17</v>
      </c>
      <c r="I1536" t="s">
        <v>2974</v>
      </c>
    </row>
    <row r="1537" spans="1:9" hidden="1" x14ac:dyDescent="0.3">
      <c r="A1537" t="s">
        <v>1803</v>
      </c>
      <c r="B1537" t="s">
        <v>2946</v>
      </c>
      <c r="C1537" t="s">
        <v>2952</v>
      </c>
      <c r="D1537" t="s">
        <v>13</v>
      </c>
      <c r="E1537" t="s">
        <v>85</v>
      </c>
      <c r="F1537" t="s">
        <v>2975</v>
      </c>
      <c r="H1537" t="s">
        <v>17</v>
      </c>
      <c r="I1537" t="s">
        <v>2976</v>
      </c>
    </row>
    <row r="1538" spans="1:9" hidden="1" x14ac:dyDescent="0.3">
      <c r="A1538" t="s">
        <v>1806</v>
      </c>
      <c r="B1538" t="s">
        <v>2946</v>
      </c>
      <c r="C1538" t="s">
        <v>2952</v>
      </c>
      <c r="D1538" t="s">
        <v>13</v>
      </c>
      <c r="E1538" t="s">
        <v>90</v>
      </c>
      <c r="F1538" t="s">
        <v>2977</v>
      </c>
      <c r="H1538" t="s">
        <v>17</v>
      </c>
      <c r="I1538" t="s">
        <v>2978</v>
      </c>
    </row>
    <row r="1539" spans="1:9" hidden="1" x14ac:dyDescent="0.3">
      <c r="A1539" t="s">
        <v>1808</v>
      </c>
      <c r="B1539" t="s">
        <v>2946</v>
      </c>
      <c r="C1539" t="s">
        <v>2952</v>
      </c>
      <c r="D1539" t="s">
        <v>13</v>
      </c>
      <c r="E1539" t="s">
        <v>95</v>
      </c>
      <c r="F1539" t="s">
        <v>2979</v>
      </c>
      <c r="H1539" t="s">
        <v>17</v>
      </c>
      <c r="I1539" t="s">
        <v>414</v>
      </c>
    </row>
    <row r="1540" spans="1:9" hidden="1" x14ac:dyDescent="0.3">
      <c r="A1540" t="s">
        <v>1811</v>
      </c>
      <c r="B1540" t="s">
        <v>2946</v>
      </c>
      <c r="C1540" t="s">
        <v>2952</v>
      </c>
      <c r="D1540" t="s">
        <v>13</v>
      </c>
      <c r="E1540" t="s">
        <v>100</v>
      </c>
      <c r="F1540" t="s">
        <v>2697</v>
      </c>
      <c r="H1540" t="s">
        <v>17</v>
      </c>
      <c r="I1540" t="s">
        <v>414</v>
      </c>
    </row>
    <row r="1541" spans="1:9" hidden="1" x14ac:dyDescent="0.3">
      <c r="A1541" t="s">
        <v>1818</v>
      </c>
      <c r="B1541" t="s">
        <v>2946</v>
      </c>
      <c r="C1541" t="s">
        <v>2952</v>
      </c>
      <c r="D1541" t="s">
        <v>13</v>
      </c>
      <c r="E1541" t="s">
        <v>106</v>
      </c>
      <c r="F1541" t="s">
        <v>2980</v>
      </c>
      <c r="H1541" t="s">
        <v>17</v>
      </c>
      <c r="I1541" t="s">
        <v>2981</v>
      </c>
    </row>
    <row r="1542" spans="1:9" hidden="1" x14ac:dyDescent="0.3">
      <c r="A1542" t="s">
        <v>1820</v>
      </c>
      <c r="B1542" t="s">
        <v>2946</v>
      </c>
      <c r="C1542" t="s">
        <v>2982</v>
      </c>
      <c r="D1542" t="s">
        <v>13</v>
      </c>
      <c r="E1542" t="s">
        <v>111</v>
      </c>
      <c r="F1542" t="s">
        <v>2983</v>
      </c>
      <c r="H1542" t="s">
        <v>17</v>
      </c>
      <c r="I1542" t="s">
        <v>2984</v>
      </c>
    </row>
    <row r="1543" spans="1:9" hidden="1" x14ac:dyDescent="0.3">
      <c r="A1543" t="s">
        <v>1822</v>
      </c>
      <c r="B1543" t="s">
        <v>2946</v>
      </c>
      <c r="C1543" t="s">
        <v>2982</v>
      </c>
      <c r="D1543" t="s">
        <v>13</v>
      </c>
      <c r="E1543" t="s">
        <v>114</v>
      </c>
      <c r="F1543" t="s">
        <v>2985</v>
      </c>
      <c r="H1543" t="s">
        <v>17</v>
      </c>
      <c r="I1543" t="s">
        <v>2984</v>
      </c>
    </row>
    <row r="1544" spans="1:9" hidden="1" x14ac:dyDescent="0.3">
      <c r="A1544" t="s">
        <v>1824</v>
      </c>
      <c r="B1544" t="s">
        <v>2946</v>
      </c>
      <c r="C1544" t="s">
        <v>2982</v>
      </c>
      <c r="D1544" t="s">
        <v>13</v>
      </c>
      <c r="E1544" t="s">
        <v>117</v>
      </c>
      <c r="F1544" t="s">
        <v>2986</v>
      </c>
      <c r="H1544" t="s">
        <v>17</v>
      </c>
      <c r="I1544" t="s">
        <v>2984</v>
      </c>
    </row>
    <row r="1545" spans="1:9" hidden="1" x14ac:dyDescent="0.3">
      <c r="A1545" t="s">
        <v>1826</v>
      </c>
      <c r="B1545" t="s">
        <v>2946</v>
      </c>
      <c r="C1545" t="s">
        <v>2982</v>
      </c>
      <c r="D1545" t="s">
        <v>13</v>
      </c>
      <c r="E1545" t="s">
        <v>121</v>
      </c>
      <c r="F1545" t="s">
        <v>2987</v>
      </c>
      <c r="H1545" t="s">
        <v>17</v>
      </c>
      <c r="I1545" t="s">
        <v>2984</v>
      </c>
    </row>
    <row r="1546" spans="1:9" hidden="1" x14ac:dyDescent="0.3">
      <c r="A1546" t="s">
        <v>1828</v>
      </c>
      <c r="B1546" t="s">
        <v>2946</v>
      </c>
      <c r="C1546" t="s">
        <v>2982</v>
      </c>
      <c r="D1546" t="s">
        <v>13</v>
      </c>
      <c r="E1546" t="s">
        <v>126</v>
      </c>
      <c r="F1546" t="s">
        <v>2988</v>
      </c>
      <c r="H1546" t="s">
        <v>17</v>
      </c>
      <c r="I1546" t="s">
        <v>2984</v>
      </c>
    </row>
    <row r="1547" spans="1:9" hidden="1" x14ac:dyDescent="0.3">
      <c r="A1547" t="s">
        <v>1831</v>
      </c>
      <c r="B1547" t="s">
        <v>2946</v>
      </c>
      <c r="C1547" t="s">
        <v>2982</v>
      </c>
      <c r="D1547" t="s">
        <v>13</v>
      </c>
      <c r="E1547" t="s">
        <v>129</v>
      </c>
      <c r="F1547" t="s">
        <v>2989</v>
      </c>
      <c r="H1547" t="s">
        <v>17</v>
      </c>
      <c r="I1547" t="s">
        <v>2984</v>
      </c>
    </row>
    <row r="1548" spans="1:9" hidden="1" x14ac:dyDescent="0.3">
      <c r="A1548" t="s">
        <v>1833</v>
      </c>
      <c r="B1548" t="s">
        <v>2946</v>
      </c>
      <c r="C1548" t="s">
        <v>2982</v>
      </c>
      <c r="D1548" t="s">
        <v>13</v>
      </c>
      <c r="E1548" t="s">
        <v>132</v>
      </c>
      <c r="F1548" t="s">
        <v>2990</v>
      </c>
      <c r="H1548" t="s">
        <v>17</v>
      </c>
      <c r="I1548" t="s">
        <v>2991</v>
      </c>
    </row>
    <row r="1549" spans="1:9" hidden="1" x14ac:dyDescent="0.3">
      <c r="A1549" t="s">
        <v>1838</v>
      </c>
      <c r="B1549" t="s">
        <v>2946</v>
      </c>
      <c r="C1549" t="s">
        <v>2982</v>
      </c>
      <c r="D1549" t="s">
        <v>13</v>
      </c>
      <c r="E1549" t="s">
        <v>135</v>
      </c>
      <c r="F1549" t="s">
        <v>2992</v>
      </c>
      <c r="H1549" t="s">
        <v>17</v>
      </c>
      <c r="I1549" t="s">
        <v>2991</v>
      </c>
    </row>
    <row r="1550" spans="1:9" hidden="1" x14ac:dyDescent="0.3">
      <c r="A1550" t="s">
        <v>1840</v>
      </c>
      <c r="B1550" t="s">
        <v>2946</v>
      </c>
      <c r="C1550" t="s">
        <v>2993</v>
      </c>
      <c r="D1550" t="s">
        <v>13</v>
      </c>
      <c r="E1550" t="s">
        <v>138</v>
      </c>
      <c r="F1550" t="s">
        <v>2994</v>
      </c>
      <c r="H1550" t="s">
        <v>17</v>
      </c>
      <c r="I1550" t="s">
        <v>2995</v>
      </c>
    </row>
    <row r="1551" spans="1:9" hidden="1" x14ac:dyDescent="0.3">
      <c r="A1551" t="s">
        <v>1843</v>
      </c>
      <c r="B1551" t="s">
        <v>2946</v>
      </c>
      <c r="C1551" t="s">
        <v>2993</v>
      </c>
      <c r="D1551" t="s">
        <v>13</v>
      </c>
      <c r="E1551" t="s">
        <v>141</v>
      </c>
      <c r="F1551" t="s">
        <v>2996</v>
      </c>
      <c r="H1551" t="s">
        <v>17</v>
      </c>
      <c r="I1551" t="s">
        <v>2995</v>
      </c>
    </row>
    <row r="1552" spans="1:9" hidden="1" x14ac:dyDescent="0.3">
      <c r="A1552" t="s">
        <v>1847</v>
      </c>
      <c r="B1552" t="s">
        <v>2946</v>
      </c>
      <c r="C1552" t="s">
        <v>2993</v>
      </c>
      <c r="D1552" t="s">
        <v>13</v>
      </c>
      <c r="E1552" t="s">
        <v>144</v>
      </c>
      <c r="F1552" t="s">
        <v>2997</v>
      </c>
      <c r="H1552" t="s">
        <v>17</v>
      </c>
      <c r="I1552" t="s">
        <v>2995</v>
      </c>
    </row>
    <row r="1553" spans="1:9" hidden="1" x14ac:dyDescent="0.3">
      <c r="A1553" t="s">
        <v>1849</v>
      </c>
      <c r="B1553" t="s">
        <v>2946</v>
      </c>
      <c r="C1553" t="s">
        <v>2993</v>
      </c>
      <c r="D1553" t="s">
        <v>13</v>
      </c>
      <c r="E1553" t="s">
        <v>147</v>
      </c>
      <c r="F1553" t="s">
        <v>2998</v>
      </c>
      <c r="H1553" t="s">
        <v>17</v>
      </c>
      <c r="I1553" t="s">
        <v>2995</v>
      </c>
    </row>
    <row r="1554" spans="1:9" hidden="1" x14ac:dyDescent="0.3">
      <c r="A1554" t="s">
        <v>1851</v>
      </c>
      <c r="B1554" t="s">
        <v>2946</v>
      </c>
      <c r="C1554" t="s">
        <v>2993</v>
      </c>
      <c r="D1554" t="s">
        <v>13</v>
      </c>
      <c r="E1554" t="s">
        <v>152</v>
      </c>
      <c r="F1554" t="s">
        <v>2999</v>
      </c>
      <c r="H1554" t="s">
        <v>17</v>
      </c>
      <c r="I1554" t="s">
        <v>2995</v>
      </c>
    </row>
    <row r="1555" spans="1:9" hidden="1" x14ac:dyDescent="0.3">
      <c r="A1555" t="s">
        <v>1853</v>
      </c>
      <c r="B1555" t="s">
        <v>2946</v>
      </c>
      <c r="C1555" t="s">
        <v>2993</v>
      </c>
      <c r="D1555" t="s">
        <v>13</v>
      </c>
      <c r="E1555" t="s">
        <v>157</v>
      </c>
      <c r="F1555" t="s">
        <v>3000</v>
      </c>
      <c r="H1555" t="s">
        <v>17</v>
      </c>
      <c r="I1555" t="s">
        <v>2995</v>
      </c>
    </row>
    <row r="1556" spans="1:9" hidden="1" x14ac:dyDescent="0.3">
      <c r="A1556" t="s">
        <v>1855</v>
      </c>
      <c r="B1556" t="s">
        <v>2946</v>
      </c>
      <c r="C1556" t="s">
        <v>2993</v>
      </c>
      <c r="D1556" t="s">
        <v>13</v>
      </c>
      <c r="E1556" t="s">
        <v>162</v>
      </c>
      <c r="F1556" t="s">
        <v>3001</v>
      </c>
      <c r="H1556" t="s">
        <v>17</v>
      </c>
      <c r="I1556" t="s">
        <v>2995</v>
      </c>
    </row>
    <row r="1557" spans="1:9" hidden="1" x14ac:dyDescent="0.3">
      <c r="A1557" t="s">
        <v>1857</v>
      </c>
      <c r="B1557" t="s">
        <v>2946</v>
      </c>
      <c r="C1557" t="s">
        <v>2993</v>
      </c>
      <c r="D1557" t="s">
        <v>13</v>
      </c>
      <c r="E1557" t="s">
        <v>167</v>
      </c>
      <c r="F1557" t="s">
        <v>3002</v>
      </c>
      <c r="H1557" t="s">
        <v>17</v>
      </c>
      <c r="I1557" t="s">
        <v>2995</v>
      </c>
    </row>
    <row r="1558" spans="1:9" hidden="1" x14ac:dyDescent="0.3">
      <c r="A1558" t="s">
        <v>1859</v>
      </c>
      <c r="B1558" t="s">
        <v>2946</v>
      </c>
      <c r="C1558" t="s">
        <v>2993</v>
      </c>
      <c r="D1558" t="s">
        <v>13</v>
      </c>
      <c r="E1558" t="s">
        <v>172</v>
      </c>
      <c r="F1558" t="s">
        <v>3003</v>
      </c>
      <c r="H1558" t="s">
        <v>17</v>
      </c>
      <c r="I1558" t="s">
        <v>2995</v>
      </c>
    </row>
    <row r="1559" spans="1:9" hidden="1" x14ac:dyDescent="0.3">
      <c r="A1559" t="s">
        <v>1861</v>
      </c>
      <c r="B1559" t="s">
        <v>2946</v>
      </c>
      <c r="C1559" t="s">
        <v>2993</v>
      </c>
      <c r="D1559" t="s">
        <v>13</v>
      </c>
      <c r="E1559" t="s">
        <v>177</v>
      </c>
      <c r="F1559" t="s">
        <v>3004</v>
      </c>
      <c r="H1559" t="s">
        <v>17</v>
      </c>
      <c r="I1559" t="s">
        <v>2995</v>
      </c>
    </row>
    <row r="1560" spans="1:9" hidden="1" x14ac:dyDescent="0.3">
      <c r="A1560" t="s">
        <v>1863</v>
      </c>
      <c r="B1560" t="s">
        <v>2946</v>
      </c>
      <c r="C1560" t="s">
        <v>2993</v>
      </c>
      <c r="D1560" t="s">
        <v>13</v>
      </c>
      <c r="E1560" t="s">
        <v>182</v>
      </c>
      <c r="F1560" t="s">
        <v>3005</v>
      </c>
      <c r="H1560" t="s">
        <v>17</v>
      </c>
      <c r="I1560" t="s">
        <v>414</v>
      </c>
    </row>
    <row r="1561" spans="1:9" hidden="1" x14ac:dyDescent="0.3">
      <c r="A1561" t="s">
        <v>1867</v>
      </c>
      <c r="B1561" t="s">
        <v>2946</v>
      </c>
      <c r="C1561" t="s">
        <v>2993</v>
      </c>
      <c r="D1561" t="s">
        <v>13</v>
      </c>
      <c r="E1561" t="s">
        <v>187</v>
      </c>
      <c r="F1561" t="s">
        <v>3006</v>
      </c>
      <c r="H1561" t="s">
        <v>17</v>
      </c>
      <c r="I1561" t="s">
        <v>3007</v>
      </c>
    </row>
    <row r="1562" spans="1:9" hidden="1" x14ac:dyDescent="0.3">
      <c r="A1562" t="s">
        <v>1869</v>
      </c>
      <c r="B1562" t="s">
        <v>2946</v>
      </c>
      <c r="C1562" t="s">
        <v>3008</v>
      </c>
      <c r="D1562" t="s">
        <v>13</v>
      </c>
      <c r="E1562" t="s">
        <v>193</v>
      </c>
      <c r="F1562" t="s">
        <v>3009</v>
      </c>
      <c r="H1562" t="s">
        <v>17</v>
      </c>
      <c r="I1562" t="s">
        <v>2995</v>
      </c>
    </row>
    <row r="1563" spans="1:9" hidden="1" x14ac:dyDescent="0.3">
      <c r="A1563" t="s">
        <v>1871</v>
      </c>
      <c r="B1563" t="s">
        <v>2946</v>
      </c>
      <c r="C1563" t="s">
        <v>3008</v>
      </c>
      <c r="D1563" t="s">
        <v>13</v>
      </c>
      <c r="E1563" t="s">
        <v>198</v>
      </c>
      <c r="F1563" t="s">
        <v>3010</v>
      </c>
      <c r="H1563" t="s">
        <v>17</v>
      </c>
      <c r="I1563" t="s">
        <v>2995</v>
      </c>
    </row>
    <row r="1564" spans="1:9" hidden="1" x14ac:dyDescent="0.3">
      <c r="A1564" t="s">
        <v>1873</v>
      </c>
      <c r="B1564" t="s">
        <v>2946</v>
      </c>
      <c r="C1564" t="s">
        <v>3008</v>
      </c>
      <c r="D1564" t="s">
        <v>13</v>
      </c>
      <c r="E1564" t="s">
        <v>202</v>
      </c>
      <c r="F1564" t="s">
        <v>3011</v>
      </c>
      <c r="H1564" t="s">
        <v>17</v>
      </c>
      <c r="I1564" t="s">
        <v>2995</v>
      </c>
    </row>
    <row r="1565" spans="1:9" hidden="1" x14ac:dyDescent="0.3">
      <c r="A1565" t="s">
        <v>1875</v>
      </c>
      <c r="B1565" t="s">
        <v>2946</v>
      </c>
      <c r="C1565" t="s">
        <v>3008</v>
      </c>
      <c r="D1565" t="s">
        <v>13</v>
      </c>
      <c r="E1565" t="s">
        <v>206</v>
      </c>
      <c r="F1565" t="s">
        <v>3012</v>
      </c>
      <c r="H1565" t="s">
        <v>17</v>
      </c>
      <c r="I1565" t="s">
        <v>2995</v>
      </c>
    </row>
    <row r="1566" spans="1:9" hidden="1" x14ac:dyDescent="0.3">
      <c r="A1566" t="s">
        <v>1878</v>
      </c>
      <c r="B1566" t="s">
        <v>2946</v>
      </c>
      <c r="C1566" t="s">
        <v>3008</v>
      </c>
      <c r="D1566" t="s">
        <v>13</v>
      </c>
      <c r="E1566" t="s">
        <v>210</v>
      </c>
      <c r="F1566" t="s">
        <v>3013</v>
      </c>
      <c r="H1566" t="s">
        <v>17</v>
      </c>
      <c r="I1566" t="s">
        <v>2995</v>
      </c>
    </row>
    <row r="1567" spans="1:9" hidden="1" x14ac:dyDescent="0.3">
      <c r="A1567" t="s">
        <v>1882</v>
      </c>
      <c r="B1567" t="s">
        <v>2946</v>
      </c>
      <c r="C1567" t="s">
        <v>3008</v>
      </c>
      <c r="D1567" t="s">
        <v>13</v>
      </c>
      <c r="E1567" t="s">
        <v>214</v>
      </c>
      <c r="F1567" t="s">
        <v>3014</v>
      </c>
      <c r="H1567" t="s">
        <v>17</v>
      </c>
      <c r="I1567" t="s">
        <v>3015</v>
      </c>
    </row>
    <row r="1568" spans="1:9" hidden="1" x14ac:dyDescent="0.3">
      <c r="A1568" t="s">
        <v>1886</v>
      </c>
      <c r="B1568" t="s">
        <v>2946</v>
      </c>
      <c r="C1568" t="s">
        <v>3008</v>
      </c>
      <c r="D1568" t="s">
        <v>13</v>
      </c>
      <c r="E1568" t="s">
        <v>218</v>
      </c>
      <c r="F1568" t="s">
        <v>3016</v>
      </c>
      <c r="H1568" t="s">
        <v>17</v>
      </c>
      <c r="I1568" t="s">
        <v>3017</v>
      </c>
    </row>
    <row r="1569" spans="1:9" hidden="1" x14ac:dyDescent="0.3">
      <c r="A1569" t="s">
        <v>1889</v>
      </c>
      <c r="B1569" t="s">
        <v>2946</v>
      </c>
      <c r="C1569" t="s">
        <v>3008</v>
      </c>
      <c r="D1569" t="s">
        <v>13</v>
      </c>
      <c r="E1569" t="s">
        <v>223</v>
      </c>
      <c r="F1569" t="s">
        <v>3018</v>
      </c>
      <c r="H1569" t="s">
        <v>17</v>
      </c>
      <c r="I1569" t="s">
        <v>3019</v>
      </c>
    </row>
    <row r="1570" spans="1:9" hidden="1" x14ac:dyDescent="0.3">
      <c r="A1570" t="s">
        <v>1896</v>
      </c>
      <c r="B1570" t="s">
        <v>2946</v>
      </c>
      <c r="C1570" t="s">
        <v>3008</v>
      </c>
      <c r="D1570" t="s">
        <v>13</v>
      </c>
      <c r="E1570" t="s">
        <v>228</v>
      </c>
      <c r="F1570" t="s">
        <v>3020</v>
      </c>
      <c r="H1570" t="s">
        <v>17</v>
      </c>
      <c r="I1570" t="s">
        <v>3021</v>
      </c>
    </row>
    <row r="1571" spans="1:9" hidden="1" x14ac:dyDescent="0.3">
      <c r="A1571" t="s">
        <v>1898</v>
      </c>
      <c r="B1571" t="s">
        <v>2946</v>
      </c>
      <c r="C1571" t="s">
        <v>3008</v>
      </c>
      <c r="D1571" t="s">
        <v>13</v>
      </c>
      <c r="E1571" t="s">
        <v>233</v>
      </c>
      <c r="F1571" t="s">
        <v>3022</v>
      </c>
      <c r="H1571" t="s">
        <v>17</v>
      </c>
      <c r="I1571" t="s">
        <v>2991</v>
      </c>
    </row>
    <row r="1572" spans="1:9" hidden="1" x14ac:dyDescent="0.3">
      <c r="A1572" t="s">
        <v>1901</v>
      </c>
      <c r="B1572" t="s">
        <v>2946</v>
      </c>
      <c r="C1572" t="s">
        <v>3008</v>
      </c>
      <c r="D1572" t="s">
        <v>13</v>
      </c>
      <c r="E1572" t="s">
        <v>236</v>
      </c>
      <c r="F1572" t="s">
        <v>3023</v>
      </c>
      <c r="H1572" t="s">
        <v>17</v>
      </c>
      <c r="I1572" t="s">
        <v>2991</v>
      </c>
    </row>
    <row r="1573" spans="1:9" hidden="1" x14ac:dyDescent="0.3">
      <c r="A1573" t="s">
        <v>1903</v>
      </c>
      <c r="B1573" t="s">
        <v>2946</v>
      </c>
      <c r="C1573" t="s">
        <v>3008</v>
      </c>
      <c r="D1573" t="s">
        <v>13</v>
      </c>
      <c r="E1573" t="s">
        <v>239</v>
      </c>
      <c r="F1573" t="s">
        <v>3024</v>
      </c>
      <c r="H1573" t="s">
        <v>17</v>
      </c>
      <c r="I1573" t="s">
        <v>2991</v>
      </c>
    </row>
    <row r="1574" spans="1:9" hidden="1" x14ac:dyDescent="0.3">
      <c r="A1574" t="s">
        <v>1905</v>
      </c>
      <c r="B1574" t="s">
        <v>2946</v>
      </c>
      <c r="C1574" t="s">
        <v>3008</v>
      </c>
      <c r="D1574" t="s">
        <v>13</v>
      </c>
      <c r="E1574" t="s">
        <v>1881</v>
      </c>
      <c r="F1574" t="s">
        <v>3025</v>
      </c>
      <c r="H1574" t="s">
        <v>17</v>
      </c>
      <c r="I1574" t="s">
        <v>2991</v>
      </c>
    </row>
    <row r="1575" spans="1:9" hidden="1" x14ac:dyDescent="0.3">
      <c r="A1575" t="s">
        <v>1907</v>
      </c>
      <c r="B1575" t="s">
        <v>2946</v>
      </c>
      <c r="C1575" t="s">
        <v>3008</v>
      </c>
      <c r="D1575" t="s">
        <v>13</v>
      </c>
      <c r="E1575" t="s">
        <v>1885</v>
      </c>
      <c r="F1575" t="s">
        <v>3026</v>
      </c>
      <c r="H1575" t="s">
        <v>17</v>
      </c>
      <c r="I1575" t="s">
        <v>2991</v>
      </c>
    </row>
    <row r="1576" spans="1:9" hidden="1" x14ac:dyDescent="0.3">
      <c r="A1576" t="s">
        <v>1909</v>
      </c>
      <c r="B1576" t="s">
        <v>2946</v>
      </c>
      <c r="C1576" t="s">
        <v>3008</v>
      </c>
      <c r="D1576" t="s">
        <v>13</v>
      </c>
      <c r="E1576" t="s">
        <v>1588</v>
      </c>
      <c r="F1576" t="s">
        <v>2707</v>
      </c>
      <c r="H1576" t="s">
        <v>17</v>
      </c>
      <c r="I1576" t="s">
        <v>2708</v>
      </c>
    </row>
    <row r="1577" spans="1:9" hidden="1" x14ac:dyDescent="0.3">
      <c r="A1577" t="s">
        <v>1911</v>
      </c>
      <c r="B1577" t="s">
        <v>2946</v>
      </c>
      <c r="C1577" t="s">
        <v>3008</v>
      </c>
      <c r="D1577" t="s">
        <v>13</v>
      </c>
      <c r="E1577" t="s">
        <v>1892</v>
      </c>
      <c r="F1577" t="s">
        <v>2709</v>
      </c>
      <c r="H1577" t="s">
        <v>17</v>
      </c>
      <c r="I1577" t="s">
        <v>3027</v>
      </c>
    </row>
    <row r="1578" spans="1:9" hidden="1" x14ac:dyDescent="0.3">
      <c r="A1578" t="s">
        <v>1914</v>
      </c>
      <c r="B1578" t="s">
        <v>2946</v>
      </c>
      <c r="C1578" t="s">
        <v>3008</v>
      </c>
      <c r="D1578" t="s">
        <v>13</v>
      </c>
      <c r="E1578" t="s">
        <v>1146</v>
      </c>
      <c r="F1578" t="s">
        <v>3028</v>
      </c>
      <c r="H1578" t="s">
        <v>17</v>
      </c>
      <c r="I1578" t="s">
        <v>3029</v>
      </c>
    </row>
    <row r="1579" spans="1:9" hidden="1" x14ac:dyDescent="0.3">
      <c r="A1579" t="s">
        <v>1917</v>
      </c>
      <c r="B1579" t="s">
        <v>2946</v>
      </c>
      <c r="C1579" t="s">
        <v>3008</v>
      </c>
      <c r="D1579" t="s">
        <v>13</v>
      </c>
      <c r="E1579" t="s">
        <v>1150</v>
      </c>
      <c r="F1579" t="s">
        <v>2714</v>
      </c>
      <c r="H1579" t="s">
        <v>17</v>
      </c>
      <c r="I1579" t="s">
        <v>3029</v>
      </c>
    </row>
    <row r="1580" spans="1:9" hidden="1" x14ac:dyDescent="0.3">
      <c r="A1580" t="s">
        <v>3032</v>
      </c>
      <c r="B1580" t="s">
        <v>2946</v>
      </c>
      <c r="C1580" t="s">
        <v>3008</v>
      </c>
      <c r="D1580" t="s">
        <v>13</v>
      </c>
      <c r="E1580" t="s">
        <v>1154</v>
      </c>
      <c r="F1580" t="s">
        <v>3030</v>
      </c>
      <c r="H1580" t="s">
        <v>17</v>
      </c>
      <c r="I1580" t="s">
        <v>3031</v>
      </c>
    </row>
    <row r="1581" spans="1:9" hidden="1" x14ac:dyDescent="0.3">
      <c r="A1581" t="s">
        <v>1919</v>
      </c>
      <c r="B1581" t="s">
        <v>2946</v>
      </c>
      <c r="C1581" t="s">
        <v>3008</v>
      </c>
      <c r="D1581" t="s">
        <v>13</v>
      </c>
      <c r="E1581" t="s">
        <v>1158</v>
      </c>
      <c r="F1581" t="s">
        <v>3033</v>
      </c>
      <c r="H1581" t="s">
        <v>17</v>
      </c>
      <c r="I1581" t="s">
        <v>3031</v>
      </c>
    </row>
    <row r="1582" spans="1:9" hidden="1" x14ac:dyDescent="0.3">
      <c r="A1582" t="s">
        <v>1921</v>
      </c>
      <c r="B1582" t="s">
        <v>2946</v>
      </c>
      <c r="C1582" t="s">
        <v>3008</v>
      </c>
      <c r="D1582" t="s">
        <v>13</v>
      </c>
      <c r="E1582" t="s">
        <v>1162</v>
      </c>
      <c r="F1582" t="s">
        <v>3034</v>
      </c>
      <c r="H1582" t="s">
        <v>17</v>
      </c>
      <c r="I1582" t="s">
        <v>3035</v>
      </c>
    </row>
    <row r="1583" spans="1:9" hidden="1" x14ac:dyDescent="0.3">
      <c r="A1583" t="s">
        <v>1925</v>
      </c>
      <c r="B1583" t="s">
        <v>2946</v>
      </c>
      <c r="C1583" t="s">
        <v>3008</v>
      </c>
      <c r="D1583" t="s">
        <v>13</v>
      </c>
      <c r="E1583" t="s">
        <v>1165</v>
      </c>
      <c r="F1583" t="s">
        <v>3036</v>
      </c>
      <c r="H1583" t="s">
        <v>17</v>
      </c>
      <c r="I1583" t="s">
        <v>3035</v>
      </c>
    </row>
    <row r="1584" spans="1:9" hidden="1" x14ac:dyDescent="0.3">
      <c r="A1584" t="s">
        <v>1927</v>
      </c>
      <c r="B1584" t="s">
        <v>2946</v>
      </c>
      <c r="C1584" t="s">
        <v>3037</v>
      </c>
      <c r="D1584" t="s">
        <v>13</v>
      </c>
      <c r="E1584" t="s">
        <v>1168</v>
      </c>
      <c r="F1584" t="s">
        <v>3038</v>
      </c>
      <c r="H1584" t="s">
        <v>17</v>
      </c>
      <c r="I1584" t="s">
        <v>3039</v>
      </c>
    </row>
    <row r="1585" spans="1:9" hidden="1" x14ac:dyDescent="0.3">
      <c r="A1585" t="s">
        <v>1929</v>
      </c>
      <c r="B1585" t="s">
        <v>2946</v>
      </c>
      <c r="C1585" t="s">
        <v>3037</v>
      </c>
      <c r="D1585" t="s">
        <v>13</v>
      </c>
      <c r="E1585" t="s">
        <v>1172</v>
      </c>
      <c r="F1585" t="s">
        <v>3040</v>
      </c>
      <c r="H1585" t="s">
        <v>17</v>
      </c>
      <c r="I1585" t="s">
        <v>3039</v>
      </c>
    </row>
    <row r="1586" spans="1:9" hidden="1" x14ac:dyDescent="0.3">
      <c r="A1586" t="s">
        <v>1931</v>
      </c>
      <c r="B1586" t="s">
        <v>2946</v>
      </c>
      <c r="C1586" t="s">
        <v>3037</v>
      </c>
      <c r="D1586" t="s">
        <v>13</v>
      </c>
      <c r="E1586" t="s">
        <v>1176</v>
      </c>
      <c r="F1586" t="s">
        <v>3041</v>
      </c>
      <c r="H1586" t="s">
        <v>17</v>
      </c>
      <c r="I1586" t="s">
        <v>3039</v>
      </c>
    </row>
    <row r="1587" spans="1:9" hidden="1" x14ac:dyDescent="0.3">
      <c r="A1587" t="s">
        <v>1933</v>
      </c>
      <c r="B1587" t="s">
        <v>2946</v>
      </c>
      <c r="C1587" t="s">
        <v>3037</v>
      </c>
      <c r="D1587" t="s">
        <v>13</v>
      </c>
      <c r="E1587" t="s">
        <v>1179</v>
      </c>
      <c r="F1587" t="s">
        <v>3042</v>
      </c>
      <c r="H1587" t="s">
        <v>17</v>
      </c>
      <c r="I1587" t="s">
        <v>3039</v>
      </c>
    </row>
    <row r="1588" spans="1:9" hidden="1" x14ac:dyDescent="0.3">
      <c r="A1588" t="s">
        <v>3044</v>
      </c>
      <c r="B1588" t="s">
        <v>2946</v>
      </c>
      <c r="C1588" t="s">
        <v>3037</v>
      </c>
      <c r="D1588" t="s">
        <v>13</v>
      </c>
      <c r="E1588" t="s">
        <v>1184</v>
      </c>
      <c r="F1588" t="s">
        <v>3043</v>
      </c>
      <c r="H1588" t="s">
        <v>17</v>
      </c>
      <c r="I1588" t="s">
        <v>3039</v>
      </c>
    </row>
    <row r="1589" spans="1:9" hidden="1" x14ac:dyDescent="0.3">
      <c r="A1589" t="s">
        <v>3047</v>
      </c>
      <c r="B1589" t="s">
        <v>2946</v>
      </c>
      <c r="C1589" t="s">
        <v>3037</v>
      </c>
      <c r="D1589" t="s">
        <v>13</v>
      </c>
      <c r="E1589" t="s">
        <v>1189</v>
      </c>
      <c r="F1589" t="s">
        <v>3045</v>
      </c>
      <c r="H1589" t="s">
        <v>17</v>
      </c>
      <c r="I1589" t="s">
        <v>3039</v>
      </c>
    </row>
    <row r="1590" spans="1:9" hidden="1" x14ac:dyDescent="0.3">
      <c r="A1590" t="s">
        <v>3049</v>
      </c>
      <c r="B1590" t="s">
        <v>2946</v>
      </c>
      <c r="C1590" t="s">
        <v>3046</v>
      </c>
      <c r="D1590" t="s">
        <v>13</v>
      </c>
      <c r="E1590" t="s">
        <v>1193</v>
      </c>
      <c r="F1590" t="s">
        <v>3048</v>
      </c>
      <c r="H1590" t="s">
        <v>17</v>
      </c>
      <c r="I1590" t="s">
        <v>2724</v>
      </c>
    </row>
    <row r="1591" spans="1:9" hidden="1" x14ac:dyDescent="0.3">
      <c r="A1591" t="s">
        <v>3051</v>
      </c>
      <c r="B1591" t="s">
        <v>2946</v>
      </c>
      <c r="C1591" t="s">
        <v>3046</v>
      </c>
      <c r="D1591" t="s">
        <v>13</v>
      </c>
      <c r="E1591" t="s">
        <v>1197</v>
      </c>
      <c r="F1591" t="s">
        <v>3050</v>
      </c>
      <c r="H1591" t="s">
        <v>17</v>
      </c>
      <c r="I1591" t="s">
        <v>2724</v>
      </c>
    </row>
    <row r="1592" spans="1:9" hidden="1" x14ac:dyDescent="0.3">
      <c r="A1592" t="s">
        <v>3053</v>
      </c>
      <c r="B1592" t="s">
        <v>2946</v>
      </c>
      <c r="C1592" t="s">
        <v>3046</v>
      </c>
      <c r="D1592" t="s">
        <v>13</v>
      </c>
      <c r="E1592" t="s">
        <v>1201</v>
      </c>
      <c r="F1592" t="s">
        <v>3052</v>
      </c>
      <c r="H1592" t="s">
        <v>17</v>
      </c>
      <c r="I1592" t="s">
        <v>2724</v>
      </c>
    </row>
    <row r="1593" spans="1:9" hidden="1" x14ac:dyDescent="0.3">
      <c r="A1593" t="s">
        <v>3055</v>
      </c>
      <c r="B1593" t="s">
        <v>2946</v>
      </c>
      <c r="C1593" t="s">
        <v>3046</v>
      </c>
      <c r="D1593" t="s">
        <v>13</v>
      </c>
      <c r="E1593" t="s">
        <v>1213</v>
      </c>
      <c r="F1593" t="s">
        <v>3054</v>
      </c>
      <c r="H1593" t="s">
        <v>17</v>
      </c>
      <c r="I1593" t="s">
        <v>2724</v>
      </c>
    </row>
    <row r="1594" spans="1:9" hidden="1" x14ac:dyDescent="0.3">
      <c r="A1594" t="s">
        <v>3057</v>
      </c>
      <c r="B1594" t="s">
        <v>2946</v>
      </c>
      <c r="C1594" t="s">
        <v>3046</v>
      </c>
      <c r="D1594" t="s">
        <v>13</v>
      </c>
      <c r="E1594" t="s">
        <v>1209</v>
      </c>
      <c r="F1594" t="s">
        <v>3056</v>
      </c>
      <c r="H1594" t="s">
        <v>17</v>
      </c>
      <c r="I1594" t="s">
        <v>2724</v>
      </c>
    </row>
    <row r="1595" spans="1:9" hidden="1" x14ac:dyDescent="0.3">
      <c r="A1595" t="s">
        <v>3059</v>
      </c>
      <c r="B1595" t="s">
        <v>2946</v>
      </c>
      <c r="C1595" t="s">
        <v>3046</v>
      </c>
      <c r="D1595" t="s">
        <v>13</v>
      </c>
      <c r="E1595" t="s">
        <v>1213</v>
      </c>
      <c r="F1595" t="s">
        <v>3058</v>
      </c>
      <c r="H1595" t="s">
        <v>17</v>
      </c>
      <c r="I1595" t="s">
        <v>2724</v>
      </c>
    </row>
    <row r="1596" spans="1:9" hidden="1" x14ac:dyDescent="0.3">
      <c r="A1596" t="s">
        <v>3061</v>
      </c>
      <c r="B1596" t="s">
        <v>2946</v>
      </c>
      <c r="C1596" t="s">
        <v>3046</v>
      </c>
      <c r="D1596" t="s">
        <v>13</v>
      </c>
      <c r="E1596" t="s">
        <v>1219</v>
      </c>
      <c r="F1596" t="s">
        <v>3060</v>
      </c>
      <c r="H1596" t="s">
        <v>17</v>
      </c>
      <c r="I1596" t="s">
        <v>2724</v>
      </c>
    </row>
    <row r="1597" spans="1:9" hidden="1" x14ac:dyDescent="0.3">
      <c r="A1597" t="s">
        <v>3064</v>
      </c>
      <c r="B1597" t="s">
        <v>2946</v>
      </c>
      <c r="C1597" t="s">
        <v>3046</v>
      </c>
      <c r="D1597" t="s">
        <v>13</v>
      </c>
      <c r="E1597" t="s">
        <v>1224</v>
      </c>
      <c r="F1597" t="s">
        <v>3062</v>
      </c>
      <c r="H1597" t="s">
        <v>17</v>
      </c>
      <c r="I1597" t="s">
        <v>3063</v>
      </c>
    </row>
    <row r="1598" spans="1:9" hidden="1" x14ac:dyDescent="0.3">
      <c r="A1598" t="s">
        <v>3067</v>
      </c>
      <c r="B1598" t="s">
        <v>2946</v>
      </c>
      <c r="C1598" t="s">
        <v>3046</v>
      </c>
      <c r="D1598" t="s">
        <v>13</v>
      </c>
      <c r="E1598" t="s">
        <v>1228</v>
      </c>
      <c r="F1598" t="s">
        <v>3065</v>
      </c>
      <c r="H1598" t="s">
        <v>17</v>
      </c>
      <c r="I1598" t="s">
        <v>3066</v>
      </c>
    </row>
    <row r="1599" spans="1:9" hidden="1" x14ac:dyDescent="0.3">
      <c r="A1599" t="s">
        <v>3069</v>
      </c>
      <c r="B1599" t="s">
        <v>2946</v>
      </c>
      <c r="C1599" t="s">
        <v>3046</v>
      </c>
      <c r="D1599" t="s">
        <v>13</v>
      </c>
      <c r="E1599" t="s">
        <v>1232</v>
      </c>
      <c r="F1599" t="s">
        <v>3068</v>
      </c>
      <c r="H1599" t="s">
        <v>17</v>
      </c>
      <c r="I1599" t="s">
        <v>3066</v>
      </c>
    </row>
    <row r="1600" spans="1:9" hidden="1" x14ac:dyDescent="0.3">
      <c r="A1600" t="s">
        <v>3073</v>
      </c>
      <c r="B1600" t="s">
        <v>2946</v>
      </c>
      <c r="C1600" t="s">
        <v>3046</v>
      </c>
      <c r="D1600" t="s">
        <v>13</v>
      </c>
      <c r="E1600" t="s">
        <v>1236</v>
      </c>
      <c r="F1600" t="s">
        <v>3070</v>
      </c>
      <c r="H1600" t="s">
        <v>17</v>
      </c>
      <c r="I1600" t="s">
        <v>3071</v>
      </c>
    </row>
    <row r="1601" spans="1:9" hidden="1" x14ac:dyDescent="0.3">
      <c r="A1601" t="s">
        <v>3076</v>
      </c>
      <c r="B1601" t="s">
        <v>2946</v>
      </c>
      <c r="C1601" t="s">
        <v>3072</v>
      </c>
      <c r="D1601" t="s">
        <v>13</v>
      </c>
      <c r="E1601" t="s">
        <v>1240</v>
      </c>
      <c r="F1601" t="s">
        <v>3074</v>
      </c>
      <c r="H1601" t="s">
        <v>17</v>
      </c>
      <c r="I1601" t="s">
        <v>3075</v>
      </c>
    </row>
    <row r="1602" spans="1:9" hidden="1" x14ac:dyDescent="0.3">
      <c r="A1602" t="s">
        <v>3078</v>
      </c>
      <c r="B1602" t="s">
        <v>2946</v>
      </c>
      <c r="C1602" t="s">
        <v>3072</v>
      </c>
      <c r="D1602" t="s">
        <v>13</v>
      </c>
      <c r="E1602" t="s">
        <v>1244</v>
      </c>
      <c r="F1602" t="s">
        <v>3077</v>
      </c>
      <c r="H1602" t="s">
        <v>17</v>
      </c>
      <c r="I1602" t="s">
        <v>3075</v>
      </c>
    </row>
    <row r="1603" spans="1:9" hidden="1" x14ac:dyDescent="0.3">
      <c r="A1603" t="s">
        <v>3080</v>
      </c>
      <c r="B1603" t="s">
        <v>2946</v>
      </c>
      <c r="C1603" t="s">
        <v>3072</v>
      </c>
      <c r="D1603" t="s">
        <v>13</v>
      </c>
      <c r="E1603" t="s">
        <v>1248</v>
      </c>
      <c r="F1603" t="s">
        <v>3079</v>
      </c>
      <c r="H1603" t="s">
        <v>17</v>
      </c>
      <c r="I1603" t="s">
        <v>3075</v>
      </c>
    </row>
    <row r="1604" spans="1:9" hidden="1" x14ac:dyDescent="0.3">
      <c r="A1604" t="s">
        <v>3082</v>
      </c>
      <c r="B1604" t="s">
        <v>2946</v>
      </c>
      <c r="C1604" t="s">
        <v>3072</v>
      </c>
      <c r="D1604" t="s">
        <v>13</v>
      </c>
      <c r="E1604" t="s">
        <v>1252</v>
      </c>
      <c r="F1604" t="s">
        <v>3081</v>
      </c>
      <c r="H1604" t="s">
        <v>17</v>
      </c>
      <c r="I1604" t="s">
        <v>3075</v>
      </c>
    </row>
    <row r="1605" spans="1:9" hidden="1" x14ac:dyDescent="0.3">
      <c r="A1605" t="s">
        <v>3084</v>
      </c>
      <c r="B1605" t="s">
        <v>2946</v>
      </c>
      <c r="C1605" t="s">
        <v>3072</v>
      </c>
      <c r="D1605" t="s">
        <v>13</v>
      </c>
      <c r="E1605" t="s">
        <v>1256</v>
      </c>
      <c r="F1605" t="s">
        <v>3083</v>
      </c>
      <c r="H1605" t="s">
        <v>17</v>
      </c>
      <c r="I1605" t="s">
        <v>3075</v>
      </c>
    </row>
    <row r="1606" spans="1:9" hidden="1" x14ac:dyDescent="0.3">
      <c r="A1606" t="s">
        <v>3086</v>
      </c>
      <c r="B1606" t="s">
        <v>2946</v>
      </c>
      <c r="C1606" t="s">
        <v>3072</v>
      </c>
      <c r="D1606" t="s">
        <v>13</v>
      </c>
      <c r="E1606" t="s">
        <v>1261</v>
      </c>
      <c r="F1606" t="s">
        <v>3085</v>
      </c>
      <c r="H1606" t="s">
        <v>17</v>
      </c>
      <c r="I1606" t="s">
        <v>3075</v>
      </c>
    </row>
    <row r="1607" spans="1:9" hidden="1" x14ac:dyDescent="0.3">
      <c r="A1607" t="s">
        <v>3089</v>
      </c>
      <c r="B1607" t="s">
        <v>2946</v>
      </c>
      <c r="C1607" t="s">
        <v>3072</v>
      </c>
      <c r="D1607" t="s">
        <v>13</v>
      </c>
      <c r="E1607" t="s">
        <v>1265</v>
      </c>
      <c r="F1607" t="s">
        <v>3087</v>
      </c>
      <c r="H1607" t="s">
        <v>17</v>
      </c>
      <c r="I1607" t="s">
        <v>3088</v>
      </c>
    </row>
    <row r="1608" spans="1:9" hidden="1" x14ac:dyDescent="0.3">
      <c r="A1608" t="s">
        <v>3092</v>
      </c>
      <c r="B1608" t="s">
        <v>2946</v>
      </c>
      <c r="C1608" t="s">
        <v>3072</v>
      </c>
      <c r="D1608" t="s">
        <v>13</v>
      </c>
      <c r="E1608" t="s">
        <v>1270</v>
      </c>
      <c r="F1608" t="s">
        <v>3090</v>
      </c>
      <c r="H1608" t="s">
        <v>17</v>
      </c>
      <c r="I1608" t="s">
        <v>3088</v>
      </c>
    </row>
    <row r="1609" spans="1:9" hidden="1" x14ac:dyDescent="0.3">
      <c r="A1609" t="s">
        <v>3095</v>
      </c>
      <c r="B1609" t="s">
        <v>2946</v>
      </c>
      <c r="C1609" t="s">
        <v>3091</v>
      </c>
      <c r="D1609" t="s">
        <v>13</v>
      </c>
      <c r="E1609" t="s">
        <v>1276</v>
      </c>
      <c r="F1609" t="s">
        <v>3093</v>
      </c>
      <c r="H1609" t="s">
        <v>17</v>
      </c>
      <c r="I1609" t="s">
        <v>3094</v>
      </c>
    </row>
    <row r="1610" spans="1:9" hidden="1" x14ac:dyDescent="0.3">
      <c r="A1610" t="s">
        <v>3097</v>
      </c>
      <c r="B1610" t="s">
        <v>2946</v>
      </c>
      <c r="C1610" t="s">
        <v>3091</v>
      </c>
      <c r="D1610" t="s">
        <v>13</v>
      </c>
      <c r="E1610" t="s">
        <v>303</v>
      </c>
      <c r="F1610" t="s">
        <v>3096</v>
      </c>
      <c r="H1610" t="s">
        <v>17</v>
      </c>
      <c r="I1610" t="s">
        <v>3094</v>
      </c>
    </row>
    <row r="1611" spans="1:9" hidden="1" x14ac:dyDescent="0.3">
      <c r="A1611" t="s">
        <v>3099</v>
      </c>
      <c r="B1611" t="s">
        <v>2946</v>
      </c>
      <c r="C1611" t="s">
        <v>3091</v>
      </c>
      <c r="D1611" t="s">
        <v>13</v>
      </c>
      <c r="E1611" t="s">
        <v>308</v>
      </c>
      <c r="F1611" t="s">
        <v>3098</v>
      </c>
      <c r="H1611" t="s">
        <v>17</v>
      </c>
      <c r="I1611" t="s">
        <v>3094</v>
      </c>
    </row>
    <row r="1612" spans="1:9" hidden="1" x14ac:dyDescent="0.3">
      <c r="A1612" t="s">
        <v>3102</v>
      </c>
      <c r="B1612" t="s">
        <v>2946</v>
      </c>
      <c r="C1612" t="s">
        <v>3091</v>
      </c>
      <c r="D1612" t="s">
        <v>13</v>
      </c>
      <c r="E1612" t="s">
        <v>312</v>
      </c>
      <c r="F1612" t="s">
        <v>3100</v>
      </c>
      <c r="H1612" t="s">
        <v>17</v>
      </c>
      <c r="I1612" t="s">
        <v>3101</v>
      </c>
    </row>
    <row r="1613" spans="1:9" hidden="1" x14ac:dyDescent="0.3">
      <c r="A1613" t="s">
        <v>3105</v>
      </c>
      <c r="B1613" t="s">
        <v>2946</v>
      </c>
      <c r="C1613" t="s">
        <v>3091</v>
      </c>
      <c r="D1613" t="s">
        <v>13</v>
      </c>
      <c r="E1613" t="s">
        <v>316</v>
      </c>
      <c r="F1613" t="s">
        <v>3103</v>
      </c>
      <c r="H1613" t="s">
        <v>17</v>
      </c>
      <c r="I1613" t="s">
        <v>3104</v>
      </c>
    </row>
    <row r="1614" spans="1:9" hidden="1" x14ac:dyDescent="0.3">
      <c r="A1614" t="s">
        <v>3108</v>
      </c>
      <c r="B1614" t="s">
        <v>2946</v>
      </c>
      <c r="C1614" t="s">
        <v>3091</v>
      </c>
      <c r="D1614" t="s">
        <v>13</v>
      </c>
      <c r="E1614" t="s">
        <v>319</v>
      </c>
      <c r="F1614" t="s">
        <v>3106</v>
      </c>
      <c r="H1614" t="s">
        <v>17</v>
      </c>
      <c r="I1614" t="s">
        <v>3107</v>
      </c>
    </row>
    <row r="1615" spans="1:9" hidden="1" x14ac:dyDescent="0.3">
      <c r="A1615" t="s">
        <v>3111</v>
      </c>
      <c r="B1615" t="s">
        <v>2946</v>
      </c>
      <c r="C1615" t="s">
        <v>3091</v>
      </c>
      <c r="D1615" t="s">
        <v>13</v>
      </c>
      <c r="E1615" t="s">
        <v>323</v>
      </c>
      <c r="F1615" t="s">
        <v>3109</v>
      </c>
      <c r="H1615" t="s">
        <v>17</v>
      </c>
      <c r="I1615" t="s">
        <v>3110</v>
      </c>
    </row>
    <row r="1616" spans="1:9" hidden="1" x14ac:dyDescent="0.3">
      <c r="A1616" t="s">
        <v>3113</v>
      </c>
      <c r="B1616" t="s">
        <v>2946</v>
      </c>
      <c r="C1616" t="s">
        <v>3091</v>
      </c>
      <c r="D1616" t="s">
        <v>13</v>
      </c>
      <c r="E1616" t="s">
        <v>327</v>
      </c>
      <c r="F1616" t="s">
        <v>3112</v>
      </c>
      <c r="H1616" t="s">
        <v>17</v>
      </c>
      <c r="I1616" t="s">
        <v>3110</v>
      </c>
    </row>
    <row r="1617" spans="1:9" hidden="1" x14ac:dyDescent="0.3">
      <c r="A1617" t="s">
        <v>3116</v>
      </c>
      <c r="B1617" t="s">
        <v>2946</v>
      </c>
      <c r="C1617" t="s">
        <v>3091</v>
      </c>
      <c r="D1617" t="s">
        <v>13</v>
      </c>
      <c r="E1617" t="s">
        <v>332</v>
      </c>
      <c r="F1617" t="s">
        <v>3114</v>
      </c>
      <c r="H1617" t="s">
        <v>17</v>
      </c>
      <c r="I1617" t="s">
        <v>3115</v>
      </c>
    </row>
    <row r="1618" spans="1:9" hidden="1" x14ac:dyDescent="0.3">
      <c r="A1618" t="s">
        <v>3119</v>
      </c>
      <c r="B1618" t="s">
        <v>2946</v>
      </c>
      <c r="C1618" t="s">
        <v>3091</v>
      </c>
      <c r="D1618" t="s">
        <v>13</v>
      </c>
      <c r="E1618" t="s">
        <v>335</v>
      </c>
      <c r="F1618" t="s">
        <v>3117</v>
      </c>
      <c r="H1618" t="s">
        <v>17</v>
      </c>
      <c r="I1618" t="s">
        <v>3118</v>
      </c>
    </row>
    <row r="1619" spans="1:9" hidden="1" x14ac:dyDescent="0.3">
      <c r="A1619" t="s">
        <v>3122</v>
      </c>
      <c r="B1619" t="s">
        <v>2946</v>
      </c>
      <c r="C1619" t="s">
        <v>3091</v>
      </c>
      <c r="D1619" t="s">
        <v>13</v>
      </c>
      <c r="E1619" t="s">
        <v>338</v>
      </c>
      <c r="F1619" t="s">
        <v>3120</v>
      </c>
      <c r="H1619" t="s">
        <v>17</v>
      </c>
      <c r="I1619" t="s">
        <v>3121</v>
      </c>
    </row>
    <row r="1620" spans="1:9" hidden="1" x14ac:dyDescent="0.3">
      <c r="A1620" t="s">
        <v>3125</v>
      </c>
      <c r="B1620" t="s">
        <v>2946</v>
      </c>
      <c r="C1620" t="s">
        <v>3091</v>
      </c>
      <c r="D1620" t="s">
        <v>13</v>
      </c>
      <c r="E1620" t="s">
        <v>341</v>
      </c>
      <c r="F1620" t="s">
        <v>3123</v>
      </c>
      <c r="H1620" t="s">
        <v>17</v>
      </c>
      <c r="I1620" t="s">
        <v>3124</v>
      </c>
    </row>
    <row r="1621" spans="1:9" hidden="1" x14ac:dyDescent="0.3">
      <c r="A1621" t="s">
        <v>3128</v>
      </c>
      <c r="B1621" t="s">
        <v>2946</v>
      </c>
      <c r="C1621" t="s">
        <v>3091</v>
      </c>
      <c r="D1621" t="s">
        <v>13</v>
      </c>
      <c r="E1621" t="s">
        <v>344</v>
      </c>
      <c r="F1621" t="s">
        <v>3126</v>
      </c>
      <c r="H1621" t="s">
        <v>17</v>
      </c>
      <c r="I1621" t="s">
        <v>3127</v>
      </c>
    </row>
    <row r="1622" spans="1:9" hidden="1" x14ac:dyDescent="0.3">
      <c r="A1622" t="s">
        <v>3131</v>
      </c>
      <c r="B1622" t="s">
        <v>2946</v>
      </c>
      <c r="C1622" t="s">
        <v>3091</v>
      </c>
      <c r="D1622" t="s">
        <v>13</v>
      </c>
      <c r="E1622" t="s">
        <v>347</v>
      </c>
      <c r="F1622" t="s">
        <v>3129</v>
      </c>
      <c r="H1622" t="s">
        <v>17</v>
      </c>
      <c r="I1622" t="s">
        <v>3130</v>
      </c>
    </row>
    <row r="1623" spans="1:9" hidden="1" x14ac:dyDescent="0.3">
      <c r="A1623" t="s">
        <v>3134</v>
      </c>
      <c r="B1623" t="s">
        <v>2946</v>
      </c>
      <c r="C1623" t="s">
        <v>3091</v>
      </c>
      <c r="D1623" t="s">
        <v>13</v>
      </c>
      <c r="E1623" t="s">
        <v>353</v>
      </c>
      <c r="F1623" t="s">
        <v>3132</v>
      </c>
      <c r="H1623" t="s">
        <v>17</v>
      </c>
      <c r="I1623" t="s">
        <v>3133</v>
      </c>
    </row>
    <row r="1624" spans="1:9" hidden="1" x14ac:dyDescent="0.3">
      <c r="A1624" t="s">
        <v>3136</v>
      </c>
      <c r="B1624" t="s">
        <v>2946</v>
      </c>
      <c r="C1624" t="s">
        <v>3091</v>
      </c>
      <c r="D1624" t="s">
        <v>13</v>
      </c>
      <c r="E1624" t="s">
        <v>358</v>
      </c>
      <c r="F1624" t="s">
        <v>3135</v>
      </c>
      <c r="H1624" t="s">
        <v>17</v>
      </c>
      <c r="I1624" t="s">
        <v>3133</v>
      </c>
    </row>
    <row r="1625" spans="1:9" hidden="1" x14ac:dyDescent="0.3">
      <c r="A1625" t="s">
        <v>3139</v>
      </c>
      <c r="B1625" t="s">
        <v>2946</v>
      </c>
      <c r="C1625" t="s">
        <v>3091</v>
      </c>
      <c r="D1625" t="s">
        <v>13</v>
      </c>
      <c r="E1625" t="s">
        <v>361</v>
      </c>
      <c r="F1625" t="s">
        <v>3137</v>
      </c>
      <c r="H1625" t="s">
        <v>17</v>
      </c>
      <c r="I1625" t="s">
        <v>3138</v>
      </c>
    </row>
    <row r="1626" spans="1:9" hidden="1" x14ac:dyDescent="0.3">
      <c r="A1626" t="s">
        <v>3141</v>
      </c>
      <c r="B1626" t="s">
        <v>2946</v>
      </c>
      <c r="C1626" t="s">
        <v>3091</v>
      </c>
      <c r="D1626" t="s">
        <v>13</v>
      </c>
      <c r="E1626" t="s">
        <v>364</v>
      </c>
      <c r="F1626" t="s">
        <v>3140</v>
      </c>
      <c r="H1626" t="s">
        <v>17</v>
      </c>
      <c r="I1626" t="s">
        <v>3138</v>
      </c>
    </row>
    <row r="1627" spans="1:9" hidden="1" x14ac:dyDescent="0.3">
      <c r="A1627" t="s">
        <v>3145</v>
      </c>
      <c r="B1627" t="s">
        <v>2946</v>
      </c>
      <c r="C1627" t="s">
        <v>3091</v>
      </c>
      <c r="D1627" t="s">
        <v>13</v>
      </c>
      <c r="E1627" t="s">
        <v>367</v>
      </c>
      <c r="F1627" t="s">
        <v>3142</v>
      </c>
      <c r="H1627" t="s">
        <v>17</v>
      </c>
      <c r="I1627" t="s">
        <v>3143</v>
      </c>
    </row>
    <row r="1628" spans="1:9" hidden="1" x14ac:dyDescent="0.3">
      <c r="A1628" t="s">
        <v>3148</v>
      </c>
      <c r="B1628" t="s">
        <v>2946</v>
      </c>
      <c r="C1628" t="s">
        <v>3144</v>
      </c>
      <c r="D1628" t="s">
        <v>13</v>
      </c>
      <c r="E1628" t="s">
        <v>370</v>
      </c>
      <c r="F1628" t="s">
        <v>3146</v>
      </c>
      <c r="H1628" t="s">
        <v>17</v>
      </c>
      <c r="I1628" t="s">
        <v>3147</v>
      </c>
    </row>
    <row r="1629" spans="1:9" hidden="1" x14ac:dyDescent="0.3">
      <c r="A1629" t="s">
        <v>3150</v>
      </c>
      <c r="B1629" t="s">
        <v>2946</v>
      </c>
      <c r="C1629" t="s">
        <v>3144</v>
      </c>
      <c r="D1629" t="s">
        <v>13</v>
      </c>
      <c r="E1629" t="s">
        <v>373</v>
      </c>
      <c r="F1629" t="s">
        <v>3149</v>
      </c>
      <c r="H1629" t="s">
        <v>17</v>
      </c>
      <c r="I1629" t="s">
        <v>3147</v>
      </c>
    </row>
    <row r="1630" spans="1:9" hidden="1" x14ac:dyDescent="0.3">
      <c r="A1630" t="s">
        <v>3152</v>
      </c>
      <c r="B1630" t="s">
        <v>2946</v>
      </c>
      <c r="C1630" t="s">
        <v>3144</v>
      </c>
      <c r="D1630" t="s">
        <v>13</v>
      </c>
      <c r="E1630" t="s">
        <v>376</v>
      </c>
      <c r="F1630" t="s">
        <v>3151</v>
      </c>
      <c r="H1630" t="s">
        <v>17</v>
      </c>
      <c r="I1630" t="s">
        <v>3147</v>
      </c>
    </row>
    <row r="1631" spans="1:9" hidden="1" x14ac:dyDescent="0.3">
      <c r="A1631" t="s">
        <v>3154</v>
      </c>
      <c r="B1631" t="s">
        <v>2946</v>
      </c>
      <c r="C1631" t="s">
        <v>3144</v>
      </c>
      <c r="D1631" t="s">
        <v>13</v>
      </c>
      <c r="E1631" t="s">
        <v>1675</v>
      </c>
      <c r="F1631" t="s">
        <v>3153</v>
      </c>
      <c r="H1631" t="s">
        <v>17</v>
      </c>
      <c r="I1631" t="s">
        <v>3147</v>
      </c>
    </row>
    <row r="1632" spans="1:9" hidden="1" x14ac:dyDescent="0.3">
      <c r="A1632" t="s">
        <v>3156</v>
      </c>
      <c r="B1632" t="s">
        <v>2946</v>
      </c>
      <c r="C1632" t="s">
        <v>3144</v>
      </c>
      <c r="D1632" t="s">
        <v>13</v>
      </c>
      <c r="E1632" t="s">
        <v>1678</v>
      </c>
      <c r="F1632" t="s">
        <v>3155</v>
      </c>
      <c r="H1632" t="s">
        <v>17</v>
      </c>
      <c r="I1632" t="s">
        <v>3147</v>
      </c>
    </row>
    <row r="1633" spans="1:9" hidden="1" x14ac:dyDescent="0.3">
      <c r="A1633" t="s">
        <v>3158</v>
      </c>
      <c r="B1633" t="s">
        <v>2946</v>
      </c>
      <c r="C1633" t="s">
        <v>3144</v>
      </c>
      <c r="D1633" t="s">
        <v>13</v>
      </c>
      <c r="E1633" t="s">
        <v>1681</v>
      </c>
      <c r="F1633" t="s">
        <v>3157</v>
      </c>
      <c r="H1633" t="s">
        <v>17</v>
      </c>
      <c r="I1633" t="s">
        <v>3147</v>
      </c>
    </row>
    <row r="1634" spans="1:9" hidden="1" x14ac:dyDescent="0.3">
      <c r="A1634" t="s">
        <v>3160</v>
      </c>
      <c r="B1634" t="s">
        <v>2946</v>
      </c>
      <c r="C1634" t="s">
        <v>3144</v>
      </c>
      <c r="D1634" t="s">
        <v>13</v>
      </c>
      <c r="E1634" t="s">
        <v>1683</v>
      </c>
      <c r="F1634" t="s">
        <v>3159</v>
      </c>
      <c r="H1634" t="s">
        <v>17</v>
      </c>
      <c r="I1634" t="s">
        <v>3147</v>
      </c>
    </row>
    <row r="1635" spans="1:9" hidden="1" x14ac:dyDescent="0.3">
      <c r="A1635" t="s">
        <v>3162</v>
      </c>
      <c r="B1635" t="s">
        <v>2946</v>
      </c>
      <c r="C1635" t="s">
        <v>3144</v>
      </c>
      <c r="D1635" t="s">
        <v>13</v>
      </c>
      <c r="E1635" t="s">
        <v>1685</v>
      </c>
      <c r="F1635" t="s">
        <v>3161</v>
      </c>
      <c r="H1635" t="s">
        <v>17</v>
      </c>
      <c r="I1635" t="s">
        <v>3147</v>
      </c>
    </row>
    <row r="1636" spans="1:9" hidden="1" x14ac:dyDescent="0.3">
      <c r="A1636" t="s">
        <v>3164</v>
      </c>
      <c r="B1636" t="s">
        <v>2946</v>
      </c>
      <c r="C1636" t="s">
        <v>3144</v>
      </c>
      <c r="D1636" t="s">
        <v>13</v>
      </c>
      <c r="E1636" t="s">
        <v>2859</v>
      </c>
      <c r="F1636" t="s">
        <v>3163</v>
      </c>
      <c r="H1636" t="s">
        <v>17</v>
      </c>
      <c r="I1636" t="s">
        <v>3147</v>
      </c>
    </row>
    <row r="1637" spans="1:9" hidden="1" x14ac:dyDescent="0.3">
      <c r="A1637" t="s">
        <v>3167</v>
      </c>
      <c r="B1637" t="s">
        <v>2946</v>
      </c>
      <c r="C1637" t="s">
        <v>3144</v>
      </c>
      <c r="D1637" t="s">
        <v>13</v>
      </c>
      <c r="E1637" t="s">
        <v>2413</v>
      </c>
      <c r="F1637" t="s">
        <v>3165</v>
      </c>
      <c r="H1637" t="s">
        <v>17</v>
      </c>
      <c r="I1637" t="s">
        <v>3166</v>
      </c>
    </row>
    <row r="1638" spans="1:9" hidden="1" x14ac:dyDescent="0.3">
      <c r="A1638" t="s">
        <v>3170</v>
      </c>
      <c r="B1638" t="s">
        <v>2946</v>
      </c>
      <c r="C1638" t="s">
        <v>3144</v>
      </c>
      <c r="D1638" t="s">
        <v>13</v>
      </c>
      <c r="E1638" t="s">
        <v>2417</v>
      </c>
      <c r="F1638" t="s">
        <v>3168</v>
      </c>
      <c r="H1638" t="s">
        <v>17</v>
      </c>
      <c r="I1638" t="s">
        <v>3169</v>
      </c>
    </row>
    <row r="1639" spans="1:9" hidden="1" x14ac:dyDescent="0.3">
      <c r="A1639" t="s">
        <v>2671</v>
      </c>
      <c r="B1639" t="s">
        <v>2946</v>
      </c>
      <c r="C1639" t="s">
        <v>3144</v>
      </c>
      <c r="D1639" t="s">
        <v>13</v>
      </c>
      <c r="E1639" t="s">
        <v>2421</v>
      </c>
      <c r="F1639" t="s">
        <v>3171</v>
      </c>
      <c r="H1639" t="s">
        <v>17</v>
      </c>
      <c r="I1639" t="s">
        <v>2984</v>
      </c>
    </row>
    <row r="1640" spans="1:9" hidden="1" x14ac:dyDescent="0.3">
      <c r="A1640" t="s">
        <v>2674</v>
      </c>
      <c r="B1640" t="s">
        <v>2946</v>
      </c>
      <c r="C1640" t="s">
        <v>3144</v>
      </c>
      <c r="D1640" t="s">
        <v>1936</v>
      </c>
      <c r="E1640" t="s">
        <v>996</v>
      </c>
      <c r="F1640" t="s">
        <v>3172</v>
      </c>
      <c r="H1640" t="s">
        <v>17</v>
      </c>
      <c r="I1640" t="s">
        <v>3173</v>
      </c>
    </row>
    <row r="1641" spans="1:9" hidden="1" x14ac:dyDescent="0.3">
      <c r="A1641" t="s">
        <v>2679</v>
      </c>
      <c r="B1641" t="s">
        <v>2946</v>
      </c>
      <c r="C1641" t="s">
        <v>3144</v>
      </c>
      <c r="D1641" t="s">
        <v>1936</v>
      </c>
      <c r="E1641" t="s">
        <v>1001</v>
      </c>
      <c r="F1641" t="s">
        <v>3174</v>
      </c>
      <c r="H1641" t="s">
        <v>17</v>
      </c>
      <c r="I1641" t="s">
        <v>3175</v>
      </c>
    </row>
    <row r="1642" spans="1:9" hidden="1" x14ac:dyDescent="0.3">
      <c r="A1642" t="s">
        <v>23</v>
      </c>
      <c r="B1642" t="s">
        <v>2946</v>
      </c>
      <c r="C1642" t="s">
        <v>3176</v>
      </c>
      <c r="D1642" t="s">
        <v>1936</v>
      </c>
      <c r="E1642" t="s">
        <v>1942</v>
      </c>
      <c r="F1642" t="s">
        <v>3177</v>
      </c>
      <c r="H1642" t="s">
        <v>17</v>
      </c>
      <c r="I1642" t="s">
        <v>3178</v>
      </c>
    </row>
    <row r="1643" spans="1:9" hidden="1" x14ac:dyDescent="0.3">
      <c r="A1643" t="s">
        <v>28</v>
      </c>
      <c r="B1643" t="s">
        <v>2946</v>
      </c>
      <c r="C1643" t="s">
        <v>3176</v>
      </c>
      <c r="D1643" t="s">
        <v>1936</v>
      </c>
      <c r="E1643" t="s">
        <v>22</v>
      </c>
      <c r="F1643" t="s">
        <v>3179</v>
      </c>
      <c r="H1643" t="s">
        <v>17</v>
      </c>
      <c r="I1643" t="s">
        <v>3178</v>
      </c>
    </row>
    <row r="1644" spans="1:9" hidden="1" x14ac:dyDescent="0.3">
      <c r="A1644" t="s">
        <v>33</v>
      </c>
      <c r="B1644" t="s">
        <v>2946</v>
      </c>
      <c r="C1644" t="s">
        <v>3176</v>
      </c>
      <c r="D1644" t="s">
        <v>1936</v>
      </c>
      <c r="E1644" t="s">
        <v>27</v>
      </c>
      <c r="F1644" t="s">
        <v>3180</v>
      </c>
      <c r="H1644" t="s">
        <v>17</v>
      </c>
      <c r="I1644" t="s">
        <v>3178</v>
      </c>
    </row>
    <row r="1645" spans="1:9" hidden="1" x14ac:dyDescent="0.3">
      <c r="A1645" t="s">
        <v>2687</v>
      </c>
      <c r="B1645" t="s">
        <v>2946</v>
      </c>
      <c r="C1645" t="s">
        <v>3176</v>
      </c>
      <c r="D1645" t="s">
        <v>1936</v>
      </c>
      <c r="E1645" t="s">
        <v>1014</v>
      </c>
      <c r="F1645" t="s">
        <v>3181</v>
      </c>
      <c r="H1645" t="s">
        <v>17</v>
      </c>
      <c r="I1645" t="s">
        <v>3178</v>
      </c>
    </row>
    <row r="1646" spans="1:9" hidden="1" x14ac:dyDescent="0.3">
      <c r="A1646" t="s">
        <v>37</v>
      </c>
      <c r="B1646" t="s">
        <v>2946</v>
      </c>
      <c r="C1646" t="s">
        <v>3176</v>
      </c>
      <c r="D1646" t="s">
        <v>1936</v>
      </c>
      <c r="E1646" t="s">
        <v>1017</v>
      </c>
      <c r="F1646" t="s">
        <v>3182</v>
      </c>
      <c r="H1646" t="s">
        <v>17</v>
      </c>
      <c r="I1646" t="s">
        <v>3178</v>
      </c>
    </row>
    <row r="1647" spans="1:9" hidden="1" x14ac:dyDescent="0.3">
      <c r="A1647" t="s">
        <v>42</v>
      </c>
      <c r="B1647" t="s">
        <v>2946</v>
      </c>
      <c r="C1647" t="s">
        <v>3176</v>
      </c>
      <c r="D1647" t="s">
        <v>1936</v>
      </c>
      <c r="E1647" t="s">
        <v>36</v>
      </c>
      <c r="F1647" t="s">
        <v>3183</v>
      </c>
      <c r="H1647" t="s">
        <v>17</v>
      </c>
      <c r="I1647" t="s">
        <v>3184</v>
      </c>
    </row>
    <row r="1648" spans="1:9" hidden="1" x14ac:dyDescent="0.3">
      <c r="A1648" t="s">
        <v>46</v>
      </c>
      <c r="B1648" t="s">
        <v>2946</v>
      </c>
      <c r="C1648" t="s">
        <v>3176</v>
      </c>
      <c r="D1648" t="s">
        <v>1936</v>
      </c>
      <c r="E1648" t="s">
        <v>41</v>
      </c>
      <c r="F1648" t="s">
        <v>3185</v>
      </c>
      <c r="H1648" t="s">
        <v>17</v>
      </c>
      <c r="I1648" t="s">
        <v>3186</v>
      </c>
    </row>
    <row r="1649" spans="1:9" hidden="1" x14ac:dyDescent="0.3">
      <c r="A1649" t="s">
        <v>51</v>
      </c>
      <c r="B1649" t="s">
        <v>2946</v>
      </c>
      <c r="C1649" t="s">
        <v>3176</v>
      </c>
      <c r="D1649" t="s">
        <v>1936</v>
      </c>
      <c r="E1649" t="s">
        <v>45</v>
      </c>
      <c r="F1649" t="s">
        <v>3187</v>
      </c>
      <c r="H1649" t="s">
        <v>17</v>
      </c>
      <c r="I1649" t="s">
        <v>3188</v>
      </c>
    </row>
    <row r="1650" spans="1:9" hidden="1" x14ac:dyDescent="0.3">
      <c r="A1650" t="s">
        <v>54</v>
      </c>
      <c r="B1650" t="s">
        <v>2946</v>
      </c>
      <c r="C1650" t="s">
        <v>3176</v>
      </c>
      <c r="D1650" t="s">
        <v>1936</v>
      </c>
      <c r="E1650" t="s">
        <v>50</v>
      </c>
      <c r="F1650" t="s">
        <v>3189</v>
      </c>
      <c r="H1650" t="s">
        <v>17</v>
      </c>
      <c r="I1650" t="s">
        <v>3190</v>
      </c>
    </row>
    <row r="1651" spans="1:9" hidden="1" x14ac:dyDescent="0.3">
      <c r="A1651" t="s">
        <v>57</v>
      </c>
      <c r="B1651" t="s">
        <v>2946</v>
      </c>
      <c r="C1651" t="s">
        <v>3176</v>
      </c>
      <c r="D1651" t="s">
        <v>1936</v>
      </c>
      <c r="E1651" t="s">
        <v>53</v>
      </c>
      <c r="F1651" t="s">
        <v>3191</v>
      </c>
      <c r="H1651" t="s">
        <v>17</v>
      </c>
      <c r="I1651" t="s">
        <v>3192</v>
      </c>
    </row>
    <row r="1652" spans="1:9" hidden="1" x14ac:dyDescent="0.3">
      <c r="A1652" t="s">
        <v>62</v>
      </c>
      <c r="B1652" t="s">
        <v>2946</v>
      </c>
      <c r="C1652" t="s">
        <v>3176</v>
      </c>
      <c r="D1652" t="s">
        <v>1936</v>
      </c>
      <c r="E1652" t="s">
        <v>56</v>
      </c>
      <c r="F1652" t="s">
        <v>3193</v>
      </c>
      <c r="H1652" t="s">
        <v>17</v>
      </c>
      <c r="I1652" t="s">
        <v>3194</v>
      </c>
    </row>
    <row r="1653" spans="1:9" hidden="1" x14ac:dyDescent="0.3">
      <c r="A1653" t="s">
        <v>67</v>
      </c>
      <c r="B1653" t="s">
        <v>2946</v>
      </c>
      <c r="C1653" t="s">
        <v>3176</v>
      </c>
      <c r="D1653" t="s">
        <v>1936</v>
      </c>
      <c r="E1653" t="s">
        <v>61</v>
      </c>
      <c r="F1653" t="s">
        <v>3195</v>
      </c>
      <c r="H1653" t="s">
        <v>17</v>
      </c>
      <c r="I1653" t="s">
        <v>3196</v>
      </c>
    </row>
    <row r="1654" spans="1:9" hidden="1" x14ac:dyDescent="0.3">
      <c r="A1654" t="s">
        <v>77</v>
      </c>
      <c r="B1654" t="s">
        <v>2946</v>
      </c>
      <c r="C1654" t="s">
        <v>3176</v>
      </c>
      <c r="D1654" t="s">
        <v>1936</v>
      </c>
      <c r="E1654" t="s">
        <v>1039</v>
      </c>
      <c r="F1654" t="s">
        <v>3197</v>
      </c>
      <c r="H1654" t="s">
        <v>17</v>
      </c>
      <c r="I1654" t="s">
        <v>3198</v>
      </c>
    </row>
    <row r="1655" spans="1:9" hidden="1" x14ac:dyDescent="0.3">
      <c r="A1655" t="s">
        <v>81</v>
      </c>
      <c r="B1655" t="s">
        <v>2946</v>
      </c>
      <c r="C1655" t="s">
        <v>3199</v>
      </c>
      <c r="D1655" t="s">
        <v>1936</v>
      </c>
      <c r="E1655" t="s">
        <v>1043</v>
      </c>
      <c r="F1655" t="s">
        <v>3200</v>
      </c>
      <c r="H1655" t="s">
        <v>17</v>
      </c>
      <c r="I1655" t="s">
        <v>3147</v>
      </c>
    </row>
    <row r="1656" spans="1:9" hidden="1" x14ac:dyDescent="0.3">
      <c r="A1656" t="s">
        <v>86</v>
      </c>
      <c r="B1656" t="s">
        <v>2946</v>
      </c>
      <c r="C1656" t="s">
        <v>3199</v>
      </c>
      <c r="D1656" t="s">
        <v>1936</v>
      </c>
      <c r="E1656" t="s">
        <v>71</v>
      </c>
      <c r="F1656" t="s">
        <v>3201</v>
      </c>
      <c r="H1656" t="s">
        <v>17</v>
      </c>
      <c r="I1656" t="s">
        <v>3147</v>
      </c>
    </row>
    <row r="1657" spans="1:9" hidden="1" x14ac:dyDescent="0.3">
      <c r="A1657" t="s">
        <v>91</v>
      </c>
      <c r="B1657" t="s">
        <v>2946</v>
      </c>
      <c r="C1657" t="s">
        <v>3199</v>
      </c>
      <c r="D1657" t="s">
        <v>1936</v>
      </c>
      <c r="E1657" t="s">
        <v>1050</v>
      </c>
      <c r="F1657" t="s">
        <v>3202</v>
      </c>
      <c r="H1657" t="s">
        <v>17</v>
      </c>
      <c r="I1657" t="s">
        <v>3147</v>
      </c>
    </row>
    <row r="1658" spans="1:9" hidden="1" x14ac:dyDescent="0.3">
      <c r="A1658" t="s">
        <v>101</v>
      </c>
      <c r="B1658" t="s">
        <v>2946</v>
      </c>
      <c r="C1658" t="s">
        <v>3199</v>
      </c>
      <c r="D1658" t="s">
        <v>1936</v>
      </c>
      <c r="E1658" t="s">
        <v>1055</v>
      </c>
      <c r="F1658" t="s">
        <v>3203</v>
      </c>
      <c r="H1658" t="s">
        <v>17</v>
      </c>
      <c r="I1658" t="s">
        <v>3147</v>
      </c>
    </row>
    <row r="1659" spans="1:9" hidden="1" x14ac:dyDescent="0.3">
      <c r="A1659" t="s">
        <v>107</v>
      </c>
      <c r="B1659" t="s">
        <v>2946</v>
      </c>
      <c r="C1659" t="s">
        <v>3204</v>
      </c>
      <c r="D1659" t="s">
        <v>1936</v>
      </c>
      <c r="E1659" t="s">
        <v>80</v>
      </c>
      <c r="F1659" t="s">
        <v>3205</v>
      </c>
      <c r="H1659" t="s">
        <v>17</v>
      </c>
      <c r="I1659" t="s">
        <v>3206</v>
      </c>
    </row>
    <row r="1660" spans="1:9" hidden="1" x14ac:dyDescent="0.3">
      <c r="A1660" t="s">
        <v>112</v>
      </c>
      <c r="B1660" t="s">
        <v>2946</v>
      </c>
      <c r="C1660" t="s">
        <v>3204</v>
      </c>
      <c r="D1660" t="s">
        <v>1936</v>
      </c>
      <c r="E1660" t="s">
        <v>85</v>
      </c>
      <c r="F1660" t="s">
        <v>3207</v>
      </c>
      <c r="H1660" t="s">
        <v>17</v>
      </c>
      <c r="I1660" t="s">
        <v>3208</v>
      </c>
    </row>
    <row r="1661" spans="1:9" hidden="1" x14ac:dyDescent="0.3">
      <c r="A1661" t="s">
        <v>115</v>
      </c>
      <c r="B1661" t="s">
        <v>2946</v>
      </c>
      <c r="C1661" t="s">
        <v>3204</v>
      </c>
      <c r="D1661" t="s">
        <v>1936</v>
      </c>
      <c r="E1661" t="s">
        <v>90</v>
      </c>
      <c r="F1661" t="s">
        <v>3209</v>
      </c>
      <c r="H1661" t="s">
        <v>17</v>
      </c>
      <c r="I1661" t="s">
        <v>3210</v>
      </c>
    </row>
    <row r="1662" spans="1:9" hidden="1" x14ac:dyDescent="0.3">
      <c r="A1662" t="s">
        <v>118</v>
      </c>
      <c r="B1662" t="s">
        <v>2946</v>
      </c>
      <c r="C1662" t="s">
        <v>3204</v>
      </c>
      <c r="D1662" t="s">
        <v>1936</v>
      </c>
      <c r="E1662" t="s">
        <v>95</v>
      </c>
      <c r="F1662" t="s">
        <v>3211</v>
      </c>
      <c r="H1662" t="s">
        <v>17</v>
      </c>
      <c r="I1662" t="s">
        <v>3212</v>
      </c>
    </row>
    <row r="1663" spans="1:9" hidden="1" x14ac:dyDescent="0.3">
      <c r="A1663" t="s">
        <v>122</v>
      </c>
      <c r="B1663" t="s">
        <v>2946</v>
      </c>
      <c r="C1663" t="s">
        <v>3204</v>
      </c>
      <c r="D1663" t="s">
        <v>1936</v>
      </c>
      <c r="E1663" t="s">
        <v>100</v>
      </c>
      <c r="F1663" t="s">
        <v>3213</v>
      </c>
      <c r="H1663" t="s">
        <v>17</v>
      </c>
      <c r="I1663" t="s">
        <v>3214</v>
      </c>
    </row>
    <row r="1664" spans="1:9" hidden="1" x14ac:dyDescent="0.3">
      <c r="A1664" t="s">
        <v>127</v>
      </c>
      <c r="B1664" t="s">
        <v>2946</v>
      </c>
      <c r="C1664" t="s">
        <v>3204</v>
      </c>
      <c r="D1664" t="s">
        <v>1936</v>
      </c>
      <c r="E1664" t="s">
        <v>106</v>
      </c>
      <c r="F1664" t="s">
        <v>3215</v>
      </c>
      <c r="H1664" t="s">
        <v>17</v>
      </c>
      <c r="I1664" t="s">
        <v>3216</v>
      </c>
    </row>
    <row r="1665" spans="1:9" hidden="1" x14ac:dyDescent="0.3">
      <c r="A1665" t="s">
        <v>130</v>
      </c>
      <c r="B1665" t="s">
        <v>2946</v>
      </c>
      <c r="C1665" t="s">
        <v>3204</v>
      </c>
      <c r="D1665" t="s">
        <v>1936</v>
      </c>
      <c r="E1665" t="s">
        <v>111</v>
      </c>
      <c r="F1665" t="s">
        <v>3217</v>
      </c>
      <c r="H1665" t="s">
        <v>17</v>
      </c>
      <c r="I1665" t="s">
        <v>3216</v>
      </c>
    </row>
    <row r="1666" spans="1:9" hidden="1" x14ac:dyDescent="0.3">
      <c r="A1666" t="s">
        <v>133</v>
      </c>
      <c r="B1666" t="s">
        <v>2946</v>
      </c>
      <c r="C1666" t="s">
        <v>3204</v>
      </c>
      <c r="D1666" t="s">
        <v>1936</v>
      </c>
      <c r="E1666" t="s">
        <v>114</v>
      </c>
      <c r="F1666" t="s">
        <v>3218</v>
      </c>
      <c r="H1666" t="s">
        <v>17</v>
      </c>
      <c r="I1666" t="s">
        <v>3219</v>
      </c>
    </row>
    <row r="1667" spans="1:9" hidden="1" x14ac:dyDescent="0.3">
      <c r="A1667" t="s">
        <v>136</v>
      </c>
      <c r="B1667" t="s">
        <v>2946</v>
      </c>
      <c r="C1667" t="s">
        <v>3204</v>
      </c>
      <c r="D1667" t="s">
        <v>1936</v>
      </c>
      <c r="E1667" t="s">
        <v>117</v>
      </c>
      <c r="F1667" t="s">
        <v>3220</v>
      </c>
      <c r="H1667" t="s">
        <v>17</v>
      </c>
      <c r="I1667" t="s">
        <v>3221</v>
      </c>
    </row>
    <row r="1668" spans="1:9" hidden="1" x14ac:dyDescent="0.3">
      <c r="A1668" t="s">
        <v>139</v>
      </c>
      <c r="B1668" t="s">
        <v>2946</v>
      </c>
      <c r="C1668" t="s">
        <v>3204</v>
      </c>
      <c r="D1668" t="s">
        <v>1936</v>
      </c>
      <c r="E1668" t="s">
        <v>121</v>
      </c>
      <c r="F1668" t="s">
        <v>3222</v>
      </c>
      <c r="H1668" t="s">
        <v>17</v>
      </c>
      <c r="I1668" t="s">
        <v>3223</v>
      </c>
    </row>
    <row r="1669" spans="1:9" hidden="1" x14ac:dyDescent="0.3">
      <c r="A1669" t="s">
        <v>145</v>
      </c>
      <c r="B1669" t="s">
        <v>2946</v>
      </c>
      <c r="C1669" t="s">
        <v>3204</v>
      </c>
      <c r="D1669" t="s">
        <v>1936</v>
      </c>
      <c r="E1669" t="s">
        <v>126</v>
      </c>
      <c r="F1669" t="s">
        <v>3224</v>
      </c>
      <c r="H1669" t="s">
        <v>17</v>
      </c>
      <c r="I1669" t="s">
        <v>3225</v>
      </c>
    </row>
    <row r="1670" spans="1:9" hidden="1" x14ac:dyDescent="0.3">
      <c r="A1670" t="s">
        <v>148</v>
      </c>
      <c r="B1670" t="s">
        <v>2946</v>
      </c>
      <c r="C1670" t="s">
        <v>3226</v>
      </c>
      <c r="D1670" t="s">
        <v>1936</v>
      </c>
      <c r="E1670" t="s">
        <v>129</v>
      </c>
      <c r="F1670" t="s">
        <v>3227</v>
      </c>
      <c r="H1670" t="s">
        <v>17</v>
      </c>
      <c r="I1670" t="s">
        <v>3228</v>
      </c>
    </row>
    <row r="1671" spans="1:9" hidden="1" x14ac:dyDescent="0.3">
      <c r="A1671" t="s">
        <v>153</v>
      </c>
      <c r="B1671" t="s">
        <v>2946</v>
      </c>
      <c r="C1671" t="s">
        <v>3226</v>
      </c>
      <c r="D1671" t="s">
        <v>1936</v>
      </c>
      <c r="E1671" t="s">
        <v>132</v>
      </c>
      <c r="F1671" t="s">
        <v>3229</v>
      </c>
      <c r="H1671" t="s">
        <v>17</v>
      </c>
      <c r="I1671" t="s">
        <v>3228</v>
      </c>
    </row>
    <row r="1672" spans="1:9" hidden="1" x14ac:dyDescent="0.3">
      <c r="A1672" t="s">
        <v>158</v>
      </c>
      <c r="B1672" t="s">
        <v>2946</v>
      </c>
      <c r="C1672" t="s">
        <v>3226</v>
      </c>
      <c r="D1672" t="s">
        <v>1936</v>
      </c>
      <c r="E1672" t="s">
        <v>135</v>
      </c>
      <c r="F1672" t="s">
        <v>3230</v>
      </c>
      <c r="H1672" t="s">
        <v>17</v>
      </c>
      <c r="I1672" t="s">
        <v>3228</v>
      </c>
    </row>
    <row r="1673" spans="1:9" hidden="1" x14ac:dyDescent="0.3">
      <c r="A1673" t="s">
        <v>163</v>
      </c>
      <c r="B1673" t="s">
        <v>2946</v>
      </c>
      <c r="C1673" t="s">
        <v>3226</v>
      </c>
      <c r="D1673" t="s">
        <v>1936</v>
      </c>
      <c r="E1673" t="s">
        <v>138</v>
      </c>
      <c r="F1673" t="s">
        <v>3231</v>
      </c>
      <c r="H1673" t="s">
        <v>17</v>
      </c>
      <c r="I1673" t="s">
        <v>3228</v>
      </c>
    </row>
    <row r="1674" spans="1:9" hidden="1" x14ac:dyDescent="0.3">
      <c r="A1674" t="s">
        <v>168</v>
      </c>
      <c r="B1674" t="s">
        <v>2946</v>
      </c>
      <c r="C1674" t="s">
        <v>3226</v>
      </c>
      <c r="D1674" t="s">
        <v>1936</v>
      </c>
      <c r="E1674" t="s">
        <v>141</v>
      </c>
      <c r="F1674" t="s">
        <v>3232</v>
      </c>
      <c r="H1674" t="s">
        <v>17</v>
      </c>
      <c r="I1674" t="s">
        <v>3228</v>
      </c>
    </row>
    <row r="1675" spans="1:9" hidden="1" x14ac:dyDescent="0.3">
      <c r="A1675" t="s">
        <v>173</v>
      </c>
      <c r="B1675" t="s">
        <v>2946</v>
      </c>
      <c r="C1675" t="s">
        <v>3226</v>
      </c>
      <c r="D1675" t="s">
        <v>1936</v>
      </c>
      <c r="E1675" t="s">
        <v>144</v>
      </c>
      <c r="F1675" t="s">
        <v>3233</v>
      </c>
      <c r="H1675" t="s">
        <v>17</v>
      </c>
      <c r="I1675" t="s">
        <v>3228</v>
      </c>
    </row>
    <row r="1676" spans="1:9" hidden="1" x14ac:dyDescent="0.3">
      <c r="A1676" t="s">
        <v>178</v>
      </c>
      <c r="B1676" t="s">
        <v>2946</v>
      </c>
      <c r="C1676" t="s">
        <v>3226</v>
      </c>
      <c r="D1676" t="s">
        <v>1936</v>
      </c>
      <c r="E1676" t="s">
        <v>147</v>
      </c>
      <c r="F1676" t="s">
        <v>3234</v>
      </c>
      <c r="H1676" t="s">
        <v>17</v>
      </c>
      <c r="I1676" t="s">
        <v>3228</v>
      </c>
    </row>
    <row r="1677" spans="1:9" hidden="1" x14ac:dyDescent="0.3">
      <c r="A1677" t="s">
        <v>188</v>
      </c>
      <c r="B1677" t="s">
        <v>2946</v>
      </c>
      <c r="C1677" t="s">
        <v>3226</v>
      </c>
      <c r="D1677" t="s">
        <v>1936</v>
      </c>
      <c r="E1677" t="s">
        <v>152</v>
      </c>
      <c r="F1677" t="s">
        <v>3235</v>
      </c>
      <c r="H1677" t="s">
        <v>17</v>
      </c>
      <c r="I1677" t="s">
        <v>3228</v>
      </c>
    </row>
    <row r="1678" spans="1:9" hidden="1" x14ac:dyDescent="0.3">
      <c r="A1678" t="s">
        <v>194</v>
      </c>
      <c r="B1678" t="s">
        <v>2946</v>
      </c>
      <c r="C1678" t="s">
        <v>3236</v>
      </c>
      <c r="D1678" t="s">
        <v>1936</v>
      </c>
      <c r="E1678" t="s">
        <v>157</v>
      </c>
      <c r="F1678" t="s">
        <v>3237</v>
      </c>
      <c r="H1678" t="s">
        <v>17</v>
      </c>
      <c r="I1678" t="s">
        <v>3238</v>
      </c>
    </row>
    <row r="1679" spans="1:9" hidden="1" x14ac:dyDescent="0.3">
      <c r="A1679" t="s">
        <v>199</v>
      </c>
      <c r="B1679" t="s">
        <v>2946</v>
      </c>
      <c r="C1679" t="s">
        <v>3236</v>
      </c>
      <c r="D1679" t="s">
        <v>1936</v>
      </c>
      <c r="E1679" t="s">
        <v>162</v>
      </c>
      <c r="F1679" t="s">
        <v>3239</v>
      </c>
      <c r="H1679" t="s">
        <v>17</v>
      </c>
      <c r="I1679" t="s">
        <v>3240</v>
      </c>
    </row>
    <row r="1680" spans="1:9" hidden="1" x14ac:dyDescent="0.3">
      <c r="A1680" t="s">
        <v>203</v>
      </c>
      <c r="B1680" t="s">
        <v>2946</v>
      </c>
      <c r="C1680" t="s">
        <v>3236</v>
      </c>
      <c r="D1680" t="s">
        <v>1936</v>
      </c>
      <c r="E1680" t="s">
        <v>167</v>
      </c>
      <c r="F1680" t="s">
        <v>3241</v>
      </c>
      <c r="H1680" t="s">
        <v>17</v>
      </c>
      <c r="I1680" t="s">
        <v>3242</v>
      </c>
    </row>
    <row r="1681" spans="1:9" hidden="1" x14ac:dyDescent="0.3">
      <c r="A1681" t="s">
        <v>207</v>
      </c>
      <c r="B1681" t="s">
        <v>2946</v>
      </c>
      <c r="C1681" t="s">
        <v>3236</v>
      </c>
      <c r="D1681" t="s">
        <v>1936</v>
      </c>
      <c r="E1681" t="s">
        <v>172</v>
      </c>
      <c r="F1681" t="s">
        <v>3243</v>
      </c>
      <c r="H1681" t="s">
        <v>17</v>
      </c>
      <c r="I1681" t="s">
        <v>3244</v>
      </c>
    </row>
    <row r="1682" spans="1:9" hidden="1" x14ac:dyDescent="0.3">
      <c r="A1682" t="s">
        <v>211</v>
      </c>
      <c r="B1682" t="s">
        <v>2946</v>
      </c>
      <c r="C1682" t="s">
        <v>3236</v>
      </c>
      <c r="D1682" t="s">
        <v>1936</v>
      </c>
      <c r="E1682" t="s">
        <v>177</v>
      </c>
      <c r="F1682" t="s">
        <v>3245</v>
      </c>
      <c r="H1682" t="s">
        <v>17</v>
      </c>
      <c r="I1682" t="s">
        <v>3246</v>
      </c>
    </row>
    <row r="1683" spans="1:9" hidden="1" x14ac:dyDescent="0.3">
      <c r="A1683" t="s">
        <v>215</v>
      </c>
      <c r="B1683" t="s">
        <v>2946</v>
      </c>
      <c r="C1683" t="s">
        <v>3236</v>
      </c>
      <c r="D1683" t="s">
        <v>1936</v>
      </c>
      <c r="E1683" t="s">
        <v>182</v>
      </c>
      <c r="F1683" t="s">
        <v>3247</v>
      </c>
      <c r="H1683" t="s">
        <v>17</v>
      </c>
      <c r="I1683" t="s">
        <v>3246</v>
      </c>
    </row>
    <row r="1684" spans="1:9" hidden="1" x14ac:dyDescent="0.3">
      <c r="A1684" t="s">
        <v>1584</v>
      </c>
      <c r="B1684" t="s">
        <v>2946</v>
      </c>
      <c r="C1684" t="s">
        <v>3236</v>
      </c>
      <c r="D1684" t="s">
        <v>1936</v>
      </c>
      <c r="E1684" t="s">
        <v>187</v>
      </c>
      <c r="F1684" t="s">
        <v>3248</v>
      </c>
      <c r="H1684" t="s">
        <v>17</v>
      </c>
      <c r="I1684" t="s">
        <v>3249</v>
      </c>
    </row>
    <row r="1685" spans="1:9" hidden="1" x14ac:dyDescent="0.3">
      <c r="A1685" t="s">
        <v>224</v>
      </c>
      <c r="B1685" t="s">
        <v>2946</v>
      </c>
      <c r="C1685" t="s">
        <v>3236</v>
      </c>
      <c r="D1685" t="s">
        <v>1936</v>
      </c>
      <c r="E1685" t="s">
        <v>1114</v>
      </c>
      <c r="F1685" t="s">
        <v>3250</v>
      </c>
      <c r="H1685" t="s">
        <v>17</v>
      </c>
      <c r="I1685" t="s">
        <v>3251</v>
      </c>
    </row>
    <row r="1686" spans="1:9" hidden="1" x14ac:dyDescent="0.3">
      <c r="A1686" t="s">
        <v>234</v>
      </c>
      <c r="B1686" t="s">
        <v>2946</v>
      </c>
      <c r="C1686" t="s">
        <v>3236</v>
      </c>
      <c r="D1686" t="s">
        <v>1936</v>
      </c>
      <c r="E1686" t="s">
        <v>202</v>
      </c>
      <c r="F1686" t="s">
        <v>3252</v>
      </c>
      <c r="H1686" t="s">
        <v>17</v>
      </c>
      <c r="I1686" t="s">
        <v>3253</v>
      </c>
    </row>
    <row r="1687" spans="1:9" hidden="1" x14ac:dyDescent="0.3">
      <c r="A1687" t="s">
        <v>237</v>
      </c>
      <c r="B1687" t="s">
        <v>2946</v>
      </c>
      <c r="C1687" t="s">
        <v>3254</v>
      </c>
      <c r="D1687" t="s">
        <v>1936</v>
      </c>
      <c r="E1687" t="s">
        <v>206</v>
      </c>
      <c r="F1687" t="s">
        <v>3255</v>
      </c>
      <c r="H1687" t="s">
        <v>17</v>
      </c>
      <c r="I1687" t="s">
        <v>3256</v>
      </c>
    </row>
    <row r="1688" spans="1:9" hidden="1" x14ac:dyDescent="0.3">
      <c r="A1688" t="s">
        <v>240</v>
      </c>
      <c r="B1688" t="s">
        <v>2946</v>
      </c>
      <c r="C1688" t="s">
        <v>3254</v>
      </c>
      <c r="D1688" t="s">
        <v>1936</v>
      </c>
      <c r="E1688" t="s">
        <v>210</v>
      </c>
      <c r="F1688" t="s">
        <v>3257</v>
      </c>
      <c r="H1688" t="s">
        <v>17</v>
      </c>
      <c r="I1688" t="s">
        <v>3256</v>
      </c>
    </row>
    <row r="1689" spans="1:9" hidden="1" x14ac:dyDescent="0.3">
      <c r="A1689" t="s">
        <v>246</v>
      </c>
      <c r="B1689" t="s">
        <v>2946</v>
      </c>
      <c r="C1689" t="s">
        <v>3254</v>
      </c>
      <c r="D1689" t="s">
        <v>1936</v>
      </c>
      <c r="E1689" t="s">
        <v>214</v>
      </c>
      <c r="F1689" t="s">
        <v>3258</v>
      </c>
      <c r="H1689" t="s">
        <v>17</v>
      </c>
      <c r="I1689" t="s">
        <v>3256</v>
      </c>
    </row>
    <row r="1690" spans="1:9" hidden="1" x14ac:dyDescent="0.3">
      <c r="A1690" t="s">
        <v>251</v>
      </c>
      <c r="B1690" t="s">
        <v>2946</v>
      </c>
      <c r="C1690" t="s">
        <v>3254</v>
      </c>
      <c r="D1690" t="s">
        <v>1936</v>
      </c>
      <c r="E1690" t="s">
        <v>218</v>
      </c>
      <c r="F1690" t="s">
        <v>3259</v>
      </c>
      <c r="H1690" t="s">
        <v>17</v>
      </c>
      <c r="I1690" t="s">
        <v>3260</v>
      </c>
    </row>
    <row r="1691" spans="1:9" hidden="1" x14ac:dyDescent="0.3">
      <c r="A1691" t="s">
        <v>254</v>
      </c>
      <c r="B1691" t="s">
        <v>2946</v>
      </c>
      <c r="C1691" t="s">
        <v>3254</v>
      </c>
      <c r="D1691" t="s">
        <v>1936</v>
      </c>
      <c r="E1691" t="s">
        <v>223</v>
      </c>
      <c r="F1691" t="s">
        <v>3261</v>
      </c>
      <c r="H1691" t="s">
        <v>17</v>
      </c>
      <c r="I1691" t="s">
        <v>3262</v>
      </c>
    </row>
    <row r="1692" spans="1:9" hidden="1" x14ac:dyDescent="0.3">
      <c r="A1692" t="s">
        <v>257</v>
      </c>
      <c r="B1692" t="s">
        <v>2946</v>
      </c>
      <c r="C1692" t="s">
        <v>3254</v>
      </c>
      <c r="D1692" t="s">
        <v>1936</v>
      </c>
      <c r="E1692" t="s">
        <v>228</v>
      </c>
      <c r="F1692" t="s">
        <v>3263</v>
      </c>
      <c r="H1692" t="s">
        <v>17</v>
      </c>
      <c r="I1692" t="s">
        <v>3264</v>
      </c>
    </row>
    <row r="1693" spans="1:9" hidden="1" x14ac:dyDescent="0.3">
      <c r="A1693" t="s">
        <v>260</v>
      </c>
      <c r="B1693" t="s">
        <v>2946</v>
      </c>
      <c r="C1693" t="s">
        <v>3254</v>
      </c>
      <c r="D1693" t="s">
        <v>1936</v>
      </c>
      <c r="E1693" t="s">
        <v>2925</v>
      </c>
      <c r="F1693" t="s">
        <v>3265</v>
      </c>
      <c r="H1693" t="s">
        <v>17</v>
      </c>
      <c r="I1693" t="s">
        <v>3266</v>
      </c>
    </row>
    <row r="1694" spans="1:9" hidden="1" x14ac:dyDescent="0.3">
      <c r="A1694" t="s">
        <v>263</v>
      </c>
      <c r="B1694" t="s">
        <v>2946</v>
      </c>
      <c r="C1694" t="s">
        <v>3254</v>
      </c>
      <c r="D1694" t="s">
        <v>1936</v>
      </c>
      <c r="E1694" t="s">
        <v>3267</v>
      </c>
      <c r="F1694" t="s">
        <v>3268</v>
      </c>
      <c r="H1694" t="s">
        <v>17</v>
      </c>
      <c r="I1694" t="s">
        <v>3269</v>
      </c>
    </row>
    <row r="1695" spans="1:9" hidden="1" x14ac:dyDescent="0.3">
      <c r="A1695" t="s">
        <v>266</v>
      </c>
      <c r="B1695" t="s">
        <v>2946</v>
      </c>
      <c r="C1695" t="s">
        <v>3254</v>
      </c>
      <c r="D1695" t="s">
        <v>1936</v>
      </c>
      <c r="E1695" t="s">
        <v>3270</v>
      </c>
      <c r="F1695" t="s">
        <v>3271</v>
      </c>
      <c r="H1695" t="s">
        <v>17</v>
      </c>
      <c r="I1695" t="s">
        <v>3272</v>
      </c>
    </row>
    <row r="1696" spans="1:9" hidden="1" x14ac:dyDescent="0.3">
      <c r="A1696" t="s">
        <v>269</v>
      </c>
      <c r="B1696" t="s">
        <v>2946</v>
      </c>
      <c r="C1696" t="s">
        <v>3254</v>
      </c>
      <c r="D1696" t="s">
        <v>1936</v>
      </c>
      <c r="E1696" t="s">
        <v>1590</v>
      </c>
      <c r="F1696" t="s">
        <v>3273</v>
      </c>
      <c r="H1696" t="s">
        <v>17</v>
      </c>
      <c r="I1696" t="s">
        <v>3274</v>
      </c>
    </row>
    <row r="1697" spans="1:9" hidden="1" x14ac:dyDescent="0.3">
      <c r="A1697" t="s">
        <v>1610</v>
      </c>
      <c r="B1697" t="s">
        <v>2946</v>
      </c>
      <c r="C1697" t="s">
        <v>3254</v>
      </c>
      <c r="D1697" t="s">
        <v>1936</v>
      </c>
      <c r="E1697" t="s">
        <v>1593</v>
      </c>
      <c r="F1697" t="s">
        <v>3275</v>
      </c>
      <c r="H1697" t="s">
        <v>17</v>
      </c>
    </row>
    <row r="1698" spans="1:9" hidden="1" x14ac:dyDescent="0.3">
      <c r="A1698" t="s">
        <v>274</v>
      </c>
      <c r="B1698" t="s">
        <v>2946</v>
      </c>
      <c r="C1698" t="s">
        <v>3254</v>
      </c>
      <c r="D1698" t="s">
        <v>1936</v>
      </c>
      <c r="E1698" t="s">
        <v>1597</v>
      </c>
      <c r="F1698" t="s">
        <v>3276</v>
      </c>
      <c r="H1698" t="s">
        <v>17</v>
      </c>
    </row>
    <row r="1699" spans="1:9" hidden="1" x14ac:dyDescent="0.3">
      <c r="A1699" t="s">
        <v>277</v>
      </c>
      <c r="B1699" t="s">
        <v>2946</v>
      </c>
      <c r="C1699" t="s">
        <v>3254</v>
      </c>
      <c r="D1699" t="s">
        <v>1936</v>
      </c>
      <c r="E1699" t="s">
        <v>2937</v>
      </c>
      <c r="F1699" t="s">
        <v>3277</v>
      </c>
      <c r="H1699" t="s">
        <v>17</v>
      </c>
    </row>
    <row r="1700" spans="1:9" hidden="1" x14ac:dyDescent="0.3">
      <c r="A1700" t="s">
        <v>280</v>
      </c>
      <c r="B1700" t="s">
        <v>2946</v>
      </c>
      <c r="C1700" t="s">
        <v>3254</v>
      </c>
      <c r="D1700" t="s">
        <v>1936</v>
      </c>
      <c r="E1700" t="s">
        <v>1172</v>
      </c>
      <c r="F1700" t="s">
        <v>2926</v>
      </c>
      <c r="H1700" t="s">
        <v>17</v>
      </c>
      <c r="I1700" t="s">
        <v>3278</v>
      </c>
    </row>
    <row r="1701" spans="1:9" hidden="1" x14ac:dyDescent="0.3">
      <c r="A1701" t="s">
        <v>283</v>
      </c>
      <c r="B1701" t="s">
        <v>2946</v>
      </c>
      <c r="C1701" t="s">
        <v>3254</v>
      </c>
      <c r="D1701" t="s">
        <v>1936</v>
      </c>
      <c r="E1701" t="s">
        <v>1176</v>
      </c>
      <c r="F1701" t="s">
        <v>3279</v>
      </c>
      <c r="H1701" t="s">
        <v>17</v>
      </c>
    </row>
    <row r="1702" spans="1:9" hidden="1" x14ac:dyDescent="0.3">
      <c r="A1702" t="s">
        <v>286</v>
      </c>
      <c r="B1702" t="s">
        <v>2946</v>
      </c>
      <c r="C1702" t="s">
        <v>3254</v>
      </c>
      <c r="D1702" t="s">
        <v>1936</v>
      </c>
      <c r="E1702" t="s">
        <v>1179</v>
      </c>
      <c r="F1702" t="s">
        <v>3280</v>
      </c>
      <c r="H1702" t="s">
        <v>17</v>
      </c>
      <c r="I1702" t="s">
        <v>3281</v>
      </c>
    </row>
    <row r="1703" spans="1:9" hidden="1" x14ac:dyDescent="0.3">
      <c r="A1703" t="s">
        <v>289</v>
      </c>
      <c r="B1703" t="s">
        <v>2946</v>
      </c>
      <c r="C1703" t="s">
        <v>3254</v>
      </c>
      <c r="D1703" t="s">
        <v>1936</v>
      </c>
      <c r="E1703" t="s">
        <v>1184</v>
      </c>
      <c r="F1703" t="s">
        <v>3282</v>
      </c>
      <c r="H1703" t="s">
        <v>17</v>
      </c>
      <c r="I1703" t="s">
        <v>3283</v>
      </c>
    </row>
    <row r="1704" spans="1:9" hidden="1" x14ac:dyDescent="0.3">
      <c r="A1704" t="s">
        <v>292</v>
      </c>
      <c r="B1704" t="s">
        <v>2946</v>
      </c>
      <c r="C1704" t="s">
        <v>3254</v>
      </c>
      <c r="D1704" t="s">
        <v>1936</v>
      </c>
      <c r="E1704" t="s">
        <v>1189</v>
      </c>
      <c r="F1704" t="s">
        <v>3284</v>
      </c>
      <c r="H1704" t="s">
        <v>17</v>
      </c>
      <c r="I1704" t="s">
        <v>3285</v>
      </c>
    </row>
    <row r="1705" spans="1:9" hidden="1" x14ac:dyDescent="0.3">
      <c r="A1705" t="s">
        <v>295</v>
      </c>
      <c r="B1705" t="s">
        <v>2946</v>
      </c>
      <c r="C1705" t="s">
        <v>3254</v>
      </c>
      <c r="D1705" t="s">
        <v>1936</v>
      </c>
      <c r="E1705" t="s">
        <v>1193</v>
      </c>
      <c r="F1705" t="s">
        <v>3286</v>
      </c>
      <c r="H1705" t="s">
        <v>17</v>
      </c>
      <c r="I1705" t="s">
        <v>3287</v>
      </c>
    </row>
    <row r="1706" spans="1:9" hidden="1" x14ac:dyDescent="0.3">
      <c r="A1706" t="s">
        <v>298</v>
      </c>
      <c r="B1706" t="s">
        <v>2946</v>
      </c>
      <c r="C1706" t="s">
        <v>3254</v>
      </c>
      <c r="D1706" t="s">
        <v>1936</v>
      </c>
      <c r="E1706" t="s">
        <v>1197</v>
      </c>
      <c r="F1706" t="s">
        <v>3288</v>
      </c>
      <c r="H1706" t="s">
        <v>17</v>
      </c>
      <c r="I1706" t="s">
        <v>3289</v>
      </c>
    </row>
    <row r="1707" spans="1:9" hidden="1" x14ac:dyDescent="0.3">
      <c r="A1707" t="s">
        <v>301</v>
      </c>
      <c r="B1707" t="s">
        <v>2946</v>
      </c>
      <c r="C1707" t="s">
        <v>3254</v>
      </c>
      <c r="D1707" t="s">
        <v>1936</v>
      </c>
      <c r="E1707" t="s">
        <v>1201</v>
      </c>
      <c r="F1707" t="s">
        <v>3290</v>
      </c>
      <c r="H1707" t="s">
        <v>17</v>
      </c>
      <c r="I1707" t="s">
        <v>3291</v>
      </c>
    </row>
    <row r="1708" spans="1:9" hidden="1" x14ac:dyDescent="0.3">
      <c r="A1708" t="s">
        <v>304</v>
      </c>
      <c r="B1708" t="s">
        <v>2946</v>
      </c>
      <c r="C1708" t="s">
        <v>3254</v>
      </c>
      <c r="D1708" t="s">
        <v>1936</v>
      </c>
      <c r="E1708" t="s">
        <v>1205</v>
      </c>
      <c r="F1708" t="s">
        <v>3292</v>
      </c>
      <c r="H1708" t="s">
        <v>17</v>
      </c>
      <c r="I1708" t="s">
        <v>3293</v>
      </c>
    </row>
    <row r="1709" spans="1:9" hidden="1" x14ac:dyDescent="0.3">
      <c r="A1709" t="s">
        <v>309</v>
      </c>
      <c r="B1709" t="s">
        <v>2946</v>
      </c>
      <c r="C1709" t="s">
        <v>3254</v>
      </c>
      <c r="D1709" t="s">
        <v>1936</v>
      </c>
      <c r="E1709" t="s">
        <v>1209</v>
      </c>
      <c r="F1709" t="s">
        <v>3294</v>
      </c>
      <c r="H1709" t="s">
        <v>17</v>
      </c>
      <c r="I1709" t="s">
        <v>3295</v>
      </c>
    </row>
    <row r="1710" spans="1:9" hidden="1" x14ac:dyDescent="0.3">
      <c r="A1710" t="s">
        <v>313</v>
      </c>
      <c r="B1710" t="s">
        <v>2946</v>
      </c>
      <c r="C1710" t="s">
        <v>3254</v>
      </c>
      <c r="D1710" t="s">
        <v>1936</v>
      </c>
      <c r="E1710" t="s">
        <v>1213</v>
      </c>
      <c r="F1710" t="s">
        <v>3296</v>
      </c>
      <c r="H1710" t="s">
        <v>17</v>
      </c>
      <c r="I1710" t="s">
        <v>3297</v>
      </c>
    </row>
    <row r="1711" spans="1:9" hidden="1" x14ac:dyDescent="0.3">
      <c r="A1711" t="s">
        <v>317</v>
      </c>
      <c r="B1711" t="s">
        <v>2946</v>
      </c>
      <c r="C1711" t="s">
        <v>3254</v>
      </c>
      <c r="D1711" t="s">
        <v>1936</v>
      </c>
      <c r="E1711" t="s">
        <v>1219</v>
      </c>
      <c r="F1711" t="s">
        <v>3298</v>
      </c>
      <c r="H1711" t="s">
        <v>17</v>
      </c>
      <c r="I1711" t="s">
        <v>3299</v>
      </c>
    </row>
    <row r="1712" spans="1:9" hidden="1" x14ac:dyDescent="0.3">
      <c r="A1712" t="s">
        <v>320</v>
      </c>
      <c r="B1712" t="s">
        <v>2946</v>
      </c>
      <c r="C1712" t="s">
        <v>3254</v>
      </c>
      <c r="D1712" t="s">
        <v>1936</v>
      </c>
      <c r="E1712" t="s">
        <v>1224</v>
      </c>
      <c r="F1712" t="s">
        <v>3300</v>
      </c>
      <c r="H1712" t="s">
        <v>17</v>
      </c>
      <c r="I1712" t="s">
        <v>3301</v>
      </c>
    </row>
    <row r="1713" spans="1:9" hidden="1" x14ac:dyDescent="0.3">
      <c r="A1713" t="s">
        <v>324</v>
      </c>
      <c r="B1713" t="s">
        <v>2946</v>
      </c>
      <c r="C1713" t="s">
        <v>3254</v>
      </c>
      <c r="D1713" t="s">
        <v>1936</v>
      </c>
      <c r="E1713" t="s">
        <v>1228</v>
      </c>
      <c r="F1713" t="s">
        <v>3302</v>
      </c>
      <c r="H1713" t="s">
        <v>17</v>
      </c>
      <c r="I1713" t="s">
        <v>3303</v>
      </c>
    </row>
    <row r="1714" spans="1:9" hidden="1" x14ac:dyDescent="0.3">
      <c r="A1714" t="s">
        <v>328</v>
      </c>
      <c r="B1714" t="s">
        <v>2946</v>
      </c>
      <c r="C1714" t="s">
        <v>3254</v>
      </c>
      <c r="D1714" t="s">
        <v>1936</v>
      </c>
      <c r="E1714" t="s">
        <v>1232</v>
      </c>
      <c r="F1714" t="s">
        <v>3304</v>
      </c>
      <c r="H1714" t="s">
        <v>17</v>
      </c>
      <c r="I1714" t="s">
        <v>3305</v>
      </c>
    </row>
    <row r="1715" spans="1:9" hidden="1" x14ac:dyDescent="0.3">
      <c r="A1715" t="s">
        <v>333</v>
      </c>
      <c r="B1715" t="s">
        <v>2946</v>
      </c>
      <c r="C1715" t="s">
        <v>3254</v>
      </c>
      <c r="D1715" t="s">
        <v>1936</v>
      </c>
      <c r="E1715" t="s">
        <v>1236</v>
      </c>
      <c r="F1715" t="s">
        <v>3306</v>
      </c>
      <c r="H1715" t="s">
        <v>17</v>
      </c>
      <c r="I1715" t="s">
        <v>414</v>
      </c>
    </row>
    <row r="1716" spans="1:9" hidden="1" x14ac:dyDescent="0.3">
      <c r="A1716" t="s">
        <v>336</v>
      </c>
      <c r="B1716" t="s">
        <v>2946</v>
      </c>
      <c r="C1716" t="s">
        <v>3254</v>
      </c>
      <c r="D1716" t="s">
        <v>1936</v>
      </c>
      <c r="E1716" t="s">
        <v>3307</v>
      </c>
      <c r="F1716" t="s">
        <v>3308</v>
      </c>
      <c r="H1716" t="s">
        <v>17</v>
      </c>
    </row>
    <row r="1717" spans="1:9" hidden="1" x14ac:dyDescent="0.3">
      <c r="A1717" t="s">
        <v>339</v>
      </c>
      <c r="B1717" t="s">
        <v>2946</v>
      </c>
      <c r="C1717" t="s">
        <v>3254</v>
      </c>
      <c r="D1717" t="s">
        <v>1936</v>
      </c>
      <c r="E1717" t="s">
        <v>1248</v>
      </c>
      <c r="F1717" t="s">
        <v>3309</v>
      </c>
      <c r="H1717" t="s">
        <v>17</v>
      </c>
      <c r="I1717" t="s">
        <v>3310</v>
      </c>
    </row>
    <row r="1718" spans="1:9" hidden="1" x14ac:dyDescent="0.3">
      <c r="A1718" t="s">
        <v>342</v>
      </c>
      <c r="B1718" t="s">
        <v>2946</v>
      </c>
      <c r="C1718" t="s">
        <v>3254</v>
      </c>
      <c r="D1718" t="s">
        <v>1936</v>
      </c>
      <c r="E1718" t="s">
        <v>1252</v>
      </c>
      <c r="F1718" t="s">
        <v>3311</v>
      </c>
      <c r="H1718" t="s">
        <v>17</v>
      </c>
      <c r="I1718" t="s">
        <v>3312</v>
      </c>
    </row>
    <row r="1719" spans="1:9" hidden="1" x14ac:dyDescent="0.3">
      <c r="A1719" t="s">
        <v>345</v>
      </c>
      <c r="B1719" t="s">
        <v>2946</v>
      </c>
      <c r="C1719" t="s">
        <v>3254</v>
      </c>
      <c r="D1719" t="s">
        <v>1936</v>
      </c>
      <c r="E1719" t="s">
        <v>1256</v>
      </c>
      <c r="F1719" t="s">
        <v>3313</v>
      </c>
      <c r="H1719" t="s">
        <v>17</v>
      </c>
      <c r="I1719" t="s">
        <v>3314</v>
      </c>
    </row>
    <row r="1720" spans="1:9" hidden="1" x14ac:dyDescent="0.3">
      <c r="A1720" t="s">
        <v>348</v>
      </c>
      <c r="B1720" t="s">
        <v>2946</v>
      </c>
      <c r="C1720" t="s">
        <v>3254</v>
      </c>
      <c r="D1720" t="s">
        <v>1936</v>
      </c>
      <c r="E1720" t="s">
        <v>1261</v>
      </c>
      <c r="F1720" t="s">
        <v>3315</v>
      </c>
      <c r="H1720" t="s">
        <v>17</v>
      </c>
      <c r="I1720" t="s">
        <v>3316</v>
      </c>
    </row>
    <row r="1721" spans="1:9" hidden="1" x14ac:dyDescent="0.3">
      <c r="A1721" t="s">
        <v>354</v>
      </c>
      <c r="B1721" t="s">
        <v>2946</v>
      </c>
      <c r="C1721" t="s">
        <v>3254</v>
      </c>
      <c r="D1721" t="s">
        <v>1936</v>
      </c>
      <c r="E1721" t="s">
        <v>1265</v>
      </c>
      <c r="F1721" t="s">
        <v>3317</v>
      </c>
      <c r="H1721" t="s">
        <v>17</v>
      </c>
    </row>
    <row r="1722" spans="1:9" hidden="1" x14ac:dyDescent="0.3">
      <c r="A1722" t="s">
        <v>359</v>
      </c>
      <c r="B1722" t="s">
        <v>2946</v>
      </c>
      <c r="C1722" t="s">
        <v>3254</v>
      </c>
      <c r="D1722" t="s">
        <v>1936</v>
      </c>
      <c r="E1722" t="s">
        <v>1270</v>
      </c>
      <c r="F1722" t="s">
        <v>3318</v>
      </c>
      <c r="H1722" t="s">
        <v>17</v>
      </c>
      <c r="I1722" t="s">
        <v>3319</v>
      </c>
    </row>
    <row r="1723" spans="1:9" hidden="1" x14ac:dyDescent="0.3">
      <c r="A1723" t="s">
        <v>362</v>
      </c>
      <c r="B1723" t="s">
        <v>2946</v>
      </c>
      <c r="C1723" t="s">
        <v>3254</v>
      </c>
      <c r="D1723" t="s">
        <v>1936</v>
      </c>
      <c r="E1723" t="s">
        <v>1276</v>
      </c>
      <c r="F1723" t="s">
        <v>3320</v>
      </c>
      <c r="H1723" t="s">
        <v>17</v>
      </c>
      <c r="I1723" t="s">
        <v>3321</v>
      </c>
    </row>
    <row r="1724" spans="1:9" hidden="1" x14ac:dyDescent="0.3">
      <c r="A1724" t="s">
        <v>365</v>
      </c>
      <c r="B1724" t="s">
        <v>2946</v>
      </c>
      <c r="C1724" t="s">
        <v>3254</v>
      </c>
      <c r="D1724" t="s">
        <v>1936</v>
      </c>
      <c r="E1724" t="s">
        <v>303</v>
      </c>
      <c r="F1724" t="s">
        <v>3322</v>
      </c>
      <c r="H1724" t="s">
        <v>17</v>
      </c>
      <c r="I1724" t="s">
        <v>3323</v>
      </c>
    </row>
    <row r="1725" spans="1:9" hidden="1" x14ac:dyDescent="0.3">
      <c r="A1725" t="s">
        <v>368</v>
      </c>
      <c r="B1725" t="s">
        <v>2946</v>
      </c>
      <c r="C1725" t="s">
        <v>3254</v>
      </c>
      <c r="D1725" t="s">
        <v>1936</v>
      </c>
      <c r="E1725" t="s">
        <v>308</v>
      </c>
      <c r="F1725" t="s">
        <v>3324</v>
      </c>
      <c r="H1725" t="s">
        <v>17</v>
      </c>
      <c r="I1725" t="s">
        <v>414</v>
      </c>
    </row>
    <row r="1726" spans="1:9" hidden="1" x14ac:dyDescent="0.3">
      <c r="A1726" t="s">
        <v>371</v>
      </c>
      <c r="B1726" t="s">
        <v>2946</v>
      </c>
      <c r="C1726" t="s">
        <v>3254</v>
      </c>
      <c r="D1726" t="s">
        <v>1936</v>
      </c>
      <c r="E1726" t="s">
        <v>3325</v>
      </c>
      <c r="F1726" t="s">
        <v>747</v>
      </c>
      <c r="H1726" t="s">
        <v>17</v>
      </c>
    </row>
    <row r="1727" spans="1:9" hidden="1" x14ac:dyDescent="0.3">
      <c r="A1727" t="s">
        <v>374</v>
      </c>
      <c r="B1727" t="s">
        <v>2946</v>
      </c>
      <c r="C1727" t="s">
        <v>3254</v>
      </c>
      <c r="D1727" t="s">
        <v>1936</v>
      </c>
      <c r="E1727" t="s">
        <v>319</v>
      </c>
      <c r="F1727" t="s">
        <v>3326</v>
      </c>
      <c r="H1727" t="s">
        <v>17</v>
      </c>
      <c r="I1727" t="s">
        <v>3327</v>
      </c>
    </row>
    <row r="1728" spans="1:9" hidden="1" x14ac:dyDescent="0.3">
      <c r="A1728" t="s">
        <v>2812</v>
      </c>
      <c r="B1728" t="s">
        <v>2946</v>
      </c>
      <c r="C1728" t="s">
        <v>3254</v>
      </c>
      <c r="D1728" t="s">
        <v>1936</v>
      </c>
      <c r="E1728" t="s">
        <v>3328</v>
      </c>
      <c r="F1728" t="s">
        <v>3329</v>
      </c>
      <c r="H1728" t="s">
        <v>17</v>
      </c>
      <c r="I1728" t="s">
        <v>3330</v>
      </c>
    </row>
    <row r="1729" spans="1:9" hidden="1" x14ac:dyDescent="0.3">
      <c r="A1729" t="s">
        <v>2813</v>
      </c>
      <c r="B1729" t="s">
        <v>2946</v>
      </c>
      <c r="C1729" t="s">
        <v>3254</v>
      </c>
      <c r="D1729" t="s">
        <v>1936</v>
      </c>
      <c r="E1729" t="s">
        <v>1652</v>
      </c>
      <c r="F1729" t="s">
        <v>3331</v>
      </c>
      <c r="H1729" t="s">
        <v>17</v>
      </c>
    </row>
    <row r="1730" spans="1:9" hidden="1" x14ac:dyDescent="0.3">
      <c r="A1730" t="s">
        <v>3333</v>
      </c>
      <c r="B1730" t="s">
        <v>2946</v>
      </c>
      <c r="C1730" t="s">
        <v>3254</v>
      </c>
      <c r="D1730" t="s">
        <v>1936</v>
      </c>
      <c r="E1730" t="s">
        <v>3332</v>
      </c>
      <c r="F1730" t="s">
        <v>797</v>
      </c>
      <c r="H1730" t="s">
        <v>17</v>
      </c>
    </row>
    <row r="1731" spans="1:9" hidden="1" x14ac:dyDescent="0.3">
      <c r="A1731" t="s">
        <v>2818</v>
      </c>
      <c r="B1731" t="s">
        <v>2946</v>
      </c>
      <c r="C1731" t="s">
        <v>3254</v>
      </c>
      <c r="D1731" t="s">
        <v>1936</v>
      </c>
      <c r="E1731" t="s">
        <v>344</v>
      </c>
      <c r="F1731" t="s">
        <v>3334</v>
      </c>
      <c r="H1731" t="s">
        <v>17</v>
      </c>
      <c r="I1731" t="s">
        <v>3335</v>
      </c>
    </row>
    <row r="1732" spans="1:9" hidden="1" x14ac:dyDescent="0.3">
      <c r="A1732" t="s">
        <v>2820</v>
      </c>
      <c r="B1732" t="s">
        <v>2946</v>
      </c>
      <c r="C1732" t="s">
        <v>3336</v>
      </c>
      <c r="D1732" t="s">
        <v>1936</v>
      </c>
      <c r="E1732" t="s">
        <v>347</v>
      </c>
      <c r="F1732" t="s">
        <v>3337</v>
      </c>
      <c r="H1732" t="s">
        <v>17</v>
      </c>
      <c r="I1732" t="s">
        <v>3338</v>
      </c>
    </row>
    <row r="1733" spans="1:9" hidden="1" x14ac:dyDescent="0.3">
      <c r="A1733" t="s">
        <v>2822</v>
      </c>
      <c r="B1733" t="s">
        <v>2946</v>
      </c>
      <c r="C1733" t="s">
        <v>3336</v>
      </c>
      <c r="D1733" t="s">
        <v>1936</v>
      </c>
      <c r="E1733" t="s">
        <v>353</v>
      </c>
      <c r="F1733" t="s">
        <v>3339</v>
      </c>
      <c r="H1733" t="s">
        <v>17</v>
      </c>
      <c r="I1733" t="s">
        <v>3338</v>
      </c>
    </row>
    <row r="1734" spans="1:9" hidden="1" x14ac:dyDescent="0.3">
      <c r="A1734" t="s">
        <v>2824</v>
      </c>
      <c r="B1734" t="s">
        <v>2946</v>
      </c>
      <c r="C1734" t="s">
        <v>3336</v>
      </c>
      <c r="D1734" t="s">
        <v>1936</v>
      </c>
      <c r="E1734" t="s">
        <v>358</v>
      </c>
      <c r="F1734" t="s">
        <v>3340</v>
      </c>
      <c r="H1734" t="s">
        <v>17</v>
      </c>
      <c r="I1734" t="s">
        <v>3338</v>
      </c>
    </row>
    <row r="1735" spans="1:9" hidden="1" x14ac:dyDescent="0.3">
      <c r="A1735" t="s">
        <v>2826</v>
      </c>
      <c r="B1735" t="s">
        <v>2946</v>
      </c>
      <c r="C1735" t="s">
        <v>3336</v>
      </c>
      <c r="D1735" t="s">
        <v>1936</v>
      </c>
      <c r="E1735" t="s">
        <v>361</v>
      </c>
      <c r="F1735" t="s">
        <v>3341</v>
      </c>
      <c r="H1735" t="s">
        <v>17</v>
      </c>
      <c r="I1735" t="s">
        <v>3342</v>
      </c>
    </row>
    <row r="1736" spans="1:9" hidden="1" x14ac:dyDescent="0.3">
      <c r="A1736" t="s">
        <v>2828</v>
      </c>
      <c r="B1736" t="s">
        <v>2946</v>
      </c>
      <c r="C1736" t="s">
        <v>3336</v>
      </c>
      <c r="D1736" t="s">
        <v>1936</v>
      </c>
      <c r="E1736" t="s">
        <v>364</v>
      </c>
      <c r="F1736" t="s">
        <v>3343</v>
      </c>
      <c r="H1736" t="s">
        <v>17</v>
      </c>
    </row>
    <row r="1737" spans="1:9" hidden="1" x14ac:dyDescent="0.3">
      <c r="A1737" t="s">
        <v>2830</v>
      </c>
      <c r="B1737" t="s">
        <v>2946</v>
      </c>
      <c r="C1737" t="s">
        <v>3336</v>
      </c>
      <c r="D1737" t="s">
        <v>1936</v>
      </c>
      <c r="E1737" t="s">
        <v>1669</v>
      </c>
      <c r="F1737" t="s">
        <v>3344</v>
      </c>
      <c r="H1737" t="s">
        <v>17</v>
      </c>
    </row>
    <row r="1738" spans="1:9" hidden="1" x14ac:dyDescent="0.3">
      <c r="A1738" t="s">
        <v>2832</v>
      </c>
      <c r="B1738" t="s">
        <v>2946</v>
      </c>
      <c r="C1738" t="s">
        <v>3336</v>
      </c>
      <c r="D1738" t="s">
        <v>1936</v>
      </c>
      <c r="E1738" t="s">
        <v>373</v>
      </c>
      <c r="F1738" t="s">
        <v>3345</v>
      </c>
      <c r="H1738" t="s">
        <v>17</v>
      </c>
      <c r="I1738" t="s">
        <v>3346</v>
      </c>
    </row>
    <row r="1739" spans="1:9" hidden="1" x14ac:dyDescent="0.3">
      <c r="A1739" t="s">
        <v>2834</v>
      </c>
      <c r="B1739" t="s">
        <v>2946</v>
      </c>
      <c r="C1739" t="s">
        <v>3336</v>
      </c>
      <c r="D1739" t="s">
        <v>1936</v>
      </c>
      <c r="E1739" t="s">
        <v>376</v>
      </c>
      <c r="F1739" t="s">
        <v>3347</v>
      </c>
      <c r="H1739" t="s">
        <v>17</v>
      </c>
      <c r="I1739" t="s">
        <v>414</v>
      </c>
    </row>
    <row r="1740" spans="1:9" hidden="1" x14ac:dyDescent="0.3">
      <c r="A1740" t="s">
        <v>3349</v>
      </c>
      <c r="B1740" t="s">
        <v>2946</v>
      </c>
      <c r="C1740" t="s">
        <v>3336</v>
      </c>
      <c r="D1740" t="s">
        <v>1936</v>
      </c>
      <c r="E1740" t="s">
        <v>1675</v>
      </c>
      <c r="F1740" t="s">
        <v>2196</v>
      </c>
      <c r="H1740" t="s">
        <v>17</v>
      </c>
      <c r="I1740" t="s">
        <v>3348</v>
      </c>
    </row>
    <row r="1741" spans="1:9" hidden="1" x14ac:dyDescent="0.3">
      <c r="A1741" t="s">
        <v>2837</v>
      </c>
      <c r="B1741" t="s">
        <v>2946</v>
      </c>
      <c r="C1741" t="s">
        <v>3336</v>
      </c>
      <c r="D1741" t="s">
        <v>1936</v>
      </c>
      <c r="E1741" t="s">
        <v>1678</v>
      </c>
      <c r="F1741" t="s">
        <v>3350</v>
      </c>
      <c r="H1741" t="s">
        <v>17</v>
      </c>
      <c r="I1741" t="s">
        <v>3351</v>
      </c>
    </row>
    <row r="1742" spans="1:9" hidden="1" x14ac:dyDescent="0.3">
      <c r="A1742" t="s">
        <v>2840</v>
      </c>
      <c r="B1742" t="s">
        <v>2946</v>
      </c>
      <c r="C1742" t="s">
        <v>3336</v>
      </c>
      <c r="D1742" t="s">
        <v>1936</v>
      </c>
      <c r="E1742" t="s">
        <v>1681</v>
      </c>
      <c r="F1742" t="s">
        <v>3352</v>
      </c>
      <c r="H1742" t="s">
        <v>17</v>
      </c>
      <c r="I1742" t="s">
        <v>2768</v>
      </c>
    </row>
    <row r="1743" spans="1:9" hidden="1" x14ac:dyDescent="0.3">
      <c r="A1743" t="s">
        <v>2842</v>
      </c>
      <c r="B1743" t="s">
        <v>2946</v>
      </c>
      <c r="C1743" t="s">
        <v>3336</v>
      </c>
      <c r="D1743" t="s">
        <v>1936</v>
      </c>
      <c r="E1743" t="s">
        <v>1683</v>
      </c>
      <c r="F1743" t="s">
        <v>3353</v>
      </c>
      <c r="H1743" t="s">
        <v>17</v>
      </c>
      <c r="I1743" t="s">
        <v>2768</v>
      </c>
    </row>
    <row r="1744" spans="1:9" hidden="1" x14ac:dyDescent="0.3">
      <c r="A1744" t="s">
        <v>2843</v>
      </c>
      <c r="B1744" t="s">
        <v>2946</v>
      </c>
      <c r="C1744" t="s">
        <v>3336</v>
      </c>
      <c r="D1744" t="s">
        <v>1936</v>
      </c>
      <c r="E1744" t="s">
        <v>1685</v>
      </c>
      <c r="F1744" t="s">
        <v>3354</v>
      </c>
      <c r="H1744" t="s">
        <v>17</v>
      </c>
      <c r="I1744" t="s">
        <v>414</v>
      </c>
    </row>
    <row r="1745" spans="1:9" hidden="1" x14ac:dyDescent="0.3">
      <c r="A1745" t="s">
        <v>2844</v>
      </c>
      <c r="B1745" t="s">
        <v>2946</v>
      </c>
      <c r="C1745" t="s">
        <v>3336</v>
      </c>
      <c r="D1745" t="s">
        <v>1936</v>
      </c>
      <c r="E1745" t="s">
        <v>2859</v>
      </c>
      <c r="F1745" t="s">
        <v>3355</v>
      </c>
      <c r="H1745" t="s">
        <v>17</v>
      </c>
      <c r="I1745" t="s">
        <v>414</v>
      </c>
    </row>
    <row r="1746" spans="1:9" hidden="1" x14ac:dyDescent="0.3">
      <c r="A1746" t="s">
        <v>2846</v>
      </c>
      <c r="B1746" t="s">
        <v>2946</v>
      </c>
      <c r="C1746" t="s">
        <v>3336</v>
      </c>
      <c r="D1746" t="s">
        <v>1936</v>
      </c>
      <c r="E1746" t="s">
        <v>2413</v>
      </c>
      <c r="F1746" t="s">
        <v>3356</v>
      </c>
      <c r="H1746" t="s">
        <v>17</v>
      </c>
      <c r="I1746" t="s">
        <v>414</v>
      </c>
    </row>
    <row r="1747" spans="1:9" hidden="1" x14ac:dyDescent="0.3">
      <c r="A1747" t="s">
        <v>2848</v>
      </c>
      <c r="B1747" t="s">
        <v>2946</v>
      </c>
      <c r="C1747" t="s">
        <v>3336</v>
      </c>
      <c r="D1747" t="s">
        <v>1936</v>
      </c>
      <c r="E1747" t="s">
        <v>2417</v>
      </c>
      <c r="F1747" t="s">
        <v>3357</v>
      </c>
      <c r="H1747" t="s">
        <v>17</v>
      </c>
      <c r="I1747" t="s">
        <v>3358</v>
      </c>
    </row>
    <row r="1748" spans="1:9" hidden="1" x14ac:dyDescent="0.3">
      <c r="A1748" t="s">
        <v>2849</v>
      </c>
      <c r="B1748" t="s">
        <v>2946</v>
      </c>
      <c r="C1748" t="s">
        <v>3336</v>
      </c>
      <c r="D1748" t="s">
        <v>1936</v>
      </c>
      <c r="E1748" t="s">
        <v>2421</v>
      </c>
      <c r="F1748" t="s">
        <v>3359</v>
      </c>
      <c r="H1748" t="s">
        <v>17</v>
      </c>
      <c r="I1748" t="s">
        <v>414</v>
      </c>
    </row>
    <row r="1749" spans="1:9" hidden="1" x14ac:dyDescent="0.3">
      <c r="A1749" t="s">
        <v>3360</v>
      </c>
      <c r="B1749" t="s">
        <v>2946</v>
      </c>
      <c r="C1749" t="s">
        <v>3336</v>
      </c>
      <c r="D1749" t="s">
        <v>1936</v>
      </c>
      <c r="E1749" t="s">
        <v>1690</v>
      </c>
      <c r="F1749" t="s">
        <v>843</v>
      </c>
      <c r="H1749" t="s">
        <v>17</v>
      </c>
      <c r="I1749" t="s">
        <v>2209</v>
      </c>
    </row>
    <row r="1750" spans="1:9" hidden="1" x14ac:dyDescent="0.3">
      <c r="A1750" t="s">
        <v>3361</v>
      </c>
      <c r="B1750" t="s">
        <v>2946</v>
      </c>
      <c r="C1750" t="s">
        <v>3336</v>
      </c>
      <c r="D1750" t="s">
        <v>2135</v>
      </c>
      <c r="E1750" t="s">
        <v>996</v>
      </c>
      <c r="F1750" t="s">
        <v>2672</v>
      </c>
      <c r="H1750" t="s">
        <v>17</v>
      </c>
      <c r="I1750" t="s">
        <v>2673</v>
      </c>
    </row>
    <row r="1751" spans="1:9" hidden="1" x14ac:dyDescent="0.3">
      <c r="A1751" t="s">
        <v>3365</v>
      </c>
      <c r="B1751" t="s">
        <v>2946</v>
      </c>
      <c r="C1751" t="s">
        <v>3336</v>
      </c>
      <c r="D1751" t="s">
        <v>2135</v>
      </c>
      <c r="E1751" t="s">
        <v>1001</v>
      </c>
      <c r="F1751" t="s">
        <v>3362</v>
      </c>
      <c r="H1751" t="s">
        <v>17</v>
      </c>
      <c r="I1751" t="s">
        <v>3363</v>
      </c>
    </row>
    <row r="1752" spans="1:9" hidden="1" x14ac:dyDescent="0.3">
      <c r="A1752" t="s">
        <v>377</v>
      </c>
      <c r="B1752" t="s">
        <v>2946</v>
      </c>
      <c r="C1752" t="s">
        <v>3364</v>
      </c>
      <c r="D1752" t="s">
        <v>2135</v>
      </c>
      <c r="E1752" t="s">
        <v>1942</v>
      </c>
      <c r="F1752" t="s">
        <v>2677</v>
      </c>
      <c r="H1752" t="s">
        <v>17</v>
      </c>
      <c r="I1752" t="s">
        <v>2678</v>
      </c>
    </row>
    <row r="1753" spans="1:9" hidden="1" x14ac:dyDescent="0.3">
      <c r="A1753" t="s">
        <v>383</v>
      </c>
      <c r="B1753" t="s">
        <v>2946</v>
      </c>
      <c r="C1753" t="s">
        <v>3364</v>
      </c>
      <c r="D1753" t="s">
        <v>2135</v>
      </c>
      <c r="E1753" t="s">
        <v>22</v>
      </c>
      <c r="F1753" t="s">
        <v>2680</v>
      </c>
      <c r="H1753" t="s">
        <v>17</v>
      </c>
      <c r="I1753" t="s">
        <v>2678</v>
      </c>
    </row>
    <row r="1754" spans="1:9" hidden="1" x14ac:dyDescent="0.3">
      <c r="A1754" t="s">
        <v>1638</v>
      </c>
      <c r="B1754" t="s">
        <v>2946</v>
      </c>
      <c r="C1754" t="s">
        <v>3364</v>
      </c>
      <c r="D1754" t="s">
        <v>2135</v>
      </c>
      <c r="E1754" t="s">
        <v>27</v>
      </c>
      <c r="F1754" t="s">
        <v>2681</v>
      </c>
      <c r="H1754" t="s">
        <v>17</v>
      </c>
      <c r="I1754" t="s">
        <v>2678</v>
      </c>
    </row>
    <row r="1755" spans="1:9" hidden="1" x14ac:dyDescent="0.3">
      <c r="A1755" t="s">
        <v>1640</v>
      </c>
      <c r="B1755" t="s">
        <v>2946</v>
      </c>
      <c r="C1755" t="s">
        <v>3364</v>
      </c>
      <c r="D1755" t="s">
        <v>2135</v>
      </c>
      <c r="E1755" t="s">
        <v>32</v>
      </c>
      <c r="F1755" t="s">
        <v>3366</v>
      </c>
      <c r="H1755" t="s">
        <v>17</v>
      </c>
      <c r="I1755" t="s">
        <v>3251</v>
      </c>
    </row>
    <row r="1756" spans="1:9" hidden="1" x14ac:dyDescent="0.3">
      <c r="A1756" t="s">
        <v>1643</v>
      </c>
      <c r="B1756" t="s">
        <v>2946</v>
      </c>
      <c r="C1756" t="s">
        <v>3364</v>
      </c>
      <c r="D1756" t="s">
        <v>2135</v>
      </c>
      <c r="E1756" t="s">
        <v>2684</v>
      </c>
      <c r="F1756" t="s">
        <v>2685</v>
      </c>
      <c r="H1756" t="s">
        <v>17</v>
      </c>
      <c r="I1756" t="s">
        <v>3367</v>
      </c>
    </row>
    <row r="1757" spans="1:9" hidden="1" x14ac:dyDescent="0.3">
      <c r="A1757" t="s">
        <v>388</v>
      </c>
      <c r="B1757" t="s">
        <v>2946</v>
      </c>
      <c r="C1757" t="s">
        <v>3364</v>
      </c>
      <c r="D1757" t="s">
        <v>2135</v>
      </c>
      <c r="E1757" t="s">
        <v>45</v>
      </c>
      <c r="F1757" t="s">
        <v>2688</v>
      </c>
      <c r="H1757" t="s">
        <v>17</v>
      </c>
      <c r="I1757" t="s">
        <v>3368</v>
      </c>
    </row>
    <row r="1758" spans="1:9" hidden="1" x14ac:dyDescent="0.3">
      <c r="A1758" t="s">
        <v>1647</v>
      </c>
      <c r="B1758" t="s">
        <v>2946</v>
      </c>
      <c r="C1758" t="s">
        <v>3364</v>
      </c>
      <c r="D1758" t="s">
        <v>2135</v>
      </c>
      <c r="E1758" t="s">
        <v>50</v>
      </c>
      <c r="F1758" t="s">
        <v>3369</v>
      </c>
      <c r="H1758" t="s">
        <v>17</v>
      </c>
      <c r="I1758" t="s">
        <v>3370</v>
      </c>
    </row>
    <row r="1759" spans="1:9" hidden="1" x14ac:dyDescent="0.3">
      <c r="A1759" t="s">
        <v>392</v>
      </c>
      <c r="B1759" t="s">
        <v>2946</v>
      </c>
      <c r="C1759" t="s">
        <v>3364</v>
      </c>
      <c r="D1759" t="s">
        <v>2135</v>
      </c>
      <c r="E1759" t="s">
        <v>53</v>
      </c>
      <c r="F1759" t="s">
        <v>3371</v>
      </c>
      <c r="H1759" t="s">
        <v>17</v>
      </c>
      <c r="I1759" t="s">
        <v>3372</v>
      </c>
    </row>
    <row r="1760" spans="1:9" hidden="1" x14ac:dyDescent="0.3">
      <c r="A1760" t="s">
        <v>1653</v>
      </c>
      <c r="B1760" t="s">
        <v>2946</v>
      </c>
      <c r="C1760" t="s">
        <v>3364</v>
      </c>
      <c r="D1760" t="s">
        <v>2135</v>
      </c>
      <c r="E1760" t="s">
        <v>56</v>
      </c>
      <c r="F1760" t="s">
        <v>3373</v>
      </c>
      <c r="H1760" t="s">
        <v>17</v>
      </c>
      <c r="I1760" t="s">
        <v>414</v>
      </c>
    </row>
    <row r="1761" spans="1:9" hidden="1" x14ac:dyDescent="0.3">
      <c r="A1761" t="s">
        <v>395</v>
      </c>
      <c r="B1761" t="s">
        <v>2946</v>
      </c>
      <c r="C1761" t="s">
        <v>3364</v>
      </c>
      <c r="D1761" t="s">
        <v>2135</v>
      </c>
      <c r="E1761" t="s">
        <v>61</v>
      </c>
      <c r="F1761" t="s">
        <v>3374</v>
      </c>
      <c r="H1761" t="s">
        <v>17</v>
      </c>
      <c r="I1761" t="s">
        <v>414</v>
      </c>
    </row>
    <row r="1762" spans="1:9" hidden="1" x14ac:dyDescent="0.3">
      <c r="A1762" t="s">
        <v>1656</v>
      </c>
      <c r="B1762" t="s">
        <v>2946</v>
      </c>
      <c r="C1762" t="s">
        <v>3364</v>
      </c>
      <c r="D1762" t="s">
        <v>2135</v>
      </c>
      <c r="E1762" t="s">
        <v>1039</v>
      </c>
      <c r="F1762" t="s">
        <v>3375</v>
      </c>
      <c r="H1762" t="s">
        <v>17</v>
      </c>
      <c r="I1762" t="s">
        <v>2695</v>
      </c>
    </row>
    <row r="1763" spans="1:9" hidden="1" x14ac:dyDescent="0.3">
      <c r="A1763" t="s">
        <v>398</v>
      </c>
      <c r="B1763" t="s">
        <v>2946</v>
      </c>
      <c r="C1763" t="s">
        <v>3364</v>
      </c>
      <c r="D1763" t="s">
        <v>2135</v>
      </c>
      <c r="E1763" t="s">
        <v>1043</v>
      </c>
      <c r="F1763" t="s">
        <v>2966</v>
      </c>
      <c r="H1763" t="s">
        <v>17</v>
      </c>
      <c r="I1763" t="s">
        <v>3376</v>
      </c>
    </row>
    <row r="1764" spans="1:9" hidden="1" x14ac:dyDescent="0.3">
      <c r="A1764" t="s">
        <v>3378</v>
      </c>
      <c r="B1764" t="s">
        <v>2946</v>
      </c>
      <c r="C1764" t="s">
        <v>3364</v>
      </c>
      <c r="D1764" t="s">
        <v>2135</v>
      </c>
      <c r="E1764" t="s">
        <v>71</v>
      </c>
      <c r="F1764" t="s">
        <v>3377</v>
      </c>
      <c r="H1764" t="s">
        <v>17</v>
      </c>
      <c r="I1764" t="s">
        <v>2702</v>
      </c>
    </row>
    <row r="1765" spans="1:9" hidden="1" x14ac:dyDescent="0.3">
      <c r="A1765" t="s">
        <v>401</v>
      </c>
      <c r="B1765" t="s">
        <v>2946</v>
      </c>
      <c r="C1765" t="s">
        <v>3364</v>
      </c>
      <c r="D1765" t="s">
        <v>2135</v>
      </c>
      <c r="E1765" t="s">
        <v>1050</v>
      </c>
      <c r="F1765" t="s">
        <v>3379</v>
      </c>
      <c r="H1765" t="s">
        <v>17</v>
      </c>
      <c r="I1765" t="s">
        <v>2704</v>
      </c>
    </row>
    <row r="1766" spans="1:9" hidden="1" x14ac:dyDescent="0.3">
      <c r="A1766" t="s">
        <v>1663</v>
      </c>
      <c r="B1766" t="s">
        <v>2946</v>
      </c>
      <c r="C1766" t="s">
        <v>3364</v>
      </c>
      <c r="D1766" t="s">
        <v>2135</v>
      </c>
      <c r="E1766" t="s">
        <v>1055</v>
      </c>
      <c r="F1766" t="s">
        <v>3380</v>
      </c>
      <c r="H1766" t="s">
        <v>17</v>
      </c>
      <c r="I1766" t="s">
        <v>2706</v>
      </c>
    </row>
    <row r="1767" spans="1:9" hidden="1" x14ac:dyDescent="0.3">
      <c r="A1767" t="s">
        <v>404</v>
      </c>
      <c r="B1767" t="s">
        <v>2946</v>
      </c>
      <c r="C1767" t="s">
        <v>3364</v>
      </c>
      <c r="D1767" t="s">
        <v>2135</v>
      </c>
      <c r="E1767" t="s">
        <v>80</v>
      </c>
      <c r="F1767" t="s">
        <v>3381</v>
      </c>
      <c r="H1767" t="s">
        <v>17</v>
      </c>
      <c r="I1767" t="s">
        <v>2708</v>
      </c>
    </row>
    <row r="1768" spans="1:9" hidden="1" x14ac:dyDescent="0.3">
      <c r="A1768" t="s">
        <v>3382</v>
      </c>
      <c r="B1768" t="s">
        <v>2946</v>
      </c>
      <c r="C1768" t="s">
        <v>3364</v>
      </c>
      <c r="D1768" t="s">
        <v>2135</v>
      </c>
      <c r="E1768" t="s">
        <v>85</v>
      </c>
      <c r="F1768" t="s">
        <v>2709</v>
      </c>
      <c r="H1768" t="s">
        <v>17</v>
      </c>
      <c r="I1768" t="s">
        <v>3027</v>
      </c>
    </row>
    <row r="1769" spans="1:9" hidden="1" x14ac:dyDescent="0.3">
      <c r="A1769" t="s">
        <v>407</v>
      </c>
      <c r="B1769" t="s">
        <v>2946</v>
      </c>
      <c r="C1769" t="s">
        <v>3364</v>
      </c>
      <c r="D1769" t="s">
        <v>2135</v>
      </c>
      <c r="E1769" t="s">
        <v>90</v>
      </c>
      <c r="F1769" t="s">
        <v>3383</v>
      </c>
      <c r="H1769" t="s">
        <v>17</v>
      </c>
      <c r="I1769" t="s">
        <v>3029</v>
      </c>
    </row>
    <row r="1770" spans="1:9" hidden="1" x14ac:dyDescent="0.3">
      <c r="A1770" t="s">
        <v>411</v>
      </c>
      <c r="B1770" t="s">
        <v>2946</v>
      </c>
      <c r="C1770" t="s">
        <v>3364</v>
      </c>
      <c r="D1770" t="s">
        <v>2135</v>
      </c>
      <c r="E1770" t="s">
        <v>95</v>
      </c>
      <c r="F1770" t="s">
        <v>2714</v>
      </c>
      <c r="H1770" t="s">
        <v>17</v>
      </c>
      <c r="I1770" t="s">
        <v>3029</v>
      </c>
    </row>
    <row r="1771" spans="1:9" hidden="1" x14ac:dyDescent="0.3">
      <c r="A1771" t="s">
        <v>416</v>
      </c>
      <c r="B1771" t="s">
        <v>2946</v>
      </c>
      <c r="C1771" t="s">
        <v>3384</v>
      </c>
      <c r="D1771" t="s">
        <v>2135</v>
      </c>
      <c r="E1771" t="s">
        <v>100</v>
      </c>
      <c r="F1771" t="s">
        <v>3385</v>
      </c>
      <c r="H1771" t="s">
        <v>17</v>
      </c>
      <c r="I1771" t="s">
        <v>3386</v>
      </c>
    </row>
    <row r="1772" spans="1:9" hidden="1" x14ac:dyDescent="0.3">
      <c r="A1772" t="s">
        <v>421</v>
      </c>
      <c r="B1772" t="s">
        <v>2946</v>
      </c>
      <c r="C1772" t="s">
        <v>3384</v>
      </c>
      <c r="D1772" t="s">
        <v>2135</v>
      </c>
      <c r="E1772" t="s">
        <v>106</v>
      </c>
      <c r="F1772" t="s">
        <v>3387</v>
      </c>
      <c r="H1772" t="s">
        <v>17</v>
      </c>
      <c r="I1772" t="s">
        <v>3386</v>
      </c>
    </row>
    <row r="1773" spans="1:9" hidden="1" x14ac:dyDescent="0.3">
      <c r="A1773" t="s">
        <v>427</v>
      </c>
      <c r="B1773" t="s">
        <v>2946</v>
      </c>
      <c r="C1773" t="s">
        <v>3384</v>
      </c>
      <c r="D1773" t="s">
        <v>2135</v>
      </c>
      <c r="E1773" t="s">
        <v>111</v>
      </c>
      <c r="F1773" t="s">
        <v>3388</v>
      </c>
      <c r="H1773" t="s">
        <v>17</v>
      </c>
      <c r="I1773" t="s">
        <v>3389</v>
      </c>
    </row>
    <row r="1774" spans="1:9" hidden="1" x14ac:dyDescent="0.3">
      <c r="A1774" t="s">
        <v>430</v>
      </c>
      <c r="B1774" t="s">
        <v>2946</v>
      </c>
      <c r="C1774" t="s">
        <v>3046</v>
      </c>
      <c r="D1774" t="s">
        <v>2135</v>
      </c>
      <c r="E1774" t="s">
        <v>114</v>
      </c>
      <c r="F1774" t="s">
        <v>2723</v>
      </c>
      <c r="H1774" t="s">
        <v>17</v>
      </c>
      <c r="I1774" t="s">
        <v>2724</v>
      </c>
    </row>
    <row r="1775" spans="1:9" hidden="1" x14ac:dyDescent="0.3">
      <c r="A1775" t="s">
        <v>433</v>
      </c>
      <c r="B1775" t="s">
        <v>2946</v>
      </c>
      <c r="C1775" t="s">
        <v>3046</v>
      </c>
      <c r="D1775" t="s">
        <v>2135</v>
      </c>
      <c r="E1775" t="s">
        <v>117</v>
      </c>
      <c r="F1775" t="s">
        <v>2726</v>
      </c>
      <c r="H1775" t="s">
        <v>17</v>
      </c>
      <c r="I1775" t="s">
        <v>2724</v>
      </c>
    </row>
    <row r="1776" spans="1:9" hidden="1" x14ac:dyDescent="0.3">
      <c r="A1776" t="s">
        <v>436</v>
      </c>
      <c r="B1776" t="s">
        <v>2946</v>
      </c>
      <c r="C1776" t="s">
        <v>3046</v>
      </c>
      <c r="D1776" t="s">
        <v>2135</v>
      </c>
      <c r="E1776" t="s">
        <v>121</v>
      </c>
      <c r="F1776" t="s">
        <v>3390</v>
      </c>
      <c r="H1776" t="s">
        <v>17</v>
      </c>
      <c r="I1776" t="s">
        <v>2724</v>
      </c>
    </row>
    <row r="1777" spans="1:9" hidden="1" x14ac:dyDescent="0.3">
      <c r="A1777" t="s">
        <v>439</v>
      </c>
      <c r="B1777" t="s">
        <v>2946</v>
      </c>
      <c r="C1777" t="s">
        <v>3046</v>
      </c>
      <c r="D1777" t="s">
        <v>2135</v>
      </c>
      <c r="E1777" t="s">
        <v>126</v>
      </c>
      <c r="F1777" t="s">
        <v>2730</v>
      </c>
      <c r="H1777" t="s">
        <v>17</v>
      </c>
      <c r="I1777" t="s">
        <v>2724</v>
      </c>
    </row>
    <row r="1778" spans="1:9" hidden="1" x14ac:dyDescent="0.3">
      <c r="A1778" t="s">
        <v>442</v>
      </c>
      <c r="B1778" t="s">
        <v>2946</v>
      </c>
      <c r="C1778" t="s">
        <v>3046</v>
      </c>
      <c r="D1778" t="s">
        <v>2135</v>
      </c>
      <c r="E1778" t="s">
        <v>129</v>
      </c>
      <c r="F1778" t="s">
        <v>2728</v>
      </c>
      <c r="H1778" t="s">
        <v>17</v>
      </c>
      <c r="I1778" t="s">
        <v>2724</v>
      </c>
    </row>
    <row r="1779" spans="1:9" hidden="1" x14ac:dyDescent="0.3">
      <c r="A1779" t="s">
        <v>445</v>
      </c>
      <c r="B1779" t="s">
        <v>2946</v>
      </c>
      <c r="C1779" t="s">
        <v>3046</v>
      </c>
      <c r="D1779" t="s">
        <v>2135</v>
      </c>
      <c r="E1779" t="s">
        <v>132</v>
      </c>
      <c r="F1779" t="s">
        <v>3391</v>
      </c>
      <c r="H1779" t="s">
        <v>17</v>
      </c>
      <c r="I1779" t="s">
        <v>2724</v>
      </c>
    </row>
    <row r="1780" spans="1:9" hidden="1" x14ac:dyDescent="0.3">
      <c r="A1780" t="s">
        <v>449</v>
      </c>
      <c r="B1780" t="s">
        <v>2946</v>
      </c>
      <c r="C1780" t="s">
        <v>3046</v>
      </c>
      <c r="D1780" t="s">
        <v>2135</v>
      </c>
      <c r="E1780" t="s">
        <v>135</v>
      </c>
      <c r="F1780" t="s">
        <v>3392</v>
      </c>
      <c r="H1780" t="s">
        <v>17</v>
      </c>
      <c r="I1780" t="s">
        <v>2724</v>
      </c>
    </row>
    <row r="1781" spans="1:9" hidden="1" x14ac:dyDescent="0.3">
      <c r="A1781" t="s">
        <v>454</v>
      </c>
      <c r="B1781" t="s">
        <v>2946</v>
      </c>
      <c r="C1781" t="s">
        <v>3046</v>
      </c>
      <c r="D1781" t="s">
        <v>2135</v>
      </c>
      <c r="E1781" t="s">
        <v>138</v>
      </c>
      <c r="F1781" t="s">
        <v>2732</v>
      </c>
      <c r="H1781" t="s">
        <v>17</v>
      </c>
      <c r="I1781" t="s">
        <v>3393</v>
      </c>
    </row>
    <row r="1782" spans="1:9" hidden="1" x14ac:dyDescent="0.3">
      <c r="A1782" t="s">
        <v>458</v>
      </c>
      <c r="B1782" t="s">
        <v>2946</v>
      </c>
      <c r="C1782" t="s">
        <v>3046</v>
      </c>
      <c r="D1782" t="s">
        <v>2135</v>
      </c>
      <c r="E1782" t="s">
        <v>141</v>
      </c>
      <c r="F1782" t="s">
        <v>3394</v>
      </c>
      <c r="H1782" t="s">
        <v>17</v>
      </c>
      <c r="I1782" t="s">
        <v>3395</v>
      </c>
    </row>
    <row r="1783" spans="1:9" hidden="1" x14ac:dyDescent="0.3">
      <c r="A1783" t="s">
        <v>462</v>
      </c>
      <c r="B1783" t="s">
        <v>2946</v>
      </c>
      <c r="C1783" t="s">
        <v>3046</v>
      </c>
      <c r="D1783" t="s">
        <v>2135</v>
      </c>
      <c r="E1783" t="s">
        <v>144</v>
      </c>
      <c r="F1783" t="s">
        <v>2734</v>
      </c>
      <c r="H1783" t="s">
        <v>17</v>
      </c>
      <c r="I1783" t="s">
        <v>3396</v>
      </c>
    </row>
    <row r="1784" spans="1:9" hidden="1" x14ac:dyDescent="0.3">
      <c r="A1784" t="s">
        <v>465</v>
      </c>
      <c r="B1784" t="s">
        <v>2946</v>
      </c>
      <c r="C1784" t="s">
        <v>3046</v>
      </c>
      <c r="D1784" t="s">
        <v>2135</v>
      </c>
      <c r="E1784" t="s">
        <v>147</v>
      </c>
      <c r="F1784" t="s">
        <v>3397</v>
      </c>
      <c r="H1784" t="s">
        <v>17</v>
      </c>
      <c r="I1784" t="s">
        <v>3398</v>
      </c>
    </row>
    <row r="1785" spans="1:9" hidden="1" x14ac:dyDescent="0.3">
      <c r="A1785" t="s">
        <v>469</v>
      </c>
      <c r="B1785" t="s">
        <v>2946</v>
      </c>
      <c r="C1785" t="s">
        <v>3046</v>
      </c>
      <c r="D1785" t="s">
        <v>2135</v>
      </c>
      <c r="E1785" t="s">
        <v>152</v>
      </c>
      <c r="F1785" t="s">
        <v>3399</v>
      </c>
      <c r="H1785" t="s">
        <v>17</v>
      </c>
      <c r="I1785" t="s">
        <v>3400</v>
      </c>
    </row>
    <row r="1786" spans="1:9" hidden="1" x14ac:dyDescent="0.3">
      <c r="A1786" t="s">
        <v>472</v>
      </c>
      <c r="B1786" t="s">
        <v>2946</v>
      </c>
      <c r="C1786" t="s">
        <v>3046</v>
      </c>
      <c r="D1786" t="s">
        <v>2135</v>
      </c>
      <c r="E1786" t="s">
        <v>157</v>
      </c>
      <c r="F1786" t="s">
        <v>3401</v>
      </c>
      <c r="H1786" t="s">
        <v>17</v>
      </c>
      <c r="I1786" t="s">
        <v>3402</v>
      </c>
    </row>
    <row r="1787" spans="1:9" hidden="1" x14ac:dyDescent="0.3">
      <c r="A1787" t="s">
        <v>476</v>
      </c>
      <c r="B1787" t="s">
        <v>2946</v>
      </c>
      <c r="C1787" t="s">
        <v>3046</v>
      </c>
      <c r="D1787" t="s">
        <v>2135</v>
      </c>
      <c r="E1787" t="s">
        <v>162</v>
      </c>
      <c r="F1787" t="s">
        <v>3403</v>
      </c>
      <c r="H1787" t="s">
        <v>17</v>
      </c>
      <c r="I1787" t="s">
        <v>3404</v>
      </c>
    </row>
    <row r="1788" spans="1:9" hidden="1" x14ac:dyDescent="0.3">
      <c r="A1788" t="s">
        <v>479</v>
      </c>
      <c r="B1788" t="s">
        <v>2946</v>
      </c>
      <c r="C1788" t="s">
        <v>3046</v>
      </c>
      <c r="D1788" t="s">
        <v>2135</v>
      </c>
      <c r="E1788" t="s">
        <v>167</v>
      </c>
      <c r="F1788" t="s">
        <v>3405</v>
      </c>
      <c r="H1788" t="s">
        <v>17</v>
      </c>
      <c r="I1788" t="s">
        <v>3406</v>
      </c>
    </row>
    <row r="1789" spans="1:9" hidden="1" x14ac:dyDescent="0.3">
      <c r="A1789" t="s">
        <v>483</v>
      </c>
      <c r="B1789" t="s">
        <v>2946</v>
      </c>
      <c r="C1789" t="s">
        <v>3046</v>
      </c>
      <c r="D1789" t="s">
        <v>2135</v>
      </c>
      <c r="E1789" t="s">
        <v>172</v>
      </c>
      <c r="F1789" t="s">
        <v>3407</v>
      </c>
      <c r="H1789" t="s">
        <v>17</v>
      </c>
      <c r="I1789" t="s">
        <v>3019</v>
      </c>
    </row>
    <row r="1790" spans="1:9" hidden="1" x14ac:dyDescent="0.3">
      <c r="A1790" t="s">
        <v>490</v>
      </c>
      <c r="B1790" t="s">
        <v>2946</v>
      </c>
      <c r="C1790" t="s">
        <v>3408</v>
      </c>
      <c r="D1790" t="s">
        <v>2135</v>
      </c>
      <c r="E1790" t="s">
        <v>177</v>
      </c>
      <c r="F1790" t="s">
        <v>3409</v>
      </c>
      <c r="H1790" t="s">
        <v>17</v>
      </c>
      <c r="I1790" t="s">
        <v>3410</v>
      </c>
    </row>
    <row r="1791" spans="1:9" hidden="1" x14ac:dyDescent="0.3">
      <c r="A1791" t="s">
        <v>493</v>
      </c>
      <c r="B1791" t="s">
        <v>2946</v>
      </c>
      <c r="C1791" t="s">
        <v>3408</v>
      </c>
      <c r="D1791" t="s">
        <v>2135</v>
      </c>
      <c r="E1791" t="s">
        <v>182</v>
      </c>
      <c r="F1791" t="s">
        <v>3411</v>
      </c>
      <c r="H1791" t="s">
        <v>17</v>
      </c>
      <c r="I1791" t="s">
        <v>3412</v>
      </c>
    </row>
    <row r="1792" spans="1:9" hidden="1" x14ac:dyDescent="0.3">
      <c r="A1792" t="s">
        <v>497</v>
      </c>
      <c r="B1792" t="s">
        <v>2946</v>
      </c>
      <c r="C1792" t="s">
        <v>3408</v>
      </c>
      <c r="D1792" t="s">
        <v>2135</v>
      </c>
      <c r="E1792" t="s">
        <v>187</v>
      </c>
      <c r="F1792" t="s">
        <v>3413</v>
      </c>
      <c r="H1792" t="s">
        <v>17</v>
      </c>
      <c r="I1792" t="s">
        <v>3412</v>
      </c>
    </row>
    <row r="1793" spans="1:9" hidden="1" x14ac:dyDescent="0.3">
      <c r="A1793" t="s">
        <v>500</v>
      </c>
      <c r="B1793" t="s">
        <v>2946</v>
      </c>
      <c r="C1793" t="s">
        <v>3408</v>
      </c>
      <c r="D1793" t="s">
        <v>2135</v>
      </c>
      <c r="E1793" t="s">
        <v>193</v>
      </c>
      <c r="F1793" t="s">
        <v>3414</v>
      </c>
      <c r="H1793" t="s">
        <v>17</v>
      </c>
      <c r="I1793" t="s">
        <v>3415</v>
      </c>
    </row>
    <row r="1794" spans="1:9" hidden="1" x14ac:dyDescent="0.3">
      <c r="A1794" t="s">
        <v>505</v>
      </c>
      <c r="B1794" t="s">
        <v>2946</v>
      </c>
      <c r="C1794" t="s">
        <v>3408</v>
      </c>
      <c r="D1794" t="s">
        <v>2135</v>
      </c>
      <c r="E1794" t="s">
        <v>198</v>
      </c>
      <c r="F1794" t="s">
        <v>3416</v>
      </c>
      <c r="H1794" t="s">
        <v>17</v>
      </c>
      <c r="I1794" t="s">
        <v>3417</v>
      </c>
    </row>
    <row r="1795" spans="1:9" hidden="1" x14ac:dyDescent="0.3">
      <c r="A1795" t="s">
        <v>508</v>
      </c>
      <c r="B1795" t="s">
        <v>2946</v>
      </c>
      <c r="C1795" t="s">
        <v>3408</v>
      </c>
      <c r="D1795" t="s">
        <v>2135</v>
      </c>
      <c r="E1795" t="s">
        <v>202</v>
      </c>
      <c r="F1795" t="s">
        <v>3418</v>
      </c>
      <c r="H1795" t="s">
        <v>17</v>
      </c>
      <c r="I1795" t="s">
        <v>3417</v>
      </c>
    </row>
    <row r="1796" spans="1:9" hidden="1" x14ac:dyDescent="0.3">
      <c r="A1796" t="s">
        <v>512</v>
      </c>
      <c r="B1796" t="s">
        <v>2946</v>
      </c>
      <c r="C1796" t="s">
        <v>3408</v>
      </c>
      <c r="D1796" t="s">
        <v>2135</v>
      </c>
      <c r="E1796" t="s">
        <v>206</v>
      </c>
      <c r="F1796" t="s">
        <v>3419</v>
      </c>
      <c r="H1796" t="s">
        <v>17</v>
      </c>
      <c r="I1796" t="s">
        <v>3420</v>
      </c>
    </row>
    <row r="1797" spans="1:9" hidden="1" x14ac:dyDescent="0.3">
      <c r="A1797" t="s">
        <v>515</v>
      </c>
      <c r="B1797" t="s">
        <v>2946</v>
      </c>
      <c r="C1797" t="s">
        <v>3408</v>
      </c>
      <c r="D1797" t="s">
        <v>2135</v>
      </c>
      <c r="E1797" t="s">
        <v>210</v>
      </c>
      <c r="F1797" t="s">
        <v>3421</v>
      </c>
      <c r="H1797" t="s">
        <v>17</v>
      </c>
      <c r="I1797" t="s">
        <v>3422</v>
      </c>
    </row>
    <row r="1798" spans="1:9" hidden="1" x14ac:dyDescent="0.3">
      <c r="A1798" t="s">
        <v>519</v>
      </c>
      <c r="B1798" t="s">
        <v>2946</v>
      </c>
      <c r="C1798" t="s">
        <v>3408</v>
      </c>
      <c r="D1798" t="s">
        <v>2135</v>
      </c>
      <c r="E1798" t="s">
        <v>214</v>
      </c>
      <c r="F1798" t="s">
        <v>3423</v>
      </c>
      <c r="H1798" t="s">
        <v>17</v>
      </c>
      <c r="I1798" t="s">
        <v>3424</v>
      </c>
    </row>
    <row r="1799" spans="1:9" hidden="1" x14ac:dyDescent="0.3">
      <c r="A1799" t="s">
        <v>522</v>
      </c>
      <c r="B1799" t="s">
        <v>2946</v>
      </c>
      <c r="C1799" t="s">
        <v>3408</v>
      </c>
      <c r="D1799" t="s">
        <v>2135</v>
      </c>
      <c r="E1799" t="s">
        <v>218</v>
      </c>
      <c r="F1799" t="s">
        <v>3425</v>
      </c>
      <c r="H1799" t="s">
        <v>17</v>
      </c>
      <c r="I1799" t="s">
        <v>3424</v>
      </c>
    </row>
    <row r="1800" spans="1:9" hidden="1" x14ac:dyDescent="0.3">
      <c r="A1800" t="s">
        <v>526</v>
      </c>
      <c r="B1800" t="s">
        <v>2946</v>
      </c>
      <c r="C1800" t="s">
        <v>3408</v>
      </c>
      <c r="D1800" t="s">
        <v>2135</v>
      </c>
      <c r="E1800" t="s">
        <v>2924</v>
      </c>
      <c r="F1800" t="s">
        <v>3426</v>
      </c>
      <c r="H1800" t="s">
        <v>17</v>
      </c>
      <c r="I1800" t="s">
        <v>3427</v>
      </c>
    </row>
    <row r="1801" spans="1:9" hidden="1" x14ac:dyDescent="0.3">
      <c r="A1801" t="s">
        <v>529</v>
      </c>
      <c r="B1801" t="s">
        <v>2946</v>
      </c>
      <c r="C1801" t="s">
        <v>3408</v>
      </c>
      <c r="D1801" t="s">
        <v>2135</v>
      </c>
      <c r="E1801" t="s">
        <v>233</v>
      </c>
      <c r="F1801" t="s">
        <v>3428</v>
      </c>
      <c r="H1801" t="s">
        <v>17</v>
      </c>
      <c r="I1801" t="s">
        <v>3429</v>
      </c>
    </row>
    <row r="1802" spans="1:9" hidden="1" x14ac:dyDescent="0.3">
      <c r="A1802" t="s">
        <v>533</v>
      </c>
      <c r="B1802" t="s">
        <v>2946</v>
      </c>
      <c r="C1802" t="s">
        <v>3408</v>
      </c>
      <c r="D1802" t="s">
        <v>2135</v>
      </c>
      <c r="E1802" t="s">
        <v>236</v>
      </c>
      <c r="F1802" t="s">
        <v>3430</v>
      </c>
      <c r="H1802" t="s">
        <v>17</v>
      </c>
      <c r="I1802" t="s">
        <v>3431</v>
      </c>
    </row>
    <row r="1803" spans="1:9" hidden="1" x14ac:dyDescent="0.3">
      <c r="A1803" t="s">
        <v>536</v>
      </c>
      <c r="B1803" t="s">
        <v>2946</v>
      </c>
      <c r="C1803" t="s">
        <v>3408</v>
      </c>
      <c r="D1803" t="s">
        <v>2135</v>
      </c>
      <c r="E1803" t="s">
        <v>239</v>
      </c>
      <c r="F1803" t="s">
        <v>3432</v>
      </c>
      <c r="H1803" t="s">
        <v>17</v>
      </c>
      <c r="I1803" t="s">
        <v>3433</v>
      </c>
    </row>
    <row r="1804" spans="1:9" hidden="1" x14ac:dyDescent="0.3">
      <c r="A1804" t="s">
        <v>541</v>
      </c>
      <c r="B1804" t="s">
        <v>2946</v>
      </c>
      <c r="C1804" t="s">
        <v>3408</v>
      </c>
      <c r="D1804" t="s">
        <v>2135</v>
      </c>
      <c r="E1804" t="s">
        <v>1881</v>
      </c>
      <c r="F1804" t="s">
        <v>3434</v>
      </c>
      <c r="H1804" t="s">
        <v>17</v>
      </c>
      <c r="I1804" t="s">
        <v>3435</v>
      </c>
    </row>
    <row r="1805" spans="1:9" hidden="1" x14ac:dyDescent="0.3">
      <c r="A1805" t="s">
        <v>546</v>
      </c>
      <c r="B1805" t="s">
        <v>2946</v>
      </c>
      <c r="C1805" t="s">
        <v>3408</v>
      </c>
      <c r="D1805" t="s">
        <v>2135</v>
      </c>
      <c r="E1805" t="s">
        <v>1885</v>
      </c>
      <c r="F1805" t="s">
        <v>3436</v>
      </c>
      <c r="H1805" t="s">
        <v>17</v>
      </c>
      <c r="I1805" t="s">
        <v>3437</v>
      </c>
    </row>
    <row r="1806" spans="1:9" hidden="1" x14ac:dyDescent="0.3">
      <c r="A1806" t="s">
        <v>551</v>
      </c>
      <c r="B1806" t="s">
        <v>2946</v>
      </c>
      <c r="C1806" t="s">
        <v>3408</v>
      </c>
      <c r="D1806" t="s">
        <v>2135</v>
      </c>
      <c r="E1806" t="s">
        <v>1588</v>
      </c>
      <c r="F1806" t="s">
        <v>3438</v>
      </c>
      <c r="H1806" t="s">
        <v>17</v>
      </c>
      <c r="I1806" t="s">
        <v>3439</v>
      </c>
    </row>
    <row r="1807" spans="1:9" hidden="1" x14ac:dyDescent="0.3">
      <c r="A1807" t="s">
        <v>556</v>
      </c>
      <c r="B1807" t="s">
        <v>2946</v>
      </c>
      <c r="C1807" t="s">
        <v>3408</v>
      </c>
      <c r="D1807" t="s">
        <v>2135</v>
      </c>
      <c r="E1807" t="s">
        <v>1892</v>
      </c>
      <c r="F1807" t="s">
        <v>3440</v>
      </c>
      <c r="H1807" t="s">
        <v>17</v>
      </c>
      <c r="I1807" t="s">
        <v>3429</v>
      </c>
    </row>
    <row r="1808" spans="1:9" hidden="1" x14ac:dyDescent="0.3">
      <c r="A1808" t="s">
        <v>1712</v>
      </c>
      <c r="B1808" t="s">
        <v>2946</v>
      </c>
      <c r="C1808" t="s">
        <v>3408</v>
      </c>
      <c r="D1808" t="s">
        <v>2135</v>
      </c>
      <c r="E1808" t="s">
        <v>1146</v>
      </c>
      <c r="F1808" t="s">
        <v>3441</v>
      </c>
      <c r="H1808" t="s">
        <v>17</v>
      </c>
      <c r="I1808" t="s">
        <v>3442</v>
      </c>
    </row>
    <row r="1809" spans="1:9" hidden="1" x14ac:dyDescent="0.3">
      <c r="A1809" t="s">
        <v>560</v>
      </c>
      <c r="B1809" t="s">
        <v>2946</v>
      </c>
      <c r="C1809" t="s">
        <v>3408</v>
      </c>
      <c r="D1809" t="s">
        <v>2135</v>
      </c>
      <c r="E1809" t="s">
        <v>1150</v>
      </c>
      <c r="F1809" t="s">
        <v>3443</v>
      </c>
      <c r="H1809" t="s">
        <v>17</v>
      </c>
      <c r="I1809" t="s">
        <v>3442</v>
      </c>
    </row>
    <row r="1810" spans="1:9" hidden="1" x14ac:dyDescent="0.3">
      <c r="A1810" t="s">
        <v>565</v>
      </c>
      <c r="B1810" t="s">
        <v>2946</v>
      </c>
      <c r="C1810" t="s">
        <v>3408</v>
      </c>
      <c r="D1810" t="s">
        <v>2135</v>
      </c>
      <c r="E1810" t="s">
        <v>1154</v>
      </c>
      <c r="F1810" t="s">
        <v>3444</v>
      </c>
      <c r="H1810" t="s">
        <v>17</v>
      </c>
      <c r="I1810" t="s">
        <v>3445</v>
      </c>
    </row>
    <row r="1811" spans="1:9" hidden="1" x14ac:dyDescent="0.3">
      <c r="A1811" t="s">
        <v>1717</v>
      </c>
      <c r="B1811" t="s">
        <v>2946</v>
      </c>
      <c r="C1811" t="s">
        <v>3408</v>
      </c>
      <c r="D1811" t="s">
        <v>2135</v>
      </c>
      <c r="E1811" t="s">
        <v>1158</v>
      </c>
      <c r="F1811" t="s">
        <v>2761</v>
      </c>
      <c r="H1811" t="s">
        <v>17</v>
      </c>
      <c r="I1811" t="s">
        <v>3446</v>
      </c>
    </row>
    <row r="1812" spans="1:9" hidden="1" x14ac:dyDescent="0.3">
      <c r="A1812" t="s">
        <v>570</v>
      </c>
      <c r="B1812" t="s">
        <v>2946</v>
      </c>
      <c r="C1812" t="s">
        <v>3408</v>
      </c>
      <c r="D1812" t="s">
        <v>2135</v>
      </c>
      <c r="E1812" t="s">
        <v>1162</v>
      </c>
      <c r="F1812" t="s">
        <v>2762</v>
      </c>
      <c r="H1812" t="s">
        <v>17</v>
      </c>
      <c r="I1812" t="s">
        <v>3447</v>
      </c>
    </row>
    <row r="1813" spans="1:9" hidden="1" x14ac:dyDescent="0.3">
      <c r="A1813" t="s">
        <v>575</v>
      </c>
      <c r="B1813" t="s">
        <v>2946</v>
      </c>
      <c r="C1813" t="s">
        <v>3408</v>
      </c>
      <c r="D1813" t="s">
        <v>2135</v>
      </c>
      <c r="E1813" t="s">
        <v>1165</v>
      </c>
      <c r="F1813" t="s">
        <v>3448</v>
      </c>
      <c r="H1813" t="s">
        <v>17</v>
      </c>
      <c r="I1813" t="s">
        <v>3447</v>
      </c>
    </row>
    <row r="1814" spans="1:9" hidden="1" x14ac:dyDescent="0.3">
      <c r="A1814" t="s">
        <v>580</v>
      </c>
      <c r="B1814" t="s">
        <v>2946</v>
      </c>
      <c r="C1814" t="s">
        <v>3408</v>
      </c>
      <c r="D1814" t="s">
        <v>2135</v>
      </c>
      <c r="E1814" t="s">
        <v>1168</v>
      </c>
      <c r="F1814" t="s">
        <v>3449</v>
      </c>
      <c r="H1814" t="s">
        <v>17</v>
      </c>
      <c r="I1814" t="s">
        <v>3450</v>
      </c>
    </row>
    <row r="1815" spans="1:9" hidden="1" x14ac:dyDescent="0.3">
      <c r="A1815" t="s">
        <v>586</v>
      </c>
      <c r="B1815" t="s">
        <v>2946</v>
      </c>
      <c r="C1815" t="s">
        <v>3408</v>
      </c>
      <c r="D1815" t="s">
        <v>2135</v>
      </c>
      <c r="E1815" t="s">
        <v>1172</v>
      </c>
      <c r="F1815" t="s">
        <v>3451</v>
      </c>
      <c r="H1815" t="s">
        <v>17</v>
      </c>
      <c r="I1815" t="s">
        <v>2768</v>
      </c>
    </row>
    <row r="1816" spans="1:9" hidden="1" x14ac:dyDescent="0.3">
      <c r="A1816" t="s">
        <v>591</v>
      </c>
      <c r="B1816" t="s">
        <v>2946</v>
      </c>
      <c r="C1816" t="s">
        <v>3408</v>
      </c>
      <c r="D1816" t="s">
        <v>2135</v>
      </c>
      <c r="E1816" t="s">
        <v>1176</v>
      </c>
      <c r="F1816" t="s">
        <v>2769</v>
      </c>
      <c r="H1816" t="s">
        <v>17</v>
      </c>
      <c r="I1816" t="s">
        <v>2770</v>
      </c>
    </row>
    <row r="1817" spans="1:9" hidden="1" x14ac:dyDescent="0.3">
      <c r="A1817" t="s">
        <v>1724</v>
      </c>
      <c r="B1817" t="s">
        <v>2946</v>
      </c>
      <c r="C1817" t="s">
        <v>3408</v>
      </c>
      <c r="D1817" t="s">
        <v>2135</v>
      </c>
      <c r="E1817" t="s">
        <v>1179</v>
      </c>
      <c r="F1817" t="s">
        <v>2771</v>
      </c>
      <c r="H1817" t="s">
        <v>17</v>
      </c>
      <c r="I1817" t="s">
        <v>3452</v>
      </c>
    </row>
    <row r="1818" spans="1:9" hidden="1" x14ac:dyDescent="0.3">
      <c r="A1818" t="s">
        <v>1727</v>
      </c>
      <c r="B1818" t="s">
        <v>2946</v>
      </c>
      <c r="C1818" t="s">
        <v>3408</v>
      </c>
      <c r="D1818" t="s">
        <v>2135</v>
      </c>
      <c r="E1818" t="s">
        <v>268</v>
      </c>
      <c r="F1818" t="s">
        <v>3453</v>
      </c>
      <c r="H1818" t="s">
        <v>17</v>
      </c>
      <c r="I1818" t="s">
        <v>3454</v>
      </c>
    </row>
    <row r="1819" spans="1:9" hidden="1" x14ac:dyDescent="0.3">
      <c r="A1819" t="s">
        <v>1729</v>
      </c>
      <c r="B1819" t="s">
        <v>2946</v>
      </c>
      <c r="C1819" t="s">
        <v>3455</v>
      </c>
      <c r="D1819" t="s">
        <v>2135</v>
      </c>
      <c r="E1819" t="s">
        <v>1193</v>
      </c>
      <c r="F1819" t="s">
        <v>3456</v>
      </c>
      <c r="H1819" t="s">
        <v>17</v>
      </c>
      <c r="I1819" t="s">
        <v>3457</v>
      </c>
    </row>
    <row r="1820" spans="1:9" hidden="1" x14ac:dyDescent="0.3">
      <c r="A1820" t="s">
        <v>600</v>
      </c>
      <c r="B1820" t="s">
        <v>2946</v>
      </c>
      <c r="C1820" t="s">
        <v>3455</v>
      </c>
      <c r="D1820" t="s">
        <v>2135</v>
      </c>
      <c r="E1820" t="s">
        <v>1197</v>
      </c>
      <c r="F1820" t="s">
        <v>3458</v>
      </c>
      <c r="H1820" t="s">
        <v>17</v>
      </c>
      <c r="I1820" t="s">
        <v>3457</v>
      </c>
    </row>
    <row r="1821" spans="1:9" hidden="1" x14ac:dyDescent="0.3">
      <c r="A1821" t="s">
        <v>1731</v>
      </c>
      <c r="B1821" t="s">
        <v>2946</v>
      </c>
      <c r="C1821" t="s">
        <v>3455</v>
      </c>
      <c r="D1821" t="s">
        <v>2135</v>
      </c>
      <c r="E1821" t="s">
        <v>1201</v>
      </c>
      <c r="F1821" t="s">
        <v>3459</v>
      </c>
      <c r="H1821" t="s">
        <v>17</v>
      </c>
      <c r="I1821" t="s">
        <v>3457</v>
      </c>
    </row>
    <row r="1822" spans="1:9" hidden="1" x14ac:dyDescent="0.3">
      <c r="A1822" t="s">
        <v>3461</v>
      </c>
      <c r="B1822" t="s">
        <v>2946</v>
      </c>
      <c r="C1822" t="s">
        <v>3455</v>
      </c>
      <c r="D1822" t="s">
        <v>2135</v>
      </c>
      <c r="E1822" t="s">
        <v>1205</v>
      </c>
      <c r="F1822" t="s">
        <v>3460</v>
      </c>
      <c r="H1822" t="s">
        <v>17</v>
      </c>
      <c r="I1822" t="s">
        <v>3457</v>
      </c>
    </row>
    <row r="1823" spans="1:9" hidden="1" x14ac:dyDescent="0.3">
      <c r="A1823" t="s">
        <v>3465</v>
      </c>
      <c r="B1823" t="s">
        <v>2946</v>
      </c>
      <c r="C1823" t="s">
        <v>3455</v>
      </c>
      <c r="D1823" t="s">
        <v>2135</v>
      </c>
      <c r="E1823" t="s">
        <v>1209</v>
      </c>
      <c r="F1823" t="s">
        <v>3462</v>
      </c>
      <c r="H1823" t="s">
        <v>17</v>
      </c>
      <c r="I1823" t="s">
        <v>3463</v>
      </c>
    </row>
    <row r="1824" spans="1:9" hidden="1" x14ac:dyDescent="0.3">
      <c r="A1824" t="s">
        <v>1734</v>
      </c>
      <c r="B1824" t="s">
        <v>2946</v>
      </c>
      <c r="C1824" t="s">
        <v>3464</v>
      </c>
      <c r="D1824" t="s">
        <v>2135</v>
      </c>
      <c r="E1824" t="s">
        <v>1213</v>
      </c>
      <c r="F1824" t="s">
        <v>3466</v>
      </c>
      <c r="H1824" t="s">
        <v>17</v>
      </c>
      <c r="I1824" t="s">
        <v>3467</v>
      </c>
    </row>
    <row r="1825" spans="1:9" hidden="1" x14ac:dyDescent="0.3">
      <c r="A1825" t="s">
        <v>608</v>
      </c>
      <c r="B1825" t="s">
        <v>2946</v>
      </c>
      <c r="C1825" t="s">
        <v>3464</v>
      </c>
      <c r="D1825" t="s">
        <v>2135</v>
      </c>
      <c r="E1825" t="s">
        <v>1219</v>
      </c>
      <c r="F1825" t="s">
        <v>3468</v>
      </c>
      <c r="H1825" t="s">
        <v>17</v>
      </c>
      <c r="I1825" t="s">
        <v>3467</v>
      </c>
    </row>
    <row r="1826" spans="1:9" hidden="1" x14ac:dyDescent="0.3">
      <c r="A1826" t="s">
        <v>1737</v>
      </c>
      <c r="B1826" t="s">
        <v>2946</v>
      </c>
      <c r="C1826" t="s">
        <v>3464</v>
      </c>
      <c r="D1826" t="s">
        <v>2135</v>
      </c>
      <c r="E1826" t="s">
        <v>1224</v>
      </c>
      <c r="F1826" t="s">
        <v>3469</v>
      </c>
      <c r="H1826" t="s">
        <v>17</v>
      </c>
      <c r="I1826" t="s">
        <v>3467</v>
      </c>
    </row>
    <row r="1827" spans="1:9" hidden="1" x14ac:dyDescent="0.3">
      <c r="A1827" t="s">
        <v>3471</v>
      </c>
      <c r="B1827" t="s">
        <v>2946</v>
      </c>
      <c r="C1827" t="s">
        <v>3464</v>
      </c>
      <c r="D1827" t="s">
        <v>2135</v>
      </c>
      <c r="E1827" t="s">
        <v>1228</v>
      </c>
      <c r="F1827" t="s">
        <v>3470</v>
      </c>
      <c r="H1827" t="s">
        <v>17</v>
      </c>
      <c r="I1827" t="s">
        <v>3467</v>
      </c>
    </row>
    <row r="1828" spans="1:9" hidden="1" x14ac:dyDescent="0.3">
      <c r="A1828" t="s">
        <v>3474</v>
      </c>
      <c r="B1828" t="s">
        <v>2946</v>
      </c>
      <c r="C1828" t="s">
        <v>3464</v>
      </c>
      <c r="D1828" t="s">
        <v>2135</v>
      </c>
      <c r="E1828" t="s">
        <v>1232</v>
      </c>
      <c r="F1828" t="s">
        <v>3472</v>
      </c>
      <c r="H1828" t="s">
        <v>17</v>
      </c>
      <c r="I1828" t="s">
        <v>3467</v>
      </c>
    </row>
    <row r="1829" spans="1:9" hidden="1" x14ac:dyDescent="0.3">
      <c r="A1829" t="s">
        <v>616</v>
      </c>
      <c r="B1829" t="s">
        <v>2946</v>
      </c>
      <c r="C1829" t="s">
        <v>3473</v>
      </c>
      <c r="D1829" t="s">
        <v>2135</v>
      </c>
      <c r="E1829" t="s">
        <v>1236</v>
      </c>
      <c r="F1829" t="s">
        <v>3475</v>
      </c>
      <c r="H1829" t="s">
        <v>17</v>
      </c>
      <c r="I1829" t="s">
        <v>3457</v>
      </c>
    </row>
    <row r="1830" spans="1:9" hidden="1" x14ac:dyDescent="0.3">
      <c r="A1830" t="s">
        <v>3477</v>
      </c>
      <c r="B1830" t="s">
        <v>2946</v>
      </c>
      <c r="C1830" t="s">
        <v>3473</v>
      </c>
      <c r="D1830" t="s">
        <v>2135</v>
      </c>
      <c r="E1830" t="s">
        <v>1240</v>
      </c>
      <c r="F1830" t="s">
        <v>3476</v>
      </c>
      <c r="H1830" t="s">
        <v>17</v>
      </c>
      <c r="I1830" t="s">
        <v>3457</v>
      </c>
    </row>
    <row r="1831" spans="1:9" hidden="1" x14ac:dyDescent="0.3">
      <c r="A1831" t="s">
        <v>620</v>
      </c>
      <c r="B1831" t="s">
        <v>2946</v>
      </c>
      <c r="C1831" t="s">
        <v>3473</v>
      </c>
      <c r="D1831" t="s">
        <v>2135</v>
      </c>
      <c r="E1831" t="s">
        <v>1244</v>
      </c>
      <c r="F1831" t="s">
        <v>3478</v>
      </c>
      <c r="H1831" t="s">
        <v>17</v>
      </c>
      <c r="I1831" t="s">
        <v>3457</v>
      </c>
    </row>
    <row r="1832" spans="1:9" hidden="1" x14ac:dyDescent="0.3">
      <c r="A1832" t="s">
        <v>3480</v>
      </c>
      <c r="B1832" t="s">
        <v>2946</v>
      </c>
      <c r="C1832" t="s">
        <v>3473</v>
      </c>
      <c r="D1832" t="s">
        <v>2135</v>
      </c>
      <c r="E1832" t="s">
        <v>1248</v>
      </c>
      <c r="F1832" t="s">
        <v>3479</v>
      </c>
      <c r="H1832" t="s">
        <v>17</v>
      </c>
      <c r="I1832" t="s">
        <v>3457</v>
      </c>
    </row>
    <row r="1833" spans="1:9" hidden="1" x14ac:dyDescent="0.3">
      <c r="A1833" t="s">
        <v>3483</v>
      </c>
      <c r="B1833" t="s">
        <v>2946</v>
      </c>
      <c r="C1833" t="s">
        <v>3473</v>
      </c>
      <c r="D1833" t="s">
        <v>2135</v>
      </c>
      <c r="E1833" t="s">
        <v>1252</v>
      </c>
      <c r="F1833" t="s">
        <v>3481</v>
      </c>
      <c r="H1833" t="s">
        <v>17</v>
      </c>
      <c r="I1833" t="s">
        <v>3457</v>
      </c>
    </row>
    <row r="1834" spans="1:9" hidden="1" x14ac:dyDescent="0.3">
      <c r="A1834" t="s">
        <v>3486</v>
      </c>
      <c r="B1834" t="s">
        <v>2946</v>
      </c>
      <c r="C1834" t="s">
        <v>3482</v>
      </c>
      <c r="D1834" t="s">
        <v>2135</v>
      </c>
      <c r="E1834" t="s">
        <v>1256</v>
      </c>
      <c r="F1834" t="s">
        <v>3484</v>
      </c>
      <c r="H1834" t="s">
        <v>17</v>
      </c>
      <c r="I1834" t="s">
        <v>3485</v>
      </c>
    </row>
    <row r="1835" spans="1:9" hidden="1" x14ac:dyDescent="0.3">
      <c r="A1835" t="s">
        <v>3488</v>
      </c>
      <c r="B1835" t="s">
        <v>2946</v>
      </c>
      <c r="C1835" t="s">
        <v>3482</v>
      </c>
      <c r="D1835" t="s">
        <v>2135</v>
      </c>
      <c r="E1835" t="s">
        <v>1261</v>
      </c>
      <c r="F1835" t="s">
        <v>3487</v>
      </c>
      <c r="H1835" t="s">
        <v>17</v>
      </c>
      <c r="I1835" t="s">
        <v>3485</v>
      </c>
    </row>
    <row r="1836" spans="1:9" hidden="1" x14ac:dyDescent="0.3">
      <c r="A1836" t="s">
        <v>3490</v>
      </c>
      <c r="B1836" t="s">
        <v>2946</v>
      </c>
      <c r="C1836" t="s">
        <v>3482</v>
      </c>
      <c r="D1836" t="s">
        <v>2135</v>
      </c>
      <c r="E1836" t="s">
        <v>1265</v>
      </c>
      <c r="F1836" t="s">
        <v>3489</v>
      </c>
      <c r="H1836" t="s">
        <v>17</v>
      </c>
      <c r="I1836" t="s">
        <v>3485</v>
      </c>
    </row>
    <row r="1837" spans="1:9" hidden="1" x14ac:dyDescent="0.3">
      <c r="A1837" t="s">
        <v>3492</v>
      </c>
      <c r="B1837" t="s">
        <v>2946</v>
      </c>
      <c r="C1837" t="s">
        <v>3482</v>
      </c>
      <c r="D1837" t="s">
        <v>2135</v>
      </c>
      <c r="E1837" t="s">
        <v>1270</v>
      </c>
      <c r="F1837" t="s">
        <v>3491</v>
      </c>
      <c r="H1837" t="s">
        <v>17</v>
      </c>
      <c r="I1837" t="s">
        <v>3485</v>
      </c>
    </row>
    <row r="1838" spans="1:9" hidden="1" x14ac:dyDescent="0.3">
      <c r="A1838" t="s">
        <v>3494</v>
      </c>
      <c r="B1838" t="s">
        <v>2946</v>
      </c>
      <c r="C1838" t="s">
        <v>3482</v>
      </c>
      <c r="D1838" t="s">
        <v>2135</v>
      </c>
      <c r="E1838" t="s">
        <v>1276</v>
      </c>
      <c r="F1838" t="s">
        <v>3493</v>
      </c>
      <c r="H1838" t="s">
        <v>17</v>
      </c>
      <c r="I1838" t="s">
        <v>3485</v>
      </c>
    </row>
    <row r="1839" spans="1:9" hidden="1" x14ac:dyDescent="0.3">
      <c r="A1839" t="s">
        <v>3496</v>
      </c>
      <c r="B1839" t="s">
        <v>2946</v>
      </c>
      <c r="C1839" t="s">
        <v>3482</v>
      </c>
      <c r="D1839" t="s">
        <v>2135</v>
      </c>
      <c r="E1839" t="s">
        <v>303</v>
      </c>
      <c r="F1839" t="s">
        <v>3495</v>
      </c>
      <c r="H1839" t="s">
        <v>17</v>
      </c>
      <c r="I1839" t="s">
        <v>3485</v>
      </c>
    </row>
    <row r="1840" spans="1:9" hidden="1" x14ac:dyDescent="0.3">
      <c r="A1840" t="s">
        <v>3498</v>
      </c>
      <c r="B1840" t="s">
        <v>2946</v>
      </c>
      <c r="C1840" t="s">
        <v>3482</v>
      </c>
      <c r="D1840" t="s">
        <v>2135</v>
      </c>
      <c r="E1840" t="s">
        <v>308</v>
      </c>
      <c r="F1840" t="s">
        <v>3497</v>
      </c>
      <c r="H1840" t="s">
        <v>17</v>
      </c>
      <c r="I1840" t="s">
        <v>3485</v>
      </c>
    </row>
    <row r="1841" spans="1:9" hidden="1" x14ac:dyDescent="0.3">
      <c r="A1841" t="s">
        <v>3500</v>
      </c>
      <c r="B1841" t="s">
        <v>2946</v>
      </c>
      <c r="C1841" t="s">
        <v>3482</v>
      </c>
      <c r="D1841" t="s">
        <v>2135</v>
      </c>
      <c r="E1841" t="s">
        <v>312</v>
      </c>
      <c r="F1841" t="s">
        <v>3499</v>
      </c>
      <c r="H1841" t="s">
        <v>17</v>
      </c>
      <c r="I1841" t="s">
        <v>3485</v>
      </c>
    </row>
    <row r="1842" spans="1:9" hidden="1" x14ac:dyDescent="0.3">
      <c r="A1842" t="s">
        <v>3502</v>
      </c>
      <c r="B1842" t="s">
        <v>2946</v>
      </c>
      <c r="C1842" t="s">
        <v>3482</v>
      </c>
      <c r="D1842" t="s">
        <v>2135</v>
      </c>
      <c r="E1842" t="s">
        <v>316</v>
      </c>
      <c r="F1842" t="s">
        <v>3501</v>
      </c>
      <c r="H1842" t="s">
        <v>17</v>
      </c>
      <c r="I1842" t="s">
        <v>3485</v>
      </c>
    </row>
    <row r="1843" spans="1:9" hidden="1" x14ac:dyDescent="0.3">
      <c r="A1843" t="s">
        <v>3504</v>
      </c>
      <c r="B1843" t="s">
        <v>2946</v>
      </c>
      <c r="C1843" t="s">
        <v>3482</v>
      </c>
      <c r="D1843" t="s">
        <v>2135</v>
      </c>
      <c r="E1843" t="s">
        <v>319</v>
      </c>
      <c r="F1843" t="s">
        <v>3503</v>
      </c>
      <c r="H1843" t="s">
        <v>17</v>
      </c>
      <c r="I1843" t="s">
        <v>3485</v>
      </c>
    </row>
    <row r="1844" spans="1:9" hidden="1" x14ac:dyDescent="0.3">
      <c r="A1844" t="s">
        <v>3506</v>
      </c>
      <c r="B1844" t="s">
        <v>2946</v>
      </c>
      <c r="C1844" t="s">
        <v>3482</v>
      </c>
      <c r="D1844" t="s">
        <v>2135</v>
      </c>
      <c r="E1844" t="s">
        <v>323</v>
      </c>
      <c r="F1844" t="s">
        <v>3505</v>
      </c>
      <c r="H1844" t="s">
        <v>17</v>
      </c>
      <c r="I1844" t="s">
        <v>3485</v>
      </c>
    </row>
    <row r="1845" spans="1:9" hidden="1" x14ac:dyDescent="0.3">
      <c r="A1845" t="s">
        <v>3508</v>
      </c>
      <c r="B1845" t="s">
        <v>2946</v>
      </c>
      <c r="C1845" t="s">
        <v>3482</v>
      </c>
      <c r="D1845" t="s">
        <v>2135</v>
      </c>
      <c r="E1845" t="s">
        <v>327</v>
      </c>
      <c r="F1845" t="s">
        <v>3507</v>
      </c>
      <c r="H1845" t="s">
        <v>17</v>
      </c>
      <c r="I1845" t="s">
        <v>3485</v>
      </c>
    </row>
    <row r="1846" spans="1:9" hidden="1" x14ac:dyDescent="0.3">
      <c r="A1846" t="s">
        <v>3510</v>
      </c>
      <c r="B1846" t="s">
        <v>2946</v>
      </c>
      <c r="C1846" t="s">
        <v>3482</v>
      </c>
      <c r="D1846" t="s">
        <v>2135</v>
      </c>
      <c r="E1846" t="s">
        <v>332</v>
      </c>
      <c r="F1846" t="s">
        <v>3509</v>
      </c>
      <c r="H1846" t="s">
        <v>17</v>
      </c>
      <c r="I1846" t="s">
        <v>3485</v>
      </c>
    </row>
    <row r="1847" spans="1:9" hidden="1" x14ac:dyDescent="0.3">
      <c r="A1847" t="s">
        <v>3512</v>
      </c>
      <c r="B1847" t="s">
        <v>2946</v>
      </c>
      <c r="C1847" t="s">
        <v>3482</v>
      </c>
      <c r="D1847" t="s">
        <v>2135</v>
      </c>
      <c r="E1847" t="s">
        <v>335</v>
      </c>
      <c r="F1847" t="s">
        <v>3511</v>
      </c>
      <c r="H1847" t="s">
        <v>17</v>
      </c>
      <c r="I1847" t="s">
        <v>3485</v>
      </c>
    </row>
    <row r="1848" spans="1:9" hidden="1" x14ac:dyDescent="0.3">
      <c r="A1848" t="s">
        <v>3515</v>
      </c>
      <c r="B1848" t="s">
        <v>2946</v>
      </c>
      <c r="C1848" t="s">
        <v>3482</v>
      </c>
      <c r="D1848" t="s">
        <v>2135</v>
      </c>
      <c r="E1848" t="s">
        <v>338</v>
      </c>
      <c r="F1848" t="s">
        <v>3513</v>
      </c>
      <c r="H1848" t="s">
        <v>17</v>
      </c>
      <c r="I1848" t="s">
        <v>3485</v>
      </c>
    </row>
    <row r="1849" spans="1:9" hidden="1" x14ac:dyDescent="0.3">
      <c r="A1849" t="s">
        <v>3518</v>
      </c>
      <c r="B1849" t="s">
        <v>2946</v>
      </c>
      <c r="C1849" t="s">
        <v>3514</v>
      </c>
      <c r="D1849" t="s">
        <v>2135</v>
      </c>
      <c r="E1849" t="s">
        <v>341</v>
      </c>
      <c r="F1849" t="s">
        <v>3516</v>
      </c>
      <c r="H1849" t="s">
        <v>17</v>
      </c>
      <c r="I1849" t="s">
        <v>3517</v>
      </c>
    </row>
    <row r="1850" spans="1:9" hidden="1" x14ac:dyDescent="0.3">
      <c r="A1850" t="s">
        <v>3520</v>
      </c>
      <c r="B1850" t="s">
        <v>2946</v>
      </c>
      <c r="C1850" t="s">
        <v>3514</v>
      </c>
      <c r="D1850" t="s">
        <v>2135</v>
      </c>
      <c r="E1850" t="s">
        <v>344</v>
      </c>
      <c r="F1850" t="s">
        <v>3519</v>
      </c>
      <c r="H1850" t="s">
        <v>17</v>
      </c>
      <c r="I1850" t="s">
        <v>3517</v>
      </c>
    </row>
    <row r="1851" spans="1:9" hidden="1" x14ac:dyDescent="0.3">
      <c r="A1851" t="s">
        <v>3522</v>
      </c>
      <c r="B1851" t="s">
        <v>2946</v>
      </c>
      <c r="C1851" t="s">
        <v>3514</v>
      </c>
      <c r="D1851" t="s">
        <v>2135</v>
      </c>
      <c r="E1851" t="s">
        <v>347</v>
      </c>
      <c r="F1851" t="s">
        <v>3521</v>
      </c>
      <c r="H1851" t="s">
        <v>17</v>
      </c>
      <c r="I1851" t="s">
        <v>3517</v>
      </c>
    </row>
    <row r="1852" spans="1:9" hidden="1" x14ac:dyDescent="0.3">
      <c r="A1852" t="s">
        <v>3523</v>
      </c>
      <c r="B1852" t="s">
        <v>2946</v>
      </c>
      <c r="C1852" t="s">
        <v>3514</v>
      </c>
      <c r="D1852" t="s">
        <v>2135</v>
      </c>
      <c r="E1852" t="s">
        <v>353</v>
      </c>
      <c r="F1852" t="s">
        <v>2821</v>
      </c>
      <c r="H1852" t="s">
        <v>17</v>
      </c>
      <c r="I1852" t="s">
        <v>3517</v>
      </c>
    </row>
    <row r="1853" spans="1:9" hidden="1" x14ac:dyDescent="0.3">
      <c r="A1853" t="s">
        <v>3524</v>
      </c>
      <c r="B1853" t="s">
        <v>2946</v>
      </c>
      <c r="C1853" t="s">
        <v>3514</v>
      </c>
      <c r="D1853" t="s">
        <v>2135</v>
      </c>
      <c r="E1853" t="s">
        <v>358</v>
      </c>
      <c r="F1853" t="s">
        <v>2827</v>
      </c>
      <c r="H1853" t="s">
        <v>17</v>
      </c>
      <c r="I1853" t="s">
        <v>3517</v>
      </c>
    </row>
    <row r="1854" spans="1:9" hidden="1" x14ac:dyDescent="0.3">
      <c r="A1854" t="s">
        <v>3526</v>
      </c>
      <c r="B1854" t="s">
        <v>2946</v>
      </c>
      <c r="C1854" t="s">
        <v>3514</v>
      </c>
      <c r="D1854" t="s">
        <v>2135</v>
      </c>
      <c r="E1854" t="s">
        <v>361</v>
      </c>
      <c r="F1854" t="s">
        <v>3525</v>
      </c>
      <c r="H1854" t="s">
        <v>17</v>
      </c>
      <c r="I1854" t="s">
        <v>3517</v>
      </c>
    </row>
    <row r="1855" spans="1:9" hidden="1" x14ac:dyDescent="0.3">
      <c r="A1855" t="s">
        <v>3528</v>
      </c>
      <c r="B1855" t="s">
        <v>2946</v>
      </c>
      <c r="C1855" t="s">
        <v>3514</v>
      </c>
      <c r="D1855" t="s">
        <v>2135</v>
      </c>
      <c r="E1855" t="s">
        <v>364</v>
      </c>
      <c r="F1855" t="s">
        <v>3527</v>
      </c>
      <c r="H1855" t="s">
        <v>17</v>
      </c>
      <c r="I1855" t="s">
        <v>3517</v>
      </c>
    </row>
    <row r="1856" spans="1:9" hidden="1" x14ac:dyDescent="0.3">
      <c r="A1856" t="s">
        <v>3530</v>
      </c>
      <c r="B1856" t="s">
        <v>2946</v>
      </c>
      <c r="C1856" t="s">
        <v>3514</v>
      </c>
      <c r="D1856" t="s">
        <v>2135</v>
      </c>
      <c r="E1856" t="s">
        <v>367</v>
      </c>
      <c r="F1856" t="s">
        <v>3529</v>
      </c>
      <c r="H1856" t="s">
        <v>17</v>
      </c>
      <c r="I1856" t="s">
        <v>3517</v>
      </c>
    </row>
    <row r="1857" spans="1:9" hidden="1" x14ac:dyDescent="0.3">
      <c r="A1857" t="s">
        <v>3532</v>
      </c>
      <c r="B1857" t="s">
        <v>2946</v>
      </c>
      <c r="C1857" t="s">
        <v>3514</v>
      </c>
      <c r="D1857" t="s">
        <v>2135</v>
      </c>
      <c r="E1857" t="s">
        <v>370</v>
      </c>
      <c r="F1857" t="s">
        <v>3531</v>
      </c>
      <c r="H1857" t="s">
        <v>17</v>
      </c>
      <c r="I1857" t="s">
        <v>3517</v>
      </c>
    </row>
    <row r="1858" spans="1:9" hidden="1" x14ac:dyDescent="0.3">
      <c r="A1858" t="s">
        <v>3534</v>
      </c>
      <c r="B1858" t="s">
        <v>2946</v>
      </c>
      <c r="C1858" t="s">
        <v>3514</v>
      </c>
      <c r="D1858" t="s">
        <v>2135</v>
      </c>
      <c r="E1858" t="s">
        <v>373</v>
      </c>
      <c r="F1858" t="s">
        <v>3533</v>
      </c>
      <c r="H1858" t="s">
        <v>17</v>
      </c>
      <c r="I1858" t="s">
        <v>3517</v>
      </c>
    </row>
    <row r="1859" spans="1:9" hidden="1" x14ac:dyDescent="0.3">
      <c r="A1859" t="s">
        <v>3536</v>
      </c>
      <c r="B1859" t="s">
        <v>2946</v>
      </c>
      <c r="C1859" t="s">
        <v>3514</v>
      </c>
      <c r="D1859" t="s">
        <v>2135</v>
      </c>
      <c r="E1859" t="s">
        <v>376</v>
      </c>
      <c r="F1859" t="s">
        <v>3535</v>
      </c>
      <c r="H1859" t="s">
        <v>17</v>
      </c>
      <c r="I1859" t="s">
        <v>3517</v>
      </c>
    </row>
    <row r="1860" spans="1:9" hidden="1" x14ac:dyDescent="0.3">
      <c r="A1860" t="s">
        <v>3537</v>
      </c>
      <c r="B1860" t="s">
        <v>2946</v>
      </c>
      <c r="C1860" t="s">
        <v>3514</v>
      </c>
      <c r="D1860" t="s">
        <v>2135</v>
      </c>
      <c r="E1860" t="s">
        <v>1675</v>
      </c>
      <c r="F1860" t="s">
        <v>2823</v>
      </c>
      <c r="H1860" t="s">
        <v>17</v>
      </c>
      <c r="I1860" t="s">
        <v>3517</v>
      </c>
    </row>
    <row r="1861" spans="1:9" hidden="1" x14ac:dyDescent="0.3">
      <c r="A1861" t="s">
        <v>3539</v>
      </c>
      <c r="B1861" t="s">
        <v>2946</v>
      </c>
      <c r="C1861" t="s">
        <v>3514</v>
      </c>
      <c r="D1861" t="s">
        <v>2135</v>
      </c>
      <c r="E1861" t="s">
        <v>1678</v>
      </c>
      <c r="F1861" t="s">
        <v>3538</v>
      </c>
      <c r="H1861" t="s">
        <v>17</v>
      </c>
      <c r="I1861" t="s">
        <v>3517</v>
      </c>
    </row>
    <row r="1862" spans="1:9" hidden="1" x14ac:dyDescent="0.3">
      <c r="A1862" t="s">
        <v>3540</v>
      </c>
      <c r="B1862" t="s">
        <v>2946</v>
      </c>
      <c r="C1862" t="s">
        <v>3514</v>
      </c>
      <c r="D1862" t="s">
        <v>2135</v>
      </c>
      <c r="E1862" t="s">
        <v>1681</v>
      </c>
      <c r="F1862" t="s">
        <v>3470</v>
      </c>
      <c r="H1862" t="s">
        <v>17</v>
      </c>
      <c r="I1862" t="s">
        <v>3517</v>
      </c>
    </row>
    <row r="1863" spans="1:9" hidden="1" x14ac:dyDescent="0.3">
      <c r="A1863" t="s">
        <v>3541</v>
      </c>
      <c r="B1863" t="s">
        <v>2946</v>
      </c>
      <c r="C1863" t="s">
        <v>3514</v>
      </c>
      <c r="D1863" t="s">
        <v>2135</v>
      </c>
      <c r="E1863" t="s">
        <v>1683</v>
      </c>
      <c r="F1863" t="s">
        <v>3472</v>
      </c>
      <c r="H1863" t="s">
        <v>17</v>
      </c>
      <c r="I1863" t="s">
        <v>3517</v>
      </c>
    </row>
    <row r="1864" spans="1:9" hidden="1" x14ac:dyDescent="0.3">
      <c r="A1864" t="s">
        <v>3543</v>
      </c>
      <c r="B1864" t="s">
        <v>2946</v>
      </c>
      <c r="C1864" t="s">
        <v>3514</v>
      </c>
      <c r="D1864" t="s">
        <v>2135</v>
      </c>
      <c r="E1864" t="s">
        <v>1685</v>
      </c>
      <c r="F1864" t="s">
        <v>3542</v>
      </c>
      <c r="H1864" t="s">
        <v>17</v>
      </c>
      <c r="I1864" t="s">
        <v>3517</v>
      </c>
    </row>
    <row r="1865" spans="1:9" hidden="1" x14ac:dyDescent="0.3">
      <c r="A1865" t="s">
        <v>2136</v>
      </c>
      <c r="B1865" t="s">
        <v>2946</v>
      </c>
      <c r="C1865" t="s">
        <v>3514</v>
      </c>
      <c r="D1865" t="s">
        <v>2135</v>
      </c>
      <c r="E1865" t="s">
        <v>2859</v>
      </c>
      <c r="F1865" t="s">
        <v>3544</v>
      </c>
      <c r="H1865" t="s">
        <v>17</v>
      </c>
      <c r="I1865" t="s">
        <v>548</v>
      </c>
    </row>
    <row r="1866" spans="1:9" hidden="1" x14ac:dyDescent="0.3">
      <c r="A1866" t="s">
        <v>2138</v>
      </c>
      <c r="B1866" t="s">
        <v>2946</v>
      </c>
      <c r="C1866" t="s">
        <v>3545</v>
      </c>
      <c r="D1866" t="s">
        <v>3546</v>
      </c>
      <c r="E1866" t="s">
        <v>996</v>
      </c>
      <c r="F1866" t="s">
        <v>3547</v>
      </c>
      <c r="H1866" t="s">
        <v>17</v>
      </c>
      <c r="I1866" t="s">
        <v>3457</v>
      </c>
    </row>
    <row r="1867" spans="1:9" hidden="1" x14ac:dyDescent="0.3">
      <c r="A1867" t="s">
        <v>2140</v>
      </c>
      <c r="B1867" t="s">
        <v>2946</v>
      </c>
      <c r="C1867" t="s">
        <v>3545</v>
      </c>
      <c r="D1867" t="s">
        <v>3546</v>
      </c>
      <c r="E1867" t="s">
        <v>1001</v>
      </c>
      <c r="F1867" t="s">
        <v>3548</v>
      </c>
      <c r="H1867" t="s">
        <v>17</v>
      </c>
      <c r="I1867" t="s">
        <v>3457</v>
      </c>
    </row>
    <row r="1868" spans="1:9" hidden="1" x14ac:dyDescent="0.3">
      <c r="A1868" t="s">
        <v>629</v>
      </c>
      <c r="B1868" t="s">
        <v>2946</v>
      </c>
      <c r="C1868" t="s">
        <v>3545</v>
      </c>
      <c r="D1868" t="s">
        <v>3546</v>
      </c>
      <c r="E1868" t="s">
        <v>1942</v>
      </c>
      <c r="F1868" t="s">
        <v>3549</v>
      </c>
      <c r="H1868" t="s">
        <v>17</v>
      </c>
      <c r="I1868" t="s">
        <v>3457</v>
      </c>
    </row>
    <row r="1869" spans="1:9" hidden="1" x14ac:dyDescent="0.3">
      <c r="A1869" t="s">
        <v>2144</v>
      </c>
      <c r="B1869" t="s">
        <v>2946</v>
      </c>
      <c r="C1869" t="s">
        <v>3545</v>
      </c>
      <c r="D1869" t="s">
        <v>3546</v>
      </c>
      <c r="E1869" t="s">
        <v>22</v>
      </c>
      <c r="F1869" t="s">
        <v>3550</v>
      </c>
      <c r="H1869" t="s">
        <v>17</v>
      </c>
      <c r="I1869" t="s">
        <v>3457</v>
      </c>
    </row>
    <row r="1870" spans="1:9" hidden="1" x14ac:dyDescent="0.3">
      <c r="A1870" t="s">
        <v>2147</v>
      </c>
      <c r="B1870" t="s">
        <v>2946</v>
      </c>
      <c r="C1870" t="s">
        <v>3545</v>
      </c>
      <c r="D1870" t="s">
        <v>3546</v>
      </c>
      <c r="E1870" t="s">
        <v>27</v>
      </c>
      <c r="F1870" t="s">
        <v>3551</v>
      </c>
      <c r="H1870" t="s">
        <v>17</v>
      </c>
      <c r="I1870" t="s">
        <v>3457</v>
      </c>
    </row>
    <row r="1871" spans="1:9" hidden="1" x14ac:dyDescent="0.3">
      <c r="A1871" t="s">
        <v>633</v>
      </c>
      <c r="B1871" t="s">
        <v>2946</v>
      </c>
      <c r="C1871" t="s">
        <v>3545</v>
      </c>
      <c r="D1871" t="s">
        <v>3546</v>
      </c>
      <c r="E1871" t="s">
        <v>1014</v>
      </c>
      <c r="F1871" t="s">
        <v>3552</v>
      </c>
      <c r="H1871" t="s">
        <v>17</v>
      </c>
      <c r="I1871" t="s">
        <v>3457</v>
      </c>
    </row>
    <row r="1872" spans="1:9" hidden="1" x14ac:dyDescent="0.3">
      <c r="A1872" t="s">
        <v>2151</v>
      </c>
      <c r="B1872" t="s">
        <v>2946</v>
      </c>
      <c r="C1872" t="s">
        <v>3545</v>
      </c>
      <c r="D1872" t="s">
        <v>3546</v>
      </c>
      <c r="E1872" t="s">
        <v>1017</v>
      </c>
      <c r="F1872" t="s">
        <v>3553</v>
      </c>
      <c r="H1872" t="s">
        <v>17</v>
      </c>
      <c r="I1872" t="s">
        <v>3457</v>
      </c>
    </row>
    <row r="1873" spans="1:9" hidden="1" x14ac:dyDescent="0.3">
      <c r="A1873" t="s">
        <v>2153</v>
      </c>
      <c r="B1873" t="s">
        <v>2946</v>
      </c>
      <c r="C1873" t="s">
        <v>3545</v>
      </c>
      <c r="D1873" t="s">
        <v>3546</v>
      </c>
      <c r="E1873" t="s">
        <v>36</v>
      </c>
      <c r="F1873" t="s">
        <v>3554</v>
      </c>
      <c r="H1873" t="s">
        <v>17</v>
      </c>
      <c r="I1873" t="s">
        <v>3457</v>
      </c>
    </row>
    <row r="1874" spans="1:9" hidden="1" x14ac:dyDescent="0.3">
      <c r="A1874" t="s">
        <v>636</v>
      </c>
      <c r="B1874" t="s">
        <v>2946</v>
      </c>
      <c r="C1874" t="s">
        <v>3545</v>
      </c>
      <c r="D1874" t="s">
        <v>3546</v>
      </c>
      <c r="E1874" t="s">
        <v>41</v>
      </c>
      <c r="F1874" t="s">
        <v>3555</v>
      </c>
      <c r="H1874" t="s">
        <v>17</v>
      </c>
      <c r="I1874" t="s">
        <v>2794</v>
      </c>
    </row>
    <row r="1875" spans="1:9" hidden="1" x14ac:dyDescent="0.3">
      <c r="A1875" t="s">
        <v>2159</v>
      </c>
      <c r="B1875" t="s">
        <v>2946</v>
      </c>
      <c r="C1875" t="s">
        <v>3545</v>
      </c>
      <c r="D1875" t="s">
        <v>3546</v>
      </c>
      <c r="E1875" t="s">
        <v>45</v>
      </c>
      <c r="F1875" t="s">
        <v>3556</v>
      </c>
      <c r="H1875" t="s">
        <v>17</v>
      </c>
      <c r="I1875" t="s">
        <v>3557</v>
      </c>
    </row>
    <row r="1876" spans="1:9" hidden="1" x14ac:dyDescent="0.3">
      <c r="A1876" t="s">
        <v>2162</v>
      </c>
      <c r="B1876" t="s">
        <v>2946</v>
      </c>
      <c r="C1876" t="s">
        <v>3545</v>
      </c>
      <c r="D1876" t="s">
        <v>3546</v>
      </c>
      <c r="E1876" t="s">
        <v>50</v>
      </c>
      <c r="F1876" t="s">
        <v>3558</v>
      </c>
      <c r="H1876" t="s">
        <v>17</v>
      </c>
      <c r="I1876" t="s">
        <v>3557</v>
      </c>
    </row>
    <row r="1877" spans="1:9" hidden="1" x14ac:dyDescent="0.3">
      <c r="A1877" t="s">
        <v>639</v>
      </c>
      <c r="B1877" t="s">
        <v>2946</v>
      </c>
      <c r="C1877" t="s">
        <v>3545</v>
      </c>
      <c r="D1877" t="s">
        <v>3546</v>
      </c>
      <c r="E1877" t="s">
        <v>53</v>
      </c>
      <c r="F1877" t="s">
        <v>3559</v>
      </c>
      <c r="H1877" t="s">
        <v>17</v>
      </c>
      <c r="I1877" t="s">
        <v>3560</v>
      </c>
    </row>
    <row r="1878" spans="1:9" hidden="1" x14ac:dyDescent="0.3">
      <c r="A1878" t="s">
        <v>2165</v>
      </c>
      <c r="B1878" t="s">
        <v>2946</v>
      </c>
      <c r="C1878" t="s">
        <v>3545</v>
      </c>
      <c r="D1878" t="s">
        <v>3546</v>
      </c>
      <c r="E1878" t="s">
        <v>1537</v>
      </c>
      <c r="F1878" t="s">
        <v>3561</v>
      </c>
      <c r="H1878" t="s">
        <v>17</v>
      </c>
      <c r="I1878" t="s">
        <v>3562</v>
      </c>
    </row>
    <row r="1879" spans="1:9" hidden="1" x14ac:dyDescent="0.3">
      <c r="A1879" t="s">
        <v>2169</v>
      </c>
      <c r="B1879" t="s">
        <v>2946</v>
      </c>
      <c r="C1879" t="s">
        <v>3545</v>
      </c>
      <c r="D1879" t="s">
        <v>3546</v>
      </c>
      <c r="E1879" t="s">
        <v>66</v>
      </c>
      <c r="F1879" t="s">
        <v>3563</v>
      </c>
      <c r="H1879" t="s">
        <v>17</v>
      </c>
      <c r="I1879" t="s">
        <v>3564</v>
      </c>
    </row>
    <row r="1880" spans="1:9" hidden="1" x14ac:dyDescent="0.3">
      <c r="A1880" t="s">
        <v>642</v>
      </c>
      <c r="B1880" t="s">
        <v>2946</v>
      </c>
      <c r="C1880" t="s">
        <v>3545</v>
      </c>
      <c r="D1880" t="s">
        <v>3546</v>
      </c>
      <c r="E1880" t="s">
        <v>3565</v>
      </c>
      <c r="F1880" t="s">
        <v>3566</v>
      </c>
      <c r="H1880" t="s">
        <v>17</v>
      </c>
      <c r="I1880" t="s">
        <v>3567</v>
      </c>
    </row>
    <row r="1881" spans="1:9" hidden="1" x14ac:dyDescent="0.3">
      <c r="A1881" t="s">
        <v>2176</v>
      </c>
      <c r="B1881" t="s">
        <v>2946</v>
      </c>
      <c r="C1881" t="s">
        <v>3545</v>
      </c>
      <c r="D1881" t="s">
        <v>3546</v>
      </c>
      <c r="E1881" t="s">
        <v>3568</v>
      </c>
      <c r="F1881" t="s">
        <v>3569</v>
      </c>
      <c r="H1881" t="s">
        <v>17</v>
      </c>
      <c r="I1881" t="s">
        <v>3570</v>
      </c>
    </row>
    <row r="1882" spans="1:9" hidden="1" x14ac:dyDescent="0.3">
      <c r="A1882" t="s">
        <v>645</v>
      </c>
      <c r="B1882" t="s">
        <v>2946</v>
      </c>
      <c r="C1882" t="s">
        <v>3571</v>
      </c>
      <c r="D1882" t="s">
        <v>3546</v>
      </c>
      <c r="E1882" t="s">
        <v>3572</v>
      </c>
      <c r="F1882" t="s">
        <v>3573</v>
      </c>
      <c r="H1882" t="s">
        <v>17</v>
      </c>
      <c r="I1882" t="s">
        <v>3570</v>
      </c>
    </row>
    <row r="1883" spans="1:9" hidden="1" x14ac:dyDescent="0.3">
      <c r="A1883" t="s">
        <v>2179</v>
      </c>
      <c r="B1883" t="s">
        <v>2946</v>
      </c>
      <c r="C1883" t="s">
        <v>3571</v>
      </c>
      <c r="D1883" t="s">
        <v>3546</v>
      </c>
      <c r="E1883" t="s">
        <v>3574</v>
      </c>
      <c r="F1883" t="s">
        <v>3575</v>
      </c>
      <c r="H1883" t="s">
        <v>17</v>
      </c>
      <c r="I1883" t="s">
        <v>3570</v>
      </c>
    </row>
    <row r="1884" spans="1:9" hidden="1" x14ac:dyDescent="0.3">
      <c r="A1884" t="s">
        <v>2181</v>
      </c>
      <c r="B1884" t="s">
        <v>2946</v>
      </c>
      <c r="C1884" t="s">
        <v>3571</v>
      </c>
      <c r="D1884" t="s">
        <v>3546</v>
      </c>
      <c r="E1884" t="s">
        <v>1556</v>
      </c>
      <c r="F1884" t="s">
        <v>3576</v>
      </c>
      <c r="H1884" t="s">
        <v>17</v>
      </c>
      <c r="I1884" t="s">
        <v>3577</v>
      </c>
    </row>
    <row r="1885" spans="1:9" hidden="1" x14ac:dyDescent="0.3">
      <c r="A1885" t="s">
        <v>648</v>
      </c>
      <c r="B1885" t="s">
        <v>2946</v>
      </c>
      <c r="C1885" t="s">
        <v>3571</v>
      </c>
      <c r="D1885" t="s">
        <v>3546</v>
      </c>
      <c r="E1885" t="s">
        <v>2183</v>
      </c>
      <c r="F1885" t="s">
        <v>3578</v>
      </c>
      <c r="H1885" t="s">
        <v>17</v>
      </c>
      <c r="I1885" t="s">
        <v>3570</v>
      </c>
    </row>
    <row r="1886" spans="1:9" hidden="1" x14ac:dyDescent="0.3">
      <c r="A1886" t="s">
        <v>2182</v>
      </c>
      <c r="B1886" t="s">
        <v>2946</v>
      </c>
      <c r="C1886" t="s">
        <v>3571</v>
      </c>
      <c r="D1886" t="s">
        <v>3546</v>
      </c>
      <c r="E1886" t="s">
        <v>121</v>
      </c>
      <c r="F1886" t="s">
        <v>2926</v>
      </c>
      <c r="H1886" t="s">
        <v>17</v>
      </c>
      <c r="I1886" t="s">
        <v>3579</v>
      </c>
    </row>
    <row r="1887" spans="1:9" hidden="1" x14ac:dyDescent="0.3">
      <c r="A1887" t="s">
        <v>2184</v>
      </c>
      <c r="B1887" t="s">
        <v>2946</v>
      </c>
      <c r="C1887" t="s">
        <v>3571</v>
      </c>
      <c r="D1887" t="s">
        <v>3546</v>
      </c>
      <c r="E1887" t="s">
        <v>1080</v>
      </c>
      <c r="F1887" t="s">
        <v>3580</v>
      </c>
      <c r="H1887" t="s">
        <v>17</v>
      </c>
      <c r="I1887" t="s">
        <v>3570</v>
      </c>
    </row>
    <row r="1888" spans="1:9" hidden="1" x14ac:dyDescent="0.3">
      <c r="A1888" t="s">
        <v>651</v>
      </c>
      <c r="B1888" t="s">
        <v>2946</v>
      </c>
      <c r="C1888" t="s">
        <v>3571</v>
      </c>
      <c r="D1888" t="s">
        <v>3546</v>
      </c>
      <c r="E1888" t="s">
        <v>132</v>
      </c>
      <c r="F1888" t="s">
        <v>3581</v>
      </c>
      <c r="H1888" t="s">
        <v>17</v>
      </c>
      <c r="I1888" t="s">
        <v>3582</v>
      </c>
    </row>
    <row r="1889" spans="1:9" hidden="1" x14ac:dyDescent="0.3">
      <c r="A1889" t="s">
        <v>656</v>
      </c>
      <c r="B1889" t="s">
        <v>2946</v>
      </c>
      <c r="C1889" t="s">
        <v>3571</v>
      </c>
      <c r="D1889" t="s">
        <v>3546</v>
      </c>
      <c r="E1889" t="s">
        <v>3583</v>
      </c>
      <c r="F1889" t="s">
        <v>3584</v>
      </c>
      <c r="H1889" t="s">
        <v>17</v>
      </c>
      <c r="I1889" t="s">
        <v>3585</v>
      </c>
    </row>
    <row r="1890" spans="1:9" hidden="1" x14ac:dyDescent="0.3">
      <c r="A1890" t="s">
        <v>659</v>
      </c>
      <c r="B1890" t="s">
        <v>2946</v>
      </c>
      <c r="C1890" t="s">
        <v>3571</v>
      </c>
      <c r="D1890" t="s">
        <v>3546</v>
      </c>
      <c r="E1890" t="s">
        <v>3586</v>
      </c>
      <c r="F1890" t="s">
        <v>3587</v>
      </c>
      <c r="H1890" t="s">
        <v>17</v>
      </c>
    </row>
    <row r="1891" spans="1:9" hidden="1" x14ac:dyDescent="0.3">
      <c r="A1891" t="s">
        <v>662</v>
      </c>
      <c r="B1891" t="s">
        <v>2946</v>
      </c>
      <c r="C1891" t="s">
        <v>3571</v>
      </c>
      <c r="D1891" t="s">
        <v>3546</v>
      </c>
      <c r="E1891" t="s">
        <v>147</v>
      </c>
      <c r="F1891" t="s">
        <v>3588</v>
      </c>
      <c r="H1891" t="s">
        <v>17</v>
      </c>
      <c r="I1891" t="s">
        <v>3589</v>
      </c>
    </row>
    <row r="1892" spans="1:9" hidden="1" x14ac:dyDescent="0.3">
      <c r="A1892" t="s">
        <v>665</v>
      </c>
      <c r="B1892" t="s">
        <v>2946</v>
      </c>
      <c r="C1892" t="s">
        <v>3571</v>
      </c>
      <c r="D1892" t="s">
        <v>3546</v>
      </c>
      <c r="E1892" t="s">
        <v>1096</v>
      </c>
      <c r="F1892" t="s">
        <v>3590</v>
      </c>
      <c r="H1892" t="s">
        <v>17</v>
      </c>
      <c r="I1892" t="s">
        <v>3585</v>
      </c>
    </row>
    <row r="1893" spans="1:9" hidden="1" x14ac:dyDescent="0.3">
      <c r="A1893" t="s">
        <v>668</v>
      </c>
      <c r="B1893" t="s">
        <v>2946</v>
      </c>
      <c r="C1893" t="s">
        <v>3571</v>
      </c>
      <c r="D1893" t="s">
        <v>3546</v>
      </c>
      <c r="E1893" t="s">
        <v>1100</v>
      </c>
      <c r="F1893" t="s">
        <v>3587</v>
      </c>
      <c r="H1893" t="s">
        <v>17</v>
      </c>
    </row>
    <row r="1894" spans="1:9" hidden="1" x14ac:dyDescent="0.3">
      <c r="A1894" t="s">
        <v>671</v>
      </c>
      <c r="B1894" t="s">
        <v>2946</v>
      </c>
      <c r="C1894" t="s">
        <v>3571</v>
      </c>
      <c r="D1894" t="s">
        <v>3546</v>
      </c>
      <c r="E1894" t="s">
        <v>172</v>
      </c>
      <c r="F1894" t="s">
        <v>3591</v>
      </c>
      <c r="H1894" t="s">
        <v>17</v>
      </c>
      <c r="I1894" t="s">
        <v>3592</v>
      </c>
    </row>
    <row r="1895" spans="1:9" hidden="1" x14ac:dyDescent="0.3">
      <c r="A1895" t="s">
        <v>674</v>
      </c>
      <c r="B1895" t="s">
        <v>2946</v>
      </c>
      <c r="C1895" t="s">
        <v>3571</v>
      </c>
      <c r="D1895" t="s">
        <v>3546</v>
      </c>
      <c r="E1895" t="s">
        <v>3593</v>
      </c>
      <c r="F1895" t="s">
        <v>3594</v>
      </c>
      <c r="H1895" t="s">
        <v>17</v>
      </c>
      <c r="I1895" t="s">
        <v>3585</v>
      </c>
    </row>
    <row r="1896" spans="1:9" hidden="1" x14ac:dyDescent="0.3">
      <c r="A1896" t="s">
        <v>2201</v>
      </c>
      <c r="B1896" t="s">
        <v>2946</v>
      </c>
      <c r="C1896" t="s">
        <v>3571</v>
      </c>
      <c r="D1896" t="s">
        <v>3546</v>
      </c>
      <c r="E1896" t="s">
        <v>3595</v>
      </c>
      <c r="F1896" t="s">
        <v>3587</v>
      </c>
      <c r="H1896" t="s">
        <v>17</v>
      </c>
    </row>
    <row r="1897" spans="1:9" hidden="1" x14ac:dyDescent="0.3">
      <c r="A1897" t="s">
        <v>680</v>
      </c>
      <c r="B1897" t="s">
        <v>2946</v>
      </c>
      <c r="C1897" t="s">
        <v>3571</v>
      </c>
      <c r="D1897" t="s">
        <v>3546</v>
      </c>
      <c r="E1897" t="s">
        <v>198</v>
      </c>
      <c r="F1897" t="s">
        <v>3596</v>
      </c>
      <c r="H1897" t="s">
        <v>17</v>
      </c>
      <c r="I1897" t="s">
        <v>3582</v>
      </c>
    </row>
    <row r="1898" spans="1:9" hidden="1" x14ac:dyDescent="0.3">
      <c r="A1898" t="s">
        <v>2203</v>
      </c>
      <c r="B1898" t="s">
        <v>2946</v>
      </c>
      <c r="C1898" t="s">
        <v>3571</v>
      </c>
      <c r="D1898" t="s">
        <v>3546</v>
      </c>
      <c r="E1898" t="s">
        <v>1118</v>
      </c>
      <c r="F1898" t="s">
        <v>3597</v>
      </c>
      <c r="H1898" t="s">
        <v>17</v>
      </c>
      <c r="I1898" t="s">
        <v>3585</v>
      </c>
    </row>
    <row r="1899" spans="1:9" hidden="1" x14ac:dyDescent="0.3">
      <c r="A1899" t="s">
        <v>685</v>
      </c>
      <c r="B1899" t="s">
        <v>2946</v>
      </c>
      <c r="C1899" t="s">
        <v>3571</v>
      </c>
      <c r="D1899" t="s">
        <v>3546</v>
      </c>
      <c r="E1899" t="s">
        <v>1123</v>
      </c>
      <c r="F1899" t="s">
        <v>3587</v>
      </c>
      <c r="H1899" t="s">
        <v>17</v>
      </c>
    </row>
    <row r="1900" spans="1:9" hidden="1" x14ac:dyDescent="0.3">
      <c r="A1900" t="s">
        <v>2208</v>
      </c>
      <c r="B1900" t="s">
        <v>2946</v>
      </c>
      <c r="C1900" t="s">
        <v>3571</v>
      </c>
      <c r="D1900" t="s">
        <v>3546</v>
      </c>
      <c r="E1900" t="s">
        <v>218</v>
      </c>
      <c r="F1900" t="s">
        <v>3598</v>
      </c>
      <c r="H1900" t="s">
        <v>17</v>
      </c>
      <c r="I1900" t="s">
        <v>3599</v>
      </c>
    </row>
    <row r="1901" spans="1:9" hidden="1" x14ac:dyDescent="0.3">
      <c r="A1901" t="s">
        <v>690</v>
      </c>
      <c r="B1901" t="s">
        <v>2946</v>
      </c>
      <c r="C1901" t="s">
        <v>3571</v>
      </c>
      <c r="D1901" t="s">
        <v>3546</v>
      </c>
      <c r="E1901" t="s">
        <v>2924</v>
      </c>
      <c r="F1901" t="s">
        <v>3600</v>
      </c>
      <c r="H1901" t="s">
        <v>17</v>
      </c>
      <c r="I1901" t="s">
        <v>3585</v>
      </c>
    </row>
    <row r="1902" spans="1:9" hidden="1" x14ac:dyDescent="0.3">
      <c r="A1902" t="s">
        <v>695</v>
      </c>
      <c r="B1902" t="s">
        <v>2946</v>
      </c>
      <c r="C1902" t="s">
        <v>3571</v>
      </c>
      <c r="D1902" t="s">
        <v>3546</v>
      </c>
      <c r="E1902" t="s">
        <v>2925</v>
      </c>
      <c r="F1902" t="s">
        <v>3587</v>
      </c>
      <c r="H1902" t="s">
        <v>17</v>
      </c>
    </row>
    <row r="1903" spans="1:9" hidden="1" x14ac:dyDescent="0.3">
      <c r="A1903" t="s">
        <v>701</v>
      </c>
      <c r="B1903" t="s">
        <v>2946</v>
      </c>
      <c r="C1903" t="s">
        <v>3601</v>
      </c>
      <c r="D1903" t="s">
        <v>3546</v>
      </c>
      <c r="E1903" t="s">
        <v>239</v>
      </c>
      <c r="F1903" t="s">
        <v>3602</v>
      </c>
      <c r="H1903" t="s">
        <v>17</v>
      </c>
      <c r="I1903" t="s">
        <v>3603</v>
      </c>
    </row>
    <row r="1904" spans="1:9" hidden="1" x14ac:dyDescent="0.3">
      <c r="A1904" t="s">
        <v>706</v>
      </c>
      <c r="B1904" t="s">
        <v>2946</v>
      </c>
      <c r="C1904" t="s">
        <v>3601</v>
      </c>
      <c r="D1904" t="s">
        <v>3546</v>
      </c>
      <c r="E1904" t="s">
        <v>1881</v>
      </c>
      <c r="F1904" t="s">
        <v>3604</v>
      </c>
      <c r="H1904" t="s">
        <v>17</v>
      </c>
      <c r="I1904" t="s">
        <v>3603</v>
      </c>
    </row>
    <row r="1905" spans="1:9" hidden="1" x14ac:dyDescent="0.3">
      <c r="A1905" t="s">
        <v>709</v>
      </c>
      <c r="B1905" t="s">
        <v>2946</v>
      </c>
      <c r="C1905" t="s">
        <v>3601</v>
      </c>
      <c r="D1905" t="s">
        <v>3546</v>
      </c>
      <c r="E1905" t="s">
        <v>1885</v>
      </c>
      <c r="F1905" t="s">
        <v>3605</v>
      </c>
      <c r="H1905" t="s">
        <v>17</v>
      </c>
      <c r="I1905" t="s">
        <v>3603</v>
      </c>
    </row>
    <row r="1906" spans="1:9" hidden="1" x14ac:dyDescent="0.3">
      <c r="A1906" t="s">
        <v>713</v>
      </c>
      <c r="B1906" t="s">
        <v>2946</v>
      </c>
      <c r="C1906" t="s">
        <v>3601</v>
      </c>
      <c r="D1906" t="s">
        <v>3546</v>
      </c>
      <c r="E1906" t="s">
        <v>1588</v>
      </c>
      <c r="F1906" t="s">
        <v>3606</v>
      </c>
      <c r="H1906" t="s">
        <v>17</v>
      </c>
      <c r="I1906" t="s">
        <v>3603</v>
      </c>
    </row>
    <row r="1907" spans="1:9" hidden="1" x14ac:dyDescent="0.3">
      <c r="A1907" t="s">
        <v>716</v>
      </c>
      <c r="B1907" t="s">
        <v>2946</v>
      </c>
      <c r="C1907" t="s">
        <v>3601</v>
      </c>
      <c r="D1907" t="s">
        <v>3546</v>
      </c>
      <c r="E1907" t="s">
        <v>1892</v>
      </c>
      <c r="F1907" t="s">
        <v>3607</v>
      </c>
      <c r="H1907" t="s">
        <v>17</v>
      </c>
      <c r="I1907" t="s">
        <v>3608</v>
      </c>
    </row>
    <row r="1908" spans="1:9" hidden="1" x14ac:dyDescent="0.3">
      <c r="A1908" t="s">
        <v>721</v>
      </c>
      <c r="B1908" t="s">
        <v>2946</v>
      </c>
      <c r="C1908" t="s">
        <v>3601</v>
      </c>
      <c r="D1908" t="s">
        <v>3546</v>
      </c>
      <c r="E1908" t="s">
        <v>1146</v>
      </c>
      <c r="F1908" t="s">
        <v>3609</v>
      </c>
      <c r="H1908" t="s">
        <v>17</v>
      </c>
      <c r="I1908" t="s">
        <v>3610</v>
      </c>
    </row>
    <row r="1909" spans="1:9" hidden="1" x14ac:dyDescent="0.3">
      <c r="A1909" t="s">
        <v>724</v>
      </c>
      <c r="B1909" t="s">
        <v>2946</v>
      </c>
      <c r="C1909" t="s">
        <v>3601</v>
      </c>
      <c r="D1909" t="s">
        <v>3546</v>
      </c>
      <c r="E1909" t="s">
        <v>1593</v>
      </c>
      <c r="F1909" t="s">
        <v>1449</v>
      </c>
      <c r="H1909" t="s">
        <v>17</v>
      </c>
      <c r="I1909" t="s">
        <v>3611</v>
      </c>
    </row>
    <row r="1910" spans="1:9" hidden="1" x14ac:dyDescent="0.3">
      <c r="A1910" t="s">
        <v>727</v>
      </c>
      <c r="B1910" t="s">
        <v>2946</v>
      </c>
      <c r="C1910" t="s">
        <v>3601</v>
      </c>
      <c r="D1910" t="s">
        <v>3546</v>
      </c>
      <c r="E1910" t="s">
        <v>1158</v>
      </c>
      <c r="F1910" t="s">
        <v>3612</v>
      </c>
      <c r="H1910" t="s">
        <v>17</v>
      </c>
      <c r="I1910" t="s">
        <v>3613</v>
      </c>
    </row>
    <row r="1911" spans="1:9" hidden="1" x14ac:dyDescent="0.3">
      <c r="A1911" t="s">
        <v>730</v>
      </c>
      <c r="B1911" t="s">
        <v>2946</v>
      </c>
      <c r="C1911" t="s">
        <v>3601</v>
      </c>
      <c r="D1911" t="s">
        <v>3546</v>
      </c>
      <c r="E1911" t="s">
        <v>1162</v>
      </c>
      <c r="F1911" t="s">
        <v>3614</v>
      </c>
      <c r="H1911" t="s">
        <v>17</v>
      </c>
      <c r="I1911" t="s">
        <v>3615</v>
      </c>
    </row>
    <row r="1912" spans="1:9" hidden="1" x14ac:dyDescent="0.3">
      <c r="A1912" t="s">
        <v>735</v>
      </c>
      <c r="B1912" t="s">
        <v>2946</v>
      </c>
      <c r="C1912" t="s">
        <v>3601</v>
      </c>
      <c r="D1912" t="s">
        <v>3546</v>
      </c>
      <c r="E1912" t="s">
        <v>1165</v>
      </c>
      <c r="F1912" t="s">
        <v>3616</v>
      </c>
      <c r="H1912" t="s">
        <v>17</v>
      </c>
      <c r="I1912" t="s">
        <v>3617</v>
      </c>
    </row>
    <row r="1913" spans="1:9" hidden="1" x14ac:dyDescent="0.3">
      <c r="A1913" t="s">
        <v>740</v>
      </c>
      <c r="B1913" t="s">
        <v>2946</v>
      </c>
      <c r="C1913" t="s">
        <v>3601</v>
      </c>
      <c r="D1913" t="s">
        <v>3546</v>
      </c>
      <c r="E1913" t="s">
        <v>1168</v>
      </c>
      <c r="F1913" t="s">
        <v>2931</v>
      </c>
      <c r="H1913" t="s">
        <v>17</v>
      </c>
      <c r="I1913" t="s">
        <v>414</v>
      </c>
    </row>
    <row r="1914" spans="1:9" hidden="1" x14ac:dyDescent="0.3">
      <c r="A1914" t="s">
        <v>746</v>
      </c>
      <c r="B1914" t="s">
        <v>2946</v>
      </c>
      <c r="C1914" t="s">
        <v>3601</v>
      </c>
      <c r="D1914" t="s">
        <v>3546</v>
      </c>
      <c r="E1914" t="s">
        <v>1172</v>
      </c>
      <c r="F1914" t="s">
        <v>3350</v>
      </c>
      <c r="H1914" t="s">
        <v>17</v>
      </c>
      <c r="I1914" t="s">
        <v>3618</v>
      </c>
    </row>
    <row r="1915" spans="1:9" hidden="1" x14ac:dyDescent="0.3">
      <c r="A1915" t="s">
        <v>3621</v>
      </c>
      <c r="B1915" t="s">
        <v>2946</v>
      </c>
      <c r="C1915" t="s">
        <v>3601</v>
      </c>
      <c r="D1915" t="s">
        <v>3546</v>
      </c>
      <c r="E1915" t="s">
        <v>1176</v>
      </c>
      <c r="F1915" t="s">
        <v>3619</v>
      </c>
      <c r="H1915" t="s">
        <v>17</v>
      </c>
      <c r="I1915" t="s">
        <v>3620</v>
      </c>
    </row>
    <row r="1916" spans="1:9" hidden="1" x14ac:dyDescent="0.3">
      <c r="A1916" t="s">
        <v>750</v>
      </c>
      <c r="B1916" t="s">
        <v>2946</v>
      </c>
      <c r="C1916" t="s">
        <v>3601</v>
      </c>
      <c r="D1916" t="s">
        <v>3546</v>
      </c>
      <c r="E1916" t="s">
        <v>1179</v>
      </c>
      <c r="F1916" t="s">
        <v>3622</v>
      </c>
      <c r="H1916" t="s">
        <v>17</v>
      </c>
      <c r="I1916" t="s">
        <v>414</v>
      </c>
    </row>
    <row r="1917" spans="1:9" hidden="1" x14ac:dyDescent="0.3">
      <c r="A1917" t="s">
        <v>755</v>
      </c>
      <c r="B1917" t="s">
        <v>2946</v>
      </c>
      <c r="C1917" t="s">
        <v>3601</v>
      </c>
      <c r="D1917" t="s">
        <v>3546</v>
      </c>
      <c r="E1917" t="s">
        <v>1184</v>
      </c>
      <c r="F1917" t="s">
        <v>3623</v>
      </c>
      <c r="H1917" t="s">
        <v>17</v>
      </c>
      <c r="I1917" t="s">
        <v>414</v>
      </c>
    </row>
    <row r="1918" spans="1:9" hidden="1" x14ac:dyDescent="0.3">
      <c r="A1918" t="s">
        <v>2291</v>
      </c>
      <c r="B1918" t="s">
        <v>2946</v>
      </c>
      <c r="C1918" t="s">
        <v>3601</v>
      </c>
      <c r="D1918" t="s">
        <v>3546</v>
      </c>
      <c r="E1918" t="s">
        <v>3624</v>
      </c>
      <c r="F1918" t="s">
        <v>747</v>
      </c>
      <c r="H1918" t="s">
        <v>17</v>
      </c>
    </row>
    <row r="1919" spans="1:9" hidden="1" x14ac:dyDescent="0.3">
      <c r="A1919" t="s">
        <v>2294</v>
      </c>
      <c r="B1919" t="s">
        <v>2946</v>
      </c>
      <c r="C1919" t="s">
        <v>3601</v>
      </c>
      <c r="D1919" t="s">
        <v>3546</v>
      </c>
      <c r="E1919" t="s">
        <v>3625</v>
      </c>
      <c r="F1919" t="s">
        <v>797</v>
      </c>
      <c r="H1919" t="s">
        <v>17</v>
      </c>
    </row>
    <row r="1920" spans="1:9" hidden="1" x14ac:dyDescent="0.3">
      <c r="A1920" t="s">
        <v>759</v>
      </c>
      <c r="B1920" t="s">
        <v>2946</v>
      </c>
      <c r="C1920" t="s">
        <v>3601</v>
      </c>
      <c r="D1920" t="s">
        <v>3546</v>
      </c>
      <c r="E1920" t="s">
        <v>1205</v>
      </c>
      <c r="F1920" t="s">
        <v>3626</v>
      </c>
      <c r="H1920" t="s">
        <v>17</v>
      </c>
      <c r="I1920" t="s">
        <v>3627</v>
      </c>
    </row>
    <row r="1921" spans="1:9" hidden="1" x14ac:dyDescent="0.3">
      <c r="A1921" t="s">
        <v>2297</v>
      </c>
      <c r="B1921" t="s">
        <v>2946</v>
      </c>
      <c r="C1921" t="s">
        <v>3601</v>
      </c>
      <c r="D1921" t="s">
        <v>3546</v>
      </c>
      <c r="E1921" t="s">
        <v>1209</v>
      </c>
      <c r="F1921" t="s">
        <v>3628</v>
      </c>
      <c r="H1921" t="s">
        <v>17</v>
      </c>
    </row>
    <row r="1922" spans="1:9" hidden="1" x14ac:dyDescent="0.3">
      <c r="A1922" t="s">
        <v>763</v>
      </c>
      <c r="B1922" t="s">
        <v>2946</v>
      </c>
      <c r="C1922" t="s">
        <v>3601</v>
      </c>
      <c r="D1922" t="s">
        <v>3546</v>
      </c>
      <c r="E1922" t="s">
        <v>1213</v>
      </c>
      <c r="F1922" t="s">
        <v>3629</v>
      </c>
      <c r="H1922" t="s">
        <v>17</v>
      </c>
    </row>
    <row r="1923" spans="1:9" hidden="1" x14ac:dyDescent="0.3">
      <c r="A1923" t="s">
        <v>768</v>
      </c>
      <c r="B1923" t="s">
        <v>2946</v>
      </c>
      <c r="C1923" t="s">
        <v>3601</v>
      </c>
      <c r="D1923" t="s">
        <v>3546</v>
      </c>
      <c r="E1923" t="s">
        <v>1219</v>
      </c>
      <c r="F1923" t="s">
        <v>2192</v>
      </c>
      <c r="H1923" t="s">
        <v>17</v>
      </c>
      <c r="I1923" t="s">
        <v>3630</v>
      </c>
    </row>
    <row r="1924" spans="1:9" hidden="1" x14ac:dyDescent="0.3">
      <c r="A1924" t="s">
        <v>2301</v>
      </c>
      <c r="B1924" t="s">
        <v>2946</v>
      </c>
      <c r="C1924" t="s">
        <v>3601</v>
      </c>
      <c r="D1924" t="s">
        <v>3546</v>
      </c>
      <c r="E1924" t="s">
        <v>1224</v>
      </c>
      <c r="F1924" t="s">
        <v>2196</v>
      </c>
      <c r="H1924" t="s">
        <v>17</v>
      </c>
      <c r="I1924" t="s">
        <v>3631</v>
      </c>
    </row>
    <row r="1925" spans="1:9" hidden="1" x14ac:dyDescent="0.3">
      <c r="A1925" t="s">
        <v>773</v>
      </c>
      <c r="B1925" t="s">
        <v>2946</v>
      </c>
      <c r="C1925" t="s">
        <v>3601</v>
      </c>
      <c r="D1925" t="s">
        <v>3546</v>
      </c>
      <c r="E1925" t="s">
        <v>285</v>
      </c>
      <c r="F1925" t="s">
        <v>1703</v>
      </c>
      <c r="H1925" t="s">
        <v>17</v>
      </c>
    </row>
    <row r="1926" spans="1:9" hidden="1" x14ac:dyDescent="0.3">
      <c r="A1926" t="s">
        <v>2304</v>
      </c>
      <c r="B1926" t="s">
        <v>2946</v>
      </c>
      <c r="C1926" t="s">
        <v>3601</v>
      </c>
      <c r="D1926" t="s">
        <v>3546</v>
      </c>
      <c r="E1926" t="s">
        <v>288</v>
      </c>
      <c r="F1926" t="s">
        <v>2945</v>
      </c>
      <c r="H1926" t="s">
        <v>17</v>
      </c>
    </row>
    <row r="1927" spans="1:9" hidden="1" x14ac:dyDescent="0.3">
      <c r="A1927" t="s">
        <v>778</v>
      </c>
      <c r="B1927" t="s">
        <v>2946</v>
      </c>
      <c r="C1927" t="s">
        <v>3601</v>
      </c>
      <c r="D1927" t="s">
        <v>3546</v>
      </c>
      <c r="E1927" t="s">
        <v>291</v>
      </c>
      <c r="F1927" t="s">
        <v>1706</v>
      </c>
      <c r="H1927" t="s">
        <v>17</v>
      </c>
    </row>
    <row r="1928" spans="1:9" hidden="1" x14ac:dyDescent="0.3">
      <c r="A1928" t="s">
        <v>10</v>
      </c>
      <c r="B1928" t="s">
        <v>2946</v>
      </c>
      <c r="C1928" t="s">
        <v>3601</v>
      </c>
      <c r="D1928" t="s">
        <v>3546</v>
      </c>
      <c r="E1928" t="s">
        <v>3632</v>
      </c>
      <c r="F1928" t="s">
        <v>3633</v>
      </c>
      <c r="H1928" t="s">
        <v>17</v>
      </c>
    </row>
    <row r="1929" spans="1:9" hidden="1" x14ac:dyDescent="0.3">
      <c r="A1929" t="s">
        <v>3636</v>
      </c>
      <c r="B1929" t="s">
        <v>3634</v>
      </c>
      <c r="F1929" t="s">
        <v>3635</v>
      </c>
    </row>
    <row r="1930" spans="1:9" hidden="1" x14ac:dyDescent="0.3">
      <c r="A1930" t="s">
        <v>3637</v>
      </c>
      <c r="B1930" t="s">
        <v>3634</v>
      </c>
      <c r="D1930" t="s">
        <v>13</v>
      </c>
      <c r="E1930" t="s">
        <v>13</v>
      </c>
      <c r="F1930" t="s">
        <v>2672</v>
      </c>
      <c r="H1930" t="s">
        <v>17</v>
      </c>
      <c r="I1930" t="s">
        <v>2673</v>
      </c>
    </row>
    <row r="1931" spans="1:9" hidden="1" x14ac:dyDescent="0.3">
      <c r="A1931" t="s">
        <v>3638</v>
      </c>
      <c r="B1931" t="s">
        <v>3634</v>
      </c>
      <c r="D1931" t="s">
        <v>13</v>
      </c>
      <c r="E1931" t="s">
        <v>1936</v>
      </c>
      <c r="F1931" t="s">
        <v>3362</v>
      </c>
      <c r="H1931" t="s">
        <v>17</v>
      </c>
      <c r="I1931" t="s">
        <v>3363</v>
      </c>
    </row>
    <row r="1932" spans="1:9" hidden="1" x14ac:dyDescent="0.3">
      <c r="A1932" t="s">
        <v>3639</v>
      </c>
      <c r="B1932" t="s">
        <v>3634</v>
      </c>
      <c r="C1932" t="s">
        <v>3364</v>
      </c>
      <c r="D1932" t="s">
        <v>13</v>
      </c>
      <c r="E1932" t="s">
        <v>2135</v>
      </c>
      <c r="F1932" t="s">
        <v>2677</v>
      </c>
      <c r="H1932" t="s">
        <v>17</v>
      </c>
      <c r="I1932" t="s">
        <v>2678</v>
      </c>
    </row>
    <row r="1933" spans="1:9" hidden="1" x14ac:dyDescent="0.3">
      <c r="A1933" t="s">
        <v>3640</v>
      </c>
      <c r="B1933" t="s">
        <v>3634</v>
      </c>
      <c r="C1933" t="s">
        <v>3364</v>
      </c>
      <c r="D1933" t="s">
        <v>13</v>
      </c>
      <c r="E1933" t="s">
        <v>3546</v>
      </c>
      <c r="F1933" t="s">
        <v>2680</v>
      </c>
      <c r="H1933" t="s">
        <v>17</v>
      </c>
      <c r="I1933" t="s">
        <v>2678</v>
      </c>
    </row>
    <row r="1934" spans="1:9" hidden="1" x14ac:dyDescent="0.3">
      <c r="A1934" t="s">
        <v>3641</v>
      </c>
      <c r="B1934" t="s">
        <v>3634</v>
      </c>
      <c r="C1934" t="s">
        <v>3364</v>
      </c>
      <c r="D1934" t="s">
        <v>13</v>
      </c>
      <c r="E1934" t="s">
        <v>1743</v>
      </c>
      <c r="F1934" t="s">
        <v>2681</v>
      </c>
      <c r="H1934" t="s">
        <v>17</v>
      </c>
      <c r="I1934" t="s">
        <v>2678</v>
      </c>
    </row>
    <row r="1935" spans="1:9" hidden="1" x14ac:dyDescent="0.3">
      <c r="A1935" t="s">
        <v>3643</v>
      </c>
      <c r="B1935" t="s">
        <v>3634</v>
      </c>
      <c r="C1935" t="s">
        <v>3364</v>
      </c>
      <c r="D1935" t="s">
        <v>13</v>
      </c>
      <c r="E1935" t="s">
        <v>2222</v>
      </c>
      <c r="F1935" t="s">
        <v>3366</v>
      </c>
      <c r="H1935" t="s">
        <v>17</v>
      </c>
      <c r="I1935" t="s">
        <v>3642</v>
      </c>
    </row>
    <row r="1936" spans="1:9" hidden="1" x14ac:dyDescent="0.3">
      <c r="A1936" t="s">
        <v>3645</v>
      </c>
      <c r="B1936" t="s">
        <v>3634</v>
      </c>
      <c r="C1936" t="s">
        <v>3364</v>
      </c>
      <c r="D1936" t="s">
        <v>13</v>
      </c>
      <c r="E1936" t="s">
        <v>1005</v>
      </c>
      <c r="F1936" t="s">
        <v>2685</v>
      </c>
      <c r="H1936" t="s">
        <v>17</v>
      </c>
      <c r="I1936" t="s">
        <v>3644</v>
      </c>
    </row>
    <row r="1937" spans="1:9" hidden="1" x14ac:dyDescent="0.3">
      <c r="A1937" t="s">
        <v>3646</v>
      </c>
      <c r="B1937" t="s">
        <v>3634</v>
      </c>
      <c r="C1937" t="s">
        <v>3364</v>
      </c>
      <c r="D1937" t="s">
        <v>13</v>
      </c>
      <c r="E1937" t="s">
        <v>27</v>
      </c>
      <c r="F1937" t="s">
        <v>2688</v>
      </c>
      <c r="H1937" t="s">
        <v>17</v>
      </c>
      <c r="I1937" t="s">
        <v>3368</v>
      </c>
    </row>
    <row r="1938" spans="1:9" hidden="1" x14ac:dyDescent="0.3">
      <c r="A1938" t="s">
        <v>3647</v>
      </c>
      <c r="B1938" t="s">
        <v>3634</v>
      </c>
      <c r="C1938" t="s">
        <v>3364</v>
      </c>
      <c r="D1938" t="s">
        <v>13</v>
      </c>
      <c r="E1938" t="s">
        <v>1014</v>
      </c>
      <c r="F1938" t="s">
        <v>3369</v>
      </c>
      <c r="H1938" t="s">
        <v>17</v>
      </c>
      <c r="I1938" t="s">
        <v>3370</v>
      </c>
    </row>
    <row r="1939" spans="1:9" hidden="1" x14ac:dyDescent="0.3">
      <c r="A1939" t="s">
        <v>3648</v>
      </c>
      <c r="B1939" t="s">
        <v>3634</v>
      </c>
      <c r="C1939" t="s">
        <v>3364</v>
      </c>
      <c r="D1939" t="s">
        <v>13</v>
      </c>
      <c r="E1939" t="s">
        <v>1017</v>
      </c>
      <c r="F1939" t="s">
        <v>3371</v>
      </c>
      <c r="H1939" t="s">
        <v>17</v>
      </c>
      <c r="I1939" t="s">
        <v>3372</v>
      </c>
    </row>
    <row r="1940" spans="1:9" hidden="1" x14ac:dyDescent="0.3">
      <c r="A1940" t="s">
        <v>3649</v>
      </c>
      <c r="B1940" t="s">
        <v>3634</v>
      </c>
      <c r="C1940" t="s">
        <v>3364</v>
      </c>
      <c r="D1940" t="s">
        <v>13</v>
      </c>
      <c r="E1940" t="s">
        <v>36</v>
      </c>
      <c r="F1940" t="s">
        <v>3373</v>
      </c>
      <c r="H1940" t="s">
        <v>17</v>
      </c>
      <c r="I1940" t="s">
        <v>414</v>
      </c>
    </row>
    <row r="1941" spans="1:9" hidden="1" x14ac:dyDescent="0.3">
      <c r="A1941" t="s">
        <v>3650</v>
      </c>
      <c r="B1941" t="s">
        <v>3634</v>
      </c>
      <c r="C1941" t="s">
        <v>3364</v>
      </c>
      <c r="D1941" t="s">
        <v>13</v>
      </c>
      <c r="E1941" t="s">
        <v>41</v>
      </c>
      <c r="F1941" t="s">
        <v>3374</v>
      </c>
      <c r="H1941" t="s">
        <v>17</v>
      </c>
      <c r="I1941" t="s">
        <v>414</v>
      </c>
    </row>
    <row r="1942" spans="1:9" hidden="1" x14ac:dyDescent="0.3">
      <c r="A1942" t="s">
        <v>3651</v>
      </c>
      <c r="B1942" t="s">
        <v>3634</v>
      </c>
      <c r="C1942" t="s">
        <v>3364</v>
      </c>
      <c r="D1942" t="s">
        <v>13</v>
      </c>
      <c r="E1942" t="s">
        <v>45</v>
      </c>
      <c r="F1942" t="s">
        <v>3375</v>
      </c>
      <c r="H1942" t="s">
        <v>17</v>
      </c>
      <c r="I1942" t="s">
        <v>2695</v>
      </c>
    </row>
    <row r="1943" spans="1:9" hidden="1" x14ac:dyDescent="0.3">
      <c r="A1943" t="s">
        <v>3652</v>
      </c>
      <c r="B1943" t="s">
        <v>3634</v>
      </c>
      <c r="C1943" t="s">
        <v>3364</v>
      </c>
      <c r="D1943" t="s">
        <v>13</v>
      </c>
      <c r="E1943" t="s">
        <v>50</v>
      </c>
      <c r="F1943" t="s">
        <v>2966</v>
      </c>
      <c r="H1943" t="s">
        <v>17</v>
      </c>
      <c r="I1943" t="s">
        <v>3376</v>
      </c>
    </row>
    <row r="1944" spans="1:9" hidden="1" x14ac:dyDescent="0.3">
      <c r="A1944" t="s">
        <v>3653</v>
      </c>
      <c r="B1944" t="s">
        <v>3634</v>
      </c>
      <c r="C1944" t="s">
        <v>3364</v>
      </c>
      <c r="D1944" t="s">
        <v>13</v>
      </c>
      <c r="E1944" t="s">
        <v>53</v>
      </c>
      <c r="F1944" t="s">
        <v>3377</v>
      </c>
      <c r="H1944" t="s">
        <v>17</v>
      </c>
      <c r="I1944" t="s">
        <v>2702</v>
      </c>
    </row>
    <row r="1945" spans="1:9" hidden="1" x14ac:dyDescent="0.3">
      <c r="A1945" t="s">
        <v>3654</v>
      </c>
      <c r="B1945" t="s">
        <v>3634</v>
      </c>
      <c r="C1945" t="s">
        <v>3364</v>
      </c>
      <c r="D1945" t="s">
        <v>13</v>
      </c>
      <c r="E1945" t="s">
        <v>56</v>
      </c>
      <c r="F1945" t="s">
        <v>3379</v>
      </c>
      <c r="H1945" t="s">
        <v>17</v>
      </c>
      <c r="I1945" t="s">
        <v>2704</v>
      </c>
    </row>
    <row r="1946" spans="1:9" hidden="1" x14ac:dyDescent="0.3">
      <c r="A1946" t="s">
        <v>3655</v>
      </c>
      <c r="B1946" t="s">
        <v>3634</v>
      </c>
      <c r="C1946" t="s">
        <v>3364</v>
      </c>
      <c r="D1946" t="s">
        <v>13</v>
      </c>
      <c r="E1946" t="s">
        <v>61</v>
      </c>
      <c r="F1946" t="s">
        <v>3380</v>
      </c>
      <c r="H1946" t="s">
        <v>17</v>
      </c>
      <c r="I1946" t="s">
        <v>2706</v>
      </c>
    </row>
    <row r="1947" spans="1:9" hidden="1" x14ac:dyDescent="0.3">
      <c r="A1947" t="s">
        <v>3656</v>
      </c>
      <c r="B1947" t="s">
        <v>3634</v>
      </c>
      <c r="C1947" t="s">
        <v>3364</v>
      </c>
      <c r="D1947" t="s">
        <v>13</v>
      </c>
      <c r="E1947" t="s">
        <v>1039</v>
      </c>
      <c r="F1947" t="s">
        <v>3381</v>
      </c>
      <c r="H1947" t="s">
        <v>17</v>
      </c>
      <c r="I1947" t="s">
        <v>2708</v>
      </c>
    </row>
    <row r="1948" spans="1:9" hidden="1" x14ac:dyDescent="0.3">
      <c r="A1948" t="s">
        <v>3657</v>
      </c>
      <c r="B1948" t="s">
        <v>3634</v>
      </c>
      <c r="C1948" t="s">
        <v>3364</v>
      </c>
      <c r="D1948" t="s">
        <v>13</v>
      </c>
      <c r="E1948" t="s">
        <v>1043</v>
      </c>
      <c r="F1948" t="s">
        <v>2709</v>
      </c>
      <c r="H1948" t="s">
        <v>17</v>
      </c>
      <c r="I1948" t="s">
        <v>3027</v>
      </c>
    </row>
    <row r="1949" spans="1:9" hidden="1" x14ac:dyDescent="0.3">
      <c r="A1949" t="s">
        <v>3658</v>
      </c>
      <c r="B1949" t="s">
        <v>3634</v>
      </c>
      <c r="C1949" t="s">
        <v>3364</v>
      </c>
      <c r="D1949" t="s">
        <v>13</v>
      </c>
      <c r="E1949" t="s">
        <v>71</v>
      </c>
      <c r="F1949" t="s">
        <v>3383</v>
      </c>
      <c r="H1949" t="s">
        <v>17</v>
      </c>
      <c r="I1949" t="s">
        <v>3029</v>
      </c>
    </row>
    <row r="1950" spans="1:9" hidden="1" x14ac:dyDescent="0.3">
      <c r="A1950" t="s">
        <v>3659</v>
      </c>
      <c r="B1950" t="s">
        <v>3634</v>
      </c>
      <c r="C1950" t="s">
        <v>3364</v>
      </c>
      <c r="D1950" t="s">
        <v>13</v>
      </c>
      <c r="E1950" t="s">
        <v>1050</v>
      </c>
      <c r="F1950" t="s">
        <v>2714</v>
      </c>
      <c r="H1950" t="s">
        <v>17</v>
      </c>
      <c r="I1950" t="s">
        <v>3029</v>
      </c>
    </row>
    <row r="1951" spans="1:9" hidden="1" x14ac:dyDescent="0.3">
      <c r="A1951" t="s">
        <v>3660</v>
      </c>
      <c r="B1951" t="s">
        <v>3634</v>
      </c>
      <c r="C1951" t="s">
        <v>3384</v>
      </c>
      <c r="D1951" t="s">
        <v>13</v>
      </c>
      <c r="E1951" t="s">
        <v>1055</v>
      </c>
      <c r="F1951" t="s">
        <v>3385</v>
      </c>
      <c r="H1951" t="s">
        <v>17</v>
      </c>
      <c r="I1951" t="s">
        <v>3386</v>
      </c>
    </row>
    <row r="1952" spans="1:9" hidden="1" x14ac:dyDescent="0.3">
      <c r="A1952" t="s">
        <v>3661</v>
      </c>
      <c r="B1952" t="s">
        <v>3634</v>
      </c>
      <c r="C1952" t="s">
        <v>3384</v>
      </c>
      <c r="D1952" t="s">
        <v>13</v>
      </c>
      <c r="E1952" t="s">
        <v>80</v>
      </c>
      <c r="F1952" t="s">
        <v>3387</v>
      </c>
      <c r="H1952" t="s">
        <v>17</v>
      </c>
      <c r="I1952" t="s">
        <v>3386</v>
      </c>
    </row>
    <row r="1953" spans="1:9" hidden="1" x14ac:dyDescent="0.3">
      <c r="A1953" t="s">
        <v>3662</v>
      </c>
      <c r="B1953" t="s">
        <v>3634</v>
      </c>
      <c r="C1953" t="s">
        <v>3384</v>
      </c>
      <c r="D1953" t="s">
        <v>13</v>
      </c>
      <c r="E1953" t="s">
        <v>85</v>
      </c>
      <c r="F1953" t="s">
        <v>3388</v>
      </c>
      <c r="H1953" t="s">
        <v>17</v>
      </c>
      <c r="I1953" t="s">
        <v>3389</v>
      </c>
    </row>
    <row r="1954" spans="1:9" hidden="1" x14ac:dyDescent="0.3">
      <c r="A1954" t="s">
        <v>3663</v>
      </c>
      <c r="B1954" t="s">
        <v>3634</v>
      </c>
      <c r="C1954" t="s">
        <v>3046</v>
      </c>
      <c r="D1954" t="s">
        <v>13</v>
      </c>
      <c r="E1954" t="s">
        <v>90</v>
      </c>
      <c r="F1954" t="s">
        <v>2723</v>
      </c>
      <c r="H1954" t="s">
        <v>17</v>
      </c>
      <c r="I1954" t="s">
        <v>2724</v>
      </c>
    </row>
    <row r="1955" spans="1:9" hidden="1" x14ac:dyDescent="0.3">
      <c r="A1955" t="s">
        <v>3664</v>
      </c>
      <c r="B1955" t="s">
        <v>3634</v>
      </c>
      <c r="C1955" t="s">
        <v>3046</v>
      </c>
      <c r="D1955" t="s">
        <v>13</v>
      </c>
      <c r="E1955" t="s">
        <v>95</v>
      </c>
      <c r="F1955" t="s">
        <v>2726</v>
      </c>
      <c r="H1955" t="s">
        <v>17</v>
      </c>
      <c r="I1955" t="s">
        <v>2724</v>
      </c>
    </row>
    <row r="1956" spans="1:9" hidden="1" x14ac:dyDescent="0.3">
      <c r="A1956" t="s">
        <v>3665</v>
      </c>
      <c r="B1956" t="s">
        <v>3634</v>
      </c>
      <c r="C1956" t="s">
        <v>3046</v>
      </c>
      <c r="D1956" t="s">
        <v>13</v>
      </c>
      <c r="E1956" t="s">
        <v>100</v>
      </c>
      <c r="F1956" t="s">
        <v>3390</v>
      </c>
      <c r="H1956" t="s">
        <v>17</v>
      </c>
      <c r="I1956" t="s">
        <v>2724</v>
      </c>
    </row>
    <row r="1957" spans="1:9" hidden="1" x14ac:dyDescent="0.3">
      <c r="A1957" t="s">
        <v>3666</v>
      </c>
      <c r="B1957" t="s">
        <v>3634</v>
      </c>
      <c r="C1957" t="s">
        <v>3046</v>
      </c>
      <c r="D1957" t="s">
        <v>13</v>
      </c>
      <c r="E1957" t="s">
        <v>106</v>
      </c>
      <c r="F1957" t="s">
        <v>2730</v>
      </c>
      <c r="H1957" t="s">
        <v>17</v>
      </c>
      <c r="I1957" t="s">
        <v>2724</v>
      </c>
    </row>
    <row r="1958" spans="1:9" hidden="1" x14ac:dyDescent="0.3">
      <c r="A1958" t="s">
        <v>3667</v>
      </c>
      <c r="B1958" t="s">
        <v>3634</v>
      </c>
      <c r="C1958" t="s">
        <v>3046</v>
      </c>
      <c r="D1958" t="s">
        <v>13</v>
      </c>
      <c r="E1958" t="s">
        <v>111</v>
      </c>
      <c r="F1958" t="s">
        <v>2728</v>
      </c>
      <c r="H1958" t="s">
        <v>17</v>
      </c>
      <c r="I1958" t="s">
        <v>2724</v>
      </c>
    </row>
    <row r="1959" spans="1:9" hidden="1" x14ac:dyDescent="0.3">
      <c r="A1959" t="s">
        <v>3668</v>
      </c>
      <c r="B1959" t="s">
        <v>3634</v>
      </c>
      <c r="C1959" t="s">
        <v>3046</v>
      </c>
      <c r="D1959" t="s">
        <v>13</v>
      </c>
      <c r="E1959" t="s">
        <v>114</v>
      </c>
      <c r="F1959" t="s">
        <v>3391</v>
      </c>
      <c r="H1959" t="s">
        <v>17</v>
      </c>
      <c r="I1959" t="s">
        <v>2724</v>
      </c>
    </row>
    <row r="1960" spans="1:9" hidden="1" x14ac:dyDescent="0.3">
      <c r="A1960" t="s">
        <v>3669</v>
      </c>
      <c r="B1960" t="s">
        <v>3634</v>
      </c>
      <c r="C1960" t="s">
        <v>3046</v>
      </c>
      <c r="D1960" t="s">
        <v>13</v>
      </c>
      <c r="E1960" t="s">
        <v>117</v>
      </c>
      <c r="F1960" t="s">
        <v>3392</v>
      </c>
      <c r="H1960" t="s">
        <v>17</v>
      </c>
      <c r="I1960" t="s">
        <v>2724</v>
      </c>
    </row>
    <row r="1961" spans="1:9" hidden="1" x14ac:dyDescent="0.3">
      <c r="A1961" t="s">
        <v>3671</v>
      </c>
      <c r="B1961" t="s">
        <v>3634</v>
      </c>
      <c r="C1961" t="s">
        <v>3046</v>
      </c>
      <c r="D1961" t="s">
        <v>13</v>
      </c>
      <c r="E1961" t="s">
        <v>121</v>
      </c>
      <c r="F1961" t="s">
        <v>2732</v>
      </c>
      <c r="H1961" t="s">
        <v>17</v>
      </c>
      <c r="I1961" t="s">
        <v>3670</v>
      </c>
    </row>
    <row r="1962" spans="1:9" hidden="1" x14ac:dyDescent="0.3">
      <c r="A1962" t="s">
        <v>3672</v>
      </c>
      <c r="B1962" t="s">
        <v>3634</v>
      </c>
      <c r="C1962" t="s">
        <v>3046</v>
      </c>
      <c r="D1962" t="s">
        <v>13</v>
      </c>
      <c r="E1962" t="s">
        <v>126</v>
      </c>
      <c r="F1962" t="s">
        <v>3394</v>
      </c>
      <c r="H1962" t="s">
        <v>17</v>
      </c>
      <c r="I1962" t="s">
        <v>3395</v>
      </c>
    </row>
    <row r="1963" spans="1:9" hidden="1" x14ac:dyDescent="0.3">
      <c r="A1963" t="s">
        <v>3673</v>
      </c>
      <c r="B1963" t="s">
        <v>3634</v>
      </c>
      <c r="C1963" t="s">
        <v>3046</v>
      </c>
      <c r="D1963" t="s">
        <v>13</v>
      </c>
      <c r="E1963" t="s">
        <v>129</v>
      </c>
      <c r="F1963" t="s">
        <v>2734</v>
      </c>
      <c r="H1963" t="s">
        <v>17</v>
      </c>
      <c r="I1963" t="s">
        <v>3396</v>
      </c>
    </row>
    <row r="1964" spans="1:9" hidden="1" x14ac:dyDescent="0.3">
      <c r="A1964" t="s">
        <v>3674</v>
      </c>
      <c r="B1964" t="s">
        <v>3634</v>
      </c>
      <c r="C1964" t="s">
        <v>3046</v>
      </c>
      <c r="D1964" t="s">
        <v>13</v>
      </c>
      <c r="E1964" t="s">
        <v>132</v>
      </c>
      <c r="F1964" t="s">
        <v>3397</v>
      </c>
      <c r="H1964" t="s">
        <v>17</v>
      </c>
      <c r="I1964" t="s">
        <v>3398</v>
      </c>
    </row>
    <row r="1965" spans="1:9" hidden="1" x14ac:dyDescent="0.3">
      <c r="A1965" t="s">
        <v>3675</v>
      </c>
      <c r="B1965" t="s">
        <v>3634</v>
      </c>
      <c r="C1965" t="s">
        <v>3046</v>
      </c>
      <c r="D1965" t="s">
        <v>13</v>
      </c>
      <c r="E1965" t="s">
        <v>135</v>
      </c>
      <c r="F1965" t="s">
        <v>3399</v>
      </c>
      <c r="H1965" t="s">
        <v>17</v>
      </c>
      <c r="I1965" t="s">
        <v>3400</v>
      </c>
    </row>
    <row r="1966" spans="1:9" hidden="1" x14ac:dyDescent="0.3">
      <c r="A1966" t="s">
        <v>3676</v>
      </c>
      <c r="B1966" t="s">
        <v>3634</v>
      </c>
      <c r="C1966" t="s">
        <v>3046</v>
      </c>
      <c r="D1966" t="s">
        <v>13</v>
      </c>
      <c r="E1966" t="s">
        <v>138</v>
      </c>
      <c r="F1966" t="s">
        <v>3401</v>
      </c>
      <c r="H1966" t="s">
        <v>17</v>
      </c>
      <c r="I1966" t="s">
        <v>3402</v>
      </c>
    </row>
    <row r="1967" spans="1:9" hidden="1" x14ac:dyDescent="0.3">
      <c r="A1967" t="s">
        <v>3677</v>
      </c>
      <c r="B1967" t="s">
        <v>3634</v>
      </c>
      <c r="C1967" t="s">
        <v>3046</v>
      </c>
      <c r="D1967" t="s">
        <v>13</v>
      </c>
      <c r="E1967" t="s">
        <v>141</v>
      </c>
      <c r="F1967" t="s">
        <v>3403</v>
      </c>
      <c r="H1967" t="s">
        <v>17</v>
      </c>
      <c r="I1967" t="s">
        <v>3404</v>
      </c>
    </row>
    <row r="1968" spans="1:9" hidden="1" x14ac:dyDescent="0.3">
      <c r="A1968" t="s">
        <v>3678</v>
      </c>
      <c r="B1968" t="s">
        <v>3634</v>
      </c>
      <c r="C1968" t="s">
        <v>3046</v>
      </c>
      <c r="D1968" t="s">
        <v>13</v>
      </c>
      <c r="E1968" t="s">
        <v>144</v>
      </c>
      <c r="F1968" t="s">
        <v>3405</v>
      </c>
      <c r="H1968" t="s">
        <v>17</v>
      </c>
      <c r="I1968" t="s">
        <v>3406</v>
      </c>
    </row>
    <row r="1969" spans="1:9" hidden="1" x14ac:dyDescent="0.3">
      <c r="A1969" t="s">
        <v>3679</v>
      </c>
      <c r="B1969" t="s">
        <v>3634</v>
      </c>
      <c r="C1969" t="s">
        <v>3046</v>
      </c>
      <c r="D1969" t="s">
        <v>13</v>
      </c>
      <c r="E1969" t="s">
        <v>147</v>
      </c>
      <c r="F1969" t="s">
        <v>3407</v>
      </c>
      <c r="H1969" t="s">
        <v>17</v>
      </c>
      <c r="I1969" t="s">
        <v>3019</v>
      </c>
    </row>
    <row r="1970" spans="1:9" hidden="1" x14ac:dyDescent="0.3">
      <c r="A1970" t="s">
        <v>3680</v>
      </c>
      <c r="B1970" t="s">
        <v>3634</v>
      </c>
      <c r="C1970" t="s">
        <v>3408</v>
      </c>
      <c r="D1970" t="s">
        <v>13</v>
      </c>
      <c r="E1970" t="s">
        <v>152</v>
      </c>
      <c r="F1970" t="s">
        <v>3409</v>
      </c>
      <c r="H1970" t="s">
        <v>17</v>
      </c>
      <c r="I1970" t="s">
        <v>3410</v>
      </c>
    </row>
    <row r="1971" spans="1:9" hidden="1" x14ac:dyDescent="0.3">
      <c r="A1971" t="s">
        <v>3681</v>
      </c>
      <c r="B1971" t="s">
        <v>3634</v>
      </c>
      <c r="C1971" t="s">
        <v>3408</v>
      </c>
      <c r="D1971" t="s">
        <v>13</v>
      </c>
      <c r="E1971" t="s">
        <v>157</v>
      </c>
      <c r="F1971" t="s">
        <v>3411</v>
      </c>
      <c r="H1971" t="s">
        <v>17</v>
      </c>
      <c r="I1971" t="s">
        <v>3412</v>
      </c>
    </row>
    <row r="1972" spans="1:9" hidden="1" x14ac:dyDescent="0.3">
      <c r="A1972" t="s">
        <v>3682</v>
      </c>
      <c r="B1972" t="s">
        <v>3634</v>
      </c>
      <c r="C1972" t="s">
        <v>3408</v>
      </c>
      <c r="D1972" t="s">
        <v>13</v>
      </c>
      <c r="E1972" t="s">
        <v>162</v>
      </c>
      <c r="F1972" t="s">
        <v>3413</v>
      </c>
      <c r="H1972" t="s">
        <v>17</v>
      </c>
      <c r="I1972" t="s">
        <v>3412</v>
      </c>
    </row>
    <row r="1973" spans="1:9" hidden="1" x14ac:dyDescent="0.3">
      <c r="A1973" t="s">
        <v>3683</v>
      </c>
      <c r="B1973" t="s">
        <v>3634</v>
      </c>
      <c r="C1973" t="s">
        <v>3408</v>
      </c>
      <c r="D1973" t="s">
        <v>13</v>
      </c>
      <c r="E1973" t="s">
        <v>167</v>
      </c>
      <c r="F1973" t="s">
        <v>3414</v>
      </c>
      <c r="H1973" t="s">
        <v>17</v>
      </c>
      <c r="I1973" t="s">
        <v>3415</v>
      </c>
    </row>
    <row r="1974" spans="1:9" hidden="1" x14ac:dyDescent="0.3">
      <c r="A1974" t="s">
        <v>3684</v>
      </c>
      <c r="B1974" t="s">
        <v>3634</v>
      </c>
      <c r="C1974" t="s">
        <v>3408</v>
      </c>
      <c r="D1974" t="s">
        <v>13</v>
      </c>
      <c r="E1974" t="s">
        <v>172</v>
      </c>
      <c r="F1974" t="s">
        <v>3416</v>
      </c>
      <c r="H1974" t="s">
        <v>17</v>
      </c>
      <c r="I1974" t="s">
        <v>3417</v>
      </c>
    </row>
    <row r="1975" spans="1:9" hidden="1" x14ac:dyDescent="0.3">
      <c r="A1975" t="s">
        <v>3685</v>
      </c>
      <c r="B1975" t="s">
        <v>3634</v>
      </c>
      <c r="C1975" t="s">
        <v>3408</v>
      </c>
      <c r="D1975" t="s">
        <v>13</v>
      </c>
      <c r="E1975" t="s">
        <v>177</v>
      </c>
      <c r="F1975" t="s">
        <v>3418</v>
      </c>
      <c r="H1975" t="s">
        <v>17</v>
      </c>
      <c r="I1975" t="s">
        <v>3417</v>
      </c>
    </row>
    <row r="1976" spans="1:9" hidden="1" x14ac:dyDescent="0.3">
      <c r="A1976" t="s">
        <v>3686</v>
      </c>
      <c r="B1976" t="s">
        <v>3634</v>
      </c>
      <c r="C1976" t="s">
        <v>3408</v>
      </c>
      <c r="D1976" t="s">
        <v>13</v>
      </c>
      <c r="E1976" t="s">
        <v>182</v>
      </c>
      <c r="F1976" t="s">
        <v>3419</v>
      </c>
      <c r="H1976" t="s">
        <v>17</v>
      </c>
      <c r="I1976" t="s">
        <v>3420</v>
      </c>
    </row>
    <row r="1977" spans="1:9" hidden="1" x14ac:dyDescent="0.3">
      <c r="A1977" t="s">
        <v>3687</v>
      </c>
      <c r="B1977" t="s">
        <v>3634</v>
      </c>
      <c r="C1977" t="s">
        <v>3408</v>
      </c>
      <c r="D1977" t="s">
        <v>13</v>
      </c>
      <c r="E1977" t="s">
        <v>187</v>
      </c>
      <c r="F1977" t="s">
        <v>3421</v>
      </c>
      <c r="H1977" t="s">
        <v>17</v>
      </c>
      <c r="I1977" t="s">
        <v>3422</v>
      </c>
    </row>
    <row r="1978" spans="1:9" hidden="1" x14ac:dyDescent="0.3">
      <c r="A1978" t="s">
        <v>3688</v>
      </c>
      <c r="B1978" t="s">
        <v>3634</v>
      </c>
      <c r="C1978" t="s">
        <v>3408</v>
      </c>
      <c r="D1978" t="s">
        <v>13</v>
      </c>
      <c r="E1978" t="s">
        <v>193</v>
      </c>
      <c r="F1978" t="s">
        <v>3423</v>
      </c>
      <c r="H1978" t="s">
        <v>17</v>
      </c>
      <c r="I1978" t="s">
        <v>3424</v>
      </c>
    </row>
    <row r="1979" spans="1:9" hidden="1" x14ac:dyDescent="0.3">
      <c r="A1979" t="s">
        <v>3689</v>
      </c>
      <c r="B1979" t="s">
        <v>3634</v>
      </c>
      <c r="C1979" t="s">
        <v>3408</v>
      </c>
      <c r="D1979" t="s">
        <v>13</v>
      </c>
      <c r="E1979" t="s">
        <v>198</v>
      </c>
      <c r="F1979" t="s">
        <v>3425</v>
      </c>
      <c r="H1979" t="s">
        <v>17</v>
      </c>
      <c r="I1979" t="s">
        <v>3424</v>
      </c>
    </row>
    <row r="1980" spans="1:9" hidden="1" x14ac:dyDescent="0.3">
      <c r="A1980" t="s">
        <v>3691</v>
      </c>
      <c r="B1980" t="s">
        <v>3634</v>
      </c>
      <c r="C1980" t="s">
        <v>3408</v>
      </c>
      <c r="D1980" t="s">
        <v>13</v>
      </c>
      <c r="E1980" t="s">
        <v>1118</v>
      </c>
      <c r="F1980" t="s">
        <v>3426</v>
      </c>
      <c r="H1980" t="s">
        <v>17</v>
      </c>
      <c r="I1980" t="s">
        <v>3690</v>
      </c>
    </row>
    <row r="1981" spans="1:9" hidden="1" x14ac:dyDescent="0.3">
      <c r="A1981" t="s">
        <v>3692</v>
      </c>
      <c r="B1981" t="s">
        <v>3634</v>
      </c>
      <c r="C1981" t="s">
        <v>3408</v>
      </c>
      <c r="D1981" t="s">
        <v>13</v>
      </c>
      <c r="E1981" t="s">
        <v>210</v>
      </c>
      <c r="F1981" t="s">
        <v>3428</v>
      </c>
      <c r="H1981" t="s">
        <v>17</v>
      </c>
      <c r="I1981" t="s">
        <v>3429</v>
      </c>
    </row>
    <row r="1982" spans="1:9" hidden="1" x14ac:dyDescent="0.3">
      <c r="A1982" t="s">
        <v>3693</v>
      </c>
      <c r="B1982" t="s">
        <v>3634</v>
      </c>
      <c r="C1982" t="s">
        <v>3408</v>
      </c>
      <c r="D1982" t="s">
        <v>13</v>
      </c>
      <c r="E1982" t="s">
        <v>214</v>
      </c>
      <c r="F1982" t="s">
        <v>3430</v>
      </c>
      <c r="H1982" t="s">
        <v>17</v>
      </c>
      <c r="I1982" t="s">
        <v>3431</v>
      </c>
    </row>
    <row r="1983" spans="1:9" hidden="1" x14ac:dyDescent="0.3">
      <c r="A1983" t="s">
        <v>3694</v>
      </c>
      <c r="B1983" t="s">
        <v>3634</v>
      </c>
      <c r="C1983" t="s">
        <v>3408</v>
      </c>
      <c r="D1983" t="s">
        <v>13</v>
      </c>
      <c r="E1983" t="s">
        <v>218</v>
      </c>
      <c r="F1983" t="s">
        <v>3432</v>
      </c>
      <c r="H1983" t="s">
        <v>17</v>
      </c>
      <c r="I1983" t="s">
        <v>3433</v>
      </c>
    </row>
    <row r="1984" spans="1:9" hidden="1" x14ac:dyDescent="0.3">
      <c r="A1984" t="s">
        <v>3695</v>
      </c>
      <c r="B1984" t="s">
        <v>3634</v>
      </c>
      <c r="C1984" t="s">
        <v>3408</v>
      </c>
      <c r="D1984" t="s">
        <v>13</v>
      </c>
      <c r="E1984" t="s">
        <v>223</v>
      </c>
      <c r="F1984" t="s">
        <v>3434</v>
      </c>
      <c r="H1984" t="s">
        <v>17</v>
      </c>
      <c r="I1984" t="s">
        <v>3435</v>
      </c>
    </row>
    <row r="1985" spans="1:9" hidden="1" x14ac:dyDescent="0.3">
      <c r="A1985" t="s">
        <v>3696</v>
      </c>
      <c r="B1985" t="s">
        <v>3634</v>
      </c>
      <c r="C1985" t="s">
        <v>3408</v>
      </c>
      <c r="D1985" t="s">
        <v>13</v>
      </c>
      <c r="E1985" t="s">
        <v>228</v>
      </c>
      <c r="F1985" t="s">
        <v>3436</v>
      </c>
      <c r="H1985" t="s">
        <v>17</v>
      </c>
      <c r="I1985" t="s">
        <v>3437</v>
      </c>
    </row>
    <row r="1986" spans="1:9" hidden="1" x14ac:dyDescent="0.3">
      <c r="A1986" t="s">
        <v>3697</v>
      </c>
      <c r="B1986" t="s">
        <v>3634</v>
      </c>
      <c r="C1986" t="s">
        <v>3408</v>
      </c>
      <c r="D1986" t="s">
        <v>13</v>
      </c>
      <c r="E1986" t="s">
        <v>233</v>
      </c>
      <c r="F1986" t="s">
        <v>3438</v>
      </c>
      <c r="H1986" t="s">
        <v>17</v>
      </c>
      <c r="I1986" t="s">
        <v>3439</v>
      </c>
    </row>
    <row r="1987" spans="1:9" hidden="1" x14ac:dyDescent="0.3">
      <c r="A1987" t="s">
        <v>3698</v>
      </c>
      <c r="B1987" t="s">
        <v>3634</v>
      </c>
      <c r="C1987" t="s">
        <v>3408</v>
      </c>
      <c r="D1987" t="s">
        <v>13</v>
      </c>
      <c r="E1987" t="s">
        <v>236</v>
      </c>
      <c r="F1987" t="s">
        <v>3440</v>
      </c>
      <c r="H1987" t="s">
        <v>17</v>
      </c>
      <c r="I1987" t="s">
        <v>3429</v>
      </c>
    </row>
    <row r="1988" spans="1:9" hidden="1" x14ac:dyDescent="0.3">
      <c r="A1988" t="s">
        <v>3699</v>
      </c>
      <c r="B1988" t="s">
        <v>3634</v>
      </c>
      <c r="C1988" t="s">
        <v>3408</v>
      </c>
      <c r="D1988" t="s">
        <v>13</v>
      </c>
      <c r="E1988" t="s">
        <v>239</v>
      </c>
      <c r="F1988" t="s">
        <v>3441</v>
      </c>
      <c r="H1988" t="s">
        <v>17</v>
      </c>
      <c r="I1988" t="s">
        <v>3442</v>
      </c>
    </row>
    <row r="1989" spans="1:9" hidden="1" x14ac:dyDescent="0.3">
      <c r="A1989" t="s">
        <v>3700</v>
      </c>
      <c r="B1989" t="s">
        <v>3634</v>
      </c>
      <c r="C1989" t="s">
        <v>3408</v>
      </c>
      <c r="D1989" t="s">
        <v>13</v>
      </c>
      <c r="E1989" t="s">
        <v>1881</v>
      </c>
      <c r="F1989" t="s">
        <v>3443</v>
      </c>
      <c r="H1989" t="s">
        <v>17</v>
      </c>
      <c r="I1989" t="s">
        <v>3442</v>
      </c>
    </row>
    <row r="1990" spans="1:9" hidden="1" x14ac:dyDescent="0.3">
      <c r="A1990" t="s">
        <v>3701</v>
      </c>
      <c r="B1990" t="s">
        <v>3634</v>
      </c>
      <c r="C1990" t="s">
        <v>3408</v>
      </c>
      <c r="D1990" t="s">
        <v>13</v>
      </c>
      <c r="E1990" t="s">
        <v>1885</v>
      </c>
      <c r="F1990" t="s">
        <v>3444</v>
      </c>
      <c r="H1990" t="s">
        <v>17</v>
      </c>
      <c r="I1990" t="s">
        <v>3445</v>
      </c>
    </row>
    <row r="1991" spans="1:9" hidden="1" x14ac:dyDescent="0.3">
      <c r="A1991" t="s">
        <v>3702</v>
      </c>
      <c r="B1991" t="s">
        <v>3634</v>
      </c>
      <c r="C1991" t="s">
        <v>3408</v>
      </c>
      <c r="D1991" t="s">
        <v>13</v>
      </c>
      <c r="E1991" t="s">
        <v>1588</v>
      </c>
      <c r="F1991" t="s">
        <v>2761</v>
      </c>
      <c r="H1991" t="s">
        <v>17</v>
      </c>
      <c r="I1991" t="s">
        <v>3446</v>
      </c>
    </row>
    <row r="1992" spans="1:9" hidden="1" x14ac:dyDescent="0.3">
      <c r="A1992" t="s">
        <v>3703</v>
      </c>
      <c r="B1992" t="s">
        <v>3634</v>
      </c>
      <c r="C1992" t="s">
        <v>3408</v>
      </c>
      <c r="D1992" t="s">
        <v>13</v>
      </c>
      <c r="E1992" t="s">
        <v>1892</v>
      </c>
      <c r="F1992" t="s">
        <v>2762</v>
      </c>
      <c r="H1992" t="s">
        <v>17</v>
      </c>
      <c r="I1992" t="s">
        <v>3447</v>
      </c>
    </row>
    <row r="1993" spans="1:9" hidden="1" x14ac:dyDescent="0.3">
      <c r="A1993" t="s">
        <v>3704</v>
      </c>
      <c r="B1993" t="s">
        <v>3634</v>
      </c>
      <c r="C1993" t="s">
        <v>3408</v>
      </c>
      <c r="D1993" t="s">
        <v>13</v>
      </c>
      <c r="E1993" t="s">
        <v>1146</v>
      </c>
      <c r="F1993" t="s">
        <v>3448</v>
      </c>
      <c r="H1993" t="s">
        <v>17</v>
      </c>
      <c r="I1993" t="s">
        <v>3447</v>
      </c>
    </row>
    <row r="1994" spans="1:9" hidden="1" x14ac:dyDescent="0.3">
      <c r="A1994" t="s">
        <v>3705</v>
      </c>
      <c r="B1994" t="s">
        <v>3634</v>
      </c>
      <c r="C1994" t="s">
        <v>3408</v>
      </c>
      <c r="D1994" t="s">
        <v>13</v>
      </c>
      <c r="E1994" t="s">
        <v>1150</v>
      </c>
      <c r="F1994" t="s">
        <v>3449</v>
      </c>
      <c r="H1994" t="s">
        <v>17</v>
      </c>
      <c r="I1994" t="s">
        <v>3450</v>
      </c>
    </row>
    <row r="1995" spans="1:9" hidden="1" x14ac:dyDescent="0.3">
      <c r="A1995" t="s">
        <v>3706</v>
      </c>
      <c r="B1995" t="s">
        <v>3634</v>
      </c>
      <c r="C1995" t="s">
        <v>3408</v>
      </c>
      <c r="D1995" t="s">
        <v>13</v>
      </c>
      <c r="E1995" t="s">
        <v>1154</v>
      </c>
      <c r="F1995" t="s">
        <v>3451</v>
      </c>
      <c r="H1995" t="s">
        <v>17</v>
      </c>
      <c r="I1995" t="s">
        <v>2768</v>
      </c>
    </row>
    <row r="1996" spans="1:9" hidden="1" x14ac:dyDescent="0.3">
      <c r="A1996" t="s">
        <v>3707</v>
      </c>
      <c r="B1996" t="s">
        <v>3634</v>
      </c>
      <c r="C1996" t="s">
        <v>3408</v>
      </c>
      <c r="D1996" t="s">
        <v>13</v>
      </c>
      <c r="E1996" t="s">
        <v>1158</v>
      </c>
      <c r="F1996" t="s">
        <v>2769</v>
      </c>
      <c r="H1996" t="s">
        <v>17</v>
      </c>
      <c r="I1996" t="s">
        <v>2770</v>
      </c>
    </row>
    <row r="1997" spans="1:9" hidden="1" x14ac:dyDescent="0.3">
      <c r="A1997" t="s">
        <v>3708</v>
      </c>
      <c r="B1997" t="s">
        <v>3634</v>
      </c>
      <c r="C1997" t="s">
        <v>3408</v>
      </c>
      <c r="D1997" t="s">
        <v>13</v>
      </c>
      <c r="E1997" t="s">
        <v>1162</v>
      </c>
      <c r="F1997" t="s">
        <v>2771</v>
      </c>
      <c r="H1997" t="s">
        <v>17</v>
      </c>
      <c r="I1997" t="s">
        <v>3452</v>
      </c>
    </row>
    <row r="1998" spans="1:9" hidden="1" x14ac:dyDescent="0.3">
      <c r="A1998" t="s">
        <v>3710</v>
      </c>
      <c r="B1998" t="s">
        <v>3634</v>
      </c>
      <c r="C1998" t="s">
        <v>3408</v>
      </c>
      <c r="D1998" t="s">
        <v>13</v>
      </c>
      <c r="E1998" t="s">
        <v>2937</v>
      </c>
      <c r="F1998" t="s">
        <v>3453</v>
      </c>
      <c r="H1998" t="s">
        <v>17</v>
      </c>
      <c r="I1998" t="s">
        <v>3709</v>
      </c>
    </row>
    <row r="1999" spans="1:9" hidden="1" x14ac:dyDescent="0.3">
      <c r="A1999" t="s">
        <v>3711</v>
      </c>
      <c r="B1999" t="s">
        <v>3634</v>
      </c>
      <c r="C1999" t="s">
        <v>3455</v>
      </c>
      <c r="D1999" t="s">
        <v>13</v>
      </c>
      <c r="E1999" t="s">
        <v>1172</v>
      </c>
      <c r="F1999" t="s">
        <v>3456</v>
      </c>
      <c r="H1999" t="s">
        <v>17</v>
      </c>
      <c r="I1999" t="s">
        <v>3457</v>
      </c>
    </row>
    <row r="2000" spans="1:9" hidden="1" x14ac:dyDescent="0.3">
      <c r="A2000" t="s">
        <v>3712</v>
      </c>
      <c r="B2000" t="s">
        <v>3634</v>
      </c>
      <c r="C2000" t="s">
        <v>3455</v>
      </c>
      <c r="D2000" t="s">
        <v>13</v>
      </c>
      <c r="E2000" t="s">
        <v>1176</v>
      </c>
      <c r="F2000" t="s">
        <v>3458</v>
      </c>
      <c r="H2000" t="s">
        <v>17</v>
      </c>
      <c r="I2000" t="s">
        <v>3457</v>
      </c>
    </row>
    <row r="2001" spans="1:9" hidden="1" x14ac:dyDescent="0.3">
      <c r="A2001" t="s">
        <v>3713</v>
      </c>
      <c r="B2001" t="s">
        <v>3634</v>
      </c>
      <c r="C2001" t="s">
        <v>3455</v>
      </c>
      <c r="D2001" t="s">
        <v>13</v>
      </c>
      <c r="E2001" t="s">
        <v>1179</v>
      </c>
      <c r="F2001" t="s">
        <v>3459</v>
      </c>
      <c r="H2001" t="s">
        <v>17</v>
      </c>
      <c r="I2001" t="s">
        <v>3457</v>
      </c>
    </row>
    <row r="2002" spans="1:9" hidden="1" x14ac:dyDescent="0.3">
      <c r="A2002" t="s">
        <v>3714</v>
      </c>
      <c r="B2002" t="s">
        <v>3634</v>
      </c>
      <c r="C2002" t="s">
        <v>3455</v>
      </c>
      <c r="D2002" t="s">
        <v>13</v>
      </c>
      <c r="E2002" t="s">
        <v>1184</v>
      </c>
      <c r="F2002" t="s">
        <v>3460</v>
      </c>
      <c r="H2002" t="s">
        <v>17</v>
      </c>
      <c r="I2002" t="s">
        <v>3457</v>
      </c>
    </row>
    <row r="2003" spans="1:9" hidden="1" x14ac:dyDescent="0.3">
      <c r="A2003" t="s">
        <v>3715</v>
      </c>
      <c r="B2003" t="s">
        <v>3634</v>
      </c>
      <c r="C2003" t="s">
        <v>3455</v>
      </c>
      <c r="D2003" t="s">
        <v>13</v>
      </c>
      <c r="E2003" t="s">
        <v>1189</v>
      </c>
      <c r="F2003" t="s">
        <v>3462</v>
      </c>
      <c r="H2003" t="s">
        <v>17</v>
      </c>
      <c r="I2003" t="s">
        <v>3463</v>
      </c>
    </row>
    <row r="2004" spans="1:9" hidden="1" x14ac:dyDescent="0.3">
      <c r="A2004" t="s">
        <v>3716</v>
      </c>
      <c r="B2004" t="s">
        <v>3634</v>
      </c>
      <c r="C2004" t="s">
        <v>3464</v>
      </c>
      <c r="D2004" t="s">
        <v>13</v>
      </c>
      <c r="E2004" t="s">
        <v>1193</v>
      </c>
      <c r="F2004" t="s">
        <v>3466</v>
      </c>
      <c r="H2004" t="s">
        <v>17</v>
      </c>
      <c r="I2004" t="s">
        <v>3467</v>
      </c>
    </row>
    <row r="2005" spans="1:9" hidden="1" x14ac:dyDescent="0.3">
      <c r="A2005" t="s">
        <v>3717</v>
      </c>
      <c r="B2005" t="s">
        <v>3634</v>
      </c>
      <c r="C2005" t="s">
        <v>3464</v>
      </c>
      <c r="D2005" t="s">
        <v>13</v>
      </c>
      <c r="E2005" t="s">
        <v>1197</v>
      </c>
      <c r="F2005" t="s">
        <v>3468</v>
      </c>
      <c r="H2005" t="s">
        <v>17</v>
      </c>
      <c r="I2005" t="s">
        <v>3467</v>
      </c>
    </row>
    <row r="2006" spans="1:9" hidden="1" x14ac:dyDescent="0.3">
      <c r="A2006" t="s">
        <v>3718</v>
      </c>
      <c r="B2006" t="s">
        <v>3634</v>
      </c>
      <c r="C2006" t="s">
        <v>3464</v>
      </c>
      <c r="D2006" t="s">
        <v>13</v>
      </c>
      <c r="E2006" t="s">
        <v>1201</v>
      </c>
      <c r="F2006" t="s">
        <v>3469</v>
      </c>
      <c r="H2006" t="s">
        <v>17</v>
      </c>
      <c r="I2006" t="s">
        <v>3467</v>
      </c>
    </row>
    <row r="2007" spans="1:9" hidden="1" x14ac:dyDescent="0.3">
      <c r="A2007" t="s">
        <v>3719</v>
      </c>
      <c r="B2007" t="s">
        <v>3634</v>
      </c>
      <c r="C2007" t="s">
        <v>3464</v>
      </c>
      <c r="D2007" t="s">
        <v>13</v>
      </c>
      <c r="E2007" t="s">
        <v>1205</v>
      </c>
      <c r="F2007" t="s">
        <v>3470</v>
      </c>
      <c r="H2007" t="s">
        <v>17</v>
      </c>
      <c r="I2007" t="s">
        <v>3467</v>
      </c>
    </row>
    <row r="2008" spans="1:9" hidden="1" x14ac:dyDescent="0.3">
      <c r="A2008" t="s">
        <v>3720</v>
      </c>
      <c r="B2008" t="s">
        <v>3634</v>
      </c>
      <c r="C2008" t="s">
        <v>3464</v>
      </c>
      <c r="D2008" t="s">
        <v>13</v>
      </c>
      <c r="E2008" t="s">
        <v>1209</v>
      </c>
      <c r="F2008" t="s">
        <v>3472</v>
      </c>
      <c r="H2008" t="s">
        <v>17</v>
      </c>
      <c r="I2008" t="s">
        <v>3467</v>
      </c>
    </row>
    <row r="2009" spans="1:9" hidden="1" x14ac:dyDescent="0.3">
      <c r="A2009" t="s">
        <v>3721</v>
      </c>
      <c r="B2009" t="s">
        <v>3634</v>
      </c>
      <c r="C2009" t="s">
        <v>3473</v>
      </c>
      <c r="D2009" t="s">
        <v>13</v>
      </c>
      <c r="E2009" t="s">
        <v>1213</v>
      </c>
      <c r="F2009" t="s">
        <v>3475</v>
      </c>
      <c r="H2009" t="s">
        <v>17</v>
      </c>
      <c r="I2009" t="s">
        <v>3457</v>
      </c>
    </row>
    <row r="2010" spans="1:9" hidden="1" x14ac:dyDescent="0.3">
      <c r="A2010" t="s">
        <v>3722</v>
      </c>
      <c r="B2010" t="s">
        <v>3634</v>
      </c>
      <c r="C2010" t="s">
        <v>3473</v>
      </c>
      <c r="D2010" t="s">
        <v>13</v>
      </c>
      <c r="E2010" t="s">
        <v>1219</v>
      </c>
      <c r="F2010" t="s">
        <v>3476</v>
      </c>
      <c r="H2010" t="s">
        <v>17</v>
      </c>
      <c r="I2010" t="s">
        <v>3457</v>
      </c>
    </row>
    <row r="2011" spans="1:9" hidden="1" x14ac:dyDescent="0.3">
      <c r="A2011" t="s">
        <v>3723</v>
      </c>
      <c r="B2011" t="s">
        <v>3634</v>
      </c>
      <c r="C2011" t="s">
        <v>3473</v>
      </c>
      <c r="D2011" t="s">
        <v>13</v>
      </c>
      <c r="E2011" t="s">
        <v>1224</v>
      </c>
      <c r="F2011" t="s">
        <v>3478</v>
      </c>
      <c r="H2011" t="s">
        <v>17</v>
      </c>
      <c r="I2011" t="s">
        <v>3457</v>
      </c>
    </row>
    <row r="2012" spans="1:9" hidden="1" x14ac:dyDescent="0.3">
      <c r="A2012" t="s">
        <v>3724</v>
      </c>
      <c r="B2012" t="s">
        <v>3634</v>
      </c>
      <c r="C2012" t="s">
        <v>3473</v>
      </c>
      <c r="D2012" t="s">
        <v>13</v>
      </c>
      <c r="E2012" t="s">
        <v>1228</v>
      </c>
      <c r="F2012" t="s">
        <v>3479</v>
      </c>
      <c r="H2012" t="s">
        <v>17</v>
      </c>
      <c r="I2012" t="s">
        <v>3457</v>
      </c>
    </row>
    <row r="2013" spans="1:9" hidden="1" x14ac:dyDescent="0.3">
      <c r="A2013" t="s">
        <v>3725</v>
      </c>
      <c r="B2013" t="s">
        <v>3634</v>
      </c>
      <c r="C2013" t="s">
        <v>3473</v>
      </c>
      <c r="D2013" t="s">
        <v>13</v>
      </c>
      <c r="E2013" t="s">
        <v>1232</v>
      </c>
      <c r="F2013" t="s">
        <v>3481</v>
      </c>
      <c r="H2013" t="s">
        <v>17</v>
      </c>
      <c r="I2013" t="s">
        <v>3457</v>
      </c>
    </row>
    <row r="2014" spans="1:9" hidden="1" x14ac:dyDescent="0.3">
      <c r="A2014" t="s">
        <v>3726</v>
      </c>
      <c r="B2014" t="s">
        <v>3634</v>
      </c>
      <c r="C2014" t="s">
        <v>3482</v>
      </c>
      <c r="D2014" t="s">
        <v>13</v>
      </c>
      <c r="E2014" t="s">
        <v>1236</v>
      </c>
      <c r="F2014" t="s">
        <v>3484</v>
      </c>
      <c r="H2014" t="s">
        <v>17</v>
      </c>
      <c r="I2014" t="s">
        <v>3485</v>
      </c>
    </row>
    <row r="2015" spans="1:9" hidden="1" x14ac:dyDescent="0.3">
      <c r="A2015" t="s">
        <v>3727</v>
      </c>
      <c r="B2015" t="s">
        <v>3634</v>
      </c>
      <c r="C2015" t="s">
        <v>3482</v>
      </c>
      <c r="D2015" t="s">
        <v>13</v>
      </c>
      <c r="E2015" t="s">
        <v>1240</v>
      </c>
      <c r="F2015" t="s">
        <v>3487</v>
      </c>
      <c r="H2015" t="s">
        <v>17</v>
      </c>
      <c r="I2015" t="s">
        <v>3485</v>
      </c>
    </row>
    <row r="2016" spans="1:9" hidden="1" x14ac:dyDescent="0.3">
      <c r="A2016" t="s">
        <v>3728</v>
      </c>
      <c r="B2016" t="s">
        <v>3634</v>
      </c>
      <c r="C2016" t="s">
        <v>3482</v>
      </c>
      <c r="D2016" t="s">
        <v>13</v>
      </c>
      <c r="E2016" t="s">
        <v>1244</v>
      </c>
      <c r="F2016" t="s">
        <v>3489</v>
      </c>
      <c r="H2016" t="s">
        <v>17</v>
      </c>
      <c r="I2016" t="s">
        <v>3485</v>
      </c>
    </row>
    <row r="2017" spans="1:9" hidden="1" x14ac:dyDescent="0.3">
      <c r="A2017" t="s">
        <v>3729</v>
      </c>
      <c r="B2017" t="s">
        <v>3634</v>
      </c>
      <c r="C2017" t="s">
        <v>3482</v>
      </c>
      <c r="D2017" t="s">
        <v>13</v>
      </c>
      <c r="E2017" t="s">
        <v>1248</v>
      </c>
      <c r="F2017" t="s">
        <v>3491</v>
      </c>
      <c r="H2017" t="s">
        <v>17</v>
      </c>
      <c r="I2017" t="s">
        <v>3485</v>
      </c>
    </row>
    <row r="2018" spans="1:9" hidden="1" x14ac:dyDescent="0.3">
      <c r="A2018" t="s">
        <v>3730</v>
      </c>
      <c r="B2018" t="s">
        <v>3634</v>
      </c>
      <c r="C2018" t="s">
        <v>3482</v>
      </c>
      <c r="D2018" t="s">
        <v>13</v>
      </c>
      <c r="E2018" t="s">
        <v>1252</v>
      </c>
      <c r="F2018" t="s">
        <v>3493</v>
      </c>
      <c r="H2018" t="s">
        <v>17</v>
      </c>
      <c r="I2018" t="s">
        <v>3485</v>
      </c>
    </row>
    <row r="2019" spans="1:9" hidden="1" x14ac:dyDescent="0.3">
      <c r="A2019" t="s">
        <v>3731</v>
      </c>
      <c r="B2019" t="s">
        <v>3634</v>
      </c>
      <c r="C2019" t="s">
        <v>3482</v>
      </c>
      <c r="D2019" t="s">
        <v>13</v>
      </c>
      <c r="E2019" t="s">
        <v>1256</v>
      </c>
      <c r="F2019" t="s">
        <v>3495</v>
      </c>
      <c r="H2019" t="s">
        <v>17</v>
      </c>
      <c r="I2019" t="s">
        <v>3485</v>
      </c>
    </row>
    <row r="2020" spans="1:9" hidden="1" x14ac:dyDescent="0.3">
      <c r="A2020" t="s">
        <v>3732</v>
      </c>
      <c r="B2020" t="s">
        <v>3634</v>
      </c>
      <c r="C2020" t="s">
        <v>3482</v>
      </c>
      <c r="D2020" t="s">
        <v>13</v>
      </c>
      <c r="E2020" t="s">
        <v>1261</v>
      </c>
      <c r="F2020" t="s">
        <v>3497</v>
      </c>
      <c r="H2020" t="s">
        <v>17</v>
      </c>
      <c r="I2020" t="s">
        <v>3485</v>
      </c>
    </row>
    <row r="2021" spans="1:9" hidden="1" x14ac:dyDescent="0.3">
      <c r="A2021" t="s">
        <v>3733</v>
      </c>
      <c r="B2021" t="s">
        <v>3634</v>
      </c>
      <c r="C2021" t="s">
        <v>3482</v>
      </c>
      <c r="D2021" t="s">
        <v>13</v>
      </c>
      <c r="E2021" t="s">
        <v>1265</v>
      </c>
      <c r="F2021" t="s">
        <v>3499</v>
      </c>
      <c r="H2021" t="s">
        <v>17</v>
      </c>
      <c r="I2021" t="s">
        <v>3485</v>
      </c>
    </row>
    <row r="2022" spans="1:9" hidden="1" x14ac:dyDescent="0.3">
      <c r="A2022" t="s">
        <v>3734</v>
      </c>
      <c r="B2022" t="s">
        <v>3634</v>
      </c>
      <c r="C2022" t="s">
        <v>3482</v>
      </c>
      <c r="D2022" t="s">
        <v>13</v>
      </c>
      <c r="E2022" t="s">
        <v>1270</v>
      </c>
      <c r="F2022" t="s">
        <v>3501</v>
      </c>
      <c r="H2022" t="s">
        <v>17</v>
      </c>
      <c r="I2022" t="s">
        <v>3485</v>
      </c>
    </row>
    <row r="2023" spans="1:9" hidden="1" x14ac:dyDescent="0.3">
      <c r="A2023" t="s">
        <v>3735</v>
      </c>
      <c r="B2023" t="s">
        <v>3634</v>
      </c>
      <c r="C2023" t="s">
        <v>3482</v>
      </c>
      <c r="D2023" t="s">
        <v>13</v>
      </c>
      <c r="E2023" t="s">
        <v>1276</v>
      </c>
      <c r="F2023" t="s">
        <v>3503</v>
      </c>
      <c r="H2023" t="s">
        <v>17</v>
      </c>
      <c r="I2023" t="s">
        <v>3485</v>
      </c>
    </row>
    <row r="2024" spans="1:9" hidden="1" x14ac:dyDescent="0.3">
      <c r="A2024" t="s">
        <v>3736</v>
      </c>
      <c r="B2024" t="s">
        <v>3634</v>
      </c>
      <c r="C2024" t="s">
        <v>3482</v>
      </c>
      <c r="D2024" t="s">
        <v>13</v>
      </c>
      <c r="E2024" t="s">
        <v>303</v>
      </c>
      <c r="F2024" t="s">
        <v>3505</v>
      </c>
      <c r="H2024" t="s">
        <v>17</v>
      </c>
      <c r="I2024" t="s">
        <v>3485</v>
      </c>
    </row>
    <row r="2025" spans="1:9" hidden="1" x14ac:dyDescent="0.3">
      <c r="A2025" t="s">
        <v>3737</v>
      </c>
      <c r="B2025" t="s">
        <v>3634</v>
      </c>
      <c r="C2025" t="s">
        <v>3482</v>
      </c>
      <c r="D2025" t="s">
        <v>13</v>
      </c>
      <c r="E2025" t="s">
        <v>308</v>
      </c>
      <c r="F2025" t="s">
        <v>3507</v>
      </c>
      <c r="H2025" t="s">
        <v>17</v>
      </c>
      <c r="I2025" t="s">
        <v>3485</v>
      </c>
    </row>
    <row r="2026" spans="1:9" hidden="1" x14ac:dyDescent="0.3">
      <c r="A2026" t="s">
        <v>3738</v>
      </c>
      <c r="B2026" t="s">
        <v>3634</v>
      </c>
      <c r="C2026" t="s">
        <v>3482</v>
      </c>
      <c r="D2026" t="s">
        <v>13</v>
      </c>
      <c r="E2026" t="s">
        <v>312</v>
      </c>
      <c r="F2026" t="s">
        <v>3509</v>
      </c>
      <c r="H2026" t="s">
        <v>17</v>
      </c>
      <c r="I2026" t="s">
        <v>3485</v>
      </c>
    </row>
    <row r="2027" spans="1:9" hidden="1" x14ac:dyDescent="0.3">
      <c r="A2027" t="s">
        <v>3739</v>
      </c>
      <c r="B2027" t="s">
        <v>3634</v>
      </c>
      <c r="C2027" t="s">
        <v>3482</v>
      </c>
      <c r="D2027" t="s">
        <v>13</v>
      </c>
      <c r="E2027" t="s">
        <v>316</v>
      </c>
      <c r="F2027" t="s">
        <v>3511</v>
      </c>
      <c r="H2027" t="s">
        <v>17</v>
      </c>
      <c r="I2027" t="s">
        <v>3485</v>
      </c>
    </row>
    <row r="2028" spans="1:9" hidden="1" x14ac:dyDescent="0.3">
      <c r="A2028" t="s">
        <v>3740</v>
      </c>
      <c r="B2028" t="s">
        <v>3634</v>
      </c>
      <c r="C2028" t="s">
        <v>3482</v>
      </c>
      <c r="D2028" t="s">
        <v>13</v>
      </c>
      <c r="E2028" t="s">
        <v>319</v>
      </c>
      <c r="F2028" t="s">
        <v>3513</v>
      </c>
      <c r="H2028" t="s">
        <v>17</v>
      </c>
      <c r="I2028" t="s">
        <v>3485</v>
      </c>
    </row>
    <row r="2029" spans="1:9" hidden="1" x14ac:dyDescent="0.3">
      <c r="A2029" t="s">
        <v>3741</v>
      </c>
      <c r="B2029" t="s">
        <v>3634</v>
      </c>
      <c r="C2029" t="s">
        <v>3514</v>
      </c>
      <c r="D2029" t="s">
        <v>13</v>
      </c>
      <c r="E2029" t="s">
        <v>323</v>
      </c>
      <c r="F2029" t="s">
        <v>3516</v>
      </c>
      <c r="H2029" t="s">
        <v>17</v>
      </c>
      <c r="I2029" t="s">
        <v>3517</v>
      </c>
    </row>
    <row r="2030" spans="1:9" hidden="1" x14ac:dyDescent="0.3">
      <c r="A2030" t="s">
        <v>3742</v>
      </c>
      <c r="B2030" t="s">
        <v>3634</v>
      </c>
      <c r="C2030" t="s">
        <v>3514</v>
      </c>
      <c r="D2030" t="s">
        <v>13</v>
      </c>
      <c r="E2030" t="s">
        <v>327</v>
      </c>
      <c r="F2030" t="s">
        <v>3519</v>
      </c>
      <c r="H2030" t="s">
        <v>17</v>
      </c>
      <c r="I2030" t="s">
        <v>3517</v>
      </c>
    </row>
    <row r="2031" spans="1:9" hidden="1" x14ac:dyDescent="0.3">
      <c r="A2031" t="s">
        <v>3743</v>
      </c>
      <c r="B2031" t="s">
        <v>3634</v>
      </c>
      <c r="C2031" t="s">
        <v>3514</v>
      </c>
      <c r="D2031" t="s">
        <v>13</v>
      </c>
      <c r="E2031" t="s">
        <v>332</v>
      </c>
      <c r="F2031" t="s">
        <v>3521</v>
      </c>
      <c r="H2031" t="s">
        <v>17</v>
      </c>
      <c r="I2031" t="s">
        <v>3517</v>
      </c>
    </row>
    <row r="2032" spans="1:9" hidden="1" x14ac:dyDescent="0.3">
      <c r="A2032" t="s">
        <v>3744</v>
      </c>
      <c r="B2032" t="s">
        <v>3634</v>
      </c>
      <c r="C2032" t="s">
        <v>3514</v>
      </c>
      <c r="D2032" t="s">
        <v>13</v>
      </c>
      <c r="E2032" t="s">
        <v>335</v>
      </c>
      <c r="F2032" t="s">
        <v>2821</v>
      </c>
      <c r="H2032" t="s">
        <v>17</v>
      </c>
      <c r="I2032" t="s">
        <v>3517</v>
      </c>
    </row>
    <row r="2033" spans="1:9" hidden="1" x14ac:dyDescent="0.3">
      <c r="A2033" t="s">
        <v>3745</v>
      </c>
      <c r="B2033" t="s">
        <v>3634</v>
      </c>
      <c r="C2033" t="s">
        <v>3514</v>
      </c>
      <c r="D2033" t="s">
        <v>13</v>
      </c>
      <c r="E2033" t="s">
        <v>338</v>
      </c>
      <c r="F2033" t="s">
        <v>2827</v>
      </c>
      <c r="H2033" t="s">
        <v>17</v>
      </c>
      <c r="I2033" t="s">
        <v>3517</v>
      </c>
    </row>
    <row r="2034" spans="1:9" hidden="1" x14ac:dyDescent="0.3">
      <c r="A2034" t="s">
        <v>3746</v>
      </c>
      <c r="B2034" t="s">
        <v>3634</v>
      </c>
      <c r="C2034" t="s">
        <v>3514</v>
      </c>
      <c r="D2034" t="s">
        <v>13</v>
      </c>
      <c r="E2034" t="s">
        <v>341</v>
      </c>
      <c r="F2034" t="s">
        <v>3525</v>
      </c>
      <c r="H2034" t="s">
        <v>17</v>
      </c>
      <c r="I2034" t="s">
        <v>3517</v>
      </c>
    </row>
    <row r="2035" spans="1:9" hidden="1" x14ac:dyDescent="0.3">
      <c r="A2035" t="s">
        <v>3747</v>
      </c>
      <c r="B2035" t="s">
        <v>3634</v>
      </c>
      <c r="C2035" t="s">
        <v>3514</v>
      </c>
      <c r="D2035" t="s">
        <v>13</v>
      </c>
      <c r="E2035" t="s">
        <v>344</v>
      </c>
      <c r="F2035" t="s">
        <v>3527</v>
      </c>
      <c r="H2035" t="s">
        <v>17</v>
      </c>
      <c r="I2035" t="s">
        <v>3517</v>
      </c>
    </row>
    <row r="2036" spans="1:9" hidden="1" x14ac:dyDescent="0.3">
      <c r="A2036" t="s">
        <v>3748</v>
      </c>
      <c r="B2036" t="s">
        <v>3634</v>
      </c>
      <c r="C2036" t="s">
        <v>3514</v>
      </c>
      <c r="D2036" t="s">
        <v>13</v>
      </c>
      <c r="E2036" t="s">
        <v>347</v>
      </c>
      <c r="F2036" t="s">
        <v>3529</v>
      </c>
      <c r="H2036" t="s">
        <v>17</v>
      </c>
      <c r="I2036" t="s">
        <v>3517</v>
      </c>
    </row>
    <row r="2037" spans="1:9" hidden="1" x14ac:dyDescent="0.3">
      <c r="A2037" t="s">
        <v>3749</v>
      </c>
      <c r="B2037" t="s">
        <v>3634</v>
      </c>
      <c r="C2037" t="s">
        <v>3514</v>
      </c>
      <c r="D2037" t="s">
        <v>13</v>
      </c>
      <c r="E2037" t="s">
        <v>353</v>
      </c>
      <c r="F2037" t="s">
        <v>3531</v>
      </c>
      <c r="H2037" t="s">
        <v>17</v>
      </c>
      <c r="I2037" t="s">
        <v>3517</v>
      </c>
    </row>
    <row r="2038" spans="1:9" hidden="1" x14ac:dyDescent="0.3">
      <c r="A2038" t="s">
        <v>3750</v>
      </c>
      <c r="B2038" t="s">
        <v>3634</v>
      </c>
      <c r="C2038" t="s">
        <v>3514</v>
      </c>
      <c r="D2038" t="s">
        <v>13</v>
      </c>
      <c r="E2038" t="s">
        <v>358</v>
      </c>
      <c r="F2038" t="s">
        <v>3533</v>
      </c>
      <c r="H2038" t="s">
        <v>17</v>
      </c>
      <c r="I2038" t="s">
        <v>3517</v>
      </c>
    </row>
    <row r="2039" spans="1:9" hidden="1" x14ac:dyDescent="0.3">
      <c r="A2039" t="s">
        <v>3751</v>
      </c>
      <c r="B2039" t="s">
        <v>3634</v>
      </c>
      <c r="C2039" t="s">
        <v>3514</v>
      </c>
      <c r="D2039" t="s">
        <v>13</v>
      </c>
      <c r="E2039" t="s">
        <v>361</v>
      </c>
      <c r="F2039" t="s">
        <v>3535</v>
      </c>
      <c r="H2039" t="s">
        <v>17</v>
      </c>
      <c r="I2039" t="s">
        <v>3517</v>
      </c>
    </row>
    <row r="2040" spans="1:9" hidden="1" x14ac:dyDescent="0.3">
      <c r="A2040" t="s">
        <v>3752</v>
      </c>
      <c r="B2040" t="s">
        <v>3634</v>
      </c>
      <c r="C2040" t="s">
        <v>3514</v>
      </c>
      <c r="D2040" t="s">
        <v>13</v>
      </c>
      <c r="E2040" t="s">
        <v>364</v>
      </c>
      <c r="F2040" t="s">
        <v>2823</v>
      </c>
      <c r="H2040" t="s">
        <v>17</v>
      </c>
      <c r="I2040" t="s">
        <v>3517</v>
      </c>
    </row>
    <row r="2041" spans="1:9" hidden="1" x14ac:dyDescent="0.3">
      <c r="A2041" t="s">
        <v>3753</v>
      </c>
      <c r="B2041" t="s">
        <v>3634</v>
      </c>
      <c r="C2041" t="s">
        <v>3514</v>
      </c>
      <c r="D2041" t="s">
        <v>13</v>
      </c>
      <c r="E2041" t="s">
        <v>367</v>
      </c>
      <c r="F2041" t="s">
        <v>3538</v>
      </c>
      <c r="H2041" t="s">
        <v>17</v>
      </c>
      <c r="I2041" t="s">
        <v>3517</v>
      </c>
    </row>
    <row r="2042" spans="1:9" hidden="1" x14ac:dyDescent="0.3">
      <c r="A2042" t="s">
        <v>3754</v>
      </c>
      <c r="B2042" t="s">
        <v>3634</v>
      </c>
      <c r="C2042" t="s">
        <v>3514</v>
      </c>
      <c r="D2042" t="s">
        <v>13</v>
      </c>
      <c r="E2042" t="s">
        <v>370</v>
      </c>
      <c r="F2042" t="s">
        <v>3470</v>
      </c>
      <c r="H2042" t="s">
        <v>17</v>
      </c>
      <c r="I2042" t="s">
        <v>3517</v>
      </c>
    </row>
    <row r="2043" spans="1:9" hidden="1" x14ac:dyDescent="0.3">
      <c r="A2043" t="s">
        <v>3755</v>
      </c>
      <c r="B2043" t="s">
        <v>3634</v>
      </c>
      <c r="C2043" t="s">
        <v>3514</v>
      </c>
      <c r="D2043" t="s">
        <v>13</v>
      </c>
      <c r="E2043" t="s">
        <v>373</v>
      </c>
      <c r="F2043" t="s">
        <v>3472</v>
      </c>
      <c r="H2043" t="s">
        <v>17</v>
      </c>
      <c r="I2043" t="s">
        <v>3517</v>
      </c>
    </row>
    <row r="2044" spans="1:9" hidden="1" x14ac:dyDescent="0.3">
      <c r="A2044" t="s">
        <v>3756</v>
      </c>
      <c r="B2044" t="s">
        <v>3634</v>
      </c>
      <c r="C2044" t="s">
        <v>3514</v>
      </c>
      <c r="D2044" t="s">
        <v>13</v>
      </c>
      <c r="E2044" t="s">
        <v>376</v>
      </c>
      <c r="F2044" t="s">
        <v>3542</v>
      </c>
      <c r="H2044" t="s">
        <v>17</v>
      </c>
      <c r="I2044" t="s">
        <v>3517</v>
      </c>
    </row>
    <row r="2045" spans="1:9" hidden="1" x14ac:dyDescent="0.3">
      <c r="A2045" t="s">
        <v>3757</v>
      </c>
      <c r="B2045" t="s">
        <v>3634</v>
      </c>
      <c r="C2045" t="s">
        <v>3514</v>
      </c>
      <c r="D2045" t="s">
        <v>13</v>
      </c>
      <c r="E2045" t="s">
        <v>1675</v>
      </c>
      <c r="F2045" t="s">
        <v>3544</v>
      </c>
      <c r="H2045" t="s">
        <v>17</v>
      </c>
      <c r="I2045" t="s">
        <v>548</v>
      </c>
    </row>
    <row r="2046" spans="1:9" hidden="1" x14ac:dyDescent="0.3">
      <c r="A2046" t="s">
        <v>3758</v>
      </c>
      <c r="B2046" t="s">
        <v>3634</v>
      </c>
      <c r="C2046" t="s">
        <v>3545</v>
      </c>
      <c r="D2046" t="s">
        <v>13</v>
      </c>
      <c r="E2046" t="s">
        <v>1678</v>
      </c>
      <c r="F2046" t="s">
        <v>3547</v>
      </c>
      <c r="H2046" t="s">
        <v>17</v>
      </c>
      <c r="I2046" t="s">
        <v>3457</v>
      </c>
    </row>
    <row r="2047" spans="1:9" hidden="1" x14ac:dyDescent="0.3">
      <c r="A2047" t="s">
        <v>3759</v>
      </c>
      <c r="B2047" t="s">
        <v>3634</v>
      </c>
      <c r="C2047" t="s">
        <v>3545</v>
      </c>
      <c r="D2047" t="s">
        <v>13</v>
      </c>
      <c r="E2047" t="s">
        <v>1681</v>
      </c>
      <c r="F2047" t="s">
        <v>3548</v>
      </c>
      <c r="H2047" t="s">
        <v>17</v>
      </c>
      <c r="I2047" t="s">
        <v>3457</v>
      </c>
    </row>
    <row r="2048" spans="1:9" hidden="1" x14ac:dyDescent="0.3">
      <c r="A2048" t="s">
        <v>3760</v>
      </c>
      <c r="B2048" t="s">
        <v>3634</v>
      </c>
      <c r="C2048" t="s">
        <v>3545</v>
      </c>
      <c r="D2048" t="s">
        <v>13</v>
      </c>
      <c r="E2048" t="s">
        <v>1683</v>
      </c>
      <c r="F2048" t="s">
        <v>3549</v>
      </c>
      <c r="H2048" t="s">
        <v>17</v>
      </c>
      <c r="I2048" t="s">
        <v>3457</v>
      </c>
    </row>
    <row r="2049" spans="1:9" hidden="1" x14ac:dyDescent="0.3">
      <c r="A2049" t="s">
        <v>3761</v>
      </c>
      <c r="B2049" t="s">
        <v>3634</v>
      </c>
      <c r="C2049" t="s">
        <v>3545</v>
      </c>
      <c r="D2049" t="s">
        <v>13</v>
      </c>
      <c r="E2049" t="s">
        <v>1685</v>
      </c>
      <c r="F2049" t="s">
        <v>3550</v>
      </c>
      <c r="H2049" t="s">
        <v>17</v>
      </c>
      <c r="I2049" t="s">
        <v>3457</v>
      </c>
    </row>
    <row r="2050" spans="1:9" hidden="1" x14ac:dyDescent="0.3">
      <c r="A2050" t="s">
        <v>3762</v>
      </c>
      <c r="B2050" t="s">
        <v>3634</v>
      </c>
      <c r="C2050" t="s">
        <v>3545</v>
      </c>
      <c r="D2050" t="s">
        <v>13</v>
      </c>
      <c r="E2050" t="s">
        <v>2859</v>
      </c>
      <c r="F2050" t="s">
        <v>3551</v>
      </c>
      <c r="H2050" t="s">
        <v>17</v>
      </c>
      <c r="I2050" t="s">
        <v>3457</v>
      </c>
    </row>
    <row r="2051" spans="1:9" hidden="1" x14ac:dyDescent="0.3">
      <c r="A2051" t="s">
        <v>3763</v>
      </c>
      <c r="B2051" t="s">
        <v>3634</v>
      </c>
      <c r="C2051" t="s">
        <v>3545</v>
      </c>
      <c r="D2051" t="s">
        <v>13</v>
      </c>
      <c r="E2051" t="s">
        <v>2413</v>
      </c>
      <c r="F2051" t="s">
        <v>3552</v>
      </c>
      <c r="H2051" t="s">
        <v>17</v>
      </c>
      <c r="I2051" t="s">
        <v>3457</v>
      </c>
    </row>
    <row r="2052" spans="1:9" hidden="1" x14ac:dyDescent="0.3">
      <c r="A2052" t="s">
        <v>3764</v>
      </c>
      <c r="B2052" t="s">
        <v>3634</v>
      </c>
      <c r="C2052" t="s">
        <v>3545</v>
      </c>
      <c r="D2052" t="s">
        <v>13</v>
      </c>
      <c r="E2052" t="s">
        <v>2417</v>
      </c>
      <c r="F2052" t="s">
        <v>3553</v>
      </c>
      <c r="H2052" t="s">
        <v>17</v>
      </c>
      <c r="I2052" t="s">
        <v>3457</v>
      </c>
    </row>
    <row r="2053" spans="1:9" hidden="1" x14ac:dyDescent="0.3">
      <c r="A2053" t="s">
        <v>3765</v>
      </c>
      <c r="B2053" t="s">
        <v>3634</v>
      </c>
      <c r="C2053" t="s">
        <v>3545</v>
      </c>
      <c r="D2053" t="s">
        <v>13</v>
      </c>
      <c r="E2053" t="s">
        <v>2421</v>
      </c>
      <c r="F2053" t="s">
        <v>3554</v>
      </c>
      <c r="H2053" t="s">
        <v>17</v>
      </c>
      <c r="I2053" t="s">
        <v>3457</v>
      </c>
    </row>
    <row r="2054" spans="1:9" hidden="1" x14ac:dyDescent="0.3">
      <c r="A2054" t="s">
        <v>3766</v>
      </c>
      <c r="B2054" t="s">
        <v>3634</v>
      </c>
      <c r="C2054" t="s">
        <v>3545</v>
      </c>
      <c r="D2054" t="s">
        <v>13</v>
      </c>
      <c r="E2054" t="s">
        <v>1690</v>
      </c>
      <c r="F2054" t="s">
        <v>3555</v>
      </c>
      <c r="H2054" t="s">
        <v>17</v>
      </c>
      <c r="I2054" t="s">
        <v>2794</v>
      </c>
    </row>
    <row r="2055" spans="1:9" hidden="1" x14ac:dyDescent="0.3">
      <c r="A2055" t="s">
        <v>3767</v>
      </c>
      <c r="B2055" t="s">
        <v>3634</v>
      </c>
      <c r="C2055" t="s">
        <v>3545</v>
      </c>
      <c r="D2055" t="s">
        <v>13</v>
      </c>
      <c r="E2055" t="s">
        <v>2428</v>
      </c>
      <c r="F2055" t="s">
        <v>3556</v>
      </c>
      <c r="H2055" t="s">
        <v>17</v>
      </c>
      <c r="I2055" t="s">
        <v>3557</v>
      </c>
    </row>
    <row r="2056" spans="1:9" hidden="1" x14ac:dyDescent="0.3">
      <c r="A2056" t="s">
        <v>3768</v>
      </c>
      <c r="B2056" t="s">
        <v>3634</v>
      </c>
      <c r="C2056" t="s">
        <v>3545</v>
      </c>
      <c r="D2056" t="s">
        <v>13</v>
      </c>
      <c r="E2056" t="s">
        <v>2431</v>
      </c>
      <c r="F2056" t="s">
        <v>3558</v>
      </c>
      <c r="H2056" t="s">
        <v>17</v>
      </c>
      <c r="I2056" t="s">
        <v>3557</v>
      </c>
    </row>
    <row r="2057" spans="1:9" hidden="1" x14ac:dyDescent="0.3">
      <c r="A2057" t="s">
        <v>3771</v>
      </c>
      <c r="B2057" t="s">
        <v>3634</v>
      </c>
      <c r="C2057" t="s">
        <v>3545</v>
      </c>
      <c r="D2057" t="s">
        <v>13</v>
      </c>
      <c r="E2057" t="s">
        <v>1693</v>
      </c>
      <c r="F2057" t="s">
        <v>3559</v>
      </c>
      <c r="H2057" t="s">
        <v>17</v>
      </c>
      <c r="I2057" t="s">
        <v>3769</v>
      </c>
    </row>
    <row r="2058" spans="1:9" hidden="1" x14ac:dyDescent="0.3">
      <c r="A2058" t="s">
        <v>3774</v>
      </c>
      <c r="B2058" t="s">
        <v>3634</v>
      </c>
      <c r="C2058" t="s">
        <v>3545</v>
      </c>
      <c r="D2058" t="s">
        <v>13</v>
      </c>
      <c r="E2058" t="s">
        <v>3770</v>
      </c>
      <c r="F2058" t="s">
        <v>3561</v>
      </c>
      <c r="H2058" t="s">
        <v>17</v>
      </c>
      <c r="I2058" t="s">
        <v>3772</v>
      </c>
    </row>
    <row r="2059" spans="1:9" hidden="1" x14ac:dyDescent="0.3">
      <c r="A2059" t="s">
        <v>3777</v>
      </c>
      <c r="B2059" t="s">
        <v>3634</v>
      </c>
      <c r="C2059" t="s">
        <v>3545</v>
      </c>
      <c r="D2059" t="s">
        <v>13</v>
      </c>
      <c r="E2059" t="s">
        <v>3773</v>
      </c>
      <c r="F2059" t="s">
        <v>3563</v>
      </c>
      <c r="H2059" t="s">
        <v>17</v>
      </c>
      <c r="I2059" t="s">
        <v>3775</v>
      </c>
    </row>
    <row r="2060" spans="1:9" hidden="1" x14ac:dyDescent="0.3">
      <c r="A2060" t="s">
        <v>3780</v>
      </c>
      <c r="B2060" t="s">
        <v>3634</v>
      </c>
      <c r="C2060" t="s">
        <v>3545</v>
      </c>
      <c r="D2060" t="s">
        <v>13</v>
      </c>
      <c r="E2060" t="s">
        <v>3776</v>
      </c>
      <c r="F2060" t="s">
        <v>3566</v>
      </c>
      <c r="H2060" t="s">
        <v>17</v>
      </c>
      <c r="I2060" t="s">
        <v>3778</v>
      </c>
    </row>
    <row r="2061" spans="1:9" hidden="1" x14ac:dyDescent="0.3">
      <c r="A2061" t="s">
        <v>3783</v>
      </c>
      <c r="B2061" t="s">
        <v>3634</v>
      </c>
      <c r="C2061" t="s">
        <v>3545</v>
      </c>
      <c r="D2061" t="s">
        <v>13</v>
      </c>
      <c r="E2061" t="s">
        <v>3779</v>
      </c>
      <c r="F2061" t="s">
        <v>3569</v>
      </c>
      <c r="H2061" t="s">
        <v>17</v>
      </c>
      <c r="I2061" t="s">
        <v>3781</v>
      </c>
    </row>
    <row r="2062" spans="1:9" hidden="1" x14ac:dyDescent="0.3">
      <c r="A2062" t="s">
        <v>3785</v>
      </c>
      <c r="B2062" t="s">
        <v>3634</v>
      </c>
      <c r="C2062" t="s">
        <v>3571</v>
      </c>
      <c r="D2062" t="s">
        <v>13</v>
      </c>
      <c r="E2062" t="s">
        <v>3782</v>
      </c>
      <c r="F2062" t="s">
        <v>3573</v>
      </c>
      <c r="H2062" t="s">
        <v>17</v>
      </c>
      <c r="I2062" t="s">
        <v>3781</v>
      </c>
    </row>
    <row r="2063" spans="1:9" hidden="1" x14ac:dyDescent="0.3">
      <c r="A2063" t="s">
        <v>3787</v>
      </c>
      <c r="B2063" t="s">
        <v>3634</v>
      </c>
      <c r="C2063" t="s">
        <v>3571</v>
      </c>
      <c r="D2063" t="s">
        <v>13</v>
      </c>
      <c r="E2063" t="s">
        <v>3784</v>
      </c>
      <c r="F2063" t="s">
        <v>3575</v>
      </c>
      <c r="H2063" t="s">
        <v>17</v>
      </c>
      <c r="I2063" t="s">
        <v>3781</v>
      </c>
    </row>
    <row r="2064" spans="1:9" hidden="1" x14ac:dyDescent="0.3">
      <c r="A2064" t="s">
        <v>3790</v>
      </c>
      <c r="B2064" t="s">
        <v>3634</v>
      </c>
      <c r="C2064" t="s">
        <v>3571</v>
      </c>
      <c r="D2064" t="s">
        <v>13</v>
      </c>
      <c r="E2064" t="s">
        <v>3786</v>
      </c>
      <c r="F2064" t="s">
        <v>3576</v>
      </c>
      <c r="H2064" t="s">
        <v>17</v>
      </c>
      <c r="I2064" t="s">
        <v>3788</v>
      </c>
    </row>
    <row r="2065" spans="1:9" hidden="1" x14ac:dyDescent="0.3">
      <c r="A2065" t="s">
        <v>3791</v>
      </c>
      <c r="B2065" t="s">
        <v>3634</v>
      </c>
      <c r="C2065" t="s">
        <v>3571</v>
      </c>
      <c r="D2065" t="s">
        <v>13</v>
      </c>
      <c r="E2065" t="s">
        <v>3789</v>
      </c>
      <c r="F2065" t="s">
        <v>3578</v>
      </c>
      <c r="H2065" t="s">
        <v>17</v>
      </c>
      <c r="I2065" t="s">
        <v>3781</v>
      </c>
    </row>
    <row r="2066" spans="1:9" hidden="1" x14ac:dyDescent="0.3">
      <c r="A2066" t="s">
        <v>3792</v>
      </c>
      <c r="B2066" t="s">
        <v>3634</v>
      </c>
      <c r="C2066" t="s">
        <v>3571</v>
      </c>
      <c r="D2066" t="s">
        <v>13</v>
      </c>
      <c r="E2066" t="s">
        <v>457</v>
      </c>
      <c r="F2066" t="s">
        <v>2926</v>
      </c>
      <c r="H2066" t="s">
        <v>17</v>
      </c>
      <c r="I2066" t="s">
        <v>3579</v>
      </c>
    </row>
    <row r="2067" spans="1:9" hidden="1" x14ac:dyDescent="0.3">
      <c r="A2067" t="s">
        <v>3793</v>
      </c>
      <c r="B2067" t="s">
        <v>3634</v>
      </c>
      <c r="C2067" t="s">
        <v>3571</v>
      </c>
      <c r="D2067" t="s">
        <v>13</v>
      </c>
      <c r="E2067" t="s">
        <v>1370</v>
      </c>
      <c r="F2067" t="s">
        <v>3580</v>
      </c>
      <c r="H2067" t="s">
        <v>17</v>
      </c>
      <c r="I2067" t="s">
        <v>3781</v>
      </c>
    </row>
    <row r="2068" spans="1:9" hidden="1" x14ac:dyDescent="0.3">
      <c r="A2068" t="s">
        <v>3795</v>
      </c>
      <c r="B2068" t="s">
        <v>3634</v>
      </c>
      <c r="C2068" t="s">
        <v>3571</v>
      </c>
      <c r="D2068" t="s">
        <v>13</v>
      </c>
      <c r="E2068" t="s">
        <v>468</v>
      </c>
      <c r="F2068" t="s">
        <v>3581</v>
      </c>
      <c r="H2068" t="s">
        <v>17</v>
      </c>
      <c r="I2068" t="s">
        <v>3582</v>
      </c>
    </row>
    <row r="2069" spans="1:9" hidden="1" x14ac:dyDescent="0.3">
      <c r="A2069" t="s">
        <v>3798</v>
      </c>
      <c r="B2069" t="s">
        <v>3634</v>
      </c>
      <c r="C2069" t="s">
        <v>3571</v>
      </c>
      <c r="D2069" t="s">
        <v>13</v>
      </c>
      <c r="E2069" t="s">
        <v>3794</v>
      </c>
      <c r="F2069" t="s">
        <v>3584</v>
      </c>
      <c r="H2069" t="s">
        <v>17</v>
      </c>
      <c r="I2069" t="s">
        <v>3796</v>
      </c>
    </row>
    <row r="2070" spans="1:9" hidden="1" x14ac:dyDescent="0.3">
      <c r="A2070" t="s">
        <v>3799</v>
      </c>
      <c r="B2070" t="s">
        <v>3634</v>
      </c>
      <c r="C2070" t="s">
        <v>3571</v>
      </c>
      <c r="D2070" t="s">
        <v>13</v>
      </c>
      <c r="E2070" t="s">
        <v>3797</v>
      </c>
      <c r="F2070" t="s">
        <v>3587</v>
      </c>
      <c r="H2070" t="s">
        <v>17</v>
      </c>
    </row>
    <row r="2071" spans="1:9" hidden="1" x14ac:dyDescent="0.3">
      <c r="A2071" t="s">
        <v>3801</v>
      </c>
      <c r="B2071" t="s">
        <v>3634</v>
      </c>
      <c r="C2071" t="s">
        <v>3571</v>
      </c>
      <c r="D2071" t="s">
        <v>13</v>
      </c>
      <c r="E2071" t="s">
        <v>485</v>
      </c>
      <c r="F2071" t="s">
        <v>3588</v>
      </c>
      <c r="H2071" t="s">
        <v>17</v>
      </c>
      <c r="I2071" t="s">
        <v>3589</v>
      </c>
    </row>
    <row r="2072" spans="1:9" hidden="1" x14ac:dyDescent="0.3">
      <c r="A2072" t="s">
        <v>3803</v>
      </c>
      <c r="B2072" t="s">
        <v>3634</v>
      </c>
      <c r="C2072" t="s">
        <v>3571</v>
      </c>
      <c r="D2072" t="s">
        <v>13</v>
      </c>
      <c r="E2072" t="s">
        <v>3800</v>
      </c>
      <c r="F2072" t="s">
        <v>3590</v>
      </c>
      <c r="H2072" t="s">
        <v>17</v>
      </c>
      <c r="I2072" t="s">
        <v>3796</v>
      </c>
    </row>
    <row r="2073" spans="1:9" hidden="1" x14ac:dyDescent="0.3">
      <c r="A2073" t="s">
        <v>3804</v>
      </c>
      <c r="B2073" t="s">
        <v>3634</v>
      </c>
      <c r="C2073" t="s">
        <v>3571</v>
      </c>
      <c r="D2073" t="s">
        <v>13</v>
      </c>
      <c r="E2073" t="s">
        <v>3802</v>
      </c>
      <c r="F2073" t="s">
        <v>3587</v>
      </c>
      <c r="H2073" t="s">
        <v>17</v>
      </c>
    </row>
    <row r="2074" spans="1:9" hidden="1" x14ac:dyDescent="0.3">
      <c r="A2074" t="s">
        <v>3806</v>
      </c>
      <c r="B2074" t="s">
        <v>3634</v>
      </c>
      <c r="C2074" t="s">
        <v>3571</v>
      </c>
      <c r="D2074" t="s">
        <v>13</v>
      </c>
      <c r="E2074" t="s">
        <v>504</v>
      </c>
      <c r="F2074" t="s">
        <v>3591</v>
      </c>
      <c r="H2074" t="s">
        <v>17</v>
      </c>
      <c r="I2074" t="s">
        <v>3592</v>
      </c>
    </row>
    <row r="2075" spans="1:9" hidden="1" x14ac:dyDescent="0.3">
      <c r="A2075" t="s">
        <v>3808</v>
      </c>
      <c r="B2075" t="s">
        <v>3634</v>
      </c>
      <c r="C2075" t="s">
        <v>3571</v>
      </c>
      <c r="D2075" t="s">
        <v>13</v>
      </c>
      <c r="E2075" t="s">
        <v>3805</v>
      </c>
      <c r="F2075" t="s">
        <v>3594</v>
      </c>
      <c r="H2075" t="s">
        <v>17</v>
      </c>
      <c r="I2075" t="s">
        <v>3796</v>
      </c>
    </row>
    <row r="2076" spans="1:9" hidden="1" x14ac:dyDescent="0.3">
      <c r="A2076" t="s">
        <v>3809</v>
      </c>
      <c r="B2076" t="s">
        <v>3634</v>
      </c>
      <c r="C2076" t="s">
        <v>3571</v>
      </c>
      <c r="D2076" t="s">
        <v>13</v>
      </c>
      <c r="E2076" t="s">
        <v>3807</v>
      </c>
      <c r="F2076" t="s">
        <v>3587</v>
      </c>
      <c r="H2076" t="s">
        <v>17</v>
      </c>
    </row>
    <row r="2077" spans="1:9" hidden="1" x14ac:dyDescent="0.3">
      <c r="A2077" t="s">
        <v>3811</v>
      </c>
      <c r="B2077" t="s">
        <v>3634</v>
      </c>
      <c r="C2077" t="s">
        <v>3571</v>
      </c>
      <c r="D2077" t="s">
        <v>13</v>
      </c>
      <c r="E2077" t="s">
        <v>521</v>
      </c>
      <c r="F2077" t="s">
        <v>3596</v>
      </c>
      <c r="H2077" t="s">
        <v>17</v>
      </c>
      <c r="I2077" t="s">
        <v>3582</v>
      </c>
    </row>
    <row r="2078" spans="1:9" hidden="1" x14ac:dyDescent="0.3">
      <c r="A2078" t="s">
        <v>3813</v>
      </c>
      <c r="B2078" t="s">
        <v>3634</v>
      </c>
      <c r="C2078" t="s">
        <v>3571</v>
      </c>
      <c r="D2078" t="s">
        <v>13</v>
      </c>
      <c r="E2078" t="s">
        <v>3810</v>
      </c>
      <c r="F2078" t="s">
        <v>3597</v>
      </c>
      <c r="H2078" t="s">
        <v>17</v>
      </c>
      <c r="I2078" t="s">
        <v>3796</v>
      </c>
    </row>
    <row r="2079" spans="1:9" hidden="1" x14ac:dyDescent="0.3">
      <c r="A2079" t="s">
        <v>3814</v>
      </c>
      <c r="B2079" t="s">
        <v>3634</v>
      </c>
      <c r="C2079" t="s">
        <v>3571</v>
      </c>
      <c r="D2079" t="s">
        <v>13</v>
      </c>
      <c r="E2079" t="s">
        <v>3812</v>
      </c>
      <c r="F2079" t="s">
        <v>3587</v>
      </c>
      <c r="H2079" t="s">
        <v>17</v>
      </c>
    </row>
    <row r="2080" spans="1:9" hidden="1" x14ac:dyDescent="0.3">
      <c r="A2080" t="s">
        <v>3816</v>
      </c>
      <c r="B2080" t="s">
        <v>3634</v>
      </c>
      <c r="C2080" t="s">
        <v>3571</v>
      </c>
      <c r="D2080" t="s">
        <v>13</v>
      </c>
      <c r="E2080" t="s">
        <v>540</v>
      </c>
      <c r="F2080" t="s">
        <v>3598</v>
      </c>
      <c r="H2080" t="s">
        <v>17</v>
      </c>
      <c r="I2080" t="s">
        <v>3599</v>
      </c>
    </row>
    <row r="2081" spans="1:9" hidden="1" x14ac:dyDescent="0.3">
      <c r="A2081" t="s">
        <v>3817</v>
      </c>
      <c r="B2081" t="s">
        <v>3634</v>
      </c>
      <c r="C2081" t="s">
        <v>3571</v>
      </c>
      <c r="D2081" t="s">
        <v>13</v>
      </c>
      <c r="E2081" t="s">
        <v>3815</v>
      </c>
      <c r="F2081" t="s">
        <v>3600</v>
      </c>
      <c r="H2081" t="s">
        <v>17</v>
      </c>
      <c r="I2081" t="s">
        <v>3796</v>
      </c>
    </row>
    <row r="2082" spans="1:9" hidden="1" x14ac:dyDescent="0.3">
      <c r="A2082" t="s">
        <v>3818</v>
      </c>
      <c r="B2082" t="s">
        <v>3634</v>
      </c>
      <c r="C2082" t="s">
        <v>3571</v>
      </c>
      <c r="D2082" t="s">
        <v>13</v>
      </c>
      <c r="E2082" t="s">
        <v>555</v>
      </c>
      <c r="F2082" t="s">
        <v>3587</v>
      </c>
      <c r="H2082" t="s">
        <v>17</v>
      </c>
    </row>
    <row r="2083" spans="1:9" hidden="1" x14ac:dyDescent="0.3">
      <c r="A2083" t="s">
        <v>3819</v>
      </c>
      <c r="B2083" t="s">
        <v>3634</v>
      </c>
      <c r="C2083" t="s">
        <v>3601</v>
      </c>
      <c r="D2083" t="s">
        <v>13</v>
      </c>
      <c r="E2083" t="s">
        <v>559</v>
      </c>
      <c r="F2083" t="s">
        <v>3602</v>
      </c>
      <c r="H2083" t="s">
        <v>17</v>
      </c>
      <c r="I2083" t="s">
        <v>3603</v>
      </c>
    </row>
    <row r="2084" spans="1:9" hidden="1" x14ac:dyDescent="0.3">
      <c r="A2084" t="s">
        <v>3820</v>
      </c>
      <c r="B2084" t="s">
        <v>3634</v>
      </c>
      <c r="C2084" t="s">
        <v>3601</v>
      </c>
      <c r="D2084" t="s">
        <v>13</v>
      </c>
      <c r="E2084" t="s">
        <v>1422</v>
      </c>
      <c r="F2084" t="s">
        <v>3604</v>
      </c>
      <c r="H2084" t="s">
        <v>17</v>
      </c>
      <c r="I2084" t="s">
        <v>3603</v>
      </c>
    </row>
    <row r="2085" spans="1:9" hidden="1" x14ac:dyDescent="0.3">
      <c r="A2085" t="s">
        <v>3821</v>
      </c>
      <c r="B2085" t="s">
        <v>3634</v>
      </c>
      <c r="C2085" t="s">
        <v>3601</v>
      </c>
      <c r="D2085" t="s">
        <v>13</v>
      </c>
      <c r="E2085" t="s">
        <v>2539</v>
      </c>
      <c r="F2085" t="s">
        <v>3605</v>
      </c>
      <c r="H2085" t="s">
        <v>17</v>
      </c>
      <c r="I2085" t="s">
        <v>3603</v>
      </c>
    </row>
    <row r="2086" spans="1:9" hidden="1" x14ac:dyDescent="0.3">
      <c r="A2086" t="s">
        <v>3822</v>
      </c>
      <c r="B2086" t="s">
        <v>3634</v>
      </c>
      <c r="C2086" t="s">
        <v>3601</v>
      </c>
      <c r="D2086" t="s">
        <v>13</v>
      </c>
      <c r="E2086" t="s">
        <v>569</v>
      </c>
      <c r="F2086" t="s">
        <v>3606</v>
      </c>
      <c r="H2086" t="s">
        <v>17</v>
      </c>
      <c r="I2086" t="s">
        <v>3603</v>
      </c>
    </row>
    <row r="2087" spans="1:9" hidden="1" x14ac:dyDescent="0.3">
      <c r="A2087" t="s">
        <v>3823</v>
      </c>
      <c r="B2087" t="s">
        <v>3634</v>
      </c>
      <c r="C2087" t="s">
        <v>3601</v>
      </c>
      <c r="D2087" t="s">
        <v>13</v>
      </c>
      <c r="E2087" t="s">
        <v>574</v>
      </c>
      <c r="F2087" t="s">
        <v>3607</v>
      </c>
      <c r="H2087" t="s">
        <v>17</v>
      </c>
      <c r="I2087" t="s">
        <v>3608</v>
      </c>
    </row>
    <row r="2088" spans="1:9" hidden="1" x14ac:dyDescent="0.3">
      <c r="A2088" t="s">
        <v>3824</v>
      </c>
      <c r="B2088" t="s">
        <v>3634</v>
      </c>
      <c r="C2088" t="s">
        <v>3601</v>
      </c>
      <c r="D2088" t="s">
        <v>13</v>
      </c>
      <c r="E2088" t="s">
        <v>579</v>
      </c>
      <c r="F2088" t="s">
        <v>3609</v>
      </c>
      <c r="H2088" t="s">
        <v>17</v>
      </c>
      <c r="I2088" t="s">
        <v>3610</v>
      </c>
    </row>
    <row r="2089" spans="1:9" hidden="1" x14ac:dyDescent="0.3">
      <c r="A2089" t="s">
        <v>3826</v>
      </c>
      <c r="B2089" t="s">
        <v>3634</v>
      </c>
      <c r="C2089" t="s">
        <v>3601</v>
      </c>
      <c r="D2089" t="s">
        <v>13</v>
      </c>
      <c r="E2089" t="s">
        <v>1440</v>
      </c>
      <c r="F2089" t="s">
        <v>1449</v>
      </c>
      <c r="H2089" t="s">
        <v>17</v>
      </c>
      <c r="I2089" t="s">
        <v>3825</v>
      </c>
    </row>
    <row r="2090" spans="1:9" hidden="1" x14ac:dyDescent="0.3">
      <c r="A2090" t="s">
        <v>3828</v>
      </c>
      <c r="B2090" t="s">
        <v>3634</v>
      </c>
      <c r="C2090" t="s">
        <v>3601</v>
      </c>
      <c r="D2090" t="s">
        <v>13</v>
      </c>
      <c r="E2090" t="s">
        <v>1443</v>
      </c>
      <c r="F2090" t="s">
        <v>3612</v>
      </c>
      <c r="H2090" t="s">
        <v>17</v>
      </c>
      <c r="I2090" t="s">
        <v>3613</v>
      </c>
    </row>
    <row r="2091" spans="1:9" hidden="1" x14ac:dyDescent="0.3">
      <c r="A2091" t="s">
        <v>3830</v>
      </c>
      <c r="B2091" t="s">
        <v>3634</v>
      </c>
      <c r="C2091" t="s">
        <v>3601</v>
      </c>
      <c r="D2091" t="s">
        <v>13</v>
      </c>
      <c r="E2091" t="s">
        <v>3827</v>
      </c>
      <c r="F2091" t="s">
        <v>3614</v>
      </c>
      <c r="H2091" t="s">
        <v>17</v>
      </c>
      <c r="I2091" t="s">
        <v>3615</v>
      </c>
    </row>
    <row r="2092" spans="1:9" hidden="1" x14ac:dyDescent="0.3">
      <c r="A2092" t="s">
        <v>3832</v>
      </c>
      <c r="B2092" t="s">
        <v>3634</v>
      </c>
      <c r="C2092" t="s">
        <v>3601</v>
      </c>
      <c r="D2092" t="s">
        <v>13</v>
      </c>
      <c r="E2092" t="s">
        <v>3829</v>
      </c>
      <c r="F2092" t="s">
        <v>3616</v>
      </c>
      <c r="H2092" t="s">
        <v>17</v>
      </c>
      <c r="I2092" t="s">
        <v>3617</v>
      </c>
    </row>
    <row r="2093" spans="1:9" hidden="1" x14ac:dyDescent="0.3">
      <c r="A2093" t="s">
        <v>3834</v>
      </c>
      <c r="B2093" t="s">
        <v>3634</v>
      </c>
      <c r="C2093" t="s">
        <v>3601</v>
      </c>
      <c r="D2093" t="s">
        <v>13</v>
      </c>
      <c r="E2093" t="s">
        <v>3831</v>
      </c>
      <c r="F2093" t="s">
        <v>2931</v>
      </c>
      <c r="H2093" t="s">
        <v>17</v>
      </c>
      <c r="I2093" t="s">
        <v>414</v>
      </c>
    </row>
    <row r="2094" spans="1:9" hidden="1" x14ac:dyDescent="0.3">
      <c r="A2094" t="s">
        <v>3835</v>
      </c>
      <c r="B2094" t="s">
        <v>3634</v>
      </c>
      <c r="C2094" t="s">
        <v>3601</v>
      </c>
      <c r="D2094" t="s">
        <v>13</v>
      </c>
      <c r="E2094" t="s">
        <v>3833</v>
      </c>
      <c r="F2094" t="s">
        <v>3350</v>
      </c>
      <c r="H2094" t="s">
        <v>17</v>
      </c>
      <c r="I2094" t="s">
        <v>3618</v>
      </c>
    </row>
    <row r="2095" spans="1:9" hidden="1" x14ac:dyDescent="0.3">
      <c r="A2095" t="s">
        <v>3836</v>
      </c>
      <c r="B2095" t="s">
        <v>3634</v>
      </c>
      <c r="C2095" t="s">
        <v>3601</v>
      </c>
      <c r="D2095" t="s">
        <v>13</v>
      </c>
      <c r="E2095" t="s">
        <v>1455</v>
      </c>
      <c r="F2095" t="s">
        <v>3619</v>
      </c>
      <c r="H2095" t="s">
        <v>17</v>
      </c>
      <c r="I2095" t="s">
        <v>3620</v>
      </c>
    </row>
    <row r="2096" spans="1:9" hidden="1" x14ac:dyDescent="0.3">
      <c r="A2096" t="s">
        <v>3838</v>
      </c>
      <c r="B2096" t="s">
        <v>3634</v>
      </c>
      <c r="C2096" t="s">
        <v>3601</v>
      </c>
      <c r="D2096" t="s">
        <v>13</v>
      </c>
      <c r="E2096" t="s">
        <v>2563</v>
      </c>
      <c r="F2096" t="s">
        <v>3622</v>
      </c>
      <c r="H2096" t="s">
        <v>17</v>
      </c>
      <c r="I2096" t="s">
        <v>414</v>
      </c>
    </row>
    <row r="2097" spans="1:9" hidden="1" x14ac:dyDescent="0.3">
      <c r="A2097" t="s">
        <v>3840</v>
      </c>
      <c r="B2097" t="s">
        <v>3634</v>
      </c>
      <c r="C2097" t="s">
        <v>3601</v>
      </c>
      <c r="D2097" t="s">
        <v>13</v>
      </c>
      <c r="E2097" t="s">
        <v>3837</v>
      </c>
      <c r="F2097" t="s">
        <v>3623</v>
      </c>
      <c r="H2097" t="s">
        <v>17</v>
      </c>
      <c r="I2097" t="s">
        <v>414</v>
      </c>
    </row>
    <row r="2098" spans="1:9" hidden="1" x14ac:dyDescent="0.3">
      <c r="A2098" t="s">
        <v>3842</v>
      </c>
      <c r="B2098" t="s">
        <v>3634</v>
      </c>
      <c r="C2098" t="s">
        <v>3601</v>
      </c>
      <c r="D2098" t="s">
        <v>13</v>
      </c>
      <c r="E2098" t="s">
        <v>3839</v>
      </c>
      <c r="F2098" t="s">
        <v>747</v>
      </c>
      <c r="H2098" t="s">
        <v>17</v>
      </c>
    </row>
    <row r="2099" spans="1:9" hidden="1" x14ac:dyDescent="0.3">
      <c r="A2099" t="s">
        <v>3843</v>
      </c>
      <c r="B2099" t="s">
        <v>3634</v>
      </c>
      <c r="C2099" t="s">
        <v>3601</v>
      </c>
      <c r="D2099" t="s">
        <v>13</v>
      </c>
      <c r="E2099" t="s">
        <v>3841</v>
      </c>
      <c r="F2099" t="s">
        <v>797</v>
      </c>
      <c r="H2099" t="s">
        <v>17</v>
      </c>
    </row>
    <row r="2100" spans="1:9" hidden="1" x14ac:dyDescent="0.3">
      <c r="A2100" t="s">
        <v>3844</v>
      </c>
      <c r="B2100" t="s">
        <v>3634</v>
      </c>
      <c r="C2100" t="s">
        <v>3601</v>
      </c>
      <c r="D2100" t="s">
        <v>13</v>
      </c>
      <c r="E2100" t="s">
        <v>1475</v>
      </c>
      <c r="F2100" t="s">
        <v>3626</v>
      </c>
      <c r="H2100" t="s">
        <v>17</v>
      </c>
      <c r="I2100" t="s">
        <v>3627</v>
      </c>
    </row>
    <row r="2101" spans="1:9" hidden="1" x14ac:dyDescent="0.3">
      <c r="A2101" t="s">
        <v>3845</v>
      </c>
      <c r="B2101" t="s">
        <v>3634</v>
      </c>
      <c r="C2101" t="s">
        <v>3601</v>
      </c>
      <c r="D2101" t="s">
        <v>13</v>
      </c>
      <c r="E2101" t="s">
        <v>1478</v>
      </c>
      <c r="F2101" t="s">
        <v>3628</v>
      </c>
      <c r="H2101" t="s">
        <v>17</v>
      </c>
    </row>
    <row r="2102" spans="1:9" hidden="1" x14ac:dyDescent="0.3">
      <c r="A2102" t="s">
        <v>3846</v>
      </c>
      <c r="B2102" t="s">
        <v>3634</v>
      </c>
      <c r="C2102" t="s">
        <v>3601</v>
      </c>
      <c r="D2102" t="s">
        <v>13</v>
      </c>
      <c r="E2102" t="s">
        <v>1482</v>
      </c>
      <c r="F2102" t="s">
        <v>3629</v>
      </c>
      <c r="H2102" t="s">
        <v>17</v>
      </c>
    </row>
    <row r="2103" spans="1:9" hidden="1" x14ac:dyDescent="0.3">
      <c r="A2103" t="s">
        <v>3847</v>
      </c>
      <c r="B2103" t="s">
        <v>3634</v>
      </c>
      <c r="C2103" t="s">
        <v>3601</v>
      </c>
      <c r="D2103" t="s">
        <v>13</v>
      </c>
      <c r="E2103" t="s">
        <v>1487</v>
      </c>
      <c r="F2103" t="s">
        <v>2192</v>
      </c>
      <c r="H2103" t="s">
        <v>17</v>
      </c>
      <c r="I2103" t="s">
        <v>3630</v>
      </c>
    </row>
    <row r="2104" spans="1:9" hidden="1" x14ac:dyDescent="0.3">
      <c r="A2104" t="s">
        <v>3849</v>
      </c>
      <c r="B2104" t="s">
        <v>3634</v>
      </c>
      <c r="C2104" t="s">
        <v>3601</v>
      </c>
      <c r="D2104" t="s">
        <v>13</v>
      </c>
      <c r="E2104" t="s">
        <v>1491</v>
      </c>
      <c r="F2104" t="s">
        <v>2196</v>
      </c>
      <c r="H2104" t="s">
        <v>17</v>
      </c>
      <c r="I2104" t="s">
        <v>3631</v>
      </c>
    </row>
    <row r="2105" spans="1:9" hidden="1" x14ac:dyDescent="0.3">
      <c r="A2105" t="s">
        <v>3851</v>
      </c>
      <c r="B2105" t="s">
        <v>3634</v>
      </c>
      <c r="C2105" t="s">
        <v>3601</v>
      </c>
      <c r="D2105" t="s">
        <v>13</v>
      </c>
      <c r="E2105" t="s">
        <v>3848</v>
      </c>
      <c r="F2105" t="s">
        <v>1703</v>
      </c>
      <c r="H2105" t="s">
        <v>17</v>
      </c>
    </row>
    <row r="2106" spans="1:9" hidden="1" x14ac:dyDescent="0.3">
      <c r="A2106" t="s">
        <v>3852</v>
      </c>
      <c r="B2106" t="s">
        <v>3634</v>
      </c>
      <c r="C2106" t="s">
        <v>3601</v>
      </c>
      <c r="D2106" t="s">
        <v>13</v>
      </c>
      <c r="E2106" t="s">
        <v>3850</v>
      </c>
      <c r="F2106" t="s">
        <v>2945</v>
      </c>
      <c r="H2106" t="s">
        <v>17</v>
      </c>
    </row>
    <row r="2107" spans="1:9" hidden="1" x14ac:dyDescent="0.3">
      <c r="A2107" t="s">
        <v>3854</v>
      </c>
      <c r="B2107" t="s">
        <v>3634</v>
      </c>
      <c r="C2107" t="s">
        <v>3601</v>
      </c>
      <c r="D2107" t="s">
        <v>13</v>
      </c>
      <c r="E2107" t="s">
        <v>2592</v>
      </c>
      <c r="F2107" t="s">
        <v>1706</v>
      </c>
      <c r="H2107" t="s">
        <v>17</v>
      </c>
    </row>
    <row r="2108" spans="1:9" hidden="1" x14ac:dyDescent="0.3">
      <c r="A2108" t="s">
        <v>3855</v>
      </c>
      <c r="B2108" t="s">
        <v>3634</v>
      </c>
      <c r="C2108" t="s">
        <v>3601</v>
      </c>
      <c r="D2108" t="s">
        <v>13</v>
      </c>
      <c r="E2108" t="s">
        <v>3853</v>
      </c>
      <c r="F2108" t="s">
        <v>3633</v>
      </c>
      <c r="H2108" t="s">
        <v>17</v>
      </c>
    </row>
    <row r="2109" spans="1:9" hidden="1" x14ac:dyDescent="0.3">
      <c r="A2109" t="s">
        <v>3856</v>
      </c>
      <c r="B2109" t="s">
        <v>3634</v>
      </c>
      <c r="C2109" t="s">
        <v>3601</v>
      </c>
      <c r="D2109" t="s">
        <v>13</v>
      </c>
      <c r="E2109" t="s">
        <v>1508</v>
      </c>
      <c r="F2109" t="s">
        <v>843</v>
      </c>
      <c r="H2109" t="s">
        <v>17</v>
      </c>
      <c r="I2109" t="s">
        <v>2209</v>
      </c>
    </row>
    <row r="2110" spans="1:9" hidden="1" x14ac:dyDescent="0.3">
      <c r="A2110" t="s">
        <v>10</v>
      </c>
      <c r="B2110" t="s">
        <v>3634</v>
      </c>
      <c r="C2110" t="s">
        <v>3601</v>
      </c>
      <c r="D2110" t="s">
        <v>13</v>
      </c>
      <c r="E2110" t="s">
        <v>1511</v>
      </c>
      <c r="F2110" t="s">
        <v>3857</v>
      </c>
      <c r="H2110" t="s">
        <v>17</v>
      </c>
      <c r="I2110" t="s">
        <v>3858</v>
      </c>
    </row>
    <row r="2111" spans="1:9" hidden="1" x14ac:dyDescent="0.3">
      <c r="A2111" t="s">
        <v>1742</v>
      </c>
      <c r="B2111" t="s">
        <v>3859</v>
      </c>
      <c r="F2111" t="s">
        <v>3860</v>
      </c>
    </row>
    <row r="2112" spans="1:9" hidden="1" x14ac:dyDescent="0.3">
      <c r="A2112" t="s">
        <v>1744</v>
      </c>
      <c r="B2112" t="s">
        <v>3859</v>
      </c>
      <c r="D2112" t="s">
        <v>13</v>
      </c>
      <c r="E2112" t="s">
        <v>2948</v>
      </c>
      <c r="F2112" t="s">
        <v>3861</v>
      </c>
      <c r="H2112" t="s">
        <v>17</v>
      </c>
    </row>
    <row r="2113" spans="1:9" hidden="1" x14ac:dyDescent="0.3">
      <c r="A2113" t="s">
        <v>1747</v>
      </c>
      <c r="B2113" t="s">
        <v>3859</v>
      </c>
      <c r="D2113" t="s">
        <v>13</v>
      </c>
      <c r="E2113" t="s">
        <v>996</v>
      </c>
      <c r="F2113" t="s">
        <v>2672</v>
      </c>
      <c r="H2113" t="s">
        <v>17</v>
      </c>
      <c r="I2113" t="s">
        <v>2673</v>
      </c>
    </row>
    <row r="2114" spans="1:9" hidden="1" x14ac:dyDescent="0.3">
      <c r="A2114" t="s">
        <v>1750</v>
      </c>
      <c r="B2114" t="s">
        <v>3859</v>
      </c>
      <c r="D2114" t="s">
        <v>13</v>
      </c>
      <c r="E2114" t="s">
        <v>1001</v>
      </c>
      <c r="F2114" t="s">
        <v>3862</v>
      </c>
      <c r="H2114" t="s">
        <v>17</v>
      </c>
      <c r="I2114" t="s">
        <v>3863</v>
      </c>
    </row>
    <row r="2115" spans="1:9" hidden="1" x14ac:dyDescent="0.3">
      <c r="A2115" t="s">
        <v>1752</v>
      </c>
      <c r="B2115" t="s">
        <v>3859</v>
      </c>
      <c r="D2115" t="s">
        <v>13</v>
      </c>
      <c r="E2115" t="s">
        <v>1942</v>
      </c>
      <c r="F2115" t="s">
        <v>2682</v>
      </c>
      <c r="H2115" t="s">
        <v>17</v>
      </c>
      <c r="I2115" t="s">
        <v>3864</v>
      </c>
    </row>
    <row r="2116" spans="1:9" hidden="1" x14ac:dyDescent="0.3">
      <c r="A2116" t="s">
        <v>1754</v>
      </c>
      <c r="B2116" t="s">
        <v>3859</v>
      </c>
      <c r="D2116" t="s">
        <v>13</v>
      </c>
      <c r="E2116" t="s">
        <v>22</v>
      </c>
      <c r="F2116" t="s">
        <v>3865</v>
      </c>
      <c r="H2116" t="s">
        <v>17</v>
      </c>
      <c r="I2116" t="s">
        <v>3866</v>
      </c>
    </row>
    <row r="2117" spans="1:9" hidden="1" x14ac:dyDescent="0.3">
      <c r="A2117" t="s">
        <v>1760</v>
      </c>
      <c r="B2117" t="s">
        <v>3859</v>
      </c>
      <c r="D2117" t="s">
        <v>13</v>
      </c>
      <c r="E2117" t="s">
        <v>3867</v>
      </c>
      <c r="F2117" t="s">
        <v>3868</v>
      </c>
      <c r="H2117" t="s">
        <v>17</v>
      </c>
      <c r="I2117" t="s">
        <v>3869</v>
      </c>
    </row>
    <row r="2118" spans="1:9" hidden="1" x14ac:dyDescent="0.3">
      <c r="A2118" t="s">
        <v>1763</v>
      </c>
      <c r="B2118" t="s">
        <v>3859</v>
      </c>
      <c r="D2118" t="s">
        <v>13</v>
      </c>
      <c r="E2118" t="s">
        <v>36</v>
      </c>
      <c r="F2118" t="s">
        <v>3870</v>
      </c>
      <c r="H2118" t="s">
        <v>17</v>
      </c>
      <c r="I2118" t="s">
        <v>3871</v>
      </c>
    </row>
    <row r="2119" spans="1:9" hidden="1" x14ac:dyDescent="0.3">
      <c r="A2119" t="s">
        <v>1765</v>
      </c>
      <c r="B2119" t="s">
        <v>3859</v>
      </c>
      <c r="D2119" t="s">
        <v>13</v>
      </c>
      <c r="E2119" t="s">
        <v>41</v>
      </c>
      <c r="F2119" t="s">
        <v>3872</v>
      </c>
      <c r="H2119" t="s">
        <v>17</v>
      </c>
      <c r="I2119" t="s">
        <v>3873</v>
      </c>
    </row>
    <row r="2120" spans="1:9" hidden="1" x14ac:dyDescent="0.3">
      <c r="A2120" t="s">
        <v>1768</v>
      </c>
      <c r="B2120" t="s">
        <v>3859</v>
      </c>
      <c r="D2120" t="s">
        <v>13</v>
      </c>
      <c r="E2120" t="s">
        <v>45</v>
      </c>
      <c r="F2120" t="s">
        <v>3874</v>
      </c>
      <c r="H2120" t="s">
        <v>17</v>
      </c>
      <c r="I2120" t="s">
        <v>3875</v>
      </c>
    </row>
    <row r="2121" spans="1:9" hidden="1" x14ac:dyDescent="0.3">
      <c r="A2121" t="s">
        <v>1771</v>
      </c>
      <c r="B2121" t="s">
        <v>3859</v>
      </c>
      <c r="D2121" t="s">
        <v>13</v>
      </c>
      <c r="E2121" t="s">
        <v>50</v>
      </c>
      <c r="F2121" t="s">
        <v>3876</v>
      </c>
      <c r="H2121" t="s">
        <v>17</v>
      </c>
      <c r="I2121" t="s">
        <v>3877</v>
      </c>
    </row>
    <row r="2122" spans="1:9" hidden="1" x14ac:dyDescent="0.3">
      <c r="A2122" t="s">
        <v>1775</v>
      </c>
      <c r="B2122" t="s">
        <v>3859</v>
      </c>
      <c r="D2122" t="s">
        <v>13</v>
      </c>
      <c r="E2122" t="s">
        <v>53</v>
      </c>
      <c r="F2122" t="s">
        <v>3878</v>
      </c>
      <c r="H2122" t="s">
        <v>17</v>
      </c>
      <c r="I2122" t="s">
        <v>3866</v>
      </c>
    </row>
    <row r="2123" spans="1:9" hidden="1" x14ac:dyDescent="0.3">
      <c r="A2123" t="s">
        <v>1777</v>
      </c>
      <c r="B2123" t="s">
        <v>3859</v>
      </c>
      <c r="D2123" t="s">
        <v>13</v>
      </c>
      <c r="E2123" t="s">
        <v>56</v>
      </c>
      <c r="F2123" t="s">
        <v>3879</v>
      </c>
      <c r="H2123" t="s">
        <v>17</v>
      </c>
      <c r="I2123" t="s">
        <v>3880</v>
      </c>
    </row>
    <row r="2124" spans="1:9" hidden="1" x14ac:dyDescent="0.3">
      <c r="A2124" t="s">
        <v>1779</v>
      </c>
      <c r="B2124" t="s">
        <v>3859</v>
      </c>
      <c r="D2124" t="s">
        <v>13</v>
      </c>
      <c r="E2124" t="s">
        <v>61</v>
      </c>
      <c r="F2124" t="s">
        <v>3881</v>
      </c>
      <c r="H2124" t="s">
        <v>17</v>
      </c>
      <c r="I2124" t="s">
        <v>3880</v>
      </c>
    </row>
    <row r="2125" spans="1:9" hidden="1" x14ac:dyDescent="0.3">
      <c r="A2125" t="s">
        <v>1781</v>
      </c>
      <c r="B2125" t="s">
        <v>3859</v>
      </c>
      <c r="D2125" t="s">
        <v>13</v>
      </c>
      <c r="E2125" t="s">
        <v>66</v>
      </c>
      <c r="F2125" t="s">
        <v>3882</v>
      </c>
      <c r="H2125" t="s">
        <v>17</v>
      </c>
      <c r="I2125" t="s">
        <v>3869</v>
      </c>
    </row>
    <row r="2126" spans="1:9" hidden="1" x14ac:dyDescent="0.3">
      <c r="A2126" t="s">
        <v>1784</v>
      </c>
      <c r="B2126" t="s">
        <v>3859</v>
      </c>
      <c r="D2126" t="s">
        <v>13</v>
      </c>
      <c r="E2126" t="s">
        <v>71</v>
      </c>
      <c r="F2126" t="s">
        <v>3883</v>
      </c>
      <c r="H2126" t="s">
        <v>17</v>
      </c>
      <c r="I2126" t="s">
        <v>3884</v>
      </c>
    </row>
    <row r="2127" spans="1:9" hidden="1" x14ac:dyDescent="0.3">
      <c r="A2127" t="s">
        <v>1787</v>
      </c>
      <c r="B2127" t="s">
        <v>3859</v>
      </c>
      <c r="D2127" t="s">
        <v>13</v>
      </c>
      <c r="E2127" t="s">
        <v>1050</v>
      </c>
      <c r="F2127" t="s">
        <v>3885</v>
      </c>
      <c r="H2127" t="s">
        <v>17</v>
      </c>
      <c r="I2127" t="s">
        <v>3880</v>
      </c>
    </row>
    <row r="2128" spans="1:9" hidden="1" x14ac:dyDescent="0.3">
      <c r="A2128" t="s">
        <v>1789</v>
      </c>
      <c r="B2128" t="s">
        <v>3859</v>
      </c>
      <c r="D2128" t="s">
        <v>13</v>
      </c>
      <c r="E2128" t="s">
        <v>1055</v>
      </c>
      <c r="F2128" t="s">
        <v>3886</v>
      </c>
      <c r="H2128" t="s">
        <v>17</v>
      </c>
      <c r="I2128" t="s">
        <v>3880</v>
      </c>
    </row>
    <row r="2129" spans="1:9" hidden="1" x14ac:dyDescent="0.3">
      <c r="A2129" t="s">
        <v>1793</v>
      </c>
      <c r="B2129" t="s">
        <v>3859</v>
      </c>
      <c r="D2129" t="s">
        <v>13</v>
      </c>
      <c r="E2129" t="s">
        <v>80</v>
      </c>
      <c r="F2129" t="s">
        <v>3887</v>
      </c>
      <c r="H2129" t="s">
        <v>17</v>
      </c>
      <c r="I2129" t="s">
        <v>3866</v>
      </c>
    </row>
    <row r="2130" spans="1:9" hidden="1" x14ac:dyDescent="0.3">
      <c r="A2130" t="s">
        <v>1795</v>
      </c>
      <c r="B2130" t="s">
        <v>3859</v>
      </c>
      <c r="D2130" t="s">
        <v>13</v>
      </c>
      <c r="E2130" t="s">
        <v>3572</v>
      </c>
      <c r="F2130" t="s">
        <v>3888</v>
      </c>
      <c r="H2130" t="s">
        <v>17</v>
      </c>
      <c r="I2130" t="s">
        <v>3869</v>
      </c>
    </row>
    <row r="2131" spans="1:9" hidden="1" x14ac:dyDescent="0.3">
      <c r="A2131" t="s">
        <v>1798</v>
      </c>
      <c r="B2131" t="s">
        <v>3859</v>
      </c>
      <c r="D2131" t="s">
        <v>13</v>
      </c>
      <c r="E2131" t="s">
        <v>95</v>
      </c>
      <c r="F2131" t="s">
        <v>3889</v>
      </c>
      <c r="H2131" t="s">
        <v>17</v>
      </c>
      <c r="I2131" t="s">
        <v>3890</v>
      </c>
    </row>
    <row r="2132" spans="1:9" hidden="1" x14ac:dyDescent="0.3">
      <c r="A2132" t="s">
        <v>1801</v>
      </c>
      <c r="B2132" t="s">
        <v>3859</v>
      </c>
      <c r="D2132" t="s">
        <v>13</v>
      </c>
      <c r="E2132" t="s">
        <v>100</v>
      </c>
      <c r="F2132" t="s">
        <v>3891</v>
      </c>
      <c r="H2132" t="s">
        <v>17</v>
      </c>
      <c r="I2132" t="s">
        <v>3890</v>
      </c>
    </row>
    <row r="2133" spans="1:9" hidden="1" x14ac:dyDescent="0.3">
      <c r="A2133" t="s">
        <v>1803</v>
      </c>
      <c r="B2133" t="s">
        <v>3859</v>
      </c>
      <c r="D2133" t="s">
        <v>13</v>
      </c>
      <c r="E2133" t="s">
        <v>106</v>
      </c>
      <c r="F2133" t="s">
        <v>3892</v>
      </c>
      <c r="H2133" t="s">
        <v>17</v>
      </c>
      <c r="I2133" t="s">
        <v>3893</v>
      </c>
    </row>
    <row r="2134" spans="1:9" hidden="1" x14ac:dyDescent="0.3">
      <c r="A2134" t="s">
        <v>1806</v>
      </c>
      <c r="B2134" t="s">
        <v>3859</v>
      </c>
      <c r="D2134" t="s">
        <v>13</v>
      </c>
      <c r="E2134" t="s">
        <v>111</v>
      </c>
      <c r="F2134" t="s">
        <v>3894</v>
      </c>
      <c r="H2134" t="s">
        <v>17</v>
      </c>
      <c r="I2134" t="s">
        <v>3893</v>
      </c>
    </row>
    <row r="2135" spans="1:9" hidden="1" x14ac:dyDescent="0.3">
      <c r="A2135" t="s">
        <v>1808</v>
      </c>
      <c r="B2135" t="s">
        <v>3859</v>
      </c>
      <c r="D2135" t="s">
        <v>13</v>
      </c>
      <c r="E2135" t="s">
        <v>114</v>
      </c>
      <c r="F2135" t="s">
        <v>3895</v>
      </c>
      <c r="H2135" t="s">
        <v>17</v>
      </c>
      <c r="I2135" t="s">
        <v>3893</v>
      </c>
    </row>
    <row r="2136" spans="1:9" hidden="1" x14ac:dyDescent="0.3">
      <c r="A2136" t="s">
        <v>1811</v>
      </c>
      <c r="B2136" t="s">
        <v>3859</v>
      </c>
      <c r="D2136" t="s">
        <v>13</v>
      </c>
      <c r="E2136" t="s">
        <v>117</v>
      </c>
      <c r="F2136" t="s">
        <v>3896</v>
      </c>
      <c r="H2136" t="s">
        <v>17</v>
      </c>
      <c r="I2136" t="s">
        <v>3897</v>
      </c>
    </row>
    <row r="2137" spans="1:9" hidden="1" x14ac:dyDescent="0.3">
      <c r="A2137" t="s">
        <v>1818</v>
      </c>
      <c r="B2137" t="s">
        <v>3859</v>
      </c>
      <c r="D2137" t="s">
        <v>13</v>
      </c>
      <c r="E2137" t="s">
        <v>121</v>
      </c>
      <c r="F2137" t="s">
        <v>3898</v>
      </c>
      <c r="H2137" t="s">
        <v>17</v>
      </c>
      <c r="I2137" t="s">
        <v>3899</v>
      </c>
    </row>
    <row r="2138" spans="1:9" hidden="1" x14ac:dyDescent="0.3">
      <c r="A2138" t="s">
        <v>1820</v>
      </c>
      <c r="B2138" t="s">
        <v>3859</v>
      </c>
      <c r="C2138" t="s">
        <v>3900</v>
      </c>
      <c r="D2138" t="s">
        <v>13</v>
      </c>
      <c r="E2138" t="s">
        <v>126</v>
      </c>
      <c r="F2138" t="s">
        <v>3901</v>
      </c>
      <c r="H2138" t="s">
        <v>17</v>
      </c>
      <c r="I2138" t="s">
        <v>3902</v>
      </c>
    </row>
    <row r="2139" spans="1:9" hidden="1" x14ac:dyDescent="0.3">
      <c r="A2139" t="s">
        <v>1822</v>
      </c>
      <c r="B2139" t="s">
        <v>3859</v>
      </c>
      <c r="C2139" t="s">
        <v>3900</v>
      </c>
      <c r="D2139" t="s">
        <v>13</v>
      </c>
      <c r="E2139" t="s">
        <v>129</v>
      </c>
      <c r="F2139" t="s">
        <v>3903</v>
      </c>
      <c r="H2139" t="s">
        <v>17</v>
      </c>
      <c r="I2139" t="s">
        <v>3902</v>
      </c>
    </row>
    <row r="2140" spans="1:9" hidden="1" x14ac:dyDescent="0.3">
      <c r="A2140" t="s">
        <v>1824</v>
      </c>
      <c r="B2140" t="s">
        <v>3859</v>
      </c>
      <c r="C2140" t="s">
        <v>3900</v>
      </c>
      <c r="D2140" t="s">
        <v>13</v>
      </c>
      <c r="E2140" t="s">
        <v>132</v>
      </c>
      <c r="F2140" t="s">
        <v>3904</v>
      </c>
      <c r="H2140" t="s">
        <v>17</v>
      </c>
      <c r="I2140" t="s">
        <v>3902</v>
      </c>
    </row>
    <row r="2141" spans="1:9" hidden="1" x14ac:dyDescent="0.3">
      <c r="A2141" t="s">
        <v>1826</v>
      </c>
      <c r="B2141" t="s">
        <v>3859</v>
      </c>
      <c r="C2141" t="s">
        <v>3900</v>
      </c>
      <c r="D2141" t="s">
        <v>13</v>
      </c>
      <c r="E2141" t="s">
        <v>135</v>
      </c>
      <c r="F2141" t="s">
        <v>3905</v>
      </c>
      <c r="H2141" t="s">
        <v>17</v>
      </c>
      <c r="I2141" t="s">
        <v>3902</v>
      </c>
    </row>
    <row r="2142" spans="1:9" hidden="1" x14ac:dyDescent="0.3">
      <c r="A2142" t="s">
        <v>1828</v>
      </c>
      <c r="B2142" t="s">
        <v>3859</v>
      </c>
      <c r="C2142" t="s">
        <v>3900</v>
      </c>
      <c r="D2142" t="s">
        <v>13</v>
      </c>
      <c r="E2142" t="s">
        <v>138</v>
      </c>
      <c r="F2142" t="s">
        <v>3906</v>
      </c>
      <c r="H2142" t="s">
        <v>17</v>
      </c>
      <c r="I2142" t="s">
        <v>3902</v>
      </c>
    </row>
    <row r="2143" spans="1:9" hidden="1" x14ac:dyDescent="0.3">
      <c r="A2143" t="s">
        <v>1831</v>
      </c>
      <c r="B2143" t="s">
        <v>3859</v>
      </c>
      <c r="C2143" t="s">
        <v>3900</v>
      </c>
      <c r="D2143" t="s">
        <v>13</v>
      </c>
      <c r="E2143" t="s">
        <v>141</v>
      </c>
      <c r="F2143" t="s">
        <v>3907</v>
      </c>
      <c r="H2143" t="s">
        <v>17</v>
      </c>
      <c r="I2143" t="s">
        <v>3902</v>
      </c>
    </row>
    <row r="2144" spans="1:9" hidden="1" x14ac:dyDescent="0.3">
      <c r="A2144" t="s">
        <v>1833</v>
      </c>
      <c r="B2144" t="s">
        <v>3859</v>
      </c>
      <c r="C2144" t="s">
        <v>3900</v>
      </c>
      <c r="D2144" t="s">
        <v>13</v>
      </c>
      <c r="E2144" t="s">
        <v>144</v>
      </c>
      <c r="F2144" t="s">
        <v>3908</v>
      </c>
      <c r="H2144" t="s">
        <v>17</v>
      </c>
      <c r="I2144" t="s">
        <v>3902</v>
      </c>
    </row>
    <row r="2145" spans="1:9" hidden="1" x14ac:dyDescent="0.3">
      <c r="A2145" t="s">
        <v>1836</v>
      </c>
      <c r="B2145" t="s">
        <v>3859</v>
      </c>
      <c r="C2145" t="s">
        <v>3900</v>
      </c>
      <c r="D2145" t="s">
        <v>13</v>
      </c>
      <c r="E2145" t="s">
        <v>147</v>
      </c>
      <c r="F2145" t="s">
        <v>3909</v>
      </c>
      <c r="H2145" t="s">
        <v>17</v>
      </c>
      <c r="I2145" t="s">
        <v>3910</v>
      </c>
    </row>
    <row r="2146" spans="1:9" hidden="1" x14ac:dyDescent="0.3">
      <c r="A2146" t="s">
        <v>1838</v>
      </c>
      <c r="B2146" t="s">
        <v>3859</v>
      </c>
      <c r="C2146" t="s">
        <v>3900</v>
      </c>
      <c r="D2146" t="s">
        <v>13</v>
      </c>
      <c r="E2146" t="s">
        <v>152</v>
      </c>
      <c r="F2146" t="s">
        <v>3911</v>
      </c>
      <c r="H2146" t="s">
        <v>17</v>
      </c>
      <c r="I2146" t="s">
        <v>3912</v>
      </c>
    </row>
    <row r="2147" spans="1:9" hidden="1" x14ac:dyDescent="0.3">
      <c r="A2147" t="s">
        <v>1840</v>
      </c>
      <c r="B2147" t="s">
        <v>3859</v>
      </c>
      <c r="C2147" t="s">
        <v>3900</v>
      </c>
      <c r="D2147" t="s">
        <v>13</v>
      </c>
      <c r="E2147" t="s">
        <v>157</v>
      </c>
      <c r="F2147" t="s">
        <v>3913</v>
      </c>
      <c r="H2147" t="s">
        <v>17</v>
      </c>
      <c r="I2147" t="s">
        <v>3912</v>
      </c>
    </row>
    <row r="2148" spans="1:9" hidden="1" x14ac:dyDescent="0.3">
      <c r="A2148" t="s">
        <v>1843</v>
      </c>
      <c r="B2148" t="s">
        <v>3859</v>
      </c>
      <c r="C2148" t="s">
        <v>3900</v>
      </c>
      <c r="D2148" t="s">
        <v>13</v>
      </c>
      <c r="E2148" t="s">
        <v>162</v>
      </c>
      <c r="F2148" t="s">
        <v>3914</v>
      </c>
      <c r="H2148" t="s">
        <v>17</v>
      </c>
      <c r="I2148" t="s">
        <v>3912</v>
      </c>
    </row>
    <row r="2149" spans="1:9" hidden="1" x14ac:dyDescent="0.3">
      <c r="A2149" t="s">
        <v>1847</v>
      </c>
      <c r="B2149" t="s">
        <v>3859</v>
      </c>
      <c r="C2149" t="s">
        <v>3900</v>
      </c>
      <c r="D2149" t="s">
        <v>13</v>
      </c>
      <c r="E2149" t="s">
        <v>167</v>
      </c>
      <c r="F2149" t="s">
        <v>3915</v>
      </c>
      <c r="H2149" t="s">
        <v>17</v>
      </c>
      <c r="I2149" t="s">
        <v>3880</v>
      </c>
    </row>
    <row r="2150" spans="1:9" hidden="1" x14ac:dyDescent="0.3">
      <c r="A2150" t="s">
        <v>1851</v>
      </c>
      <c r="B2150" t="s">
        <v>3859</v>
      </c>
      <c r="C2150" t="s">
        <v>3900</v>
      </c>
      <c r="D2150" t="s">
        <v>13</v>
      </c>
      <c r="E2150" t="s">
        <v>172</v>
      </c>
      <c r="F2150" t="s">
        <v>3916</v>
      </c>
      <c r="H2150" t="s">
        <v>17</v>
      </c>
      <c r="I2150" t="s">
        <v>3917</v>
      </c>
    </row>
    <row r="2151" spans="1:9" hidden="1" x14ac:dyDescent="0.3">
      <c r="A2151" t="s">
        <v>1853</v>
      </c>
      <c r="B2151" t="s">
        <v>3859</v>
      </c>
      <c r="C2151" t="s">
        <v>3918</v>
      </c>
      <c r="D2151" t="s">
        <v>13</v>
      </c>
      <c r="E2151" t="s">
        <v>177</v>
      </c>
      <c r="F2151" t="s">
        <v>3919</v>
      </c>
      <c r="H2151" t="s">
        <v>17</v>
      </c>
      <c r="I2151" t="s">
        <v>2836</v>
      </c>
    </row>
    <row r="2152" spans="1:9" hidden="1" x14ac:dyDescent="0.3">
      <c r="A2152" t="s">
        <v>1855</v>
      </c>
      <c r="B2152" t="s">
        <v>3859</v>
      </c>
      <c r="C2152" t="s">
        <v>3918</v>
      </c>
      <c r="D2152" t="s">
        <v>13</v>
      </c>
      <c r="E2152" t="s">
        <v>182</v>
      </c>
      <c r="F2152" t="s">
        <v>3920</v>
      </c>
      <c r="H2152" t="s">
        <v>17</v>
      </c>
      <c r="I2152" t="s">
        <v>2836</v>
      </c>
    </row>
    <row r="2153" spans="1:9" hidden="1" x14ac:dyDescent="0.3">
      <c r="A2153" t="s">
        <v>1859</v>
      </c>
      <c r="B2153" t="s">
        <v>3859</v>
      </c>
      <c r="C2153" t="s">
        <v>3918</v>
      </c>
      <c r="D2153" t="s">
        <v>13</v>
      </c>
      <c r="E2153" t="s">
        <v>187</v>
      </c>
      <c r="F2153" t="s">
        <v>3921</v>
      </c>
      <c r="H2153" t="s">
        <v>17</v>
      </c>
      <c r="I2153" t="s">
        <v>2836</v>
      </c>
    </row>
    <row r="2154" spans="1:9" hidden="1" x14ac:dyDescent="0.3">
      <c r="A2154" t="s">
        <v>1861</v>
      </c>
      <c r="B2154" t="s">
        <v>3859</v>
      </c>
      <c r="C2154" t="s">
        <v>3922</v>
      </c>
      <c r="D2154" t="s">
        <v>13</v>
      </c>
      <c r="E2154" t="s">
        <v>193</v>
      </c>
      <c r="F2154" t="s">
        <v>3923</v>
      </c>
      <c r="H2154" t="s">
        <v>17</v>
      </c>
      <c r="I2154" t="s">
        <v>3924</v>
      </c>
    </row>
    <row r="2155" spans="1:9" hidden="1" x14ac:dyDescent="0.3">
      <c r="A2155" t="s">
        <v>1863</v>
      </c>
      <c r="B2155" t="s">
        <v>3859</v>
      </c>
      <c r="C2155" t="s">
        <v>3922</v>
      </c>
      <c r="D2155" t="s">
        <v>13</v>
      </c>
      <c r="E2155" t="s">
        <v>198</v>
      </c>
      <c r="F2155" t="s">
        <v>3923</v>
      </c>
      <c r="H2155" t="s">
        <v>17</v>
      </c>
      <c r="I2155" t="s">
        <v>3925</v>
      </c>
    </row>
    <row r="2156" spans="1:9" hidden="1" x14ac:dyDescent="0.3">
      <c r="A2156" t="s">
        <v>1865</v>
      </c>
      <c r="B2156" t="s">
        <v>3859</v>
      </c>
      <c r="C2156" t="s">
        <v>3922</v>
      </c>
      <c r="D2156" t="s">
        <v>13</v>
      </c>
      <c r="E2156" t="s">
        <v>202</v>
      </c>
      <c r="F2156" t="s">
        <v>3923</v>
      </c>
      <c r="H2156" t="s">
        <v>17</v>
      </c>
      <c r="I2156" t="s">
        <v>3926</v>
      </c>
    </row>
    <row r="2157" spans="1:9" hidden="1" x14ac:dyDescent="0.3">
      <c r="A2157" t="s">
        <v>1867</v>
      </c>
      <c r="B2157" t="s">
        <v>3859</v>
      </c>
      <c r="C2157" t="s">
        <v>3922</v>
      </c>
      <c r="D2157" t="s">
        <v>13</v>
      </c>
      <c r="E2157" t="s">
        <v>206</v>
      </c>
      <c r="F2157" t="s">
        <v>3923</v>
      </c>
      <c r="H2157" t="s">
        <v>17</v>
      </c>
      <c r="I2157" t="s">
        <v>3927</v>
      </c>
    </row>
    <row r="2158" spans="1:9" hidden="1" x14ac:dyDescent="0.3">
      <c r="A2158" t="s">
        <v>1869</v>
      </c>
      <c r="B2158" t="s">
        <v>3859</v>
      </c>
      <c r="C2158" t="s">
        <v>3922</v>
      </c>
      <c r="D2158" t="s">
        <v>13</v>
      </c>
      <c r="E2158" t="s">
        <v>210</v>
      </c>
      <c r="F2158" t="s">
        <v>3923</v>
      </c>
      <c r="H2158" t="s">
        <v>17</v>
      </c>
      <c r="I2158" t="s">
        <v>3928</v>
      </c>
    </row>
    <row r="2159" spans="1:9" hidden="1" x14ac:dyDescent="0.3">
      <c r="A2159" t="s">
        <v>1871</v>
      </c>
      <c r="B2159" t="s">
        <v>3859</v>
      </c>
      <c r="C2159" t="s">
        <v>3922</v>
      </c>
      <c r="D2159" t="s">
        <v>13</v>
      </c>
      <c r="E2159" t="s">
        <v>214</v>
      </c>
      <c r="F2159" t="s">
        <v>3923</v>
      </c>
      <c r="H2159" t="s">
        <v>17</v>
      </c>
      <c r="I2159" t="s">
        <v>3929</v>
      </c>
    </row>
    <row r="2160" spans="1:9" hidden="1" x14ac:dyDescent="0.3">
      <c r="A2160" t="s">
        <v>1873</v>
      </c>
      <c r="B2160" t="s">
        <v>3859</v>
      </c>
      <c r="C2160" t="s">
        <v>3922</v>
      </c>
      <c r="D2160" t="s">
        <v>13</v>
      </c>
      <c r="E2160" t="s">
        <v>218</v>
      </c>
      <c r="F2160" t="s">
        <v>3923</v>
      </c>
      <c r="H2160" t="s">
        <v>17</v>
      </c>
      <c r="I2160" t="s">
        <v>3930</v>
      </c>
    </row>
    <row r="2161" spans="1:9" hidden="1" x14ac:dyDescent="0.3">
      <c r="A2161" t="s">
        <v>1875</v>
      </c>
      <c r="B2161" t="s">
        <v>3859</v>
      </c>
      <c r="C2161" t="s">
        <v>3922</v>
      </c>
      <c r="D2161" t="s">
        <v>13</v>
      </c>
      <c r="E2161" t="s">
        <v>223</v>
      </c>
      <c r="F2161" t="s">
        <v>3923</v>
      </c>
      <c r="H2161" t="s">
        <v>17</v>
      </c>
      <c r="I2161" t="s">
        <v>3931</v>
      </c>
    </row>
    <row r="2162" spans="1:9" hidden="1" x14ac:dyDescent="0.3">
      <c r="A2162" t="s">
        <v>1882</v>
      </c>
      <c r="B2162" t="s">
        <v>3859</v>
      </c>
      <c r="C2162" t="s">
        <v>3922</v>
      </c>
      <c r="D2162" t="s">
        <v>13</v>
      </c>
      <c r="E2162" t="s">
        <v>228</v>
      </c>
      <c r="F2162" t="s">
        <v>3923</v>
      </c>
      <c r="H2162" t="s">
        <v>17</v>
      </c>
      <c r="I2162" t="s">
        <v>3932</v>
      </c>
    </row>
    <row r="2163" spans="1:9" hidden="1" x14ac:dyDescent="0.3">
      <c r="A2163" t="s">
        <v>1886</v>
      </c>
      <c r="B2163" t="s">
        <v>3859</v>
      </c>
      <c r="C2163" t="s">
        <v>3933</v>
      </c>
      <c r="D2163" t="s">
        <v>13</v>
      </c>
      <c r="E2163" t="s">
        <v>233</v>
      </c>
      <c r="F2163" t="s">
        <v>3934</v>
      </c>
      <c r="H2163" t="s">
        <v>17</v>
      </c>
      <c r="I2163" t="s">
        <v>3924</v>
      </c>
    </row>
    <row r="2164" spans="1:9" hidden="1" x14ac:dyDescent="0.3">
      <c r="A2164" t="s">
        <v>1889</v>
      </c>
      <c r="B2164" t="s">
        <v>3859</v>
      </c>
      <c r="C2164" t="s">
        <v>3933</v>
      </c>
      <c r="D2164" t="s">
        <v>13</v>
      </c>
      <c r="E2164" t="s">
        <v>236</v>
      </c>
      <c r="F2164" t="s">
        <v>3934</v>
      </c>
      <c r="H2164" t="s">
        <v>17</v>
      </c>
      <c r="I2164" t="s">
        <v>3925</v>
      </c>
    </row>
    <row r="2165" spans="1:9" hidden="1" x14ac:dyDescent="0.3">
      <c r="A2165" t="s">
        <v>1893</v>
      </c>
      <c r="B2165" t="s">
        <v>3859</v>
      </c>
      <c r="C2165" t="s">
        <v>3933</v>
      </c>
      <c r="D2165" t="s">
        <v>13</v>
      </c>
      <c r="E2165" t="s">
        <v>239</v>
      </c>
      <c r="F2165" t="s">
        <v>3934</v>
      </c>
      <c r="H2165" t="s">
        <v>17</v>
      </c>
      <c r="I2165" t="s">
        <v>3926</v>
      </c>
    </row>
    <row r="2166" spans="1:9" hidden="1" x14ac:dyDescent="0.3">
      <c r="A2166" t="s">
        <v>1896</v>
      </c>
      <c r="B2166" t="s">
        <v>3859</v>
      </c>
      <c r="C2166" t="s">
        <v>3933</v>
      </c>
      <c r="D2166" t="s">
        <v>13</v>
      </c>
      <c r="E2166" t="s">
        <v>1881</v>
      </c>
      <c r="F2166" t="s">
        <v>3934</v>
      </c>
      <c r="H2166" t="s">
        <v>17</v>
      </c>
      <c r="I2166" t="s">
        <v>3927</v>
      </c>
    </row>
    <row r="2167" spans="1:9" hidden="1" x14ac:dyDescent="0.3">
      <c r="A2167" t="s">
        <v>1898</v>
      </c>
      <c r="B2167" t="s">
        <v>3859</v>
      </c>
      <c r="C2167" t="s">
        <v>3933</v>
      </c>
      <c r="D2167" t="s">
        <v>13</v>
      </c>
      <c r="E2167" t="s">
        <v>1885</v>
      </c>
      <c r="F2167" t="s">
        <v>3934</v>
      </c>
      <c r="H2167" t="s">
        <v>17</v>
      </c>
      <c r="I2167" t="s">
        <v>3928</v>
      </c>
    </row>
    <row r="2168" spans="1:9" hidden="1" x14ac:dyDescent="0.3">
      <c r="A2168" t="s">
        <v>1901</v>
      </c>
      <c r="B2168" t="s">
        <v>3859</v>
      </c>
      <c r="C2168" t="s">
        <v>3933</v>
      </c>
      <c r="D2168" t="s">
        <v>13</v>
      </c>
      <c r="E2168" t="s">
        <v>1588</v>
      </c>
      <c r="F2168" t="s">
        <v>3934</v>
      </c>
      <c r="H2168" t="s">
        <v>17</v>
      </c>
      <c r="I2168" t="s">
        <v>3929</v>
      </c>
    </row>
    <row r="2169" spans="1:9" hidden="1" x14ac:dyDescent="0.3">
      <c r="A2169" t="s">
        <v>1903</v>
      </c>
      <c r="B2169" t="s">
        <v>3859</v>
      </c>
      <c r="C2169" t="s">
        <v>3933</v>
      </c>
      <c r="D2169" t="s">
        <v>13</v>
      </c>
      <c r="E2169" t="s">
        <v>1892</v>
      </c>
      <c r="F2169" t="s">
        <v>3934</v>
      </c>
      <c r="H2169" t="s">
        <v>17</v>
      </c>
      <c r="I2169" t="s">
        <v>3930</v>
      </c>
    </row>
    <row r="2170" spans="1:9" hidden="1" x14ac:dyDescent="0.3">
      <c r="A2170" t="s">
        <v>1905</v>
      </c>
      <c r="B2170" t="s">
        <v>3859</v>
      </c>
      <c r="C2170" t="s">
        <v>3933</v>
      </c>
      <c r="D2170" t="s">
        <v>13</v>
      </c>
      <c r="E2170" t="s">
        <v>1146</v>
      </c>
      <c r="F2170" t="s">
        <v>3934</v>
      </c>
      <c r="H2170" t="s">
        <v>17</v>
      </c>
      <c r="I2170" t="s">
        <v>3935</v>
      </c>
    </row>
    <row r="2171" spans="1:9" hidden="1" x14ac:dyDescent="0.3">
      <c r="A2171" t="s">
        <v>1907</v>
      </c>
      <c r="B2171" t="s">
        <v>3859</v>
      </c>
      <c r="C2171" t="s">
        <v>3933</v>
      </c>
      <c r="D2171" t="s">
        <v>13</v>
      </c>
      <c r="E2171" t="s">
        <v>1150</v>
      </c>
      <c r="F2171" t="s">
        <v>3934</v>
      </c>
      <c r="H2171" t="s">
        <v>17</v>
      </c>
      <c r="I2171" t="s">
        <v>3931</v>
      </c>
    </row>
    <row r="2172" spans="1:9" hidden="1" x14ac:dyDescent="0.3">
      <c r="A2172" t="s">
        <v>1909</v>
      </c>
      <c r="B2172" t="s">
        <v>3859</v>
      </c>
      <c r="C2172" t="s">
        <v>3933</v>
      </c>
      <c r="D2172" t="s">
        <v>13</v>
      </c>
      <c r="E2172" t="s">
        <v>1154</v>
      </c>
      <c r="F2172" t="s">
        <v>3934</v>
      </c>
      <c r="H2172" t="s">
        <v>17</v>
      </c>
      <c r="I2172" t="s">
        <v>3936</v>
      </c>
    </row>
    <row r="2173" spans="1:9" hidden="1" x14ac:dyDescent="0.3">
      <c r="A2173" t="s">
        <v>1914</v>
      </c>
      <c r="B2173" t="s">
        <v>3859</v>
      </c>
      <c r="C2173" t="s">
        <v>3933</v>
      </c>
      <c r="D2173" t="s">
        <v>13</v>
      </c>
      <c r="E2173" t="s">
        <v>1158</v>
      </c>
      <c r="F2173" t="s">
        <v>3934</v>
      </c>
      <c r="H2173" t="s">
        <v>17</v>
      </c>
      <c r="I2173" t="s">
        <v>3932</v>
      </c>
    </row>
    <row r="2174" spans="1:9" hidden="1" x14ac:dyDescent="0.3">
      <c r="A2174" t="s">
        <v>1917</v>
      </c>
      <c r="B2174" t="s">
        <v>3859</v>
      </c>
      <c r="C2174" t="s">
        <v>3937</v>
      </c>
      <c r="D2174" t="s">
        <v>13</v>
      </c>
      <c r="E2174" t="s">
        <v>1162</v>
      </c>
      <c r="F2174" t="s">
        <v>3938</v>
      </c>
      <c r="H2174" t="s">
        <v>17</v>
      </c>
      <c r="I2174" t="s">
        <v>3924</v>
      </c>
    </row>
    <row r="2175" spans="1:9" hidden="1" x14ac:dyDescent="0.3">
      <c r="A2175" t="s">
        <v>1919</v>
      </c>
      <c r="B2175" t="s">
        <v>3859</v>
      </c>
      <c r="C2175" t="s">
        <v>3937</v>
      </c>
      <c r="D2175" t="s">
        <v>13</v>
      </c>
      <c r="E2175" t="s">
        <v>1165</v>
      </c>
      <c r="F2175" t="s">
        <v>3938</v>
      </c>
      <c r="H2175" t="s">
        <v>17</v>
      </c>
      <c r="I2175" t="s">
        <v>3925</v>
      </c>
    </row>
    <row r="2176" spans="1:9" hidden="1" x14ac:dyDescent="0.3">
      <c r="A2176" t="s">
        <v>1921</v>
      </c>
      <c r="B2176" t="s">
        <v>3859</v>
      </c>
      <c r="C2176" t="s">
        <v>3937</v>
      </c>
      <c r="D2176" t="s">
        <v>13</v>
      </c>
      <c r="E2176" t="s">
        <v>1168</v>
      </c>
      <c r="F2176" t="s">
        <v>3938</v>
      </c>
      <c r="H2176" t="s">
        <v>17</v>
      </c>
      <c r="I2176" t="s">
        <v>3926</v>
      </c>
    </row>
    <row r="2177" spans="1:9" hidden="1" x14ac:dyDescent="0.3">
      <c r="A2177" t="s">
        <v>1923</v>
      </c>
      <c r="B2177" t="s">
        <v>3859</v>
      </c>
      <c r="C2177" t="s">
        <v>3937</v>
      </c>
      <c r="D2177" t="s">
        <v>13</v>
      </c>
      <c r="E2177" t="s">
        <v>1172</v>
      </c>
      <c r="F2177" t="s">
        <v>3938</v>
      </c>
      <c r="H2177" t="s">
        <v>17</v>
      </c>
      <c r="I2177" t="s">
        <v>3927</v>
      </c>
    </row>
    <row r="2178" spans="1:9" hidden="1" x14ac:dyDescent="0.3">
      <c r="A2178" t="s">
        <v>1925</v>
      </c>
      <c r="B2178" t="s">
        <v>3859</v>
      </c>
      <c r="C2178" t="s">
        <v>3937</v>
      </c>
      <c r="D2178" t="s">
        <v>13</v>
      </c>
      <c r="E2178" t="s">
        <v>1176</v>
      </c>
      <c r="F2178" t="s">
        <v>3938</v>
      </c>
      <c r="H2178" t="s">
        <v>17</v>
      </c>
      <c r="I2178" t="s">
        <v>3928</v>
      </c>
    </row>
    <row r="2179" spans="1:9" hidden="1" x14ac:dyDescent="0.3">
      <c r="A2179" t="s">
        <v>1927</v>
      </c>
      <c r="B2179" t="s">
        <v>3859</v>
      </c>
      <c r="C2179" t="s">
        <v>3937</v>
      </c>
      <c r="D2179" t="s">
        <v>13</v>
      </c>
      <c r="E2179" t="s">
        <v>1179</v>
      </c>
      <c r="F2179" t="s">
        <v>3938</v>
      </c>
      <c r="H2179" t="s">
        <v>17</v>
      </c>
      <c r="I2179" t="s">
        <v>3929</v>
      </c>
    </row>
    <row r="2180" spans="1:9" hidden="1" x14ac:dyDescent="0.3">
      <c r="A2180" t="s">
        <v>1929</v>
      </c>
      <c r="B2180" t="s">
        <v>3859</v>
      </c>
      <c r="C2180" t="s">
        <v>3937</v>
      </c>
      <c r="D2180" t="s">
        <v>13</v>
      </c>
      <c r="E2180" t="s">
        <v>1184</v>
      </c>
      <c r="F2180" t="s">
        <v>3938</v>
      </c>
      <c r="H2180" t="s">
        <v>17</v>
      </c>
      <c r="I2180" t="s">
        <v>3930</v>
      </c>
    </row>
    <row r="2181" spans="1:9" hidden="1" x14ac:dyDescent="0.3">
      <c r="A2181" t="s">
        <v>1931</v>
      </c>
      <c r="B2181" t="s">
        <v>3859</v>
      </c>
      <c r="C2181" t="s">
        <v>3937</v>
      </c>
      <c r="D2181" t="s">
        <v>13</v>
      </c>
      <c r="E2181" t="s">
        <v>1189</v>
      </c>
      <c r="F2181" t="s">
        <v>3938</v>
      </c>
      <c r="H2181" t="s">
        <v>17</v>
      </c>
      <c r="I2181" t="s">
        <v>3935</v>
      </c>
    </row>
    <row r="2182" spans="1:9" hidden="1" x14ac:dyDescent="0.3">
      <c r="A2182" t="s">
        <v>1933</v>
      </c>
      <c r="B2182" t="s">
        <v>3859</v>
      </c>
      <c r="C2182" t="s">
        <v>3937</v>
      </c>
      <c r="D2182" t="s">
        <v>13</v>
      </c>
      <c r="E2182" t="s">
        <v>1193</v>
      </c>
      <c r="F2182" t="s">
        <v>3938</v>
      </c>
      <c r="H2182" t="s">
        <v>17</v>
      </c>
      <c r="I2182" t="s">
        <v>3931</v>
      </c>
    </row>
    <row r="2183" spans="1:9" hidden="1" x14ac:dyDescent="0.3">
      <c r="A2183" t="s">
        <v>2671</v>
      </c>
      <c r="B2183" t="s">
        <v>3859</v>
      </c>
      <c r="C2183" t="s">
        <v>3937</v>
      </c>
      <c r="D2183" t="s">
        <v>13</v>
      </c>
      <c r="E2183" t="s">
        <v>1197</v>
      </c>
      <c r="F2183" t="s">
        <v>3938</v>
      </c>
      <c r="H2183" t="s">
        <v>17</v>
      </c>
      <c r="I2183" t="s">
        <v>3936</v>
      </c>
    </row>
    <row r="2184" spans="1:9" hidden="1" x14ac:dyDescent="0.3">
      <c r="A2184" t="s">
        <v>2676</v>
      </c>
      <c r="B2184" t="s">
        <v>3859</v>
      </c>
      <c r="C2184" t="s">
        <v>3937</v>
      </c>
      <c r="D2184" t="s">
        <v>1936</v>
      </c>
      <c r="E2184" t="s">
        <v>996</v>
      </c>
      <c r="F2184" t="s">
        <v>3938</v>
      </c>
      <c r="H2184" t="s">
        <v>17</v>
      </c>
      <c r="I2184" t="s">
        <v>3932</v>
      </c>
    </row>
    <row r="2185" spans="1:9" hidden="1" x14ac:dyDescent="0.3">
      <c r="A2185" t="s">
        <v>2679</v>
      </c>
      <c r="B2185" t="s">
        <v>3859</v>
      </c>
      <c r="C2185" t="s">
        <v>3939</v>
      </c>
      <c r="D2185" t="s">
        <v>1936</v>
      </c>
      <c r="E2185" t="s">
        <v>1001</v>
      </c>
      <c r="F2185" t="s">
        <v>3940</v>
      </c>
      <c r="H2185" t="s">
        <v>17</v>
      </c>
      <c r="I2185" t="s">
        <v>3941</v>
      </c>
    </row>
    <row r="2186" spans="1:9" hidden="1" x14ac:dyDescent="0.3">
      <c r="A2186" t="s">
        <v>23</v>
      </c>
      <c r="B2186" t="s">
        <v>3859</v>
      </c>
      <c r="C2186" t="s">
        <v>3939</v>
      </c>
      <c r="D2186" t="s">
        <v>1936</v>
      </c>
      <c r="E2186" t="s">
        <v>1942</v>
      </c>
      <c r="F2186" t="s">
        <v>3942</v>
      </c>
      <c r="H2186" t="s">
        <v>17</v>
      </c>
      <c r="I2186" t="s">
        <v>3941</v>
      </c>
    </row>
    <row r="2187" spans="1:9" hidden="1" x14ac:dyDescent="0.3">
      <c r="A2187" t="s">
        <v>28</v>
      </c>
      <c r="B2187" t="s">
        <v>3859</v>
      </c>
      <c r="C2187" t="s">
        <v>3939</v>
      </c>
      <c r="D2187" t="s">
        <v>1936</v>
      </c>
      <c r="E2187" t="s">
        <v>22</v>
      </c>
      <c r="F2187" t="s">
        <v>3943</v>
      </c>
      <c r="H2187" t="s">
        <v>17</v>
      </c>
      <c r="I2187" t="s">
        <v>3941</v>
      </c>
    </row>
    <row r="2188" spans="1:9" hidden="1" x14ac:dyDescent="0.3">
      <c r="A2188" t="s">
        <v>33</v>
      </c>
      <c r="B2188" t="s">
        <v>3859</v>
      </c>
      <c r="C2188" t="s">
        <v>3939</v>
      </c>
      <c r="D2188" t="s">
        <v>1936</v>
      </c>
      <c r="E2188" t="s">
        <v>27</v>
      </c>
      <c r="F2188" t="s">
        <v>3944</v>
      </c>
      <c r="H2188" t="s">
        <v>17</v>
      </c>
      <c r="I2188" t="s">
        <v>3941</v>
      </c>
    </row>
    <row r="2189" spans="1:9" hidden="1" x14ac:dyDescent="0.3">
      <c r="A2189" t="s">
        <v>2687</v>
      </c>
      <c r="B2189" t="s">
        <v>3859</v>
      </c>
      <c r="C2189" t="s">
        <v>3939</v>
      </c>
      <c r="D2189" t="s">
        <v>1936</v>
      </c>
      <c r="E2189" t="s">
        <v>1014</v>
      </c>
      <c r="F2189" t="s">
        <v>3945</v>
      </c>
      <c r="H2189" t="s">
        <v>17</v>
      </c>
      <c r="I2189" t="s">
        <v>3941</v>
      </c>
    </row>
    <row r="2190" spans="1:9" hidden="1" x14ac:dyDescent="0.3">
      <c r="A2190" t="s">
        <v>37</v>
      </c>
      <c r="B2190" t="s">
        <v>3859</v>
      </c>
      <c r="C2190" t="s">
        <v>3939</v>
      </c>
      <c r="D2190" t="s">
        <v>1936</v>
      </c>
      <c r="E2190" t="s">
        <v>1017</v>
      </c>
      <c r="F2190" t="s">
        <v>3946</v>
      </c>
      <c r="H2190" t="s">
        <v>17</v>
      </c>
      <c r="I2190" t="s">
        <v>3941</v>
      </c>
    </row>
    <row r="2191" spans="1:9" hidden="1" x14ac:dyDescent="0.3">
      <c r="A2191" t="s">
        <v>42</v>
      </c>
      <c r="B2191" t="s">
        <v>3859</v>
      </c>
      <c r="C2191" t="s">
        <v>3939</v>
      </c>
      <c r="D2191" t="s">
        <v>1936</v>
      </c>
      <c r="E2191" t="s">
        <v>36</v>
      </c>
      <c r="F2191" t="s">
        <v>3947</v>
      </c>
      <c r="H2191" t="s">
        <v>17</v>
      </c>
      <c r="I2191" t="s">
        <v>3941</v>
      </c>
    </row>
    <row r="2192" spans="1:9" hidden="1" x14ac:dyDescent="0.3">
      <c r="A2192" t="s">
        <v>46</v>
      </c>
      <c r="B2192" t="s">
        <v>3859</v>
      </c>
      <c r="C2192" t="s">
        <v>3939</v>
      </c>
      <c r="D2192" t="s">
        <v>1936</v>
      </c>
      <c r="E2192" t="s">
        <v>41</v>
      </c>
      <c r="F2192" t="s">
        <v>3948</v>
      </c>
      <c r="H2192" t="s">
        <v>17</v>
      </c>
      <c r="I2192" t="s">
        <v>3941</v>
      </c>
    </row>
    <row r="2193" spans="1:9" hidden="1" x14ac:dyDescent="0.3">
      <c r="A2193" t="s">
        <v>51</v>
      </c>
      <c r="B2193" t="s">
        <v>3859</v>
      </c>
      <c r="C2193" t="s">
        <v>3939</v>
      </c>
      <c r="D2193" t="s">
        <v>1936</v>
      </c>
      <c r="E2193" t="s">
        <v>45</v>
      </c>
      <c r="F2193" t="s">
        <v>3949</v>
      </c>
      <c r="H2193" t="s">
        <v>17</v>
      </c>
      <c r="I2193" t="s">
        <v>3941</v>
      </c>
    </row>
    <row r="2194" spans="1:9" hidden="1" x14ac:dyDescent="0.3">
      <c r="A2194" t="s">
        <v>54</v>
      </c>
      <c r="B2194" t="s">
        <v>3859</v>
      </c>
      <c r="C2194" t="s">
        <v>3939</v>
      </c>
      <c r="D2194" t="s">
        <v>1936</v>
      </c>
      <c r="E2194" t="s">
        <v>50</v>
      </c>
      <c r="F2194" t="s">
        <v>3950</v>
      </c>
      <c r="H2194" t="s">
        <v>17</v>
      </c>
      <c r="I2194" t="s">
        <v>3941</v>
      </c>
    </row>
    <row r="2195" spans="1:9" hidden="1" x14ac:dyDescent="0.3">
      <c r="A2195" t="s">
        <v>57</v>
      </c>
      <c r="B2195" t="s">
        <v>3859</v>
      </c>
      <c r="C2195" t="s">
        <v>3939</v>
      </c>
      <c r="D2195" t="s">
        <v>1936</v>
      </c>
      <c r="E2195" t="s">
        <v>53</v>
      </c>
      <c r="F2195" t="s">
        <v>3951</v>
      </c>
      <c r="H2195" t="s">
        <v>17</v>
      </c>
      <c r="I2195" t="s">
        <v>3941</v>
      </c>
    </row>
    <row r="2196" spans="1:9" hidden="1" x14ac:dyDescent="0.3">
      <c r="A2196" t="s">
        <v>62</v>
      </c>
      <c r="B2196" t="s">
        <v>3859</v>
      </c>
      <c r="C2196" t="s">
        <v>3939</v>
      </c>
      <c r="D2196" t="s">
        <v>1936</v>
      </c>
      <c r="E2196" t="s">
        <v>56</v>
      </c>
      <c r="F2196" t="s">
        <v>3952</v>
      </c>
      <c r="H2196" t="s">
        <v>17</v>
      </c>
      <c r="I2196" t="s">
        <v>3941</v>
      </c>
    </row>
    <row r="2197" spans="1:9" hidden="1" x14ac:dyDescent="0.3">
      <c r="A2197" t="s">
        <v>67</v>
      </c>
      <c r="B2197" t="s">
        <v>3859</v>
      </c>
      <c r="C2197" t="s">
        <v>3939</v>
      </c>
      <c r="D2197" t="s">
        <v>1936</v>
      </c>
      <c r="E2197" t="s">
        <v>61</v>
      </c>
      <c r="F2197" t="s">
        <v>3953</v>
      </c>
      <c r="H2197" t="s">
        <v>17</v>
      </c>
      <c r="I2197" t="s">
        <v>3954</v>
      </c>
    </row>
    <row r="2198" spans="1:9" hidden="1" x14ac:dyDescent="0.3">
      <c r="A2198" t="s">
        <v>77</v>
      </c>
      <c r="B2198" t="s">
        <v>3859</v>
      </c>
      <c r="C2198" t="s">
        <v>3939</v>
      </c>
      <c r="D2198" t="s">
        <v>1936</v>
      </c>
      <c r="E2198" t="s">
        <v>1039</v>
      </c>
      <c r="F2198" t="s">
        <v>3955</v>
      </c>
      <c r="H2198" t="s">
        <v>17</v>
      </c>
      <c r="I2198" t="s">
        <v>3956</v>
      </c>
    </row>
    <row r="2199" spans="1:9" hidden="1" x14ac:dyDescent="0.3">
      <c r="A2199" t="s">
        <v>81</v>
      </c>
      <c r="B2199" t="s">
        <v>3859</v>
      </c>
      <c r="C2199" t="s">
        <v>3939</v>
      </c>
      <c r="D2199" t="s">
        <v>1936</v>
      </c>
      <c r="E2199" t="s">
        <v>1043</v>
      </c>
      <c r="F2199" t="s">
        <v>3957</v>
      </c>
      <c r="H2199" t="s">
        <v>17</v>
      </c>
      <c r="I2199" t="s">
        <v>3893</v>
      </c>
    </row>
    <row r="2200" spans="1:9" hidden="1" x14ac:dyDescent="0.3">
      <c r="A2200" t="s">
        <v>86</v>
      </c>
      <c r="B2200" t="s">
        <v>3859</v>
      </c>
      <c r="C2200" t="s">
        <v>3939</v>
      </c>
      <c r="D2200" t="s">
        <v>1936</v>
      </c>
      <c r="E2200" t="s">
        <v>71</v>
      </c>
      <c r="F2200" t="s">
        <v>3958</v>
      </c>
      <c r="H2200" t="s">
        <v>17</v>
      </c>
      <c r="I2200" t="s">
        <v>3893</v>
      </c>
    </row>
    <row r="2201" spans="1:9" hidden="1" x14ac:dyDescent="0.3">
      <c r="A2201" t="s">
        <v>91</v>
      </c>
      <c r="B2201" t="s">
        <v>3859</v>
      </c>
      <c r="C2201" t="s">
        <v>3939</v>
      </c>
      <c r="D2201" t="s">
        <v>1936</v>
      </c>
      <c r="E2201" t="s">
        <v>1050</v>
      </c>
      <c r="F2201" t="s">
        <v>3959</v>
      </c>
      <c r="H2201" t="s">
        <v>17</v>
      </c>
      <c r="I2201" t="s">
        <v>3893</v>
      </c>
    </row>
    <row r="2202" spans="1:9" hidden="1" x14ac:dyDescent="0.3">
      <c r="A2202" t="s">
        <v>96</v>
      </c>
      <c r="B2202" t="s">
        <v>3859</v>
      </c>
      <c r="C2202" t="s">
        <v>3939</v>
      </c>
      <c r="D2202" t="s">
        <v>1936</v>
      </c>
      <c r="E2202" t="s">
        <v>1055</v>
      </c>
      <c r="F2202" t="s">
        <v>3960</v>
      </c>
      <c r="H2202" t="s">
        <v>17</v>
      </c>
      <c r="I2202" t="s">
        <v>3893</v>
      </c>
    </row>
    <row r="2203" spans="1:9" hidden="1" x14ac:dyDescent="0.3">
      <c r="A2203" t="s">
        <v>101</v>
      </c>
      <c r="B2203" t="s">
        <v>3859</v>
      </c>
      <c r="C2203" t="s">
        <v>3939</v>
      </c>
      <c r="D2203" t="s">
        <v>1936</v>
      </c>
      <c r="E2203" t="s">
        <v>80</v>
      </c>
      <c r="F2203" t="s">
        <v>3961</v>
      </c>
      <c r="H2203" t="s">
        <v>17</v>
      </c>
      <c r="I2203" t="s">
        <v>3893</v>
      </c>
    </row>
    <row r="2204" spans="1:9" hidden="1" x14ac:dyDescent="0.3">
      <c r="A2204" t="s">
        <v>112</v>
      </c>
      <c r="B2204" t="s">
        <v>3859</v>
      </c>
      <c r="C2204" t="s">
        <v>3939</v>
      </c>
      <c r="D2204" t="s">
        <v>1936</v>
      </c>
      <c r="E2204" t="s">
        <v>85</v>
      </c>
      <c r="F2204" t="s">
        <v>3962</v>
      </c>
      <c r="H2204" t="s">
        <v>17</v>
      </c>
      <c r="I2204" t="s">
        <v>3893</v>
      </c>
    </row>
    <row r="2205" spans="1:9" hidden="1" x14ac:dyDescent="0.3">
      <c r="A2205" t="s">
        <v>115</v>
      </c>
      <c r="B2205" t="s">
        <v>3859</v>
      </c>
      <c r="C2205" t="s">
        <v>3963</v>
      </c>
      <c r="D2205" t="s">
        <v>1936</v>
      </c>
      <c r="E2205" t="s">
        <v>90</v>
      </c>
      <c r="F2205" t="s">
        <v>3964</v>
      </c>
      <c r="H2205" t="s">
        <v>17</v>
      </c>
      <c r="I2205" t="s">
        <v>3965</v>
      </c>
    </row>
    <row r="2206" spans="1:9" hidden="1" x14ac:dyDescent="0.3">
      <c r="A2206" t="s">
        <v>118</v>
      </c>
      <c r="B2206" t="s">
        <v>3859</v>
      </c>
      <c r="C2206" t="s">
        <v>3963</v>
      </c>
      <c r="D2206" t="s">
        <v>1936</v>
      </c>
      <c r="E2206" t="s">
        <v>95</v>
      </c>
      <c r="F2206" t="s">
        <v>3519</v>
      </c>
      <c r="H2206" t="s">
        <v>17</v>
      </c>
      <c r="I2206" t="s">
        <v>3965</v>
      </c>
    </row>
    <row r="2207" spans="1:9" hidden="1" x14ac:dyDescent="0.3">
      <c r="A2207" t="s">
        <v>122</v>
      </c>
      <c r="B2207" t="s">
        <v>3859</v>
      </c>
      <c r="C2207" t="s">
        <v>3963</v>
      </c>
      <c r="D2207" t="s">
        <v>1936</v>
      </c>
      <c r="E2207" t="s">
        <v>100</v>
      </c>
      <c r="F2207" t="s">
        <v>2825</v>
      </c>
      <c r="H2207" t="s">
        <v>17</v>
      </c>
      <c r="I2207" t="s">
        <v>3965</v>
      </c>
    </row>
    <row r="2208" spans="1:9" hidden="1" x14ac:dyDescent="0.3">
      <c r="A2208" t="s">
        <v>127</v>
      </c>
      <c r="B2208" t="s">
        <v>3859</v>
      </c>
      <c r="C2208" t="s">
        <v>3963</v>
      </c>
      <c r="D2208" t="s">
        <v>1936</v>
      </c>
      <c r="E2208" t="s">
        <v>106</v>
      </c>
      <c r="F2208" t="s">
        <v>2821</v>
      </c>
      <c r="H2208" t="s">
        <v>17</v>
      </c>
      <c r="I2208" t="s">
        <v>3965</v>
      </c>
    </row>
    <row r="2209" spans="1:9" hidden="1" x14ac:dyDescent="0.3">
      <c r="A2209" t="s">
        <v>130</v>
      </c>
      <c r="B2209" t="s">
        <v>3859</v>
      </c>
      <c r="C2209" t="s">
        <v>3963</v>
      </c>
      <c r="D2209" t="s">
        <v>1936</v>
      </c>
      <c r="E2209" t="s">
        <v>111</v>
      </c>
      <c r="F2209" t="s">
        <v>2827</v>
      </c>
      <c r="H2209" t="s">
        <v>17</v>
      </c>
      <c r="I2209" t="s">
        <v>3965</v>
      </c>
    </row>
    <row r="2210" spans="1:9" hidden="1" x14ac:dyDescent="0.3">
      <c r="A2210" t="s">
        <v>133</v>
      </c>
      <c r="B2210" t="s">
        <v>3859</v>
      </c>
      <c r="C2210" t="s">
        <v>3963</v>
      </c>
      <c r="D2210" t="s">
        <v>1936</v>
      </c>
      <c r="E2210" t="s">
        <v>114</v>
      </c>
      <c r="F2210" t="s">
        <v>3525</v>
      </c>
      <c r="H2210" t="s">
        <v>17</v>
      </c>
      <c r="I2210" t="s">
        <v>3965</v>
      </c>
    </row>
    <row r="2211" spans="1:9" hidden="1" x14ac:dyDescent="0.3">
      <c r="A2211" t="s">
        <v>136</v>
      </c>
      <c r="B2211" t="s">
        <v>3859</v>
      </c>
      <c r="C2211" t="s">
        <v>3963</v>
      </c>
      <c r="D2211" t="s">
        <v>1936</v>
      </c>
      <c r="E2211" t="s">
        <v>117</v>
      </c>
      <c r="F2211" t="s">
        <v>3966</v>
      </c>
      <c r="H2211" t="s">
        <v>17</v>
      </c>
      <c r="I2211" t="s">
        <v>3965</v>
      </c>
    </row>
    <row r="2212" spans="1:9" hidden="1" x14ac:dyDescent="0.3">
      <c r="A2212" t="s">
        <v>139</v>
      </c>
      <c r="B2212" t="s">
        <v>3859</v>
      </c>
      <c r="C2212" t="s">
        <v>3963</v>
      </c>
      <c r="D2212" t="s">
        <v>1936</v>
      </c>
      <c r="E2212" t="s">
        <v>121</v>
      </c>
      <c r="F2212" t="s">
        <v>3967</v>
      </c>
      <c r="H2212" t="s">
        <v>17</v>
      </c>
      <c r="I2212" t="s">
        <v>3965</v>
      </c>
    </row>
    <row r="2213" spans="1:9" hidden="1" x14ac:dyDescent="0.3">
      <c r="A2213" t="s">
        <v>142</v>
      </c>
      <c r="B2213" t="s">
        <v>3859</v>
      </c>
      <c r="C2213" t="s">
        <v>3963</v>
      </c>
      <c r="D2213" t="s">
        <v>1936</v>
      </c>
      <c r="E2213" t="s">
        <v>126</v>
      </c>
      <c r="F2213" t="s">
        <v>3968</v>
      </c>
      <c r="H2213" t="s">
        <v>17</v>
      </c>
      <c r="I2213" t="s">
        <v>3965</v>
      </c>
    </row>
    <row r="2214" spans="1:9" hidden="1" x14ac:dyDescent="0.3">
      <c r="A2214" t="s">
        <v>145</v>
      </c>
      <c r="B2214" t="s">
        <v>3859</v>
      </c>
      <c r="C2214" t="s">
        <v>3963</v>
      </c>
      <c r="D2214" t="s">
        <v>1936</v>
      </c>
      <c r="E2214" t="s">
        <v>129</v>
      </c>
      <c r="F2214" t="s">
        <v>3533</v>
      </c>
      <c r="H2214" t="s">
        <v>17</v>
      </c>
      <c r="I2214" t="s">
        <v>3965</v>
      </c>
    </row>
    <row r="2215" spans="1:9" hidden="1" x14ac:dyDescent="0.3">
      <c r="A2215" t="s">
        <v>148</v>
      </c>
      <c r="B2215" t="s">
        <v>3859</v>
      </c>
      <c r="C2215" t="s">
        <v>3963</v>
      </c>
      <c r="D2215" t="s">
        <v>1936</v>
      </c>
      <c r="E2215" t="s">
        <v>132</v>
      </c>
      <c r="F2215" t="s">
        <v>3969</v>
      </c>
      <c r="H2215" t="s">
        <v>17</v>
      </c>
      <c r="I2215" t="s">
        <v>3965</v>
      </c>
    </row>
    <row r="2216" spans="1:9" hidden="1" x14ac:dyDescent="0.3">
      <c r="A2216" t="s">
        <v>153</v>
      </c>
      <c r="B2216" t="s">
        <v>3859</v>
      </c>
      <c r="C2216" t="s">
        <v>3963</v>
      </c>
      <c r="D2216" t="s">
        <v>1936</v>
      </c>
      <c r="E2216" t="s">
        <v>135</v>
      </c>
      <c r="F2216" t="s">
        <v>2823</v>
      </c>
      <c r="H2216" t="s">
        <v>17</v>
      </c>
      <c r="I2216" t="s">
        <v>3965</v>
      </c>
    </row>
    <row r="2217" spans="1:9" hidden="1" x14ac:dyDescent="0.3">
      <c r="A2217" t="s">
        <v>158</v>
      </c>
      <c r="B2217" t="s">
        <v>3859</v>
      </c>
      <c r="C2217" t="s">
        <v>3963</v>
      </c>
      <c r="D2217" t="s">
        <v>1936</v>
      </c>
      <c r="E2217" t="s">
        <v>138</v>
      </c>
      <c r="F2217" t="s">
        <v>3970</v>
      </c>
      <c r="H2217" t="s">
        <v>17</v>
      </c>
      <c r="I2217" t="s">
        <v>3965</v>
      </c>
    </row>
    <row r="2218" spans="1:9" hidden="1" x14ac:dyDescent="0.3">
      <c r="A2218" t="s">
        <v>163</v>
      </c>
      <c r="B2218" t="s">
        <v>3859</v>
      </c>
      <c r="C2218" t="s">
        <v>3963</v>
      </c>
      <c r="D2218" t="s">
        <v>1936</v>
      </c>
      <c r="E2218" t="s">
        <v>141</v>
      </c>
      <c r="F2218" t="s">
        <v>3470</v>
      </c>
      <c r="H2218" t="s">
        <v>17</v>
      </c>
      <c r="I2218" t="s">
        <v>3965</v>
      </c>
    </row>
    <row r="2219" spans="1:9" hidden="1" x14ac:dyDescent="0.3">
      <c r="A2219" t="s">
        <v>168</v>
      </c>
      <c r="B2219" t="s">
        <v>3859</v>
      </c>
      <c r="C2219" t="s">
        <v>3963</v>
      </c>
      <c r="D2219" t="s">
        <v>1936</v>
      </c>
      <c r="E2219" t="s">
        <v>144</v>
      </c>
      <c r="F2219" t="s">
        <v>3971</v>
      </c>
      <c r="H2219" t="s">
        <v>17</v>
      </c>
      <c r="I2219" t="s">
        <v>3965</v>
      </c>
    </row>
    <row r="2220" spans="1:9" hidden="1" x14ac:dyDescent="0.3">
      <c r="A2220" t="s">
        <v>173</v>
      </c>
      <c r="B2220" t="s">
        <v>3859</v>
      </c>
      <c r="C2220" t="s">
        <v>3963</v>
      </c>
      <c r="D2220" t="s">
        <v>1936</v>
      </c>
      <c r="E2220" t="s">
        <v>2902</v>
      </c>
      <c r="F2220" t="s">
        <v>3972</v>
      </c>
      <c r="H2220" t="s">
        <v>17</v>
      </c>
      <c r="I2220" t="s">
        <v>3973</v>
      </c>
    </row>
    <row r="2221" spans="1:9" hidden="1" x14ac:dyDescent="0.3">
      <c r="A2221" t="s">
        <v>178</v>
      </c>
      <c r="B2221" t="s">
        <v>3859</v>
      </c>
      <c r="C2221" t="s">
        <v>3963</v>
      </c>
      <c r="D2221" t="s">
        <v>1936</v>
      </c>
      <c r="E2221" t="s">
        <v>157</v>
      </c>
      <c r="F2221" t="s">
        <v>3974</v>
      </c>
      <c r="H2221" t="s">
        <v>17</v>
      </c>
      <c r="I2221" t="s">
        <v>3975</v>
      </c>
    </row>
    <row r="2222" spans="1:9" hidden="1" x14ac:dyDescent="0.3">
      <c r="A2222" t="s">
        <v>183</v>
      </c>
      <c r="B2222" t="s">
        <v>3859</v>
      </c>
      <c r="C2222" t="s">
        <v>3963</v>
      </c>
      <c r="D2222" t="s">
        <v>1936</v>
      </c>
      <c r="E2222" t="s">
        <v>1100</v>
      </c>
      <c r="F2222" t="s">
        <v>3976</v>
      </c>
      <c r="H2222" t="s">
        <v>17</v>
      </c>
      <c r="I2222" t="s">
        <v>3973</v>
      </c>
    </row>
    <row r="2223" spans="1:9" hidden="1" x14ac:dyDescent="0.3">
      <c r="A2223" t="s">
        <v>188</v>
      </c>
      <c r="B2223" t="s">
        <v>3859</v>
      </c>
      <c r="C2223" t="s">
        <v>3963</v>
      </c>
      <c r="D2223" t="s">
        <v>1936</v>
      </c>
      <c r="E2223" t="s">
        <v>1109</v>
      </c>
      <c r="F2223" t="s">
        <v>3977</v>
      </c>
      <c r="H2223" t="s">
        <v>17</v>
      </c>
      <c r="I2223" t="s">
        <v>3973</v>
      </c>
    </row>
    <row r="2224" spans="1:9" hidden="1" x14ac:dyDescent="0.3">
      <c r="A2224" t="s">
        <v>194</v>
      </c>
      <c r="B2224" t="s">
        <v>3859</v>
      </c>
      <c r="C2224" t="s">
        <v>3963</v>
      </c>
      <c r="D2224" t="s">
        <v>1936</v>
      </c>
      <c r="E2224" t="s">
        <v>1114</v>
      </c>
      <c r="F2224" t="s">
        <v>3978</v>
      </c>
      <c r="H2224" t="s">
        <v>17</v>
      </c>
      <c r="I2224" t="s">
        <v>3979</v>
      </c>
    </row>
    <row r="2225" spans="1:9" hidden="1" x14ac:dyDescent="0.3">
      <c r="A2225" t="s">
        <v>199</v>
      </c>
      <c r="B2225" t="s">
        <v>3859</v>
      </c>
      <c r="C2225" t="s">
        <v>3963</v>
      </c>
      <c r="D2225" t="s">
        <v>1936</v>
      </c>
      <c r="E2225" t="s">
        <v>1118</v>
      </c>
      <c r="F2225" t="s">
        <v>3980</v>
      </c>
      <c r="H2225" t="s">
        <v>17</v>
      </c>
      <c r="I2225" t="s">
        <v>3981</v>
      </c>
    </row>
    <row r="2226" spans="1:9" hidden="1" x14ac:dyDescent="0.3">
      <c r="A2226" t="s">
        <v>203</v>
      </c>
      <c r="B2226" t="s">
        <v>3859</v>
      </c>
      <c r="C2226" t="s">
        <v>3963</v>
      </c>
      <c r="D2226" t="s">
        <v>1936</v>
      </c>
      <c r="E2226" t="s">
        <v>210</v>
      </c>
      <c r="F2226" t="s">
        <v>3982</v>
      </c>
      <c r="H2226" t="s">
        <v>17</v>
      </c>
      <c r="I2226" t="s">
        <v>2589</v>
      </c>
    </row>
    <row r="2227" spans="1:9" hidden="1" x14ac:dyDescent="0.3">
      <c r="A2227" t="s">
        <v>207</v>
      </c>
      <c r="B2227" t="s">
        <v>3859</v>
      </c>
      <c r="C2227" t="s">
        <v>3963</v>
      </c>
      <c r="D2227" t="s">
        <v>1936</v>
      </c>
      <c r="E2227" t="s">
        <v>214</v>
      </c>
      <c r="F2227" t="s">
        <v>2918</v>
      </c>
      <c r="H2227" t="s">
        <v>17</v>
      </c>
      <c r="I2227" t="s">
        <v>3983</v>
      </c>
    </row>
    <row r="2228" spans="1:9" hidden="1" x14ac:dyDescent="0.3">
      <c r="A2228" t="s">
        <v>211</v>
      </c>
      <c r="B2228" t="s">
        <v>3859</v>
      </c>
      <c r="C2228" t="s">
        <v>3963</v>
      </c>
      <c r="D2228" t="s">
        <v>1936</v>
      </c>
      <c r="E2228" t="s">
        <v>218</v>
      </c>
      <c r="F2228" t="s">
        <v>3984</v>
      </c>
      <c r="H2228" t="s">
        <v>17</v>
      </c>
      <c r="I2228" t="s">
        <v>3985</v>
      </c>
    </row>
    <row r="2229" spans="1:9" hidden="1" x14ac:dyDescent="0.3">
      <c r="A2229" t="s">
        <v>215</v>
      </c>
      <c r="B2229" t="s">
        <v>3859</v>
      </c>
      <c r="C2229" t="s">
        <v>3963</v>
      </c>
      <c r="D2229" t="s">
        <v>1936</v>
      </c>
      <c r="E2229" t="s">
        <v>223</v>
      </c>
      <c r="F2229" t="s">
        <v>3986</v>
      </c>
      <c r="H2229" t="s">
        <v>17</v>
      </c>
      <c r="I2229" t="s">
        <v>3987</v>
      </c>
    </row>
    <row r="2230" spans="1:9" hidden="1" x14ac:dyDescent="0.3">
      <c r="A2230" t="s">
        <v>1584</v>
      </c>
      <c r="B2230" t="s">
        <v>3859</v>
      </c>
      <c r="C2230" t="s">
        <v>3963</v>
      </c>
      <c r="D2230" t="s">
        <v>1936</v>
      </c>
      <c r="E2230" t="s">
        <v>228</v>
      </c>
      <c r="F2230" t="s">
        <v>3988</v>
      </c>
      <c r="H2230" t="s">
        <v>17</v>
      </c>
      <c r="I2230" t="s">
        <v>3989</v>
      </c>
    </row>
    <row r="2231" spans="1:9" hidden="1" x14ac:dyDescent="0.3">
      <c r="A2231" t="s">
        <v>219</v>
      </c>
      <c r="B2231" t="s">
        <v>3859</v>
      </c>
      <c r="C2231" t="s">
        <v>3963</v>
      </c>
      <c r="D2231" t="s">
        <v>1936</v>
      </c>
      <c r="E2231" t="s">
        <v>233</v>
      </c>
      <c r="F2231" t="s">
        <v>3990</v>
      </c>
      <c r="H2231" t="s">
        <v>17</v>
      </c>
      <c r="I2231" t="s">
        <v>3991</v>
      </c>
    </row>
    <row r="2232" spans="1:9" hidden="1" x14ac:dyDescent="0.3">
      <c r="A2232" t="s">
        <v>224</v>
      </c>
      <c r="B2232" t="s">
        <v>3859</v>
      </c>
      <c r="C2232" t="s">
        <v>3963</v>
      </c>
      <c r="D2232" t="s">
        <v>1936</v>
      </c>
      <c r="E2232" t="s">
        <v>236</v>
      </c>
      <c r="F2232" t="s">
        <v>797</v>
      </c>
      <c r="H2232" t="s">
        <v>17</v>
      </c>
      <c r="I2232" t="s">
        <v>3992</v>
      </c>
    </row>
    <row r="2233" spans="1:9" hidden="1" x14ac:dyDescent="0.3">
      <c r="A2233" t="s">
        <v>229</v>
      </c>
      <c r="B2233" t="s">
        <v>3859</v>
      </c>
      <c r="C2233" t="s">
        <v>3963</v>
      </c>
      <c r="D2233" t="s">
        <v>1936</v>
      </c>
      <c r="E2233" t="s">
        <v>3267</v>
      </c>
      <c r="F2233" t="s">
        <v>747</v>
      </c>
      <c r="H2233" t="s">
        <v>17</v>
      </c>
    </row>
    <row r="2234" spans="1:9" hidden="1" x14ac:dyDescent="0.3">
      <c r="A2234" t="s">
        <v>234</v>
      </c>
      <c r="B2234" t="s">
        <v>3859</v>
      </c>
      <c r="C2234" t="s">
        <v>3963</v>
      </c>
      <c r="D2234" t="s">
        <v>1936</v>
      </c>
      <c r="E2234" t="s">
        <v>1885</v>
      </c>
      <c r="F2234" t="s">
        <v>3993</v>
      </c>
      <c r="H2234" t="s">
        <v>17</v>
      </c>
      <c r="I2234" t="s">
        <v>3994</v>
      </c>
    </row>
    <row r="2235" spans="1:9" hidden="1" x14ac:dyDescent="0.3">
      <c r="A2235" t="s">
        <v>237</v>
      </c>
      <c r="B2235" t="s">
        <v>3859</v>
      </c>
      <c r="C2235" t="s">
        <v>3963</v>
      </c>
      <c r="D2235" t="s">
        <v>1936</v>
      </c>
      <c r="E2235" t="s">
        <v>1588</v>
      </c>
      <c r="F2235" t="s">
        <v>2621</v>
      </c>
      <c r="H2235" t="s">
        <v>17</v>
      </c>
      <c r="I2235" t="s">
        <v>3995</v>
      </c>
    </row>
    <row r="2236" spans="1:9" hidden="1" x14ac:dyDescent="0.3">
      <c r="A2236" t="s">
        <v>240</v>
      </c>
      <c r="B2236" t="s">
        <v>3859</v>
      </c>
      <c r="C2236" t="s">
        <v>3963</v>
      </c>
      <c r="D2236" t="s">
        <v>1936</v>
      </c>
      <c r="E2236" t="s">
        <v>1892</v>
      </c>
      <c r="F2236" t="s">
        <v>3996</v>
      </c>
      <c r="H2236" t="s">
        <v>17</v>
      </c>
    </row>
    <row r="2237" spans="1:9" hidden="1" x14ac:dyDescent="0.3">
      <c r="A2237" t="s">
        <v>246</v>
      </c>
      <c r="B2237" t="s">
        <v>3859</v>
      </c>
      <c r="C2237" t="s">
        <v>3963</v>
      </c>
      <c r="D2237" t="s">
        <v>1936</v>
      </c>
      <c r="E2237" t="s">
        <v>1146</v>
      </c>
      <c r="F2237" t="s">
        <v>843</v>
      </c>
      <c r="H2237" t="s">
        <v>17</v>
      </c>
      <c r="I2237" t="s">
        <v>2209</v>
      </c>
    </row>
    <row r="2238" spans="1:9" hidden="1" x14ac:dyDescent="0.3">
      <c r="A2238" t="s">
        <v>251</v>
      </c>
      <c r="B2238" t="s">
        <v>3859</v>
      </c>
      <c r="C2238" t="s">
        <v>3963</v>
      </c>
      <c r="D2238" t="s">
        <v>1936</v>
      </c>
      <c r="E2238" t="s">
        <v>1150</v>
      </c>
      <c r="F2238" t="s">
        <v>3997</v>
      </c>
      <c r="H2238" t="s">
        <v>17</v>
      </c>
      <c r="I2238" t="s">
        <v>3998</v>
      </c>
    </row>
    <row r="2239" spans="1:9" hidden="1" x14ac:dyDescent="0.3">
      <c r="A2239" t="s">
        <v>254</v>
      </c>
      <c r="B2239" t="s">
        <v>3859</v>
      </c>
      <c r="C2239" t="s">
        <v>3963</v>
      </c>
      <c r="D2239" t="s">
        <v>1936</v>
      </c>
      <c r="E2239" t="s">
        <v>1154</v>
      </c>
      <c r="F2239" t="s">
        <v>3999</v>
      </c>
      <c r="H2239" t="s">
        <v>17</v>
      </c>
    </row>
    <row r="2240" spans="1:9" hidden="1" x14ac:dyDescent="0.3">
      <c r="A2240" t="s">
        <v>257</v>
      </c>
      <c r="B2240" t="s">
        <v>3859</v>
      </c>
      <c r="C2240" t="s">
        <v>3963</v>
      </c>
      <c r="D2240" t="s">
        <v>1936</v>
      </c>
      <c r="E2240" t="s">
        <v>1158</v>
      </c>
      <c r="F2240" t="s">
        <v>4000</v>
      </c>
      <c r="H2240" t="s">
        <v>17</v>
      </c>
      <c r="I2240" t="s">
        <v>4001</v>
      </c>
    </row>
    <row r="2241" spans="1:9" hidden="1" x14ac:dyDescent="0.3">
      <c r="A2241" t="s">
        <v>260</v>
      </c>
      <c r="B2241" t="s">
        <v>3859</v>
      </c>
      <c r="C2241" t="s">
        <v>3963</v>
      </c>
      <c r="D2241" t="s">
        <v>1936</v>
      </c>
      <c r="E2241" t="s">
        <v>1162</v>
      </c>
      <c r="F2241" t="s">
        <v>4002</v>
      </c>
      <c r="H2241" t="s">
        <v>17</v>
      </c>
      <c r="I2241" t="s">
        <v>4003</v>
      </c>
    </row>
    <row r="2242" spans="1:9" hidden="1" x14ac:dyDescent="0.3">
      <c r="A2242" t="s">
        <v>263</v>
      </c>
      <c r="B2242" t="s">
        <v>3859</v>
      </c>
      <c r="C2242" t="s">
        <v>3963</v>
      </c>
      <c r="D2242" t="s">
        <v>1936</v>
      </c>
      <c r="E2242" t="s">
        <v>1165</v>
      </c>
      <c r="F2242" t="s">
        <v>4004</v>
      </c>
      <c r="H2242" t="s">
        <v>17</v>
      </c>
      <c r="I2242" t="s">
        <v>4005</v>
      </c>
    </row>
    <row r="2243" spans="1:9" hidden="1" x14ac:dyDescent="0.3">
      <c r="A2243" t="s">
        <v>266</v>
      </c>
      <c r="B2243" t="s">
        <v>3859</v>
      </c>
      <c r="C2243" t="s">
        <v>3963</v>
      </c>
      <c r="D2243" t="s">
        <v>1936</v>
      </c>
      <c r="E2243" t="s">
        <v>1168</v>
      </c>
      <c r="F2243" t="s">
        <v>4006</v>
      </c>
      <c r="H2243" t="s">
        <v>17</v>
      </c>
      <c r="I2243" t="s">
        <v>4001</v>
      </c>
    </row>
    <row r="2244" spans="1:9" hidden="1" x14ac:dyDescent="0.3">
      <c r="A2244" t="s">
        <v>10</v>
      </c>
      <c r="B2244" t="s">
        <v>3859</v>
      </c>
      <c r="C2244" t="s">
        <v>3963</v>
      </c>
      <c r="D2244" t="s">
        <v>1936</v>
      </c>
      <c r="E2244" t="s">
        <v>2939</v>
      </c>
      <c r="F2244" t="s">
        <v>2944</v>
      </c>
      <c r="H2244" t="s">
        <v>17</v>
      </c>
      <c r="I2244" t="s">
        <v>4007</v>
      </c>
    </row>
    <row r="2245" spans="1:9" hidden="1" x14ac:dyDescent="0.3">
      <c r="A2245" t="s">
        <v>1742</v>
      </c>
      <c r="B2245" t="s">
        <v>4008</v>
      </c>
      <c r="F2245" t="s">
        <v>4009</v>
      </c>
    </row>
    <row r="2246" spans="1:9" hidden="1" x14ac:dyDescent="0.3">
      <c r="A2246" t="s">
        <v>1744</v>
      </c>
      <c r="B2246" t="s">
        <v>4008</v>
      </c>
      <c r="D2246" t="s">
        <v>13</v>
      </c>
      <c r="E2246" t="s">
        <v>14</v>
      </c>
      <c r="F2246" t="s">
        <v>3861</v>
      </c>
      <c r="H2246" t="s">
        <v>17</v>
      </c>
    </row>
    <row r="2247" spans="1:9" hidden="1" x14ac:dyDescent="0.3">
      <c r="A2247" t="s">
        <v>1747</v>
      </c>
      <c r="B2247" t="s">
        <v>4008</v>
      </c>
      <c r="D2247" t="s">
        <v>13</v>
      </c>
      <c r="E2247" t="s">
        <v>1743</v>
      </c>
      <c r="F2247" t="s">
        <v>2672</v>
      </c>
      <c r="H2247" t="s">
        <v>17</v>
      </c>
      <c r="I2247" t="s">
        <v>4010</v>
      </c>
    </row>
    <row r="2248" spans="1:9" hidden="1" x14ac:dyDescent="0.3">
      <c r="A2248" t="s">
        <v>1750</v>
      </c>
      <c r="B2248" t="s">
        <v>4008</v>
      </c>
      <c r="D2248" t="s">
        <v>13</v>
      </c>
      <c r="E2248" t="s">
        <v>996</v>
      </c>
      <c r="F2248" t="s">
        <v>4011</v>
      </c>
      <c r="H2248" t="s">
        <v>17</v>
      </c>
      <c r="I2248" t="s">
        <v>3363</v>
      </c>
    </row>
    <row r="2249" spans="1:9" hidden="1" x14ac:dyDescent="0.3">
      <c r="A2249" t="s">
        <v>1752</v>
      </c>
      <c r="B2249" t="s">
        <v>4008</v>
      </c>
      <c r="D2249" t="s">
        <v>13</v>
      </c>
      <c r="E2249" t="s">
        <v>1001</v>
      </c>
      <c r="F2249" t="s">
        <v>4012</v>
      </c>
      <c r="H2249" t="s">
        <v>17</v>
      </c>
      <c r="I2249" t="s">
        <v>4013</v>
      </c>
    </row>
    <row r="2250" spans="1:9" hidden="1" x14ac:dyDescent="0.3">
      <c r="A2250" t="s">
        <v>1754</v>
      </c>
      <c r="B2250" t="s">
        <v>4008</v>
      </c>
      <c r="D2250" t="s">
        <v>13</v>
      </c>
      <c r="E2250" t="s">
        <v>1942</v>
      </c>
      <c r="F2250" t="s">
        <v>4014</v>
      </c>
      <c r="H2250" t="s">
        <v>17</v>
      </c>
      <c r="I2250" t="s">
        <v>4015</v>
      </c>
    </row>
    <row r="2251" spans="1:9" hidden="1" x14ac:dyDescent="0.3">
      <c r="A2251" t="s">
        <v>1757</v>
      </c>
      <c r="B2251" t="s">
        <v>4008</v>
      </c>
      <c r="D2251" t="s">
        <v>13</v>
      </c>
      <c r="E2251" t="s">
        <v>22</v>
      </c>
      <c r="F2251" t="s">
        <v>4016</v>
      </c>
      <c r="H2251" t="s">
        <v>807</v>
      </c>
      <c r="I2251" t="s">
        <v>4017</v>
      </c>
    </row>
    <row r="2252" spans="1:9" hidden="1" x14ac:dyDescent="0.3">
      <c r="A2252" t="s">
        <v>1760</v>
      </c>
      <c r="B2252" t="s">
        <v>4008</v>
      </c>
      <c r="D2252" t="s">
        <v>13</v>
      </c>
      <c r="E2252" t="s">
        <v>27</v>
      </c>
      <c r="F2252" t="s">
        <v>4018</v>
      </c>
      <c r="H2252" t="s">
        <v>17</v>
      </c>
      <c r="I2252" t="s">
        <v>4019</v>
      </c>
    </row>
    <row r="2253" spans="1:9" hidden="1" x14ac:dyDescent="0.3">
      <c r="A2253" t="s">
        <v>1763</v>
      </c>
      <c r="B2253" t="s">
        <v>4008</v>
      </c>
      <c r="D2253" t="s">
        <v>13</v>
      </c>
      <c r="E2253" t="s">
        <v>1014</v>
      </c>
      <c r="F2253" t="s">
        <v>4020</v>
      </c>
      <c r="H2253" t="s">
        <v>17</v>
      </c>
      <c r="I2253" t="s">
        <v>4021</v>
      </c>
    </row>
    <row r="2254" spans="1:9" hidden="1" x14ac:dyDescent="0.3">
      <c r="A2254" t="s">
        <v>1765</v>
      </c>
      <c r="B2254" t="s">
        <v>4008</v>
      </c>
      <c r="D2254" t="s">
        <v>13</v>
      </c>
      <c r="E2254" t="s">
        <v>1017</v>
      </c>
      <c r="F2254" t="s">
        <v>4022</v>
      </c>
      <c r="H2254" t="s">
        <v>17</v>
      </c>
      <c r="I2254" t="s">
        <v>4023</v>
      </c>
    </row>
    <row r="2255" spans="1:9" hidden="1" x14ac:dyDescent="0.3">
      <c r="A2255" t="s">
        <v>1768</v>
      </c>
      <c r="B2255" t="s">
        <v>4008</v>
      </c>
      <c r="D2255" t="s">
        <v>13</v>
      </c>
      <c r="E2255" t="s">
        <v>36</v>
      </c>
      <c r="F2255" t="s">
        <v>4024</v>
      </c>
      <c r="H2255" t="s">
        <v>17</v>
      </c>
      <c r="I2255" t="s">
        <v>3880</v>
      </c>
    </row>
    <row r="2256" spans="1:9" hidden="1" x14ac:dyDescent="0.3">
      <c r="A2256" t="s">
        <v>1771</v>
      </c>
      <c r="B2256" t="s">
        <v>4008</v>
      </c>
      <c r="D2256" t="s">
        <v>13</v>
      </c>
      <c r="E2256" t="s">
        <v>45</v>
      </c>
      <c r="F2256" t="s">
        <v>4025</v>
      </c>
      <c r="H2256" t="s">
        <v>807</v>
      </c>
      <c r="I2256" t="s">
        <v>4026</v>
      </c>
    </row>
    <row r="2257" spans="1:9" hidden="1" x14ac:dyDescent="0.3">
      <c r="A2257" t="s">
        <v>1775</v>
      </c>
      <c r="B2257" t="s">
        <v>4008</v>
      </c>
      <c r="D2257" t="s">
        <v>13</v>
      </c>
      <c r="E2257" t="s">
        <v>50</v>
      </c>
      <c r="F2257" t="s">
        <v>4027</v>
      </c>
      <c r="H2257" t="s">
        <v>17</v>
      </c>
      <c r="I2257" t="s">
        <v>4028</v>
      </c>
    </row>
    <row r="2258" spans="1:9" hidden="1" x14ac:dyDescent="0.3">
      <c r="A2258" t="s">
        <v>1777</v>
      </c>
      <c r="B2258" t="s">
        <v>4008</v>
      </c>
      <c r="D2258" t="s">
        <v>13</v>
      </c>
      <c r="E2258" t="s">
        <v>53</v>
      </c>
      <c r="F2258" t="s">
        <v>4029</v>
      </c>
      <c r="H2258" t="s">
        <v>17</v>
      </c>
      <c r="I2258" t="s">
        <v>3880</v>
      </c>
    </row>
    <row r="2259" spans="1:9" hidden="1" x14ac:dyDescent="0.3">
      <c r="A2259" t="s">
        <v>1779</v>
      </c>
      <c r="B2259" t="s">
        <v>4008</v>
      </c>
      <c r="D2259" t="s">
        <v>13</v>
      </c>
      <c r="E2259" t="s">
        <v>56</v>
      </c>
      <c r="F2259" t="s">
        <v>4030</v>
      </c>
      <c r="H2259" t="s">
        <v>17</v>
      </c>
      <c r="I2259" t="s">
        <v>3880</v>
      </c>
    </row>
    <row r="2260" spans="1:9" hidden="1" x14ac:dyDescent="0.3">
      <c r="A2260" t="s">
        <v>1781</v>
      </c>
      <c r="B2260" t="s">
        <v>4008</v>
      </c>
      <c r="D2260" t="s">
        <v>13</v>
      </c>
      <c r="E2260" t="s">
        <v>61</v>
      </c>
      <c r="F2260" t="s">
        <v>4031</v>
      </c>
      <c r="H2260" t="s">
        <v>17</v>
      </c>
      <c r="I2260" t="s">
        <v>4023</v>
      </c>
    </row>
    <row r="2261" spans="1:9" hidden="1" x14ac:dyDescent="0.3">
      <c r="A2261" t="s">
        <v>1784</v>
      </c>
      <c r="B2261" t="s">
        <v>4008</v>
      </c>
      <c r="D2261" t="s">
        <v>13</v>
      </c>
      <c r="E2261" t="s">
        <v>1039</v>
      </c>
      <c r="F2261" t="s">
        <v>4032</v>
      </c>
      <c r="H2261" t="s">
        <v>807</v>
      </c>
      <c r="I2261" t="s">
        <v>4033</v>
      </c>
    </row>
    <row r="2262" spans="1:9" hidden="1" x14ac:dyDescent="0.3">
      <c r="A2262" t="s">
        <v>1787</v>
      </c>
      <c r="B2262" t="s">
        <v>4008</v>
      </c>
      <c r="D2262" t="s">
        <v>13</v>
      </c>
      <c r="E2262" t="s">
        <v>1043</v>
      </c>
      <c r="F2262" t="s">
        <v>4034</v>
      </c>
      <c r="H2262" t="s">
        <v>17</v>
      </c>
      <c r="I2262" t="s">
        <v>4035</v>
      </c>
    </row>
    <row r="2263" spans="1:9" hidden="1" x14ac:dyDescent="0.3">
      <c r="A2263" t="s">
        <v>1789</v>
      </c>
      <c r="B2263" t="s">
        <v>4008</v>
      </c>
      <c r="D2263" t="s">
        <v>13</v>
      </c>
      <c r="E2263" t="s">
        <v>71</v>
      </c>
      <c r="F2263" t="s">
        <v>4036</v>
      </c>
      <c r="H2263" t="s">
        <v>17</v>
      </c>
      <c r="I2263" t="s">
        <v>4035</v>
      </c>
    </row>
    <row r="2264" spans="1:9" hidden="1" x14ac:dyDescent="0.3">
      <c r="A2264" t="s">
        <v>1793</v>
      </c>
      <c r="B2264" t="s">
        <v>4008</v>
      </c>
      <c r="D2264" t="s">
        <v>13</v>
      </c>
      <c r="E2264" t="s">
        <v>1050</v>
      </c>
      <c r="F2264" t="s">
        <v>4037</v>
      </c>
      <c r="H2264" t="s">
        <v>17</v>
      </c>
      <c r="I2264" t="s">
        <v>3880</v>
      </c>
    </row>
    <row r="2265" spans="1:9" hidden="1" x14ac:dyDescent="0.3">
      <c r="A2265" t="s">
        <v>1795</v>
      </c>
      <c r="B2265" t="s">
        <v>4008</v>
      </c>
      <c r="D2265" t="s">
        <v>13</v>
      </c>
      <c r="E2265" t="s">
        <v>1055</v>
      </c>
      <c r="F2265" t="s">
        <v>4038</v>
      </c>
      <c r="H2265" t="s">
        <v>17</v>
      </c>
      <c r="I2265" t="s">
        <v>3880</v>
      </c>
    </row>
    <row r="2266" spans="1:9" hidden="1" x14ac:dyDescent="0.3">
      <c r="A2266" t="s">
        <v>1798</v>
      </c>
      <c r="B2266" t="s">
        <v>4008</v>
      </c>
      <c r="D2266" t="s">
        <v>13</v>
      </c>
      <c r="E2266" t="s">
        <v>80</v>
      </c>
      <c r="F2266" t="s">
        <v>4039</v>
      </c>
      <c r="H2266" t="s">
        <v>17</v>
      </c>
      <c r="I2266" t="s">
        <v>3880</v>
      </c>
    </row>
    <row r="2267" spans="1:9" hidden="1" x14ac:dyDescent="0.3">
      <c r="A2267" t="s">
        <v>1801</v>
      </c>
      <c r="B2267" t="s">
        <v>4008</v>
      </c>
      <c r="D2267" t="s">
        <v>13</v>
      </c>
      <c r="E2267" t="s">
        <v>85</v>
      </c>
      <c r="F2267" t="s">
        <v>4040</v>
      </c>
      <c r="H2267" t="s">
        <v>17</v>
      </c>
      <c r="I2267" t="s">
        <v>3880</v>
      </c>
    </row>
    <row r="2268" spans="1:9" hidden="1" x14ac:dyDescent="0.3">
      <c r="A2268" t="s">
        <v>1806</v>
      </c>
      <c r="B2268" t="s">
        <v>4008</v>
      </c>
      <c r="D2268" t="s">
        <v>13</v>
      </c>
      <c r="E2268" t="s">
        <v>90</v>
      </c>
      <c r="F2268" t="s">
        <v>4041</v>
      </c>
      <c r="H2268" t="s">
        <v>17</v>
      </c>
      <c r="I2268" t="s">
        <v>3880</v>
      </c>
    </row>
    <row r="2269" spans="1:9" hidden="1" x14ac:dyDescent="0.3">
      <c r="A2269" t="s">
        <v>1808</v>
      </c>
      <c r="B2269" t="s">
        <v>4008</v>
      </c>
      <c r="C2269" t="s">
        <v>4042</v>
      </c>
      <c r="D2269" t="s">
        <v>13</v>
      </c>
      <c r="E2269" t="s">
        <v>95</v>
      </c>
      <c r="F2269" t="s">
        <v>4043</v>
      </c>
      <c r="H2269" t="s">
        <v>17</v>
      </c>
      <c r="I2269" t="s">
        <v>4044</v>
      </c>
    </row>
    <row r="2270" spans="1:9" hidden="1" x14ac:dyDescent="0.3">
      <c r="A2270" t="s">
        <v>1811</v>
      </c>
      <c r="B2270" t="s">
        <v>4008</v>
      </c>
      <c r="C2270" t="s">
        <v>4042</v>
      </c>
      <c r="D2270" t="s">
        <v>13</v>
      </c>
      <c r="E2270" t="s">
        <v>100</v>
      </c>
      <c r="F2270" t="s">
        <v>4045</v>
      </c>
      <c r="H2270" t="s">
        <v>17</v>
      </c>
      <c r="I2270" t="s">
        <v>4044</v>
      </c>
    </row>
    <row r="2271" spans="1:9" hidden="1" x14ac:dyDescent="0.3">
      <c r="A2271" t="s">
        <v>1818</v>
      </c>
      <c r="B2271" t="s">
        <v>4008</v>
      </c>
      <c r="C2271" t="s">
        <v>4042</v>
      </c>
      <c r="D2271" t="s">
        <v>13</v>
      </c>
      <c r="E2271" t="s">
        <v>106</v>
      </c>
      <c r="F2271" t="s">
        <v>4046</v>
      </c>
      <c r="H2271" t="s">
        <v>17</v>
      </c>
      <c r="I2271" t="s">
        <v>4044</v>
      </c>
    </row>
    <row r="2272" spans="1:9" hidden="1" x14ac:dyDescent="0.3">
      <c r="A2272" t="s">
        <v>1820</v>
      </c>
      <c r="B2272" t="s">
        <v>4008</v>
      </c>
      <c r="C2272" t="s">
        <v>4047</v>
      </c>
      <c r="D2272" t="s">
        <v>13</v>
      </c>
      <c r="E2272" t="s">
        <v>111</v>
      </c>
      <c r="F2272" t="s">
        <v>4048</v>
      </c>
      <c r="H2272" t="s">
        <v>17</v>
      </c>
      <c r="I2272" t="s">
        <v>4044</v>
      </c>
    </row>
    <row r="2273" spans="1:9" hidden="1" x14ac:dyDescent="0.3">
      <c r="A2273" t="s">
        <v>1822</v>
      </c>
      <c r="B2273" t="s">
        <v>4008</v>
      </c>
      <c r="C2273" t="s">
        <v>4047</v>
      </c>
      <c r="D2273" t="s">
        <v>13</v>
      </c>
      <c r="E2273" t="s">
        <v>114</v>
      </c>
      <c r="F2273" t="s">
        <v>4049</v>
      </c>
      <c r="H2273" t="s">
        <v>17</v>
      </c>
      <c r="I2273" t="s">
        <v>4044</v>
      </c>
    </row>
    <row r="2274" spans="1:9" hidden="1" x14ac:dyDescent="0.3">
      <c r="A2274" t="s">
        <v>1826</v>
      </c>
      <c r="B2274" t="s">
        <v>4008</v>
      </c>
      <c r="C2274" t="s">
        <v>4047</v>
      </c>
      <c r="D2274" t="s">
        <v>13</v>
      </c>
      <c r="E2274" t="s">
        <v>117</v>
      </c>
      <c r="F2274" t="s">
        <v>4050</v>
      </c>
      <c r="H2274" t="s">
        <v>17</v>
      </c>
      <c r="I2274" t="s">
        <v>4044</v>
      </c>
    </row>
    <row r="2275" spans="1:9" hidden="1" x14ac:dyDescent="0.3">
      <c r="A2275" t="s">
        <v>1828</v>
      </c>
      <c r="B2275" t="s">
        <v>4008</v>
      </c>
      <c r="C2275" t="s">
        <v>4051</v>
      </c>
      <c r="D2275" t="s">
        <v>13</v>
      </c>
      <c r="E2275" t="s">
        <v>121</v>
      </c>
      <c r="F2275" t="s">
        <v>4052</v>
      </c>
      <c r="H2275" t="s">
        <v>17</v>
      </c>
      <c r="I2275" t="s">
        <v>4044</v>
      </c>
    </row>
    <row r="2276" spans="1:9" hidden="1" x14ac:dyDescent="0.3">
      <c r="A2276" t="s">
        <v>1831</v>
      </c>
      <c r="B2276" t="s">
        <v>4008</v>
      </c>
      <c r="C2276" t="s">
        <v>4051</v>
      </c>
      <c r="D2276" t="s">
        <v>13</v>
      </c>
      <c r="E2276" t="s">
        <v>126</v>
      </c>
      <c r="F2276" t="s">
        <v>4053</v>
      </c>
      <c r="H2276" t="s">
        <v>17</v>
      </c>
      <c r="I2276" t="s">
        <v>4044</v>
      </c>
    </row>
    <row r="2277" spans="1:9" hidden="1" x14ac:dyDescent="0.3">
      <c r="A2277" t="s">
        <v>1833</v>
      </c>
      <c r="B2277" t="s">
        <v>4008</v>
      </c>
      <c r="C2277" t="s">
        <v>4051</v>
      </c>
      <c r="D2277" t="s">
        <v>13</v>
      </c>
      <c r="E2277" t="s">
        <v>129</v>
      </c>
      <c r="F2277" t="s">
        <v>4054</v>
      </c>
      <c r="H2277" t="s">
        <v>17</v>
      </c>
      <c r="I2277" t="s">
        <v>4044</v>
      </c>
    </row>
    <row r="2278" spans="1:9" hidden="1" x14ac:dyDescent="0.3">
      <c r="A2278" t="s">
        <v>1836</v>
      </c>
      <c r="B2278" t="s">
        <v>4008</v>
      </c>
      <c r="C2278" t="s">
        <v>4051</v>
      </c>
      <c r="D2278" t="s">
        <v>13</v>
      </c>
      <c r="E2278" t="s">
        <v>132</v>
      </c>
      <c r="F2278" t="s">
        <v>4055</v>
      </c>
      <c r="H2278" t="s">
        <v>807</v>
      </c>
      <c r="I2278" t="s">
        <v>4056</v>
      </c>
    </row>
    <row r="2279" spans="1:9" hidden="1" x14ac:dyDescent="0.3">
      <c r="A2279" t="s">
        <v>1838</v>
      </c>
      <c r="B2279" t="s">
        <v>4008</v>
      </c>
      <c r="C2279" t="s">
        <v>4051</v>
      </c>
      <c r="D2279" t="s">
        <v>13</v>
      </c>
      <c r="E2279" t="s">
        <v>135</v>
      </c>
      <c r="F2279" t="s">
        <v>4057</v>
      </c>
      <c r="H2279" t="s">
        <v>807</v>
      </c>
      <c r="I2279" t="s">
        <v>4058</v>
      </c>
    </row>
    <row r="2280" spans="1:9" hidden="1" x14ac:dyDescent="0.3">
      <c r="A2280" t="s">
        <v>1843</v>
      </c>
      <c r="B2280" t="s">
        <v>4008</v>
      </c>
      <c r="C2280" t="s">
        <v>4051</v>
      </c>
      <c r="D2280" t="s">
        <v>13</v>
      </c>
      <c r="E2280" t="s">
        <v>138</v>
      </c>
      <c r="F2280" t="s">
        <v>4059</v>
      </c>
      <c r="H2280" t="s">
        <v>17</v>
      </c>
      <c r="I2280" t="s">
        <v>4060</v>
      </c>
    </row>
    <row r="2281" spans="1:9" hidden="1" x14ac:dyDescent="0.3">
      <c r="A2281" t="s">
        <v>1847</v>
      </c>
      <c r="B2281" t="s">
        <v>4008</v>
      </c>
      <c r="C2281" t="s">
        <v>4061</v>
      </c>
      <c r="D2281" t="s">
        <v>13</v>
      </c>
      <c r="E2281" t="s">
        <v>141</v>
      </c>
      <c r="F2281" t="s">
        <v>4062</v>
      </c>
      <c r="H2281" t="s">
        <v>17</v>
      </c>
      <c r="I2281" t="s">
        <v>3880</v>
      </c>
    </row>
    <row r="2282" spans="1:9" hidden="1" x14ac:dyDescent="0.3">
      <c r="A2282" t="s">
        <v>1849</v>
      </c>
      <c r="B2282" t="s">
        <v>4008</v>
      </c>
      <c r="C2282" t="s">
        <v>4061</v>
      </c>
      <c r="D2282" t="s">
        <v>13</v>
      </c>
      <c r="E2282" t="s">
        <v>144</v>
      </c>
      <c r="F2282" t="s">
        <v>4063</v>
      </c>
      <c r="H2282" t="s">
        <v>17</v>
      </c>
      <c r="I2282" t="s">
        <v>3880</v>
      </c>
    </row>
    <row r="2283" spans="1:9" hidden="1" x14ac:dyDescent="0.3">
      <c r="A2283" t="s">
        <v>1851</v>
      </c>
      <c r="B2283" t="s">
        <v>4008</v>
      </c>
      <c r="C2283" t="s">
        <v>4061</v>
      </c>
      <c r="D2283" t="s">
        <v>13</v>
      </c>
      <c r="E2283" t="s">
        <v>147</v>
      </c>
      <c r="F2283" t="s">
        <v>4064</v>
      </c>
      <c r="H2283" t="s">
        <v>17</v>
      </c>
      <c r="I2283" t="s">
        <v>3880</v>
      </c>
    </row>
    <row r="2284" spans="1:9" hidden="1" x14ac:dyDescent="0.3">
      <c r="A2284" t="s">
        <v>1853</v>
      </c>
      <c r="B2284" t="s">
        <v>4008</v>
      </c>
      <c r="C2284" t="s">
        <v>4061</v>
      </c>
      <c r="D2284" t="s">
        <v>13</v>
      </c>
      <c r="E2284" t="s">
        <v>152</v>
      </c>
      <c r="F2284" t="s">
        <v>4065</v>
      </c>
      <c r="H2284" t="s">
        <v>17</v>
      </c>
      <c r="I2284" t="s">
        <v>3880</v>
      </c>
    </row>
    <row r="2285" spans="1:9" hidden="1" x14ac:dyDescent="0.3">
      <c r="A2285" t="s">
        <v>1855</v>
      </c>
      <c r="B2285" t="s">
        <v>4008</v>
      </c>
      <c r="C2285" t="s">
        <v>4061</v>
      </c>
      <c r="D2285" t="s">
        <v>13</v>
      </c>
      <c r="E2285" t="s">
        <v>157</v>
      </c>
      <c r="F2285" t="s">
        <v>4066</v>
      </c>
      <c r="H2285" t="s">
        <v>17</v>
      </c>
      <c r="I2285" t="s">
        <v>3880</v>
      </c>
    </row>
    <row r="2286" spans="1:9" hidden="1" x14ac:dyDescent="0.3">
      <c r="A2286" t="s">
        <v>1857</v>
      </c>
      <c r="B2286" t="s">
        <v>4008</v>
      </c>
      <c r="C2286" t="s">
        <v>4061</v>
      </c>
      <c r="D2286" t="s">
        <v>13</v>
      </c>
      <c r="E2286" t="s">
        <v>162</v>
      </c>
      <c r="F2286" t="s">
        <v>4067</v>
      </c>
      <c r="H2286" t="s">
        <v>17</v>
      </c>
      <c r="I2286" t="s">
        <v>3880</v>
      </c>
    </row>
    <row r="2287" spans="1:9" hidden="1" x14ac:dyDescent="0.3">
      <c r="A2287" t="s">
        <v>1859</v>
      </c>
      <c r="B2287" t="s">
        <v>4008</v>
      </c>
      <c r="C2287" t="s">
        <v>4061</v>
      </c>
      <c r="D2287" t="s">
        <v>13</v>
      </c>
      <c r="E2287" t="s">
        <v>167</v>
      </c>
      <c r="F2287" t="s">
        <v>4068</v>
      </c>
      <c r="H2287" t="s">
        <v>17</v>
      </c>
      <c r="I2287" t="s">
        <v>3880</v>
      </c>
    </row>
    <row r="2288" spans="1:9" hidden="1" x14ac:dyDescent="0.3">
      <c r="A2288" t="s">
        <v>1861</v>
      </c>
      <c r="B2288" t="s">
        <v>4008</v>
      </c>
      <c r="C2288" t="s">
        <v>4061</v>
      </c>
      <c r="D2288" t="s">
        <v>13</v>
      </c>
      <c r="E2288" t="s">
        <v>172</v>
      </c>
      <c r="F2288" t="s">
        <v>4069</v>
      </c>
      <c r="H2288" t="s">
        <v>17</v>
      </c>
      <c r="I2288" t="s">
        <v>3880</v>
      </c>
    </row>
    <row r="2289" spans="1:9" hidden="1" x14ac:dyDescent="0.3">
      <c r="A2289" t="s">
        <v>1863</v>
      </c>
      <c r="B2289" t="s">
        <v>4008</v>
      </c>
      <c r="C2289" t="s">
        <v>4061</v>
      </c>
      <c r="D2289" t="s">
        <v>13</v>
      </c>
      <c r="E2289" t="s">
        <v>177</v>
      </c>
      <c r="F2289" t="s">
        <v>4070</v>
      </c>
      <c r="H2289" t="s">
        <v>17</v>
      </c>
      <c r="I2289" t="s">
        <v>3880</v>
      </c>
    </row>
    <row r="2290" spans="1:9" hidden="1" x14ac:dyDescent="0.3">
      <c r="A2290" t="s">
        <v>1867</v>
      </c>
      <c r="B2290" t="s">
        <v>4008</v>
      </c>
      <c r="C2290" t="s">
        <v>4061</v>
      </c>
      <c r="D2290" t="s">
        <v>13</v>
      </c>
      <c r="E2290" t="s">
        <v>182</v>
      </c>
      <c r="F2290" t="s">
        <v>4071</v>
      </c>
      <c r="H2290" t="s">
        <v>17</v>
      </c>
      <c r="I2290" t="s">
        <v>3880</v>
      </c>
    </row>
    <row r="2291" spans="1:9" hidden="1" x14ac:dyDescent="0.3">
      <c r="A2291" t="s">
        <v>1869</v>
      </c>
      <c r="B2291" t="s">
        <v>4008</v>
      </c>
      <c r="C2291" t="s">
        <v>4072</v>
      </c>
      <c r="D2291" t="s">
        <v>13</v>
      </c>
      <c r="E2291" t="s">
        <v>187</v>
      </c>
      <c r="F2291" t="s">
        <v>4073</v>
      </c>
      <c r="H2291" t="s">
        <v>17</v>
      </c>
      <c r="I2291" t="s">
        <v>3880</v>
      </c>
    </row>
    <row r="2292" spans="1:9" hidden="1" x14ac:dyDescent="0.3">
      <c r="A2292" t="s">
        <v>1871</v>
      </c>
      <c r="B2292" t="s">
        <v>4008</v>
      </c>
      <c r="C2292" t="s">
        <v>4072</v>
      </c>
      <c r="D2292" t="s">
        <v>13</v>
      </c>
      <c r="E2292" t="s">
        <v>193</v>
      </c>
      <c r="F2292" t="s">
        <v>4074</v>
      </c>
      <c r="H2292" t="s">
        <v>17</v>
      </c>
      <c r="I2292" t="s">
        <v>3880</v>
      </c>
    </row>
    <row r="2293" spans="1:9" hidden="1" x14ac:dyDescent="0.3">
      <c r="A2293" t="s">
        <v>1873</v>
      </c>
      <c r="B2293" t="s">
        <v>4008</v>
      </c>
      <c r="C2293" t="s">
        <v>4072</v>
      </c>
      <c r="D2293" t="s">
        <v>13</v>
      </c>
      <c r="E2293" t="s">
        <v>198</v>
      </c>
      <c r="F2293" t="s">
        <v>4075</v>
      </c>
      <c r="H2293" t="s">
        <v>17</v>
      </c>
      <c r="I2293" t="s">
        <v>3880</v>
      </c>
    </row>
    <row r="2294" spans="1:9" hidden="1" x14ac:dyDescent="0.3">
      <c r="A2294" t="s">
        <v>1875</v>
      </c>
      <c r="B2294" t="s">
        <v>4008</v>
      </c>
      <c r="C2294" t="s">
        <v>4072</v>
      </c>
      <c r="D2294" t="s">
        <v>13</v>
      </c>
      <c r="E2294" t="s">
        <v>202</v>
      </c>
      <c r="F2294" t="s">
        <v>4076</v>
      </c>
      <c r="H2294" t="s">
        <v>17</v>
      </c>
      <c r="I2294" t="s">
        <v>3880</v>
      </c>
    </row>
    <row r="2295" spans="1:9" hidden="1" x14ac:dyDescent="0.3">
      <c r="A2295" t="s">
        <v>1878</v>
      </c>
      <c r="B2295" t="s">
        <v>4008</v>
      </c>
      <c r="C2295" t="s">
        <v>4072</v>
      </c>
      <c r="D2295" t="s">
        <v>13</v>
      </c>
      <c r="E2295" t="s">
        <v>206</v>
      </c>
      <c r="F2295" t="s">
        <v>4077</v>
      </c>
      <c r="H2295" t="s">
        <v>17</v>
      </c>
      <c r="I2295" t="s">
        <v>3880</v>
      </c>
    </row>
    <row r="2296" spans="1:9" hidden="1" x14ac:dyDescent="0.3">
      <c r="A2296" t="s">
        <v>1882</v>
      </c>
      <c r="B2296" t="s">
        <v>4008</v>
      </c>
      <c r="C2296" t="s">
        <v>4072</v>
      </c>
      <c r="D2296" t="s">
        <v>13</v>
      </c>
      <c r="E2296" t="s">
        <v>210</v>
      </c>
      <c r="F2296" t="s">
        <v>4078</v>
      </c>
      <c r="H2296" t="s">
        <v>17</v>
      </c>
      <c r="I2296" t="s">
        <v>3880</v>
      </c>
    </row>
    <row r="2297" spans="1:9" hidden="1" x14ac:dyDescent="0.3">
      <c r="A2297" t="s">
        <v>1886</v>
      </c>
      <c r="B2297" t="s">
        <v>4008</v>
      </c>
      <c r="C2297" t="s">
        <v>4072</v>
      </c>
      <c r="D2297" t="s">
        <v>13</v>
      </c>
      <c r="E2297" t="s">
        <v>214</v>
      </c>
      <c r="F2297" t="s">
        <v>4079</v>
      </c>
      <c r="H2297" t="s">
        <v>17</v>
      </c>
      <c r="I2297" t="s">
        <v>3880</v>
      </c>
    </row>
    <row r="2298" spans="1:9" hidden="1" x14ac:dyDescent="0.3">
      <c r="A2298" t="s">
        <v>1889</v>
      </c>
      <c r="B2298" t="s">
        <v>4008</v>
      </c>
      <c r="C2298" t="s">
        <v>4072</v>
      </c>
      <c r="D2298" t="s">
        <v>13</v>
      </c>
      <c r="E2298" t="s">
        <v>218</v>
      </c>
      <c r="F2298" t="s">
        <v>4080</v>
      </c>
      <c r="H2298" t="s">
        <v>17</v>
      </c>
      <c r="I2298" t="s">
        <v>3880</v>
      </c>
    </row>
    <row r="2299" spans="1:9" hidden="1" x14ac:dyDescent="0.3">
      <c r="A2299" t="s">
        <v>1893</v>
      </c>
      <c r="B2299" t="s">
        <v>4008</v>
      </c>
      <c r="C2299" t="s">
        <v>4072</v>
      </c>
      <c r="D2299" t="s">
        <v>13</v>
      </c>
      <c r="E2299" t="s">
        <v>223</v>
      </c>
      <c r="F2299" t="s">
        <v>4081</v>
      </c>
      <c r="H2299" t="s">
        <v>17</v>
      </c>
      <c r="I2299" t="s">
        <v>3880</v>
      </c>
    </row>
    <row r="2300" spans="1:9" hidden="1" x14ac:dyDescent="0.3">
      <c r="A2300" t="s">
        <v>1898</v>
      </c>
      <c r="B2300" t="s">
        <v>4008</v>
      </c>
      <c r="C2300" t="s">
        <v>4072</v>
      </c>
      <c r="D2300" t="s">
        <v>13</v>
      </c>
      <c r="E2300" t="s">
        <v>228</v>
      </c>
      <c r="F2300" t="s">
        <v>4082</v>
      </c>
      <c r="H2300" t="s">
        <v>17</v>
      </c>
      <c r="I2300" t="s">
        <v>3880</v>
      </c>
    </row>
    <row r="2301" spans="1:9" hidden="1" x14ac:dyDescent="0.3">
      <c r="A2301" t="s">
        <v>1901</v>
      </c>
      <c r="B2301" t="s">
        <v>4008</v>
      </c>
      <c r="C2301" t="s">
        <v>4083</v>
      </c>
      <c r="D2301" t="s">
        <v>13</v>
      </c>
      <c r="E2301" t="s">
        <v>233</v>
      </c>
      <c r="F2301" t="s">
        <v>4084</v>
      </c>
      <c r="H2301" t="s">
        <v>17</v>
      </c>
      <c r="I2301" t="s">
        <v>3880</v>
      </c>
    </row>
    <row r="2302" spans="1:9" hidden="1" x14ac:dyDescent="0.3">
      <c r="A2302" t="s">
        <v>1903</v>
      </c>
      <c r="B2302" t="s">
        <v>4008</v>
      </c>
      <c r="C2302" t="s">
        <v>4083</v>
      </c>
      <c r="D2302" t="s">
        <v>13</v>
      </c>
      <c r="E2302" t="s">
        <v>236</v>
      </c>
      <c r="F2302" t="s">
        <v>4085</v>
      </c>
      <c r="H2302" t="s">
        <v>17</v>
      </c>
      <c r="I2302" t="s">
        <v>3880</v>
      </c>
    </row>
    <row r="2303" spans="1:9" hidden="1" x14ac:dyDescent="0.3">
      <c r="A2303" t="s">
        <v>1905</v>
      </c>
      <c r="B2303" t="s">
        <v>4008</v>
      </c>
      <c r="C2303" t="s">
        <v>4083</v>
      </c>
      <c r="D2303" t="s">
        <v>13</v>
      </c>
      <c r="E2303" t="s">
        <v>239</v>
      </c>
      <c r="F2303" t="s">
        <v>4086</v>
      </c>
      <c r="H2303" t="s">
        <v>17</v>
      </c>
      <c r="I2303" t="s">
        <v>3880</v>
      </c>
    </row>
    <row r="2304" spans="1:9" hidden="1" x14ac:dyDescent="0.3">
      <c r="A2304" t="s">
        <v>1907</v>
      </c>
      <c r="B2304" t="s">
        <v>4008</v>
      </c>
      <c r="C2304" t="s">
        <v>4083</v>
      </c>
      <c r="D2304" t="s">
        <v>13</v>
      </c>
      <c r="E2304" t="s">
        <v>1881</v>
      </c>
      <c r="F2304" t="s">
        <v>4087</v>
      </c>
      <c r="H2304" t="s">
        <v>17</v>
      </c>
      <c r="I2304" t="s">
        <v>3880</v>
      </c>
    </row>
    <row r="2305" spans="1:9" hidden="1" x14ac:dyDescent="0.3">
      <c r="A2305" t="s">
        <v>1909</v>
      </c>
      <c r="B2305" t="s">
        <v>4008</v>
      </c>
      <c r="C2305" t="s">
        <v>4083</v>
      </c>
      <c r="D2305" t="s">
        <v>13</v>
      </c>
      <c r="E2305" t="s">
        <v>1885</v>
      </c>
      <c r="F2305" t="s">
        <v>4088</v>
      </c>
      <c r="H2305" t="s">
        <v>17</v>
      </c>
      <c r="I2305" t="s">
        <v>3880</v>
      </c>
    </row>
    <row r="2306" spans="1:9" hidden="1" x14ac:dyDescent="0.3">
      <c r="A2306" t="s">
        <v>1911</v>
      </c>
      <c r="B2306" t="s">
        <v>4008</v>
      </c>
      <c r="C2306" t="s">
        <v>4083</v>
      </c>
      <c r="D2306" t="s">
        <v>13</v>
      </c>
      <c r="E2306" t="s">
        <v>1588</v>
      </c>
      <c r="F2306" t="s">
        <v>4089</v>
      </c>
      <c r="H2306" t="s">
        <v>17</v>
      </c>
      <c r="I2306" t="s">
        <v>3880</v>
      </c>
    </row>
    <row r="2307" spans="1:9" hidden="1" x14ac:dyDescent="0.3">
      <c r="A2307" t="s">
        <v>1914</v>
      </c>
      <c r="B2307" t="s">
        <v>4008</v>
      </c>
      <c r="C2307" t="s">
        <v>4083</v>
      </c>
      <c r="D2307" t="s">
        <v>13</v>
      </c>
      <c r="E2307" t="s">
        <v>1892</v>
      </c>
      <c r="F2307" t="s">
        <v>4090</v>
      </c>
      <c r="H2307" t="s">
        <v>17</v>
      </c>
      <c r="I2307" t="s">
        <v>3880</v>
      </c>
    </row>
    <row r="2308" spans="1:9" hidden="1" x14ac:dyDescent="0.3">
      <c r="A2308" t="s">
        <v>1917</v>
      </c>
      <c r="B2308" t="s">
        <v>4008</v>
      </c>
      <c r="C2308" t="s">
        <v>4083</v>
      </c>
      <c r="D2308" t="s">
        <v>13</v>
      </c>
      <c r="E2308" t="s">
        <v>1146</v>
      </c>
      <c r="F2308" t="s">
        <v>4091</v>
      </c>
      <c r="H2308" t="s">
        <v>17</v>
      </c>
      <c r="I2308" t="s">
        <v>3880</v>
      </c>
    </row>
    <row r="2309" spans="1:9" hidden="1" x14ac:dyDescent="0.3">
      <c r="A2309" t="s">
        <v>1919</v>
      </c>
      <c r="B2309" t="s">
        <v>4008</v>
      </c>
      <c r="C2309" t="s">
        <v>4083</v>
      </c>
      <c r="D2309" t="s">
        <v>13</v>
      </c>
      <c r="E2309" t="s">
        <v>1150</v>
      </c>
      <c r="F2309" t="s">
        <v>3915</v>
      </c>
      <c r="H2309" t="s">
        <v>17</v>
      </c>
      <c r="I2309" t="s">
        <v>3880</v>
      </c>
    </row>
    <row r="2310" spans="1:9" hidden="1" x14ac:dyDescent="0.3">
      <c r="A2310" t="s">
        <v>1921</v>
      </c>
      <c r="B2310" t="s">
        <v>4008</v>
      </c>
      <c r="C2310" t="s">
        <v>4083</v>
      </c>
      <c r="D2310" t="s">
        <v>13</v>
      </c>
      <c r="E2310" t="s">
        <v>1154</v>
      </c>
      <c r="F2310" t="s">
        <v>4092</v>
      </c>
      <c r="H2310" t="s">
        <v>17</v>
      </c>
      <c r="I2310" t="s">
        <v>3880</v>
      </c>
    </row>
    <row r="2311" spans="1:9" hidden="1" x14ac:dyDescent="0.3">
      <c r="A2311" t="s">
        <v>1923</v>
      </c>
      <c r="B2311" t="s">
        <v>4008</v>
      </c>
      <c r="C2311" t="s">
        <v>4083</v>
      </c>
      <c r="D2311" t="s">
        <v>13</v>
      </c>
      <c r="E2311" t="s">
        <v>1158</v>
      </c>
      <c r="F2311" t="s">
        <v>4093</v>
      </c>
      <c r="H2311" t="s">
        <v>17</v>
      </c>
      <c r="I2311" t="s">
        <v>4094</v>
      </c>
    </row>
    <row r="2312" spans="1:9" hidden="1" x14ac:dyDescent="0.3">
      <c r="A2312" t="s">
        <v>1927</v>
      </c>
      <c r="B2312" t="s">
        <v>4008</v>
      </c>
      <c r="C2312" t="s">
        <v>4083</v>
      </c>
      <c r="D2312" t="s">
        <v>13</v>
      </c>
      <c r="E2312" t="s">
        <v>1162</v>
      </c>
      <c r="F2312" t="s">
        <v>3990</v>
      </c>
      <c r="H2312" t="s">
        <v>17</v>
      </c>
      <c r="I2312" t="s">
        <v>4095</v>
      </c>
    </row>
    <row r="2313" spans="1:9" hidden="1" x14ac:dyDescent="0.3">
      <c r="A2313" t="s">
        <v>1929</v>
      </c>
      <c r="B2313" t="s">
        <v>4008</v>
      </c>
      <c r="C2313" t="s">
        <v>4096</v>
      </c>
      <c r="D2313" t="s">
        <v>13</v>
      </c>
      <c r="E2313" t="s">
        <v>1165</v>
      </c>
      <c r="F2313" t="s">
        <v>2825</v>
      </c>
      <c r="H2313" t="s">
        <v>17</v>
      </c>
      <c r="I2313" t="s">
        <v>4097</v>
      </c>
    </row>
    <row r="2314" spans="1:9" hidden="1" x14ac:dyDescent="0.3">
      <c r="A2314" t="s">
        <v>1931</v>
      </c>
      <c r="B2314" t="s">
        <v>4008</v>
      </c>
      <c r="C2314" t="s">
        <v>4096</v>
      </c>
      <c r="D2314" t="s">
        <v>13</v>
      </c>
      <c r="E2314" t="s">
        <v>1168</v>
      </c>
      <c r="F2314" t="s">
        <v>2825</v>
      </c>
      <c r="H2314" t="s">
        <v>17</v>
      </c>
      <c r="I2314" t="s">
        <v>4098</v>
      </c>
    </row>
    <row r="2315" spans="1:9" hidden="1" x14ac:dyDescent="0.3">
      <c r="A2315" t="s">
        <v>1933</v>
      </c>
      <c r="B2315" t="s">
        <v>4008</v>
      </c>
      <c r="C2315" t="s">
        <v>4096</v>
      </c>
      <c r="D2315" t="s">
        <v>13</v>
      </c>
      <c r="E2315" t="s">
        <v>1172</v>
      </c>
      <c r="F2315" t="s">
        <v>2825</v>
      </c>
      <c r="H2315" t="s">
        <v>17</v>
      </c>
      <c r="I2315" t="s">
        <v>4099</v>
      </c>
    </row>
    <row r="2316" spans="1:9" hidden="1" x14ac:dyDescent="0.3">
      <c r="A2316" t="s">
        <v>3044</v>
      </c>
      <c r="B2316" t="s">
        <v>4008</v>
      </c>
      <c r="C2316" t="s">
        <v>4096</v>
      </c>
      <c r="D2316" t="s">
        <v>13</v>
      </c>
      <c r="E2316" t="s">
        <v>1176</v>
      </c>
      <c r="F2316" t="s">
        <v>2825</v>
      </c>
      <c r="H2316" t="s">
        <v>17</v>
      </c>
      <c r="I2316" t="s">
        <v>4100</v>
      </c>
    </row>
    <row r="2317" spans="1:9" hidden="1" x14ac:dyDescent="0.3">
      <c r="A2317" t="s">
        <v>3047</v>
      </c>
      <c r="B2317" t="s">
        <v>4008</v>
      </c>
      <c r="C2317" t="s">
        <v>4096</v>
      </c>
      <c r="D2317" t="s">
        <v>13</v>
      </c>
      <c r="E2317" t="s">
        <v>1179</v>
      </c>
      <c r="F2317" t="s">
        <v>2825</v>
      </c>
      <c r="H2317" t="s">
        <v>17</v>
      </c>
      <c r="I2317" t="s">
        <v>4101</v>
      </c>
    </row>
    <row r="2318" spans="1:9" hidden="1" x14ac:dyDescent="0.3">
      <c r="A2318" t="s">
        <v>3049</v>
      </c>
      <c r="B2318" t="s">
        <v>4008</v>
      </c>
      <c r="C2318" t="s">
        <v>4102</v>
      </c>
      <c r="D2318" t="s">
        <v>13</v>
      </c>
      <c r="E2318" t="s">
        <v>1205</v>
      </c>
      <c r="F2318" t="s">
        <v>3970</v>
      </c>
      <c r="H2318" t="s">
        <v>17</v>
      </c>
      <c r="I2318" t="s">
        <v>4097</v>
      </c>
    </row>
    <row r="2319" spans="1:9" hidden="1" x14ac:dyDescent="0.3">
      <c r="A2319" t="s">
        <v>3051</v>
      </c>
      <c r="B2319" t="s">
        <v>4008</v>
      </c>
      <c r="C2319" t="s">
        <v>4102</v>
      </c>
      <c r="D2319" t="s">
        <v>13</v>
      </c>
      <c r="E2319" t="s">
        <v>1209</v>
      </c>
      <c r="F2319" t="s">
        <v>3970</v>
      </c>
      <c r="H2319" t="s">
        <v>17</v>
      </c>
      <c r="I2319" t="s">
        <v>4098</v>
      </c>
    </row>
    <row r="2320" spans="1:9" hidden="1" x14ac:dyDescent="0.3">
      <c r="A2320" t="s">
        <v>3053</v>
      </c>
      <c r="B2320" t="s">
        <v>4008</v>
      </c>
      <c r="C2320" t="s">
        <v>4102</v>
      </c>
      <c r="D2320" t="s">
        <v>13</v>
      </c>
      <c r="E2320" t="s">
        <v>1213</v>
      </c>
      <c r="F2320" t="s">
        <v>3970</v>
      </c>
      <c r="H2320" t="s">
        <v>17</v>
      </c>
      <c r="I2320" t="s">
        <v>4099</v>
      </c>
    </row>
    <row r="2321" spans="1:9" hidden="1" x14ac:dyDescent="0.3">
      <c r="A2321" t="s">
        <v>3055</v>
      </c>
      <c r="B2321" t="s">
        <v>4008</v>
      </c>
      <c r="C2321" t="s">
        <v>4102</v>
      </c>
      <c r="D2321" t="s">
        <v>13</v>
      </c>
      <c r="E2321" t="s">
        <v>1219</v>
      </c>
      <c r="F2321" t="s">
        <v>3970</v>
      </c>
      <c r="H2321" t="s">
        <v>17</v>
      </c>
      <c r="I2321" t="s">
        <v>4100</v>
      </c>
    </row>
    <row r="2322" spans="1:9" hidden="1" x14ac:dyDescent="0.3">
      <c r="A2322" t="s">
        <v>3059</v>
      </c>
      <c r="B2322" t="s">
        <v>4008</v>
      </c>
      <c r="C2322" t="s">
        <v>4102</v>
      </c>
      <c r="D2322" t="s">
        <v>13</v>
      </c>
      <c r="E2322" t="s">
        <v>1224</v>
      </c>
      <c r="F2322" t="s">
        <v>3970</v>
      </c>
      <c r="H2322" t="s">
        <v>17</v>
      </c>
      <c r="I2322" t="s">
        <v>4101</v>
      </c>
    </row>
    <row r="2323" spans="1:9" hidden="1" x14ac:dyDescent="0.3">
      <c r="A2323" t="s">
        <v>3061</v>
      </c>
      <c r="B2323" t="s">
        <v>4008</v>
      </c>
      <c r="C2323" t="s">
        <v>4103</v>
      </c>
      <c r="D2323" t="s">
        <v>13</v>
      </c>
      <c r="E2323" t="s">
        <v>1228</v>
      </c>
      <c r="F2323" t="s">
        <v>4104</v>
      </c>
      <c r="H2323" t="s">
        <v>17</v>
      </c>
      <c r="I2323" t="s">
        <v>4097</v>
      </c>
    </row>
    <row r="2324" spans="1:9" hidden="1" x14ac:dyDescent="0.3">
      <c r="A2324" t="s">
        <v>3064</v>
      </c>
      <c r="B2324" t="s">
        <v>4008</v>
      </c>
      <c r="C2324" t="s">
        <v>4103</v>
      </c>
      <c r="D2324" t="s">
        <v>13</v>
      </c>
      <c r="E2324" t="s">
        <v>1232</v>
      </c>
      <c r="F2324" t="s">
        <v>4104</v>
      </c>
      <c r="H2324" t="s">
        <v>17</v>
      </c>
      <c r="I2324" t="s">
        <v>4098</v>
      </c>
    </row>
    <row r="2325" spans="1:9" hidden="1" x14ac:dyDescent="0.3">
      <c r="A2325" t="s">
        <v>3067</v>
      </c>
      <c r="B2325" t="s">
        <v>4008</v>
      </c>
      <c r="C2325" t="s">
        <v>4103</v>
      </c>
      <c r="D2325" t="s">
        <v>13</v>
      </c>
      <c r="E2325" t="s">
        <v>1236</v>
      </c>
      <c r="F2325" t="s">
        <v>4104</v>
      </c>
      <c r="H2325" t="s">
        <v>17</v>
      </c>
      <c r="I2325" t="s">
        <v>4099</v>
      </c>
    </row>
    <row r="2326" spans="1:9" hidden="1" x14ac:dyDescent="0.3">
      <c r="A2326" t="s">
        <v>3069</v>
      </c>
      <c r="B2326" t="s">
        <v>4008</v>
      </c>
      <c r="C2326" t="s">
        <v>4103</v>
      </c>
      <c r="D2326" t="s">
        <v>13</v>
      </c>
      <c r="E2326" t="s">
        <v>1240</v>
      </c>
      <c r="F2326" t="s">
        <v>4104</v>
      </c>
      <c r="H2326" t="s">
        <v>17</v>
      </c>
      <c r="I2326" t="s">
        <v>4100</v>
      </c>
    </row>
    <row r="2327" spans="1:9" hidden="1" x14ac:dyDescent="0.3">
      <c r="A2327" t="s">
        <v>4105</v>
      </c>
      <c r="B2327" t="s">
        <v>4008</v>
      </c>
      <c r="C2327" t="s">
        <v>4103</v>
      </c>
      <c r="D2327" t="s">
        <v>13</v>
      </c>
      <c r="E2327" t="s">
        <v>1244</v>
      </c>
      <c r="F2327" t="s">
        <v>4104</v>
      </c>
      <c r="H2327" t="s">
        <v>17</v>
      </c>
      <c r="I2327" t="s">
        <v>4101</v>
      </c>
    </row>
    <row r="2328" spans="1:9" hidden="1" x14ac:dyDescent="0.3">
      <c r="A2328" t="s">
        <v>3073</v>
      </c>
      <c r="B2328" t="s">
        <v>4008</v>
      </c>
      <c r="C2328" t="s">
        <v>4103</v>
      </c>
      <c r="D2328" t="s">
        <v>13</v>
      </c>
      <c r="E2328" t="s">
        <v>1248</v>
      </c>
      <c r="F2328" t="s">
        <v>4106</v>
      </c>
      <c r="H2328" t="s">
        <v>17</v>
      </c>
      <c r="I2328" t="s">
        <v>4019</v>
      </c>
    </row>
    <row r="2329" spans="1:9" hidden="1" x14ac:dyDescent="0.3">
      <c r="A2329" t="s">
        <v>3076</v>
      </c>
      <c r="B2329" t="s">
        <v>4008</v>
      </c>
      <c r="C2329" t="s">
        <v>4103</v>
      </c>
      <c r="D2329" t="s">
        <v>13</v>
      </c>
      <c r="E2329" t="s">
        <v>1252</v>
      </c>
      <c r="F2329" t="s">
        <v>4107</v>
      </c>
      <c r="H2329" t="s">
        <v>17</v>
      </c>
      <c r="I2329" t="s">
        <v>4108</v>
      </c>
    </row>
    <row r="2330" spans="1:9" hidden="1" x14ac:dyDescent="0.3">
      <c r="A2330" t="s">
        <v>3078</v>
      </c>
      <c r="B2330" t="s">
        <v>4008</v>
      </c>
      <c r="C2330" t="s">
        <v>4103</v>
      </c>
      <c r="D2330" t="s">
        <v>13</v>
      </c>
      <c r="E2330" t="s">
        <v>1256</v>
      </c>
      <c r="F2330" t="s">
        <v>4109</v>
      </c>
      <c r="H2330" t="s">
        <v>17</v>
      </c>
      <c r="I2330" t="s">
        <v>4110</v>
      </c>
    </row>
    <row r="2331" spans="1:9" hidden="1" x14ac:dyDescent="0.3">
      <c r="A2331" t="s">
        <v>3080</v>
      </c>
      <c r="B2331" t="s">
        <v>4008</v>
      </c>
      <c r="C2331" t="s">
        <v>4103</v>
      </c>
      <c r="D2331" t="s">
        <v>13</v>
      </c>
      <c r="E2331" t="s">
        <v>1261</v>
      </c>
      <c r="F2331" t="s">
        <v>4111</v>
      </c>
      <c r="H2331" t="s">
        <v>17</v>
      </c>
      <c r="I2331" t="s">
        <v>4112</v>
      </c>
    </row>
    <row r="2332" spans="1:9" hidden="1" x14ac:dyDescent="0.3">
      <c r="A2332" t="s">
        <v>3082</v>
      </c>
      <c r="B2332" t="s">
        <v>4008</v>
      </c>
      <c r="C2332" t="s">
        <v>4103</v>
      </c>
      <c r="D2332" t="s">
        <v>13</v>
      </c>
      <c r="E2332" t="s">
        <v>1265</v>
      </c>
      <c r="F2332" t="s">
        <v>4113</v>
      </c>
      <c r="H2332" t="s">
        <v>17</v>
      </c>
      <c r="I2332" t="s">
        <v>4112</v>
      </c>
    </row>
    <row r="2333" spans="1:9" hidden="1" x14ac:dyDescent="0.3">
      <c r="A2333" t="s">
        <v>3084</v>
      </c>
      <c r="B2333" t="s">
        <v>4008</v>
      </c>
      <c r="C2333" t="s">
        <v>4103</v>
      </c>
      <c r="D2333" t="s">
        <v>13</v>
      </c>
      <c r="E2333" t="s">
        <v>1270</v>
      </c>
      <c r="F2333" t="s">
        <v>4114</v>
      </c>
      <c r="H2333" t="s">
        <v>17</v>
      </c>
      <c r="I2333" t="s">
        <v>4115</v>
      </c>
    </row>
    <row r="2334" spans="1:9" hidden="1" x14ac:dyDescent="0.3">
      <c r="A2334" t="s">
        <v>3086</v>
      </c>
      <c r="B2334" t="s">
        <v>4008</v>
      </c>
      <c r="C2334" t="s">
        <v>4103</v>
      </c>
      <c r="D2334" t="s">
        <v>13</v>
      </c>
      <c r="E2334" t="s">
        <v>1276</v>
      </c>
      <c r="F2334" t="s">
        <v>4116</v>
      </c>
      <c r="H2334" t="s">
        <v>17</v>
      </c>
      <c r="I2334" t="s">
        <v>4117</v>
      </c>
    </row>
    <row r="2335" spans="1:9" hidden="1" x14ac:dyDescent="0.3">
      <c r="A2335" t="s">
        <v>4120</v>
      </c>
      <c r="B2335" t="s">
        <v>4008</v>
      </c>
      <c r="C2335" t="s">
        <v>4103</v>
      </c>
      <c r="D2335" t="s">
        <v>13</v>
      </c>
      <c r="E2335" t="s">
        <v>303</v>
      </c>
      <c r="F2335" t="s">
        <v>4118</v>
      </c>
      <c r="H2335" t="s">
        <v>17</v>
      </c>
      <c r="I2335" t="s">
        <v>4119</v>
      </c>
    </row>
    <row r="2336" spans="1:9" hidden="1" x14ac:dyDescent="0.3">
      <c r="A2336" t="s">
        <v>3092</v>
      </c>
      <c r="B2336" t="s">
        <v>4008</v>
      </c>
      <c r="C2336" t="s">
        <v>4103</v>
      </c>
      <c r="D2336" t="s">
        <v>13</v>
      </c>
      <c r="E2336" t="s">
        <v>308</v>
      </c>
      <c r="F2336" t="s">
        <v>4121</v>
      </c>
      <c r="H2336" t="s">
        <v>17</v>
      </c>
      <c r="I2336" t="s">
        <v>4122</v>
      </c>
    </row>
    <row r="2337" spans="1:9" hidden="1" x14ac:dyDescent="0.3">
      <c r="A2337" t="s">
        <v>3095</v>
      </c>
      <c r="B2337" t="s">
        <v>4008</v>
      </c>
      <c r="C2337" t="s">
        <v>4103</v>
      </c>
      <c r="D2337" t="s">
        <v>13</v>
      </c>
      <c r="E2337" t="s">
        <v>312</v>
      </c>
      <c r="F2337" t="s">
        <v>4123</v>
      </c>
      <c r="H2337" t="s">
        <v>17</v>
      </c>
      <c r="I2337" t="s">
        <v>4124</v>
      </c>
    </row>
    <row r="2338" spans="1:9" hidden="1" x14ac:dyDescent="0.3">
      <c r="A2338" t="s">
        <v>3097</v>
      </c>
      <c r="B2338" t="s">
        <v>4008</v>
      </c>
      <c r="C2338" t="s">
        <v>4103</v>
      </c>
      <c r="D2338" t="s">
        <v>13</v>
      </c>
      <c r="E2338" t="s">
        <v>316</v>
      </c>
      <c r="F2338" t="s">
        <v>4125</v>
      </c>
      <c r="H2338" t="s">
        <v>17</v>
      </c>
      <c r="I2338" t="s">
        <v>4126</v>
      </c>
    </row>
    <row r="2339" spans="1:9" hidden="1" x14ac:dyDescent="0.3">
      <c r="A2339" t="s">
        <v>3099</v>
      </c>
      <c r="B2339" t="s">
        <v>4008</v>
      </c>
      <c r="C2339" t="s">
        <v>4103</v>
      </c>
      <c r="D2339" t="s">
        <v>13</v>
      </c>
      <c r="E2339" t="s">
        <v>319</v>
      </c>
      <c r="F2339" t="s">
        <v>4127</v>
      </c>
      <c r="H2339" t="s">
        <v>17</v>
      </c>
      <c r="I2339" t="s">
        <v>4128</v>
      </c>
    </row>
    <row r="2340" spans="1:9" hidden="1" x14ac:dyDescent="0.3">
      <c r="A2340" t="s">
        <v>3102</v>
      </c>
      <c r="B2340" t="s">
        <v>4008</v>
      </c>
      <c r="C2340" t="s">
        <v>4103</v>
      </c>
      <c r="D2340" t="s">
        <v>13</v>
      </c>
      <c r="E2340" t="s">
        <v>323</v>
      </c>
      <c r="F2340" t="s">
        <v>4129</v>
      </c>
      <c r="H2340" t="s">
        <v>17</v>
      </c>
      <c r="I2340" t="s">
        <v>4130</v>
      </c>
    </row>
    <row r="2341" spans="1:9" hidden="1" x14ac:dyDescent="0.3">
      <c r="A2341" t="s">
        <v>3105</v>
      </c>
      <c r="B2341" t="s">
        <v>4008</v>
      </c>
      <c r="C2341" t="s">
        <v>4103</v>
      </c>
      <c r="D2341" t="s">
        <v>13</v>
      </c>
      <c r="E2341" t="s">
        <v>327</v>
      </c>
      <c r="F2341" t="s">
        <v>4131</v>
      </c>
      <c r="H2341" t="s">
        <v>17</v>
      </c>
      <c r="I2341" t="s">
        <v>4132</v>
      </c>
    </row>
    <row r="2342" spans="1:9" hidden="1" x14ac:dyDescent="0.3">
      <c r="A2342" t="s">
        <v>3108</v>
      </c>
      <c r="B2342" t="s">
        <v>4008</v>
      </c>
      <c r="C2342" t="s">
        <v>4103</v>
      </c>
      <c r="D2342" t="s">
        <v>13</v>
      </c>
      <c r="E2342" t="s">
        <v>332</v>
      </c>
      <c r="F2342" t="s">
        <v>4133</v>
      </c>
      <c r="H2342" t="s">
        <v>17</v>
      </c>
      <c r="I2342" t="s">
        <v>4134</v>
      </c>
    </row>
    <row r="2343" spans="1:9" hidden="1" x14ac:dyDescent="0.3">
      <c r="A2343" t="s">
        <v>3111</v>
      </c>
      <c r="B2343" t="s">
        <v>4008</v>
      </c>
      <c r="C2343" t="s">
        <v>4103</v>
      </c>
      <c r="D2343" t="s">
        <v>13</v>
      </c>
      <c r="E2343" t="s">
        <v>335</v>
      </c>
      <c r="F2343" t="s">
        <v>4135</v>
      </c>
      <c r="H2343" t="s">
        <v>17</v>
      </c>
      <c r="I2343" t="s">
        <v>4136</v>
      </c>
    </row>
    <row r="2344" spans="1:9" hidden="1" x14ac:dyDescent="0.3">
      <c r="A2344" t="s">
        <v>3113</v>
      </c>
      <c r="B2344" t="s">
        <v>4008</v>
      </c>
      <c r="C2344" t="s">
        <v>4103</v>
      </c>
      <c r="D2344" t="s">
        <v>13</v>
      </c>
      <c r="E2344" t="s">
        <v>338</v>
      </c>
      <c r="F2344" t="s">
        <v>4137</v>
      </c>
      <c r="H2344" t="s">
        <v>17</v>
      </c>
      <c r="I2344" t="s">
        <v>4138</v>
      </c>
    </row>
    <row r="2345" spans="1:9" hidden="1" x14ac:dyDescent="0.3">
      <c r="A2345" t="s">
        <v>3116</v>
      </c>
      <c r="B2345" t="s">
        <v>4008</v>
      </c>
      <c r="C2345" t="s">
        <v>4103</v>
      </c>
      <c r="D2345" t="s">
        <v>13</v>
      </c>
      <c r="E2345" t="s">
        <v>341</v>
      </c>
      <c r="F2345" t="s">
        <v>4139</v>
      </c>
      <c r="H2345" t="s">
        <v>17</v>
      </c>
      <c r="I2345" t="s">
        <v>3880</v>
      </c>
    </row>
    <row r="2346" spans="1:9" hidden="1" x14ac:dyDescent="0.3">
      <c r="A2346" t="s">
        <v>3119</v>
      </c>
      <c r="B2346" t="s">
        <v>4008</v>
      </c>
      <c r="C2346" t="s">
        <v>4103</v>
      </c>
      <c r="D2346" t="s">
        <v>13</v>
      </c>
      <c r="E2346" t="s">
        <v>344</v>
      </c>
      <c r="F2346" t="s">
        <v>4140</v>
      </c>
      <c r="H2346" t="s">
        <v>17</v>
      </c>
      <c r="I2346" t="s">
        <v>4141</v>
      </c>
    </row>
    <row r="2347" spans="1:9" hidden="1" x14ac:dyDescent="0.3">
      <c r="A2347" t="s">
        <v>3122</v>
      </c>
      <c r="B2347" t="s">
        <v>4008</v>
      </c>
      <c r="C2347" t="s">
        <v>4103</v>
      </c>
      <c r="D2347" t="s">
        <v>13</v>
      </c>
      <c r="E2347" t="s">
        <v>347</v>
      </c>
      <c r="F2347" t="s">
        <v>4142</v>
      </c>
      <c r="H2347" t="s">
        <v>17</v>
      </c>
      <c r="I2347" t="s">
        <v>4143</v>
      </c>
    </row>
    <row r="2348" spans="1:9" hidden="1" x14ac:dyDescent="0.3">
      <c r="A2348" t="s">
        <v>3125</v>
      </c>
      <c r="B2348" t="s">
        <v>4008</v>
      </c>
      <c r="C2348" t="s">
        <v>4103</v>
      </c>
      <c r="D2348" t="s">
        <v>13</v>
      </c>
      <c r="E2348" t="s">
        <v>353</v>
      </c>
      <c r="F2348" t="s">
        <v>4144</v>
      </c>
      <c r="H2348" t="s">
        <v>17</v>
      </c>
      <c r="I2348" t="s">
        <v>4145</v>
      </c>
    </row>
    <row r="2349" spans="1:9" hidden="1" x14ac:dyDescent="0.3">
      <c r="A2349" t="s">
        <v>3128</v>
      </c>
      <c r="B2349" t="s">
        <v>4008</v>
      </c>
      <c r="C2349" t="s">
        <v>4103</v>
      </c>
      <c r="D2349" t="s">
        <v>13</v>
      </c>
      <c r="E2349" t="s">
        <v>358</v>
      </c>
      <c r="F2349" t="s">
        <v>4146</v>
      </c>
      <c r="H2349" t="s">
        <v>17</v>
      </c>
      <c r="I2349" t="s">
        <v>4147</v>
      </c>
    </row>
    <row r="2350" spans="1:9" hidden="1" x14ac:dyDescent="0.3">
      <c r="A2350" t="s">
        <v>3131</v>
      </c>
      <c r="B2350" t="s">
        <v>4008</v>
      </c>
      <c r="C2350" t="s">
        <v>4103</v>
      </c>
      <c r="D2350" t="s">
        <v>13</v>
      </c>
      <c r="E2350" t="s">
        <v>361</v>
      </c>
      <c r="F2350" t="s">
        <v>4148</v>
      </c>
      <c r="H2350" t="s">
        <v>17</v>
      </c>
      <c r="I2350" t="s">
        <v>4149</v>
      </c>
    </row>
    <row r="2351" spans="1:9" hidden="1" x14ac:dyDescent="0.3">
      <c r="A2351" t="s">
        <v>3134</v>
      </c>
      <c r="B2351" t="s">
        <v>4008</v>
      </c>
      <c r="C2351" t="s">
        <v>4103</v>
      </c>
      <c r="D2351" t="s">
        <v>13</v>
      </c>
      <c r="E2351" t="s">
        <v>364</v>
      </c>
      <c r="F2351" t="s">
        <v>4150</v>
      </c>
      <c r="H2351" t="s">
        <v>17</v>
      </c>
      <c r="I2351" t="s">
        <v>4151</v>
      </c>
    </row>
    <row r="2352" spans="1:9" hidden="1" x14ac:dyDescent="0.3">
      <c r="A2352" t="s">
        <v>3136</v>
      </c>
      <c r="B2352" t="s">
        <v>4008</v>
      </c>
      <c r="C2352" t="s">
        <v>4103</v>
      </c>
      <c r="D2352" t="s">
        <v>13</v>
      </c>
      <c r="E2352" t="s">
        <v>370</v>
      </c>
      <c r="F2352" t="s">
        <v>4152</v>
      </c>
      <c r="H2352" t="s">
        <v>17</v>
      </c>
      <c r="I2352" t="s">
        <v>2836</v>
      </c>
    </row>
    <row r="2353" spans="1:9" hidden="1" x14ac:dyDescent="0.3">
      <c r="A2353" t="s">
        <v>3139</v>
      </c>
      <c r="B2353" t="s">
        <v>4008</v>
      </c>
      <c r="C2353" t="s">
        <v>4103</v>
      </c>
      <c r="D2353" t="s">
        <v>13</v>
      </c>
      <c r="E2353" t="s">
        <v>373</v>
      </c>
      <c r="F2353" t="s">
        <v>4153</v>
      </c>
      <c r="H2353" t="s">
        <v>17</v>
      </c>
      <c r="I2353" t="s">
        <v>2836</v>
      </c>
    </row>
    <row r="2354" spans="1:9" hidden="1" x14ac:dyDescent="0.3">
      <c r="A2354" t="s">
        <v>3141</v>
      </c>
      <c r="B2354" t="s">
        <v>4008</v>
      </c>
      <c r="C2354" t="s">
        <v>4103</v>
      </c>
      <c r="D2354" t="s">
        <v>13</v>
      </c>
      <c r="E2354" t="s">
        <v>376</v>
      </c>
      <c r="F2354" t="s">
        <v>4154</v>
      </c>
      <c r="H2354" t="s">
        <v>17</v>
      </c>
      <c r="I2354" t="s">
        <v>2836</v>
      </c>
    </row>
    <row r="2355" spans="1:9" hidden="1" x14ac:dyDescent="0.3">
      <c r="A2355" t="s">
        <v>4157</v>
      </c>
      <c r="B2355" t="s">
        <v>4008</v>
      </c>
      <c r="C2355" t="s">
        <v>4103</v>
      </c>
      <c r="D2355" t="s">
        <v>13</v>
      </c>
      <c r="E2355" t="s">
        <v>1675</v>
      </c>
      <c r="F2355" t="s">
        <v>4155</v>
      </c>
      <c r="H2355" t="s">
        <v>17</v>
      </c>
      <c r="I2355" t="s">
        <v>4156</v>
      </c>
    </row>
    <row r="2356" spans="1:9" hidden="1" x14ac:dyDescent="0.3">
      <c r="A2356" t="s">
        <v>3145</v>
      </c>
      <c r="B2356" t="s">
        <v>4008</v>
      </c>
      <c r="C2356" t="s">
        <v>4103</v>
      </c>
      <c r="D2356" t="s">
        <v>13</v>
      </c>
      <c r="E2356" t="s">
        <v>1678</v>
      </c>
      <c r="F2356" t="s">
        <v>4158</v>
      </c>
      <c r="H2356" t="s">
        <v>807</v>
      </c>
      <c r="I2356" t="s">
        <v>4159</v>
      </c>
    </row>
    <row r="2357" spans="1:9" hidden="1" x14ac:dyDescent="0.3">
      <c r="A2357" t="s">
        <v>3148</v>
      </c>
      <c r="B2357" t="s">
        <v>4008</v>
      </c>
      <c r="C2357" t="s">
        <v>4103</v>
      </c>
      <c r="D2357" t="s">
        <v>13</v>
      </c>
      <c r="E2357" t="s">
        <v>1681</v>
      </c>
      <c r="F2357" t="s">
        <v>4160</v>
      </c>
      <c r="H2357" t="s">
        <v>807</v>
      </c>
      <c r="I2357" t="s">
        <v>4159</v>
      </c>
    </row>
    <row r="2358" spans="1:9" hidden="1" x14ac:dyDescent="0.3">
      <c r="A2358" t="s">
        <v>3150</v>
      </c>
      <c r="B2358" t="s">
        <v>4008</v>
      </c>
      <c r="C2358" t="s">
        <v>4103</v>
      </c>
      <c r="D2358" t="s">
        <v>13</v>
      </c>
      <c r="E2358" t="s">
        <v>1683</v>
      </c>
      <c r="F2358" t="s">
        <v>3972</v>
      </c>
      <c r="H2358" t="s">
        <v>807</v>
      </c>
      <c r="I2358" t="s">
        <v>4161</v>
      </c>
    </row>
    <row r="2359" spans="1:9" hidden="1" x14ac:dyDescent="0.3">
      <c r="A2359" t="s">
        <v>3152</v>
      </c>
      <c r="B2359" t="s">
        <v>4008</v>
      </c>
      <c r="C2359" t="s">
        <v>4103</v>
      </c>
      <c r="D2359" t="s">
        <v>13</v>
      </c>
      <c r="E2359" t="s">
        <v>1685</v>
      </c>
      <c r="F2359" t="s">
        <v>4162</v>
      </c>
      <c r="H2359" t="s">
        <v>17</v>
      </c>
      <c r="I2359" t="s">
        <v>4163</v>
      </c>
    </row>
    <row r="2360" spans="1:9" hidden="1" x14ac:dyDescent="0.3">
      <c r="A2360" t="s">
        <v>3154</v>
      </c>
      <c r="B2360" t="s">
        <v>4008</v>
      </c>
      <c r="C2360" t="s">
        <v>4103</v>
      </c>
      <c r="D2360" t="s">
        <v>13</v>
      </c>
      <c r="E2360" t="s">
        <v>2859</v>
      </c>
      <c r="F2360" t="s">
        <v>4164</v>
      </c>
      <c r="H2360" t="s">
        <v>807</v>
      </c>
      <c r="I2360" t="s">
        <v>4165</v>
      </c>
    </row>
    <row r="2361" spans="1:9" hidden="1" x14ac:dyDescent="0.3">
      <c r="A2361" t="s">
        <v>3156</v>
      </c>
      <c r="B2361" t="s">
        <v>4008</v>
      </c>
      <c r="C2361" t="s">
        <v>4103</v>
      </c>
      <c r="D2361" t="s">
        <v>13</v>
      </c>
      <c r="E2361" t="s">
        <v>2413</v>
      </c>
      <c r="F2361" t="s">
        <v>4166</v>
      </c>
      <c r="H2361" t="s">
        <v>807</v>
      </c>
      <c r="I2361" t="s">
        <v>4167</v>
      </c>
    </row>
    <row r="2362" spans="1:9" hidden="1" x14ac:dyDescent="0.3">
      <c r="A2362" t="s">
        <v>3158</v>
      </c>
      <c r="B2362" t="s">
        <v>4008</v>
      </c>
      <c r="C2362" t="s">
        <v>4103</v>
      </c>
      <c r="D2362" t="s">
        <v>13</v>
      </c>
      <c r="E2362" t="s">
        <v>2417</v>
      </c>
      <c r="F2362" t="s">
        <v>4168</v>
      </c>
      <c r="H2362" t="s">
        <v>807</v>
      </c>
      <c r="I2362" t="s">
        <v>4169</v>
      </c>
    </row>
    <row r="2363" spans="1:9" hidden="1" x14ac:dyDescent="0.3">
      <c r="A2363" t="s">
        <v>3160</v>
      </c>
      <c r="B2363" t="s">
        <v>4008</v>
      </c>
      <c r="C2363" t="s">
        <v>4103</v>
      </c>
      <c r="D2363" t="s">
        <v>13</v>
      </c>
      <c r="E2363" t="s">
        <v>2421</v>
      </c>
      <c r="F2363" t="s">
        <v>4170</v>
      </c>
      <c r="H2363" t="s">
        <v>17</v>
      </c>
      <c r="I2363" t="s">
        <v>4171</v>
      </c>
    </row>
    <row r="2364" spans="1:9" hidden="1" x14ac:dyDescent="0.3">
      <c r="A2364" t="s">
        <v>3162</v>
      </c>
      <c r="B2364" t="s">
        <v>4008</v>
      </c>
      <c r="C2364" t="s">
        <v>4103</v>
      </c>
      <c r="D2364" t="s">
        <v>13</v>
      </c>
      <c r="E2364" t="s">
        <v>1690</v>
      </c>
      <c r="F2364" t="s">
        <v>4172</v>
      </c>
      <c r="H2364" t="s">
        <v>17</v>
      </c>
      <c r="I2364" t="s">
        <v>4173</v>
      </c>
    </row>
    <row r="2365" spans="1:9" hidden="1" x14ac:dyDescent="0.3">
      <c r="A2365" t="s">
        <v>3164</v>
      </c>
      <c r="B2365" t="s">
        <v>4008</v>
      </c>
      <c r="C2365" t="s">
        <v>4103</v>
      </c>
      <c r="D2365" t="s">
        <v>13</v>
      </c>
      <c r="E2365" t="s">
        <v>2428</v>
      </c>
      <c r="F2365" t="s">
        <v>4174</v>
      </c>
      <c r="H2365" t="s">
        <v>17</v>
      </c>
      <c r="I2365" t="s">
        <v>4141</v>
      </c>
    </row>
    <row r="2366" spans="1:9" hidden="1" x14ac:dyDescent="0.3">
      <c r="A2366" t="s">
        <v>3167</v>
      </c>
      <c r="B2366" t="s">
        <v>4008</v>
      </c>
      <c r="C2366" t="s">
        <v>4103</v>
      </c>
      <c r="D2366" t="s">
        <v>13</v>
      </c>
      <c r="E2366" t="s">
        <v>2431</v>
      </c>
      <c r="F2366" t="s">
        <v>4175</v>
      </c>
      <c r="H2366" t="s">
        <v>17</v>
      </c>
      <c r="I2366" t="s">
        <v>414</v>
      </c>
    </row>
    <row r="2367" spans="1:9" hidden="1" x14ac:dyDescent="0.3">
      <c r="A2367" t="s">
        <v>3170</v>
      </c>
      <c r="B2367" t="s">
        <v>4008</v>
      </c>
      <c r="C2367" t="s">
        <v>4103</v>
      </c>
      <c r="D2367" t="s">
        <v>13</v>
      </c>
      <c r="E2367" t="s">
        <v>1693</v>
      </c>
      <c r="F2367" t="s">
        <v>4176</v>
      </c>
      <c r="H2367" t="s">
        <v>807</v>
      </c>
      <c r="I2367" t="s">
        <v>4177</v>
      </c>
    </row>
    <row r="2368" spans="1:9" hidden="1" x14ac:dyDescent="0.3">
      <c r="A2368" t="s">
        <v>4180</v>
      </c>
      <c r="B2368" t="s">
        <v>4008</v>
      </c>
      <c r="C2368" t="s">
        <v>4103</v>
      </c>
      <c r="D2368" t="s">
        <v>13</v>
      </c>
      <c r="E2368" t="s">
        <v>1694</v>
      </c>
      <c r="F2368" t="s">
        <v>4178</v>
      </c>
      <c r="H2368" t="s">
        <v>17</v>
      </c>
      <c r="I2368" t="s">
        <v>4179</v>
      </c>
    </row>
    <row r="2369" spans="1:9" hidden="1" x14ac:dyDescent="0.3">
      <c r="A2369" t="s">
        <v>4183</v>
      </c>
      <c r="B2369" t="s">
        <v>4008</v>
      </c>
      <c r="C2369" t="s">
        <v>4103</v>
      </c>
      <c r="D2369" t="s">
        <v>13</v>
      </c>
      <c r="E2369" t="s">
        <v>2438</v>
      </c>
      <c r="F2369" t="s">
        <v>4181</v>
      </c>
      <c r="H2369" t="s">
        <v>807</v>
      </c>
      <c r="I2369" t="s">
        <v>4182</v>
      </c>
    </row>
    <row r="2370" spans="1:9" hidden="1" x14ac:dyDescent="0.3">
      <c r="A2370" t="s">
        <v>4184</v>
      </c>
      <c r="B2370" t="s">
        <v>4008</v>
      </c>
      <c r="C2370" t="s">
        <v>4103</v>
      </c>
      <c r="D2370" t="s">
        <v>13</v>
      </c>
      <c r="E2370" t="s">
        <v>3773</v>
      </c>
      <c r="F2370" t="s">
        <v>747</v>
      </c>
      <c r="H2370" t="s">
        <v>17</v>
      </c>
    </row>
    <row r="2371" spans="1:9" hidden="1" x14ac:dyDescent="0.3">
      <c r="A2371" t="s">
        <v>4185</v>
      </c>
      <c r="B2371" t="s">
        <v>4008</v>
      </c>
      <c r="C2371" t="s">
        <v>4103</v>
      </c>
      <c r="D2371" t="s">
        <v>13</v>
      </c>
      <c r="E2371" t="s">
        <v>415</v>
      </c>
      <c r="F2371" t="s">
        <v>843</v>
      </c>
      <c r="H2371" t="s">
        <v>17</v>
      </c>
      <c r="I2371" t="s">
        <v>845</v>
      </c>
    </row>
    <row r="2372" spans="1:9" hidden="1" x14ac:dyDescent="0.3">
      <c r="A2372" t="s">
        <v>4187</v>
      </c>
      <c r="B2372" t="s">
        <v>4008</v>
      </c>
      <c r="C2372" t="s">
        <v>4103</v>
      </c>
      <c r="D2372" t="s">
        <v>13</v>
      </c>
      <c r="E2372" t="s">
        <v>420</v>
      </c>
      <c r="F2372" t="s">
        <v>797</v>
      </c>
      <c r="H2372" t="s">
        <v>17</v>
      </c>
      <c r="I2372" t="s">
        <v>4186</v>
      </c>
    </row>
    <row r="2373" spans="1:9" hidden="1" x14ac:dyDescent="0.3">
      <c r="A2373" t="s">
        <v>4189</v>
      </c>
      <c r="B2373" t="s">
        <v>4008</v>
      </c>
      <c r="C2373" t="s">
        <v>4103</v>
      </c>
      <c r="D2373" t="s">
        <v>13</v>
      </c>
      <c r="E2373" t="s">
        <v>423</v>
      </c>
      <c r="F2373" t="s">
        <v>3984</v>
      </c>
      <c r="H2373" t="s">
        <v>17</v>
      </c>
      <c r="I2373" t="s">
        <v>4188</v>
      </c>
    </row>
    <row r="2374" spans="1:9" hidden="1" x14ac:dyDescent="0.3">
      <c r="A2374" t="s">
        <v>4192</v>
      </c>
      <c r="B2374" t="s">
        <v>4008</v>
      </c>
      <c r="C2374" t="s">
        <v>4103</v>
      </c>
      <c r="D2374" t="s">
        <v>13</v>
      </c>
      <c r="E2374" t="s">
        <v>426</v>
      </c>
      <c r="F2374" t="s">
        <v>4190</v>
      </c>
      <c r="H2374" t="s">
        <v>17</v>
      </c>
      <c r="I2374" t="s">
        <v>4191</v>
      </c>
    </row>
    <row r="2375" spans="1:9" hidden="1" x14ac:dyDescent="0.3">
      <c r="A2375" t="s">
        <v>4194</v>
      </c>
      <c r="B2375" t="s">
        <v>4008</v>
      </c>
      <c r="C2375" t="s">
        <v>4103</v>
      </c>
      <c r="D2375" t="s">
        <v>13</v>
      </c>
      <c r="E2375" t="s">
        <v>429</v>
      </c>
      <c r="F2375" t="s">
        <v>2196</v>
      </c>
      <c r="H2375" t="s">
        <v>17</v>
      </c>
      <c r="I2375" t="s">
        <v>4193</v>
      </c>
    </row>
    <row r="2376" spans="1:9" hidden="1" x14ac:dyDescent="0.3">
      <c r="A2376" t="s">
        <v>4196</v>
      </c>
      <c r="B2376" t="s">
        <v>4008</v>
      </c>
      <c r="C2376" t="s">
        <v>4103</v>
      </c>
      <c r="D2376" t="s">
        <v>13</v>
      </c>
      <c r="E2376" t="s">
        <v>432</v>
      </c>
      <c r="F2376" t="s">
        <v>4195</v>
      </c>
      <c r="H2376" t="s">
        <v>17</v>
      </c>
      <c r="I2376" t="s">
        <v>4193</v>
      </c>
    </row>
    <row r="2377" spans="1:9" hidden="1" x14ac:dyDescent="0.3">
      <c r="A2377" t="s">
        <v>4198</v>
      </c>
      <c r="B2377" t="s">
        <v>4008</v>
      </c>
      <c r="C2377" t="s">
        <v>4103</v>
      </c>
      <c r="D2377" t="s">
        <v>13</v>
      </c>
      <c r="E2377" t="s">
        <v>435</v>
      </c>
      <c r="F2377" t="s">
        <v>2621</v>
      </c>
      <c r="H2377" t="s">
        <v>17</v>
      </c>
      <c r="I2377" t="s">
        <v>4197</v>
      </c>
    </row>
    <row r="2378" spans="1:9" hidden="1" x14ac:dyDescent="0.3">
      <c r="A2378" t="s">
        <v>4200</v>
      </c>
      <c r="B2378" t="s">
        <v>4008</v>
      </c>
      <c r="C2378" t="s">
        <v>4103</v>
      </c>
      <c r="D2378" t="s">
        <v>13</v>
      </c>
      <c r="E2378" t="s">
        <v>438</v>
      </c>
      <c r="F2378" t="s">
        <v>2926</v>
      </c>
      <c r="H2378" t="s">
        <v>17</v>
      </c>
      <c r="I2378" t="s">
        <v>4199</v>
      </c>
    </row>
    <row r="2379" spans="1:9" hidden="1" x14ac:dyDescent="0.3">
      <c r="A2379" t="s">
        <v>4203</v>
      </c>
      <c r="B2379" t="s">
        <v>4008</v>
      </c>
      <c r="C2379" t="s">
        <v>4103</v>
      </c>
      <c r="D2379" t="s">
        <v>13</v>
      </c>
      <c r="E2379" t="s">
        <v>441</v>
      </c>
      <c r="F2379" t="s">
        <v>4201</v>
      </c>
      <c r="H2379" t="s">
        <v>17</v>
      </c>
      <c r="I2379" t="s">
        <v>4202</v>
      </c>
    </row>
    <row r="2380" spans="1:9" hidden="1" x14ac:dyDescent="0.3">
      <c r="A2380" t="s">
        <v>4206</v>
      </c>
      <c r="B2380" t="s">
        <v>4008</v>
      </c>
      <c r="C2380" t="s">
        <v>4103</v>
      </c>
      <c r="D2380" t="s">
        <v>13</v>
      </c>
      <c r="E2380" t="s">
        <v>444</v>
      </c>
      <c r="F2380" t="s">
        <v>4204</v>
      </c>
      <c r="H2380" t="s">
        <v>17</v>
      </c>
      <c r="I2380" t="s">
        <v>4205</v>
      </c>
    </row>
    <row r="2381" spans="1:9" hidden="1" x14ac:dyDescent="0.3">
      <c r="A2381" t="s">
        <v>4208</v>
      </c>
      <c r="B2381" t="s">
        <v>4008</v>
      </c>
      <c r="C2381" t="s">
        <v>4103</v>
      </c>
      <c r="D2381" t="s">
        <v>13</v>
      </c>
      <c r="E2381" t="s">
        <v>448</v>
      </c>
      <c r="F2381" t="s">
        <v>824</v>
      </c>
      <c r="H2381" t="s">
        <v>17</v>
      </c>
      <c r="I2381" t="s">
        <v>4207</v>
      </c>
    </row>
    <row r="2382" spans="1:9" hidden="1" x14ac:dyDescent="0.3">
      <c r="A2382" t="s">
        <v>4211</v>
      </c>
      <c r="B2382" t="s">
        <v>4008</v>
      </c>
      <c r="C2382" t="s">
        <v>4103</v>
      </c>
      <c r="D2382" t="s">
        <v>13</v>
      </c>
      <c r="E2382" t="s">
        <v>453</v>
      </c>
      <c r="F2382" t="s">
        <v>4209</v>
      </c>
      <c r="H2382" t="s">
        <v>17</v>
      </c>
      <c r="I2382" t="s">
        <v>4210</v>
      </c>
    </row>
    <row r="2383" spans="1:9" hidden="1" x14ac:dyDescent="0.3">
      <c r="A2383" t="s">
        <v>4212</v>
      </c>
      <c r="B2383" t="s">
        <v>4008</v>
      </c>
      <c r="C2383" t="s">
        <v>4103</v>
      </c>
      <c r="D2383" t="s">
        <v>13</v>
      </c>
      <c r="E2383" t="s">
        <v>457</v>
      </c>
      <c r="F2383" t="s">
        <v>4209</v>
      </c>
      <c r="H2383" t="s">
        <v>17</v>
      </c>
      <c r="I2383" t="s">
        <v>4210</v>
      </c>
    </row>
    <row r="2384" spans="1:9" hidden="1" x14ac:dyDescent="0.3">
      <c r="A2384" t="s">
        <v>4213</v>
      </c>
      <c r="B2384" t="s">
        <v>4008</v>
      </c>
      <c r="C2384" t="s">
        <v>4103</v>
      </c>
      <c r="D2384" t="s">
        <v>13</v>
      </c>
      <c r="E2384" t="s">
        <v>461</v>
      </c>
      <c r="F2384" t="s">
        <v>4209</v>
      </c>
      <c r="H2384" t="s">
        <v>17</v>
      </c>
      <c r="I2384" t="s">
        <v>4210</v>
      </c>
    </row>
    <row r="2385" spans="1:9" hidden="1" x14ac:dyDescent="0.3">
      <c r="A2385" t="s">
        <v>4216</v>
      </c>
      <c r="B2385" t="s">
        <v>4008</v>
      </c>
      <c r="C2385" t="s">
        <v>4103</v>
      </c>
      <c r="D2385" t="s">
        <v>13</v>
      </c>
      <c r="E2385" t="s">
        <v>464</v>
      </c>
      <c r="F2385" t="s">
        <v>4214</v>
      </c>
      <c r="H2385" t="s">
        <v>17</v>
      </c>
      <c r="I2385" t="s">
        <v>4215</v>
      </c>
    </row>
    <row r="2386" spans="1:9" hidden="1" x14ac:dyDescent="0.3">
      <c r="A2386" t="s">
        <v>4219</v>
      </c>
      <c r="B2386" t="s">
        <v>4008</v>
      </c>
      <c r="C2386" t="s">
        <v>4103</v>
      </c>
      <c r="D2386" t="s">
        <v>13</v>
      </c>
      <c r="E2386" t="s">
        <v>468</v>
      </c>
      <c r="F2386" t="s">
        <v>4217</v>
      </c>
      <c r="H2386" t="s">
        <v>17</v>
      </c>
      <c r="I2386" t="s">
        <v>4218</v>
      </c>
    </row>
    <row r="2387" spans="1:9" hidden="1" x14ac:dyDescent="0.3">
      <c r="A2387" t="s">
        <v>4221</v>
      </c>
      <c r="B2387" t="s">
        <v>4008</v>
      </c>
      <c r="C2387" t="s">
        <v>4103</v>
      </c>
      <c r="D2387" t="s">
        <v>13</v>
      </c>
      <c r="E2387" t="s">
        <v>3794</v>
      </c>
      <c r="F2387" t="s">
        <v>4220</v>
      </c>
      <c r="H2387" t="s">
        <v>17</v>
      </c>
      <c r="I2387" t="s">
        <v>4007</v>
      </c>
    </row>
    <row r="2388" spans="1:9" hidden="1" x14ac:dyDescent="0.3">
      <c r="A2388" t="s">
        <v>10</v>
      </c>
      <c r="B2388" t="s">
        <v>4008</v>
      </c>
      <c r="C2388" t="s">
        <v>4103</v>
      </c>
      <c r="D2388" t="s">
        <v>13</v>
      </c>
      <c r="E2388" t="s">
        <v>3797</v>
      </c>
      <c r="F2388" t="s">
        <v>2945</v>
      </c>
      <c r="H2388" t="s">
        <v>17</v>
      </c>
    </row>
    <row r="2389" spans="1:9" hidden="1" x14ac:dyDescent="0.3">
      <c r="A2389" t="s">
        <v>1742</v>
      </c>
      <c r="B2389" t="s">
        <v>4222</v>
      </c>
      <c r="F2389" t="s">
        <v>4223</v>
      </c>
    </row>
    <row r="2390" spans="1:9" hidden="1" x14ac:dyDescent="0.3">
      <c r="A2390" t="s">
        <v>3360</v>
      </c>
      <c r="B2390" t="s">
        <v>4222</v>
      </c>
      <c r="D2390" t="s">
        <v>13</v>
      </c>
      <c r="E2390" t="s">
        <v>14</v>
      </c>
      <c r="F2390" t="s">
        <v>3861</v>
      </c>
      <c r="H2390" t="s">
        <v>17</v>
      </c>
    </row>
    <row r="2391" spans="1:9" hidden="1" x14ac:dyDescent="0.3">
      <c r="A2391" t="s">
        <v>3361</v>
      </c>
      <c r="B2391" t="s">
        <v>4222</v>
      </c>
      <c r="D2391" t="s">
        <v>13</v>
      </c>
      <c r="E2391" t="s">
        <v>1743</v>
      </c>
      <c r="F2391" t="s">
        <v>2672</v>
      </c>
      <c r="H2391" t="s">
        <v>17</v>
      </c>
      <c r="I2391" t="s">
        <v>4224</v>
      </c>
    </row>
    <row r="2392" spans="1:9" hidden="1" x14ac:dyDescent="0.3">
      <c r="A2392" t="s">
        <v>4226</v>
      </c>
      <c r="B2392" t="s">
        <v>4222</v>
      </c>
      <c r="D2392" t="s">
        <v>13</v>
      </c>
      <c r="E2392" t="s">
        <v>996</v>
      </c>
      <c r="F2392" t="s">
        <v>4225</v>
      </c>
      <c r="H2392" t="s">
        <v>17</v>
      </c>
      <c r="I2392" t="s">
        <v>3363</v>
      </c>
    </row>
    <row r="2393" spans="1:9" hidden="1" x14ac:dyDescent="0.3">
      <c r="A2393" t="s">
        <v>3365</v>
      </c>
      <c r="B2393" t="s">
        <v>4222</v>
      </c>
      <c r="D2393" t="s">
        <v>13</v>
      </c>
      <c r="E2393" t="s">
        <v>1001</v>
      </c>
      <c r="F2393" t="s">
        <v>4227</v>
      </c>
      <c r="H2393" t="s">
        <v>17</v>
      </c>
      <c r="I2393" t="s">
        <v>4228</v>
      </c>
    </row>
    <row r="2394" spans="1:9" hidden="1" x14ac:dyDescent="0.3">
      <c r="A2394" t="s">
        <v>377</v>
      </c>
      <c r="B2394" t="s">
        <v>4222</v>
      </c>
      <c r="D2394" t="s">
        <v>13</v>
      </c>
      <c r="E2394" t="s">
        <v>1942</v>
      </c>
      <c r="F2394" t="s">
        <v>4229</v>
      </c>
      <c r="H2394" t="s">
        <v>17</v>
      </c>
      <c r="I2394" t="s">
        <v>4230</v>
      </c>
    </row>
    <row r="2395" spans="1:9" hidden="1" x14ac:dyDescent="0.3">
      <c r="A2395" t="s">
        <v>383</v>
      </c>
      <c r="B2395" t="s">
        <v>4222</v>
      </c>
      <c r="D2395" t="s">
        <v>13</v>
      </c>
      <c r="E2395" t="s">
        <v>22</v>
      </c>
      <c r="F2395" t="s">
        <v>4231</v>
      </c>
      <c r="H2395" t="s">
        <v>17</v>
      </c>
      <c r="I2395" t="s">
        <v>3864</v>
      </c>
    </row>
    <row r="2396" spans="1:9" hidden="1" x14ac:dyDescent="0.3">
      <c r="A2396" t="s">
        <v>1638</v>
      </c>
      <c r="B2396" t="s">
        <v>4222</v>
      </c>
      <c r="D2396" t="s">
        <v>13</v>
      </c>
      <c r="E2396" t="s">
        <v>27</v>
      </c>
      <c r="F2396" t="s">
        <v>4232</v>
      </c>
      <c r="H2396" t="s">
        <v>17</v>
      </c>
      <c r="I2396" t="s">
        <v>4228</v>
      </c>
    </row>
    <row r="2397" spans="1:9" hidden="1" x14ac:dyDescent="0.3">
      <c r="A2397" t="s">
        <v>1640</v>
      </c>
      <c r="B2397" t="s">
        <v>4222</v>
      </c>
      <c r="D2397" t="s">
        <v>13</v>
      </c>
      <c r="E2397" t="s">
        <v>1014</v>
      </c>
      <c r="F2397" t="s">
        <v>4233</v>
      </c>
      <c r="H2397" t="s">
        <v>17</v>
      </c>
      <c r="I2397" t="s">
        <v>4234</v>
      </c>
    </row>
    <row r="2398" spans="1:9" hidden="1" x14ac:dyDescent="0.3">
      <c r="A2398" t="s">
        <v>1643</v>
      </c>
      <c r="B2398" t="s">
        <v>4222</v>
      </c>
      <c r="D2398" t="s">
        <v>13</v>
      </c>
      <c r="E2398" t="s">
        <v>1017</v>
      </c>
      <c r="F2398" t="s">
        <v>4235</v>
      </c>
      <c r="H2398" t="s">
        <v>17</v>
      </c>
      <c r="I2398" t="s">
        <v>4236</v>
      </c>
    </row>
    <row r="2399" spans="1:9" hidden="1" x14ac:dyDescent="0.3">
      <c r="A2399" t="s">
        <v>388</v>
      </c>
      <c r="B2399" t="s">
        <v>4222</v>
      </c>
      <c r="D2399" t="s">
        <v>13</v>
      </c>
      <c r="E2399" t="s">
        <v>36</v>
      </c>
      <c r="F2399" t="s">
        <v>4237</v>
      </c>
      <c r="H2399" t="s">
        <v>17</v>
      </c>
      <c r="I2399" t="s">
        <v>4238</v>
      </c>
    </row>
    <row r="2400" spans="1:9" hidden="1" x14ac:dyDescent="0.3">
      <c r="A2400" t="s">
        <v>1647</v>
      </c>
      <c r="B2400" t="s">
        <v>4222</v>
      </c>
      <c r="D2400" t="s">
        <v>13</v>
      </c>
      <c r="E2400" t="s">
        <v>41</v>
      </c>
      <c r="F2400" t="s">
        <v>4239</v>
      </c>
      <c r="H2400" t="s">
        <v>17</v>
      </c>
      <c r="I2400" t="s">
        <v>3880</v>
      </c>
    </row>
    <row r="2401" spans="1:9" hidden="1" x14ac:dyDescent="0.3">
      <c r="A2401" t="s">
        <v>392</v>
      </c>
      <c r="B2401" t="s">
        <v>4222</v>
      </c>
      <c r="D2401" t="s">
        <v>13</v>
      </c>
      <c r="E2401" t="s">
        <v>45</v>
      </c>
      <c r="F2401" t="s">
        <v>4240</v>
      </c>
      <c r="H2401" t="s">
        <v>17</v>
      </c>
      <c r="I2401" t="s">
        <v>3880</v>
      </c>
    </row>
    <row r="2402" spans="1:9" hidden="1" x14ac:dyDescent="0.3">
      <c r="A2402" t="s">
        <v>1653</v>
      </c>
      <c r="B2402" t="s">
        <v>4222</v>
      </c>
      <c r="D2402" t="s">
        <v>13</v>
      </c>
      <c r="E2402" t="s">
        <v>50</v>
      </c>
      <c r="F2402" t="s">
        <v>4241</v>
      </c>
      <c r="H2402" t="s">
        <v>807</v>
      </c>
      <c r="I2402" t="s">
        <v>4242</v>
      </c>
    </row>
    <row r="2403" spans="1:9" hidden="1" x14ac:dyDescent="0.3">
      <c r="A2403" t="s">
        <v>395</v>
      </c>
      <c r="B2403" t="s">
        <v>4222</v>
      </c>
      <c r="D2403" t="s">
        <v>13</v>
      </c>
      <c r="E2403" t="s">
        <v>53</v>
      </c>
      <c r="F2403" t="s">
        <v>4243</v>
      </c>
      <c r="H2403" t="s">
        <v>17</v>
      </c>
      <c r="I2403" t="s">
        <v>4244</v>
      </c>
    </row>
    <row r="2404" spans="1:9" hidden="1" x14ac:dyDescent="0.3">
      <c r="A2404" t="s">
        <v>1656</v>
      </c>
      <c r="B2404" t="s">
        <v>4222</v>
      </c>
      <c r="D2404" t="s">
        <v>13</v>
      </c>
      <c r="E2404" t="s">
        <v>56</v>
      </c>
      <c r="F2404" t="s">
        <v>3883</v>
      </c>
      <c r="H2404" t="s">
        <v>17</v>
      </c>
      <c r="I2404" t="s">
        <v>4028</v>
      </c>
    </row>
    <row r="2405" spans="1:9" hidden="1" x14ac:dyDescent="0.3">
      <c r="A2405" t="s">
        <v>398</v>
      </c>
      <c r="B2405" t="s">
        <v>4222</v>
      </c>
      <c r="D2405" t="s">
        <v>13</v>
      </c>
      <c r="E2405" t="s">
        <v>61</v>
      </c>
      <c r="F2405" t="s">
        <v>2008</v>
      </c>
      <c r="H2405" t="s">
        <v>17</v>
      </c>
      <c r="I2405" t="s">
        <v>4228</v>
      </c>
    </row>
    <row r="2406" spans="1:9" hidden="1" x14ac:dyDescent="0.3">
      <c r="A2406" t="s">
        <v>3378</v>
      </c>
      <c r="B2406" t="s">
        <v>4222</v>
      </c>
      <c r="D2406" t="s">
        <v>13</v>
      </c>
      <c r="E2406" t="s">
        <v>1039</v>
      </c>
      <c r="F2406" t="s">
        <v>4245</v>
      </c>
      <c r="H2406" t="s">
        <v>807</v>
      </c>
      <c r="I2406" t="s">
        <v>4242</v>
      </c>
    </row>
    <row r="2407" spans="1:9" hidden="1" x14ac:dyDescent="0.3">
      <c r="A2407" t="s">
        <v>401</v>
      </c>
      <c r="B2407" t="s">
        <v>4222</v>
      </c>
      <c r="D2407" t="s">
        <v>13</v>
      </c>
      <c r="E2407" t="s">
        <v>1043</v>
      </c>
      <c r="F2407" t="s">
        <v>4246</v>
      </c>
      <c r="H2407" t="s">
        <v>17</v>
      </c>
      <c r="I2407" t="s">
        <v>4247</v>
      </c>
    </row>
    <row r="2408" spans="1:9" hidden="1" x14ac:dyDescent="0.3">
      <c r="A2408" t="s">
        <v>1663</v>
      </c>
      <c r="B2408" t="s">
        <v>4222</v>
      </c>
      <c r="D2408" t="s">
        <v>13</v>
      </c>
      <c r="E2408" t="s">
        <v>71</v>
      </c>
      <c r="F2408" t="s">
        <v>4248</v>
      </c>
      <c r="H2408" t="s">
        <v>17</v>
      </c>
      <c r="I2408" t="s">
        <v>4249</v>
      </c>
    </row>
    <row r="2409" spans="1:9" hidden="1" x14ac:dyDescent="0.3">
      <c r="A2409" t="s">
        <v>404</v>
      </c>
      <c r="B2409" t="s">
        <v>4222</v>
      </c>
      <c r="D2409" t="s">
        <v>13</v>
      </c>
      <c r="E2409" t="s">
        <v>1050</v>
      </c>
      <c r="F2409" t="s">
        <v>4250</v>
      </c>
      <c r="H2409" t="s">
        <v>17</v>
      </c>
      <c r="I2409" t="s">
        <v>4249</v>
      </c>
    </row>
    <row r="2410" spans="1:9" hidden="1" x14ac:dyDescent="0.3">
      <c r="A2410" t="s">
        <v>3382</v>
      </c>
      <c r="B2410" t="s">
        <v>4222</v>
      </c>
      <c r="D2410" t="s">
        <v>13</v>
      </c>
      <c r="E2410" t="s">
        <v>1055</v>
      </c>
      <c r="F2410" t="s">
        <v>4251</v>
      </c>
      <c r="H2410" t="s">
        <v>17</v>
      </c>
      <c r="I2410" t="s">
        <v>4252</v>
      </c>
    </row>
    <row r="2411" spans="1:9" hidden="1" x14ac:dyDescent="0.3">
      <c r="A2411" t="s">
        <v>407</v>
      </c>
      <c r="B2411" t="s">
        <v>4222</v>
      </c>
      <c r="D2411" t="s">
        <v>13</v>
      </c>
      <c r="E2411" t="s">
        <v>80</v>
      </c>
      <c r="F2411" t="s">
        <v>4253</v>
      </c>
      <c r="H2411" t="s">
        <v>17</v>
      </c>
      <c r="I2411" t="s">
        <v>4003</v>
      </c>
    </row>
    <row r="2412" spans="1:9" hidden="1" x14ac:dyDescent="0.3">
      <c r="A2412" t="s">
        <v>1670</v>
      </c>
      <c r="B2412" t="s">
        <v>4222</v>
      </c>
      <c r="D2412" t="s">
        <v>13</v>
      </c>
      <c r="E2412" t="s">
        <v>85</v>
      </c>
      <c r="F2412" t="s">
        <v>4254</v>
      </c>
      <c r="H2412" t="s">
        <v>17</v>
      </c>
      <c r="I2412" t="s">
        <v>4003</v>
      </c>
    </row>
    <row r="2413" spans="1:9" hidden="1" x14ac:dyDescent="0.3">
      <c r="A2413" t="s">
        <v>411</v>
      </c>
      <c r="B2413" t="s">
        <v>4222</v>
      </c>
      <c r="D2413" t="s">
        <v>13</v>
      </c>
      <c r="E2413" t="s">
        <v>90</v>
      </c>
      <c r="F2413" t="s">
        <v>4255</v>
      </c>
      <c r="H2413" t="s">
        <v>17</v>
      </c>
      <c r="I2413" t="s">
        <v>4003</v>
      </c>
    </row>
    <row r="2414" spans="1:9" hidden="1" x14ac:dyDescent="0.3">
      <c r="A2414" t="s">
        <v>416</v>
      </c>
      <c r="B2414" t="s">
        <v>4222</v>
      </c>
      <c r="D2414" t="s">
        <v>13</v>
      </c>
      <c r="E2414" t="s">
        <v>95</v>
      </c>
      <c r="F2414" t="s">
        <v>4256</v>
      </c>
      <c r="H2414" t="s">
        <v>17</v>
      </c>
      <c r="I2414" t="s">
        <v>3880</v>
      </c>
    </row>
    <row r="2415" spans="1:9" hidden="1" x14ac:dyDescent="0.3">
      <c r="A2415" t="s">
        <v>421</v>
      </c>
      <c r="B2415" t="s">
        <v>4222</v>
      </c>
      <c r="D2415" t="s">
        <v>13</v>
      </c>
      <c r="E2415" t="s">
        <v>100</v>
      </c>
      <c r="F2415" t="s">
        <v>4257</v>
      </c>
      <c r="H2415" t="s">
        <v>17</v>
      </c>
      <c r="I2415" t="s">
        <v>3880</v>
      </c>
    </row>
    <row r="2416" spans="1:9" hidden="1" x14ac:dyDescent="0.3">
      <c r="A2416" t="s">
        <v>424</v>
      </c>
      <c r="B2416" t="s">
        <v>4222</v>
      </c>
      <c r="D2416" t="s">
        <v>13</v>
      </c>
      <c r="E2416" t="s">
        <v>106</v>
      </c>
      <c r="F2416" t="s">
        <v>4258</v>
      </c>
      <c r="H2416" t="s">
        <v>17</v>
      </c>
      <c r="I2416" t="s">
        <v>4259</v>
      </c>
    </row>
    <row r="2417" spans="1:9" hidden="1" x14ac:dyDescent="0.3">
      <c r="A2417" t="s">
        <v>427</v>
      </c>
      <c r="B2417" t="s">
        <v>4222</v>
      </c>
      <c r="D2417" t="s">
        <v>13</v>
      </c>
      <c r="E2417" t="s">
        <v>111</v>
      </c>
      <c r="F2417" t="s">
        <v>4260</v>
      </c>
      <c r="H2417" t="s">
        <v>17</v>
      </c>
      <c r="I2417" t="s">
        <v>4259</v>
      </c>
    </row>
    <row r="2418" spans="1:9" hidden="1" x14ac:dyDescent="0.3">
      <c r="A2418" t="s">
        <v>430</v>
      </c>
      <c r="B2418" t="s">
        <v>4222</v>
      </c>
      <c r="D2418" t="s">
        <v>13</v>
      </c>
      <c r="E2418" t="s">
        <v>114</v>
      </c>
      <c r="F2418" t="s">
        <v>4261</v>
      </c>
      <c r="H2418" t="s">
        <v>17</v>
      </c>
      <c r="I2418" t="s">
        <v>4262</v>
      </c>
    </row>
    <row r="2419" spans="1:9" hidden="1" x14ac:dyDescent="0.3">
      <c r="A2419" t="s">
        <v>436</v>
      </c>
      <c r="B2419" t="s">
        <v>4222</v>
      </c>
      <c r="D2419" t="s">
        <v>13</v>
      </c>
      <c r="E2419" t="s">
        <v>117</v>
      </c>
      <c r="F2419" t="s">
        <v>3915</v>
      </c>
      <c r="H2419" t="s">
        <v>17</v>
      </c>
      <c r="I2419" t="s">
        <v>4003</v>
      </c>
    </row>
    <row r="2420" spans="1:9" hidden="1" x14ac:dyDescent="0.3">
      <c r="A2420" t="s">
        <v>439</v>
      </c>
      <c r="B2420" t="s">
        <v>4222</v>
      </c>
      <c r="C2420" t="s">
        <v>4263</v>
      </c>
      <c r="D2420" t="s">
        <v>13</v>
      </c>
      <c r="E2420" t="s">
        <v>121</v>
      </c>
      <c r="F2420" t="s">
        <v>4264</v>
      </c>
      <c r="H2420" t="s">
        <v>17</v>
      </c>
      <c r="I2420" t="s">
        <v>4265</v>
      </c>
    </row>
    <row r="2421" spans="1:9" hidden="1" x14ac:dyDescent="0.3">
      <c r="A2421" t="s">
        <v>442</v>
      </c>
      <c r="B2421" t="s">
        <v>4222</v>
      </c>
      <c r="C2421" t="s">
        <v>4263</v>
      </c>
      <c r="D2421" t="s">
        <v>13</v>
      </c>
      <c r="E2421" t="s">
        <v>126</v>
      </c>
      <c r="F2421" t="s">
        <v>4266</v>
      </c>
      <c r="H2421" t="s">
        <v>17</v>
      </c>
      <c r="I2421" t="s">
        <v>4265</v>
      </c>
    </row>
    <row r="2422" spans="1:9" hidden="1" x14ac:dyDescent="0.3">
      <c r="A2422" t="s">
        <v>445</v>
      </c>
      <c r="B2422" t="s">
        <v>4222</v>
      </c>
      <c r="C2422" t="s">
        <v>4263</v>
      </c>
      <c r="D2422" t="s">
        <v>13</v>
      </c>
      <c r="E2422" t="s">
        <v>129</v>
      </c>
      <c r="F2422" t="s">
        <v>4267</v>
      </c>
      <c r="H2422" t="s">
        <v>17</v>
      </c>
      <c r="I2422" t="s">
        <v>4265</v>
      </c>
    </row>
    <row r="2423" spans="1:9" hidden="1" x14ac:dyDescent="0.3">
      <c r="A2423" t="s">
        <v>449</v>
      </c>
      <c r="B2423" t="s">
        <v>4222</v>
      </c>
      <c r="C2423" t="s">
        <v>4263</v>
      </c>
      <c r="D2423" t="s">
        <v>13</v>
      </c>
      <c r="E2423" t="s">
        <v>132</v>
      </c>
      <c r="F2423" t="s">
        <v>4268</v>
      </c>
      <c r="H2423" t="s">
        <v>17</v>
      </c>
      <c r="I2423" t="s">
        <v>4265</v>
      </c>
    </row>
    <row r="2424" spans="1:9" hidden="1" x14ac:dyDescent="0.3">
      <c r="A2424" t="s">
        <v>454</v>
      </c>
      <c r="B2424" t="s">
        <v>4222</v>
      </c>
      <c r="C2424" t="s">
        <v>4263</v>
      </c>
      <c r="D2424" t="s">
        <v>13</v>
      </c>
      <c r="E2424" t="s">
        <v>135</v>
      </c>
      <c r="F2424" t="s">
        <v>4269</v>
      </c>
      <c r="H2424" t="s">
        <v>17</v>
      </c>
      <c r="I2424" t="s">
        <v>4270</v>
      </c>
    </row>
    <row r="2425" spans="1:9" hidden="1" x14ac:dyDescent="0.3">
      <c r="A2425" t="s">
        <v>458</v>
      </c>
      <c r="B2425" t="s">
        <v>4222</v>
      </c>
      <c r="C2425" t="s">
        <v>4263</v>
      </c>
      <c r="D2425" t="s">
        <v>13</v>
      </c>
      <c r="E2425" t="s">
        <v>138</v>
      </c>
      <c r="F2425" t="s">
        <v>4271</v>
      </c>
      <c r="H2425" t="s">
        <v>17</v>
      </c>
      <c r="I2425" t="s">
        <v>4265</v>
      </c>
    </row>
    <row r="2426" spans="1:9" hidden="1" x14ac:dyDescent="0.3">
      <c r="A2426" t="s">
        <v>462</v>
      </c>
      <c r="B2426" t="s">
        <v>4222</v>
      </c>
      <c r="C2426" t="s">
        <v>4263</v>
      </c>
      <c r="D2426" t="s">
        <v>13</v>
      </c>
      <c r="E2426" t="s">
        <v>141</v>
      </c>
      <c r="F2426" t="s">
        <v>4272</v>
      </c>
      <c r="H2426" t="s">
        <v>17</v>
      </c>
      <c r="I2426" t="s">
        <v>4265</v>
      </c>
    </row>
    <row r="2427" spans="1:9" hidden="1" x14ac:dyDescent="0.3">
      <c r="A2427" t="s">
        <v>465</v>
      </c>
      <c r="B2427" t="s">
        <v>4222</v>
      </c>
      <c r="C2427" t="s">
        <v>4263</v>
      </c>
      <c r="D2427" t="s">
        <v>13</v>
      </c>
      <c r="E2427" t="s">
        <v>144</v>
      </c>
      <c r="F2427" t="s">
        <v>4273</v>
      </c>
      <c r="H2427" t="s">
        <v>17</v>
      </c>
      <c r="I2427" t="s">
        <v>4265</v>
      </c>
    </row>
    <row r="2428" spans="1:9" hidden="1" x14ac:dyDescent="0.3">
      <c r="A2428" t="s">
        <v>469</v>
      </c>
      <c r="B2428" t="s">
        <v>4222</v>
      </c>
      <c r="C2428" t="s">
        <v>4263</v>
      </c>
      <c r="D2428" t="s">
        <v>13</v>
      </c>
      <c r="E2428" t="s">
        <v>147</v>
      </c>
      <c r="F2428" t="s">
        <v>3940</v>
      </c>
      <c r="H2428" t="s">
        <v>17</v>
      </c>
      <c r="I2428" t="s">
        <v>4274</v>
      </c>
    </row>
    <row r="2429" spans="1:9" hidden="1" x14ac:dyDescent="0.3">
      <c r="A2429" t="s">
        <v>472</v>
      </c>
      <c r="B2429" t="s">
        <v>4222</v>
      </c>
      <c r="C2429" t="s">
        <v>4263</v>
      </c>
      <c r="D2429" t="s">
        <v>13</v>
      </c>
      <c r="E2429" t="s">
        <v>152</v>
      </c>
      <c r="F2429" t="s">
        <v>4275</v>
      </c>
      <c r="H2429" t="s">
        <v>17</v>
      </c>
      <c r="I2429" t="s">
        <v>4265</v>
      </c>
    </row>
    <row r="2430" spans="1:9" hidden="1" x14ac:dyDescent="0.3">
      <c r="A2430" t="s">
        <v>476</v>
      </c>
      <c r="B2430" t="s">
        <v>4222</v>
      </c>
      <c r="C2430" t="s">
        <v>4263</v>
      </c>
      <c r="D2430" t="s">
        <v>13</v>
      </c>
      <c r="E2430" t="s">
        <v>157</v>
      </c>
      <c r="F2430" t="s">
        <v>4276</v>
      </c>
      <c r="H2430" t="s">
        <v>17</v>
      </c>
      <c r="I2430" t="s">
        <v>4265</v>
      </c>
    </row>
    <row r="2431" spans="1:9" hidden="1" x14ac:dyDescent="0.3">
      <c r="A2431" t="s">
        <v>479</v>
      </c>
      <c r="B2431" t="s">
        <v>4222</v>
      </c>
      <c r="C2431" t="s">
        <v>4263</v>
      </c>
      <c r="D2431" t="s">
        <v>13</v>
      </c>
      <c r="E2431" t="s">
        <v>162</v>
      </c>
      <c r="F2431" t="s">
        <v>4277</v>
      </c>
      <c r="H2431" t="s">
        <v>17</v>
      </c>
      <c r="I2431" t="s">
        <v>4265</v>
      </c>
    </row>
    <row r="2432" spans="1:9" hidden="1" x14ac:dyDescent="0.3">
      <c r="A2432" t="s">
        <v>483</v>
      </c>
      <c r="B2432" t="s">
        <v>4222</v>
      </c>
      <c r="C2432" t="s">
        <v>4263</v>
      </c>
      <c r="D2432" t="s">
        <v>13</v>
      </c>
      <c r="E2432" t="s">
        <v>167</v>
      </c>
      <c r="F2432" t="s">
        <v>4278</v>
      </c>
      <c r="H2432" t="s">
        <v>17</v>
      </c>
      <c r="I2432" t="s">
        <v>4279</v>
      </c>
    </row>
    <row r="2433" spans="1:9" hidden="1" x14ac:dyDescent="0.3">
      <c r="A2433" t="s">
        <v>490</v>
      </c>
      <c r="B2433" t="s">
        <v>4222</v>
      </c>
      <c r="C2433" t="s">
        <v>4263</v>
      </c>
      <c r="D2433" t="s">
        <v>13</v>
      </c>
      <c r="E2433" t="s">
        <v>172</v>
      </c>
      <c r="F2433" t="s">
        <v>4280</v>
      </c>
      <c r="H2433" t="s">
        <v>17</v>
      </c>
      <c r="I2433" t="s">
        <v>4279</v>
      </c>
    </row>
    <row r="2434" spans="1:9" hidden="1" x14ac:dyDescent="0.3">
      <c r="A2434" t="s">
        <v>493</v>
      </c>
      <c r="B2434" t="s">
        <v>4222</v>
      </c>
      <c r="C2434" t="s">
        <v>4281</v>
      </c>
      <c r="D2434" t="s">
        <v>13</v>
      </c>
      <c r="E2434" t="s">
        <v>177</v>
      </c>
      <c r="F2434" t="s">
        <v>3970</v>
      </c>
      <c r="H2434" t="s">
        <v>17</v>
      </c>
      <c r="I2434" t="s">
        <v>4282</v>
      </c>
    </row>
    <row r="2435" spans="1:9" hidden="1" x14ac:dyDescent="0.3">
      <c r="A2435" t="s">
        <v>497</v>
      </c>
      <c r="B2435" t="s">
        <v>4222</v>
      </c>
      <c r="C2435" t="s">
        <v>4281</v>
      </c>
      <c r="D2435" t="s">
        <v>13</v>
      </c>
      <c r="E2435" t="s">
        <v>182</v>
      </c>
      <c r="F2435" t="s">
        <v>3970</v>
      </c>
      <c r="H2435" t="s">
        <v>17</v>
      </c>
      <c r="I2435" t="s">
        <v>4283</v>
      </c>
    </row>
    <row r="2436" spans="1:9" hidden="1" x14ac:dyDescent="0.3">
      <c r="A2436" t="s">
        <v>500</v>
      </c>
      <c r="B2436" t="s">
        <v>4222</v>
      </c>
      <c r="C2436" t="s">
        <v>4281</v>
      </c>
      <c r="D2436" t="s">
        <v>13</v>
      </c>
      <c r="E2436" t="s">
        <v>187</v>
      </c>
      <c r="F2436" t="s">
        <v>3970</v>
      </c>
      <c r="H2436" t="s">
        <v>17</v>
      </c>
      <c r="I2436" t="s">
        <v>4284</v>
      </c>
    </row>
    <row r="2437" spans="1:9" hidden="1" x14ac:dyDescent="0.3">
      <c r="A2437" t="s">
        <v>505</v>
      </c>
      <c r="B2437" t="s">
        <v>4222</v>
      </c>
      <c r="C2437" t="s">
        <v>4281</v>
      </c>
      <c r="D2437" t="s">
        <v>13</v>
      </c>
      <c r="E2437" t="s">
        <v>193</v>
      </c>
      <c r="F2437" t="s">
        <v>3970</v>
      </c>
      <c r="H2437" t="s">
        <v>17</v>
      </c>
      <c r="I2437" t="s">
        <v>4285</v>
      </c>
    </row>
    <row r="2438" spans="1:9" hidden="1" x14ac:dyDescent="0.3">
      <c r="A2438" t="s">
        <v>508</v>
      </c>
      <c r="B2438" t="s">
        <v>4222</v>
      </c>
      <c r="C2438" t="s">
        <v>4281</v>
      </c>
      <c r="D2438" t="s">
        <v>13</v>
      </c>
      <c r="E2438" t="s">
        <v>198</v>
      </c>
      <c r="F2438" t="s">
        <v>3970</v>
      </c>
      <c r="H2438" t="s">
        <v>17</v>
      </c>
      <c r="I2438" t="s">
        <v>4286</v>
      </c>
    </row>
    <row r="2439" spans="1:9" hidden="1" x14ac:dyDescent="0.3">
      <c r="A2439" t="s">
        <v>512</v>
      </c>
      <c r="B2439" t="s">
        <v>4222</v>
      </c>
      <c r="C2439" t="s">
        <v>4281</v>
      </c>
      <c r="D2439" t="s">
        <v>13</v>
      </c>
      <c r="E2439" t="s">
        <v>202</v>
      </c>
      <c r="F2439" t="s">
        <v>3970</v>
      </c>
      <c r="H2439" t="s">
        <v>17</v>
      </c>
      <c r="I2439" t="s">
        <v>4287</v>
      </c>
    </row>
    <row r="2440" spans="1:9" hidden="1" x14ac:dyDescent="0.3">
      <c r="A2440" t="s">
        <v>515</v>
      </c>
      <c r="B2440" t="s">
        <v>4222</v>
      </c>
      <c r="C2440" t="s">
        <v>4281</v>
      </c>
      <c r="D2440" t="s">
        <v>13</v>
      </c>
      <c r="E2440" t="s">
        <v>206</v>
      </c>
      <c r="F2440" t="s">
        <v>3970</v>
      </c>
      <c r="H2440" t="s">
        <v>17</v>
      </c>
      <c r="I2440" t="s">
        <v>4288</v>
      </c>
    </row>
    <row r="2441" spans="1:9" hidden="1" x14ac:dyDescent="0.3">
      <c r="A2441" t="s">
        <v>519</v>
      </c>
      <c r="B2441" t="s">
        <v>4222</v>
      </c>
      <c r="C2441" t="s">
        <v>4281</v>
      </c>
      <c r="D2441" t="s">
        <v>13</v>
      </c>
      <c r="E2441" t="s">
        <v>210</v>
      </c>
      <c r="F2441" t="s">
        <v>3970</v>
      </c>
      <c r="H2441" t="s">
        <v>17</v>
      </c>
      <c r="I2441" t="s">
        <v>4289</v>
      </c>
    </row>
    <row r="2442" spans="1:9" hidden="1" x14ac:dyDescent="0.3">
      <c r="A2442" t="s">
        <v>522</v>
      </c>
      <c r="B2442" t="s">
        <v>4222</v>
      </c>
      <c r="C2442" t="s">
        <v>4281</v>
      </c>
      <c r="D2442" t="s">
        <v>13</v>
      </c>
      <c r="E2442" t="s">
        <v>214</v>
      </c>
      <c r="F2442" t="s">
        <v>3970</v>
      </c>
      <c r="H2442" t="s">
        <v>17</v>
      </c>
      <c r="I2442" t="s">
        <v>4290</v>
      </c>
    </row>
    <row r="2443" spans="1:9" hidden="1" x14ac:dyDescent="0.3">
      <c r="A2443" t="s">
        <v>526</v>
      </c>
      <c r="B2443" t="s">
        <v>4222</v>
      </c>
      <c r="C2443" t="s">
        <v>4281</v>
      </c>
      <c r="D2443" t="s">
        <v>13</v>
      </c>
      <c r="E2443" t="s">
        <v>218</v>
      </c>
      <c r="F2443" t="s">
        <v>3970</v>
      </c>
      <c r="H2443" t="s">
        <v>17</v>
      </c>
      <c r="I2443" t="s">
        <v>4291</v>
      </c>
    </row>
    <row r="2444" spans="1:9" hidden="1" x14ac:dyDescent="0.3">
      <c r="A2444" t="s">
        <v>529</v>
      </c>
      <c r="B2444" t="s">
        <v>4222</v>
      </c>
      <c r="C2444" t="s">
        <v>4281</v>
      </c>
      <c r="D2444" t="s">
        <v>13</v>
      </c>
      <c r="E2444" t="s">
        <v>223</v>
      </c>
      <c r="F2444" t="s">
        <v>4292</v>
      </c>
      <c r="H2444" t="s">
        <v>17</v>
      </c>
      <c r="I2444" t="s">
        <v>4293</v>
      </c>
    </row>
    <row r="2445" spans="1:9" hidden="1" x14ac:dyDescent="0.3">
      <c r="A2445" t="s">
        <v>533</v>
      </c>
      <c r="B2445" t="s">
        <v>4222</v>
      </c>
      <c r="C2445" t="s">
        <v>4281</v>
      </c>
      <c r="D2445" t="s">
        <v>13</v>
      </c>
      <c r="E2445" t="s">
        <v>228</v>
      </c>
      <c r="F2445" t="s">
        <v>4294</v>
      </c>
      <c r="H2445" t="s">
        <v>17</v>
      </c>
      <c r="I2445" t="s">
        <v>4295</v>
      </c>
    </row>
    <row r="2446" spans="1:9" hidden="1" x14ac:dyDescent="0.3">
      <c r="A2446" t="s">
        <v>541</v>
      </c>
      <c r="B2446" t="s">
        <v>4222</v>
      </c>
      <c r="C2446" t="s">
        <v>4281</v>
      </c>
      <c r="D2446" t="s">
        <v>13</v>
      </c>
      <c r="E2446" t="s">
        <v>233</v>
      </c>
      <c r="F2446" t="s">
        <v>4296</v>
      </c>
      <c r="H2446" t="s">
        <v>17</v>
      </c>
      <c r="I2446" t="s">
        <v>4297</v>
      </c>
    </row>
    <row r="2447" spans="1:9" hidden="1" x14ac:dyDescent="0.3">
      <c r="A2447" t="s">
        <v>546</v>
      </c>
      <c r="B2447" t="s">
        <v>4222</v>
      </c>
      <c r="C2447" t="s">
        <v>4298</v>
      </c>
      <c r="D2447" t="s">
        <v>13</v>
      </c>
      <c r="E2447" t="s">
        <v>236</v>
      </c>
      <c r="F2447" t="s">
        <v>4043</v>
      </c>
      <c r="H2447" t="s">
        <v>17</v>
      </c>
      <c r="I2447" t="s">
        <v>4044</v>
      </c>
    </row>
    <row r="2448" spans="1:9" hidden="1" x14ac:dyDescent="0.3">
      <c r="A2448" t="s">
        <v>551</v>
      </c>
      <c r="B2448" t="s">
        <v>4222</v>
      </c>
      <c r="C2448" t="s">
        <v>4298</v>
      </c>
      <c r="D2448" t="s">
        <v>13</v>
      </c>
      <c r="E2448" t="s">
        <v>239</v>
      </c>
      <c r="F2448" t="s">
        <v>4299</v>
      </c>
      <c r="H2448" t="s">
        <v>17</v>
      </c>
      <c r="I2448" t="s">
        <v>4044</v>
      </c>
    </row>
    <row r="2449" spans="1:9" hidden="1" x14ac:dyDescent="0.3">
      <c r="A2449" t="s">
        <v>1712</v>
      </c>
      <c r="B2449" t="s">
        <v>4222</v>
      </c>
      <c r="C2449" t="s">
        <v>4298</v>
      </c>
      <c r="D2449" t="s">
        <v>13</v>
      </c>
      <c r="E2449" t="s">
        <v>1881</v>
      </c>
      <c r="F2449" t="s">
        <v>4300</v>
      </c>
      <c r="H2449" t="s">
        <v>17</v>
      </c>
      <c r="I2449" t="s">
        <v>4044</v>
      </c>
    </row>
    <row r="2450" spans="1:9" hidden="1" x14ac:dyDescent="0.3">
      <c r="A2450" t="s">
        <v>560</v>
      </c>
      <c r="B2450" t="s">
        <v>4222</v>
      </c>
      <c r="C2450" t="s">
        <v>4301</v>
      </c>
      <c r="D2450" t="s">
        <v>13</v>
      </c>
      <c r="E2450" t="s">
        <v>1885</v>
      </c>
      <c r="F2450" t="s">
        <v>4302</v>
      </c>
      <c r="H2450" t="s">
        <v>17</v>
      </c>
      <c r="I2450" t="s">
        <v>4044</v>
      </c>
    </row>
    <row r="2451" spans="1:9" hidden="1" x14ac:dyDescent="0.3">
      <c r="A2451" t="s">
        <v>565</v>
      </c>
      <c r="B2451" t="s">
        <v>4222</v>
      </c>
      <c r="C2451" t="s">
        <v>4301</v>
      </c>
      <c r="D2451" t="s">
        <v>13</v>
      </c>
      <c r="E2451" t="s">
        <v>1588</v>
      </c>
      <c r="F2451" t="s">
        <v>4303</v>
      </c>
      <c r="H2451" t="s">
        <v>17</v>
      </c>
      <c r="I2451" t="s">
        <v>4044</v>
      </c>
    </row>
    <row r="2452" spans="1:9" hidden="1" x14ac:dyDescent="0.3">
      <c r="A2452" t="s">
        <v>570</v>
      </c>
      <c r="B2452" t="s">
        <v>4222</v>
      </c>
      <c r="C2452" t="s">
        <v>4301</v>
      </c>
      <c r="D2452" t="s">
        <v>13</v>
      </c>
      <c r="E2452" t="s">
        <v>1892</v>
      </c>
      <c r="F2452" t="s">
        <v>4304</v>
      </c>
      <c r="H2452" t="s">
        <v>17</v>
      </c>
      <c r="I2452" t="s">
        <v>4044</v>
      </c>
    </row>
    <row r="2453" spans="1:9" hidden="1" x14ac:dyDescent="0.3">
      <c r="A2453" t="s">
        <v>575</v>
      </c>
      <c r="B2453" t="s">
        <v>4222</v>
      </c>
      <c r="C2453" t="s">
        <v>4305</v>
      </c>
      <c r="D2453" t="s">
        <v>13</v>
      </c>
      <c r="E2453" t="s">
        <v>1146</v>
      </c>
      <c r="F2453" t="s">
        <v>4306</v>
      </c>
      <c r="H2453" t="s">
        <v>17</v>
      </c>
      <c r="I2453" t="s">
        <v>4044</v>
      </c>
    </row>
    <row r="2454" spans="1:9" hidden="1" x14ac:dyDescent="0.3">
      <c r="A2454" t="s">
        <v>580</v>
      </c>
      <c r="B2454" t="s">
        <v>4222</v>
      </c>
      <c r="C2454" t="s">
        <v>4305</v>
      </c>
      <c r="D2454" t="s">
        <v>13</v>
      </c>
      <c r="E2454" t="s">
        <v>1150</v>
      </c>
      <c r="F2454" t="s">
        <v>4307</v>
      </c>
      <c r="H2454" t="s">
        <v>17</v>
      </c>
      <c r="I2454" t="s">
        <v>4044</v>
      </c>
    </row>
    <row r="2455" spans="1:9" hidden="1" x14ac:dyDescent="0.3">
      <c r="A2455" t="s">
        <v>591</v>
      </c>
      <c r="B2455" t="s">
        <v>4222</v>
      </c>
      <c r="C2455" t="s">
        <v>4305</v>
      </c>
      <c r="D2455" t="s">
        <v>13</v>
      </c>
      <c r="E2455" t="s">
        <v>1154</v>
      </c>
      <c r="F2455" t="s">
        <v>4308</v>
      </c>
      <c r="H2455" t="s">
        <v>17</v>
      </c>
      <c r="I2455" t="s">
        <v>4044</v>
      </c>
    </row>
    <row r="2456" spans="1:9" hidden="1" x14ac:dyDescent="0.3">
      <c r="A2456" t="s">
        <v>1724</v>
      </c>
      <c r="B2456" t="s">
        <v>4222</v>
      </c>
      <c r="C2456" t="s">
        <v>4309</v>
      </c>
      <c r="D2456" t="s">
        <v>13</v>
      </c>
      <c r="E2456" t="s">
        <v>1158</v>
      </c>
      <c r="F2456" t="s">
        <v>4310</v>
      </c>
      <c r="H2456" t="s">
        <v>17</v>
      </c>
      <c r="I2456" t="s">
        <v>4044</v>
      </c>
    </row>
    <row r="2457" spans="1:9" hidden="1" x14ac:dyDescent="0.3">
      <c r="A2457" t="s">
        <v>596</v>
      </c>
      <c r="B2457" t="s">
        <v>4222</v>
      </c>
      <c r="C2457" t="s">
        <v>4309</v>
      </c>
      <c r="D2457" t="s">
        <v>13</v>
      </c>
      <c r="E2457" t="s">
        <v>1162</v>
      </c>
      <c r="F2457" t="s">
        <v>4311</v>
      </c>
      <c r="H2457" t="s">
        <v>17</v>
      </c>
      <c r="I2457" t="s">
        <v>4044</v>
      </c>
    </row>
    <row r="2458" spans="1:9" hidden="1" x14ac:dyDescent="0.3">
      <c r="A2458" t="s">
        <v>1727</v>
      </c>
      <c r="B2458" t="s">
        <v>4222</v>
      </c>
      <c r="C2458" t="s">
        <v>4309</v>
      </c>
      <c r="D2458" t="s">
        <v>13</v>
      </c>
      <c r="E2458" t="s">
        <v>1165</v>
      </c>
      <c r="F2458" t="s">
        <v>4312</v>
      </c>
      <c r="H2458" t="s">
        <v>17</v>
      </c>
      <c r="I2458" t="s">
        <v>4044</v>
      </c>
    </row>
    <row r="2459" spans="1:9" hidden="1" x14ac:dyDescent="0.3">
      <c r="A2459" t="s">
        <v>1729</v>
      </c>
      <c r="B2459" t="s">
        <v>4222</v>
      </c>
      <c r="C2459" t="s">
        <v>4309</v>
      </c>
      <c r="D2459" t="s">
        <v>13</v>
      </c>
      <c r="E2459" t="s">
        <v>4313</v>
      </c>
      <c r="F2459" t="s">
        <v>4314</v>
      </c>
      <c r="H2459" t="s">
        <v>807</v>
      </c>
    </row>
    <row r="2460" spans="1:9" hidden="1" x14ac:dyDescent="0.3">
      <c r="A2460" t="s">
        <v>3461</v>
      </c>
      <c r="B2460" t="s">
        <v>4222</v>
      </c>
      <c r="C2460" t="s">
        <v>4309</v>
      </c>
      <c r="D2460" t="s">
        <v>13</v>
      </c>
      <c r="E2460" t="s">
        <v>1179</v>
      </c>
      <c r="F2460" t="s">
        <v>4315</v>
      </c>
      <c r="H2460" t="s">
        <v>17</v>
      </c>
      <c r="I2460" t="s">
        <v>4316</v>
      </c>
    </row>
    <row r="2461" spans="1:9" hidden="1" x14ac:dyDescent="0.3">
      <c r="A2461" t="s">
        <v>604</v>
      </c>
      <c r="B2461" t="s">
        <v>4222</v>
      </c>
      <c r="C2461" t="s">
        <v>4317</v>
      </c>
      <c r="D2461" t="s">
        <v>13</v>
      </c>
      <c r="E2461" t="s">
        <v>1205</v>
      </c>
      <c r="F2461" t="s">
        <v>4318</v>
      </c>
      <c r="H2461" t="s">
        <v>17</v>
      </c>
      <c r="I2461" t="s">
        <v>548</v>
      </c>
    </row>
    <row r="2462" spans="1:9" hidden="1" x14ac:dyDescent="0.3">
      <c r="A2462" t="s">
        <v>3465</v>
      </c>
      <c r="B2462" t="s">
        <v>4222</v>
      </c>
      <c r="C2462" t="s">
        <v>4317</v>
      </c>
      <c r="D2462" t="s">
        <v>13</v>
      </c>
      <c r="E2462" t="s">
        <v>1209</v>
      </c>
      <c r="F2462" t="s">
        <v>4319</v>
      </c>
      <c r="H2462" t="s">
        <v>17</v>
      </c>
      <c r="I2462" t="s">
        <v>548</v>
      </c>
    </row>
    <row r="2463" spans="1:9" hidden="1" x14ac:dyDescent="0.3">
      <c r="A2463" t="s">
        <v>1734</v>
      </c>
      <c r="B2463" t="s">
        <v>4222</v>
      </c>
      <c r="C2463" t="s">
        <v>4317</v>
      </c>
      <c r="D2463" t="s">
        <v>13</v>
      </c>
      <c r="E2463" t="s">
        <v>1213</v>
      </c>
      <c r="F2463" t="s">
        <v>4320</v>
      </c>
      <c r="H2463" t="s">
        <v>17</v>
      </c>
      <c r="I2463" t="s">
        <v>548</v>
      </c>
    </row>
    <row r="2464" spans="1:9" hidden="1" x14ac:dyDescent="0.3">
      <c r="A2464" t="s">
        <v>608</v>
      </c>
      <c r="B2464" t="s">
        <v>4222</v>
      </c>
      <c r="C2464" t="s">
        <v>4317</v>
      </c>
      <c r="D2464" t="s">
        <v>13</v>
      </c>
      <c r="E2464" t="s">
        <v>1219</v>
      </c>
      <c r="F2464" t="s">
        <v>4321</v>
      </c>
      <c r="H2464" t="s">
        <v>17</v>
      </c>
      <c r="I2464" t="s">
        <v>548</v>
      </c>
    </row>
    <row r="2465" spans="1:9" hidden="1" x14ac:dyDescent="0.3">
      <c r="A2465" t="s">
        <v>1737</v>
      </c>
      <c r="B2465" t="s">
        <v>4222</v>
      </c>
      <c r="C2465" t="s">
        <v>4317</v>
      </c>
      <c r="D2465" t="s">
        <v>13</v>
      </c>
      <c r="E2465" t="s">
        <v>1224</v>
      </c>
      <c r="F2465" t="s">
        <v>4322</v>
      </c>
      <c r="H2465" t="s">
        <v>17</v>
      </c>
      <c r="I2465" t="s">
        <v>4323</v>
      </c>
    </row>
    <row r="2466" spans="1:9" hidden="1" x14ac:dyDescent="0.3">
      <c r="A2466" t="s">
        <v>3471</v>
      </c>
      <c r="B2466" t="s">
        <v>4222</v>
      </c>
      <c r="C2466" t="s">
        <v>4317</v>
      </c>
      <c r="D2466" t="s">
        <v>13</v>
      </c>
      <c r="E2466" t="s">
        <v>1228</v>
      </c>
      <c r="F2466" t="s">
        <v>4324</v>
      </c>
      <c r="H2466" t="s">
        <v>17</v>
      </c>
      <c r="I2466" t="s">
        <v>4325</v>
      </c>
    </row>
    <row r="2467" spans="1:9" hidden="1" x14ac:dyDescent="0.3">
      <c r="A2467" t="s">
        <v>612</v>
      </c>
      <c r="B2467" t="s">
        <v>4222</v>
      </c>
      <c r="C2467" t="s">
        <v>4317</v>
      </c>
      <c r="D2467" t="s">
        <v>13</v>
      </c>
      <c r="E2467" t="s">
        <v>1232</v>
      </c>
      <c r="F2467" t="s">
        <v>4326</v>
      </c>
      <c r="H2467" t="s">
        <v>17</v>
      </c>
      <c r="I2467" t="s">
        <v>4327</v>
      </c>
    </row>
    <row r="2468" spans="1:9" hidden="1" x14ac:dyDescent="0.3">
      <c r="A2468" t="s">
        <v>3474</v>
      </c>
      <c r="B2468" t="s">
        <v>4222</v>
      </c>
      <c r="C2468" t="s">
        <v>4317</v>
      </c>
      <c r="D2468" t="s">
        <v>13</v>
      </c>
      <c r="E2468" t="s">
        <v>1236</v>
      </c>
      <c r="F2468" t="s">
        <v>4328</v>
      </c>
      <c r="H2468" t="s">
        <v>17</v>
      </c>
      <c r="I2468" t="s">
        <v>4327</v>
      </c>
    </row>
    <row r="2469" spans="1:9" hidden="1" x14ac:dyDescent="0.3">
      <c r="A2469" t="s">
        <v>616</v>
      </c>
      <c r="B2469" t="s">
        <v>4222</v>
      </c>
      <c r="C2469" t="s">
        <v>4317</v>
      </c>
      <c r="D2469" t="s">
        <v>13</v>
      </c>
      <c r="E2469" t="s">
        <v>1240</v>
      </c>
      <c r="F2469" t="s">
        <v>4329</v>
      </c>
      <c r="H2469" t="s">
        <v>17</v>
      </c>
      <c r="I2469" t="s">
        <v>4330</v>
      </c>
    </row>
    <row r="2470" spans="1:9" hidden="1" x14ac:dyDescent="0.3">
      <c r="A2470" t="s">
        <v>3477</v>
      </c>
      <c r="B2470" t="s">
        <v>4222</v>
      </c>
      <c r="C2470" t="s">
        <v>4317</v>
      </c>
      <c r="D2470" t="s">
        <v>13</v>
      </c>
      <c r="E2470" t="s">
        <v>291</v>
      </c>
      <c r="F2470" t="s">
        <v>3972</v>
      </c>
      <c r="H2470" t="s">
        <v>17</v>
      </c>
      <c r="I2470" t="s">
        <v>4331</v>
      </c>
    </row>
    <row r="2471" spans="1:9" hidden="1" x14ac:dyDescent="0.3">
      <c r="A2471" t="s">
        <v>620</v>
      </c>
      <c r="B2471" t="s">
        <v>4222</v>
      </c>
      <c r="C2471" t="s">
        <v>4317</v>
      </c>
      <c r="D2471" t="s">
        <v>13</v>
      </c>
      <c r="E2471" t="s">
        <v>1252</v>
      </c>
      <c r="F2471" t="s">
        <v>4332</v>
      </c>
      <c r="H2471" t="s">
        <v>807</v>
      </c>
      <c r="I2471" t="s">
        <v>4333</v>
      </c>
    </row>
    <row r="2472" spans="1:9" hidden="1" x14ac:dyDescent="0.3">
      <c r="A2472" t="s">
        <v>3480</v>
      </c>
      <c r="B2472" t="s">
        <v>4222</v>
      </c>
      <c r="C2472" t="s">
        <v>4317</v>
      </c>
      <c r="D2472" t="s">
        <v>13</v>
      </c>
      <c r="E2472" t="s">
        <v>1256</v>
      </c>
      <c r="F2472" t="s">
        <v>4334</v>
      </c>
      <c r="H2472" t="s">
        <v>17</v>
      </c>
      <c r="I2472" t="s">
        <v>3880</v>
      </c>
    </row>
    <row r="2473" spans="1:9" hidden="1" x14ac:dyDescent="0.3">
      <c r="A2473" t="s">
        <v>624</v>
      </c>
      <c r="B2473" t="s">
        <v>4222</v>
      </c>
      <c r="C2473" t="s">
        <v>4317</v>
      </c>
      <c r="D2473" t="s">
        <v>13</v>
      </c>
      <c r="E2473" t="s">
        <v>1261</v>
      </c>
      <c r="F2473" t="s">
        <v>4335</v>
      </c>
      <c r="H2473" t="s">
        <v>17</v>
      </c>
      <c r="I2473" t="s">
        <v>4336</v>
      </c>
    </row>
    <row r="2474" spans="1:9" hidden="1" x14ac:dyDescent="0.3">
      <c r="A2474" t="s">
        <v>3483</v>
      </c>
      <c r="B2474" t="s">
        <v>4222</v>
      </c>
      <c r="C2474" t="s">
        <v>4317</v>
      </c>
      <c r="D2474" t="s">
        <v>13</v>
      </c>
      <c r="E2474" t="s">
        <v>1265</v>
      </c>
      <c r="F2474" t="s">
        <v>4337</v>
      </c>
      <c r="H2474" t="s">
        <v>17</v>
      </c>
      <c r="I2474" t="s">
        <v>4338</v>
      </c>
    </row>
    <row r="2475" spans="1:9" hidden="1" x14ac:dyDescent="0.3">
      <c r="A2475" t="s">
        <v>3486</v>
      </c>
      <c r="B2475" t="s">
        <v>4222</v>
      </c>
      <c r="C2475" t="s">
        <v>4317</v>
      </c>
      <c r="D2475" t="s">
        <v>13</v>
      </c>
      <c r="E2475" t="s">
        <v>1270</v>
      </c>
      <c r="F2475" t="s">
        <v>4339</v>
      </c>
      <c r="H2475" t="s">
        <v>807</v>
      </c>
      <c r="I2475" t="s">
        <v>4340</v>
      </c>
    </row>
    <row r="2476" spans="1:9" hidden="1" x14ac:dyDescent="0.3">
      <c r="A2476" t="s">
        <v>3488</v>
      </c>
      <c r="B2476" t="s">
        <v>4222</v>
      </c>
      <c r="C2476" t="s">
        <v>4317</v>
      </c>
      <c r="D2476" t="s">
        <v>13</v>
      </c>
      <c r="E2476" t="s">
        <v>1276</v>
      </c>
      <c r="F2476" t="s">
        <v>4341</v>
      </c>
      <c r="H2476" t="s">
        <v>17</v>
      </c>
      <c r="I2476" t="s">
        <v>4342</v>
      </c>
    </row>
    <row r="2477" spans="1:9" hidden="1" x14ac:dyDescent="0.3">
      <c r="A2477" t="s">
        <v>3490</v>
      </c>
      <c r="B2477" t="s">
        <v>4222</v>
      </c>
      <c r="C2477" t="s">
        <v>4317</v>
      </c>
      <c r="D2477" t="s">
        <v>13</v>
      </c>
      <c r="E2477" t="s">
        <v>303</v>
      </c>
      <c r="F2477" t="s">
        <v>4343</v>
      </c>
      <c r="H2477" t="s">
        <v>807</v>
      </c>
      <c r="I2477" t="s">
        <v>4344</v>
      </c>
    </row>
    <row r="2478" spans="1:9" hidden="1" x14ac:dyDescent="0.3">
      <c r="A2478" t="s">
        <v>3492</v>
      </c>
      <c r="B2478" t="s">
        <v>4222</v>
      </c>
      <c r="C2478" t="s">
        <v>4317</v>
      </c>
      <c r="D2478" t="s">
        <v>13</v>
      </c>
      <c r="E2478" t="s">
        <v>308</v>
      </c>
      <c r="F2478" t="s">
        <v>4345</v>
      </c>
      <c r="H2478" t="s">
        <v>807</v>
      </c>
      <c r="I2478" t="s">
        <v>4346</v>
      </c>
    </row>
    <row r="2479" spans="1:9" hidden="1" x14ac:dyDescent="0.3">
      <c r="A2479" t="s">
        <v>3494</v>
      </c>
      <c r="B2479" t="s">
        <v>4222</v>
      </c>
      <c r="C2479" t="s">
        <v>4317</v>
      </c>
      <c r="D2479" t="s">
        <v>13</v>
      </c>
      <c r="E2479" t="s">
        <v>312</v>
      </c>
      <c r="F2479" t="s">
        <v>4347</v>
      </c>
      <c r="H2479" t="s">
        <v>807</v>
      </c>
      <c r="I2479" t="s">
        <v>4348</v>
      </c>
    </row>
    <row r="2480" spans="1:9" hidden="1" x14ac:dyDescent="0.3">
      <c r="A2480" t="s">
        <v>3496</v>
      </c>
      <c r="B2480" t="s">
        <v>4222</v>
      </c>
      <c r="C2480" t="s">
        <v>4317</v>
      </c>
      <c r="D2480" t="s">
        <v>13</v>
      </c>
      <c r="E2480" t="s">
        <v>316</v>
      </c>
      <c r="F2480" t="s">
        <v>4349</v>
      </c>
      <c r="H2480" t="s">
        <v>17</v>
      </c>
      <c r="I2480" t="s">
        <v>4350</v>
      </c>
    </row>
    <row r="2481" spans="1:9" hidden="1" x14ac:dyDescent="0.3">
      <c r="A2481" t="s">
        <v>3498</v>
      </c>
      <c r="B2481" t="s">
        <v>4222</v>
      </c>
      <c r="C2481" t="s">
        <v>4317</v>
      </c>
      <c r="D2481" t="s">
        <v>13</v>
      </c>
      <c r="E2481" t="s">
        <v>319</v>
      </c>
      <c r="F2481" t="s">
        <v>4351</v>
      </c>
      <c r="H2481" t="s">
        <v>17</v>
      </c>
      <c r="I2481" t="s">
        <v>4352</v>
      </c>
    </row>
    <row r="2482" spans="1:9" hidden="1" x14ac:dyDescent="0.3">
      <c r="A2482" t="s">
        <v>3500</v>
      </c>
      <c r="B2482" t="s">
        <v>4222</v>
      </c>
      <c r="C2482" t="s">
        <v>4317</v>
      </c>
      <c r="D2482" t="s">
        <v>13</v>
      </c>
      <c r="E2482" t="s">
        <v>323</v>
      </c>
      <c r="F2482" t="s">
        <v>4353</v>
      </c>
      <c r="H2482" t="s">
        <v>17</v>
      </c>
      <c r="I2482" t="s">
        <v>4354</v>
      </c>
    </row>
    <row r="2483" spans="1:9" hidden="1" x14ac:dyDescent="0.3">
      <c r="A2483" t="s">
        <v>3502</v>
      </c>
      <c r="B2483" t="s">
        <v>4222</v>
      </c>
      <c r="C2483" t="s">
        <v>4317</v>
      </c>
      <c r="D2483" t="s">
        <v>13</v>
      </c>
      <c r="E2483" t="s">
        <v>327</v>
      </c>
      <c r="F2483" t="s">
        <v>4355</v>
      </c>
      <c r="H2483" t="s">
        <v>17</v>
      </c>
      <c r="I2483" t="s">
        <v>4356</v>
      </c>
    </row>
    <row r="2484" spans="1:9" hidden="1" x14ac:dyDescent="0.3">
      <c r="A2484" t="s">
        <v>3504</v>
      </c>
      <c r="B2484" t="s">
        <v>4222</v>
      </c>
      <c r="C2484" t="s">
        <v>4317</v>
      </c>
      <c r="D2484" t="s">
        <v>13</v>
      </c>
      <c r="E2484" t="s">
        <v>332</v>
      </c>
      <c r="F2484" t="s">
        <v>4357</v>
      </c>
      <c r="H2484" t="s">
        <v>17</v>
      </c>
      <c r="I2484" t="s">
        <v>4358</v>
      </c>
    </row>
    <row r="2485" spans="1:9" hidden="1" x14ac:dyDescent="0.3">
      <c r="A2485" t="s">
        <v>3506</v>
      </c>
      <c r="B2485" t="s">
        <v>4222</v>
      </c>
      <c r="C2485" t="s">
        <v>4317</v>
      </c>
      <c r="D2485" t="s">
        <v>13</v>
      </c>
      <c r="E2485" t="s">
        <v>335</v>
      </c>
      <c r="F2485" t="s">
        <v>4359</v>
      </c>
      <c r="H2485" t="s">
        <v>17</v>
      </c>
      <c r="I2485" t="s">
        <v>4360</v>
      </c>
    </row>
    <row r="2486" spans="1:9" hidden="1" x14ac:dyDescent="0.3">
      <c r="A2486" t="s">
        <v>3508</v>
      </c>
      <c r="B2486" t="s">
        <v>4222</v>
      </c>
      <c r="C2486" t="s">
        <v>4317</v>
      </c>
      <c r="D2486" t="s">
        <v>13</v>
      </c>
      <c r="E2486" t="s">
        <v>338</v>
      </c>
      <c r="F2486" t="s">
        <v>4361</v>
      </c>
      <c r="H2486" t="s">
        <v>17</v>
      </c>
      <c r="I2486" t="s">
        <v>4362</v>
      </c>
    </row>
    <row r="2487" spans="1:9" hidden="1" x14ac:dyDescent="0.3">
      <c r="A2487" t="s">
        <v>3510</v>
      </c>
      <c r="B2487" t="s">
        <v>4222</v>
      </c>
      <c r="C2487" t="s">
        <v>4317</v>
      </c>
      <c r="D2487" t="s">
        <v>13</v>
      </c>
      <c r="E2487" t="s">
        <v>341</v>
      </c>
      <c r="F2487" t="s">
        <v>4363</v>
      </c>
      <c r="H2487" t="s">
        <v>17</v>
      </c>
      <c r="I2487" t="s">
        <v>4364</v>
      </c>
    </row>
    <row r="2488" spans="1:9" hidden="1" x14ac:dyDescent="0.3">
      <c r="A2488" t="s">
        <v>3512</v>
      </c>
      <c r="B2488" t="s">
        <v>4222</v>
      </c>
      <c r="C2488" t="s">
        <v>4317</v>
      </c>
      <c r="D2488" t="s">
        <v>13</v>
      </c>
      <c r="E2488" t="s">
        <v>344</v>
      </c>
      <c r="F2488" t="s">
        <v>4365</v>
      </c>
      <c r="H2488" t="s">
        <v>17</v>
      </c>
      <c r="I2488" t="s">
        <v>4366</v>
      </c>
    </row>
    <row r="2489" spans="1:9" hidden="1" x14ac:dyDescent="0.3">
      <c r="A2489" t="s">
        <v>3515</v>
      </c>
      <c r="B2489" t="s">
        <v>4222</v>
      </c>
      <c r="C2489" t="s">
        <v>4317</v>
      </c>
      <c r="D2489" t="s">
        <v>13</v>
      </c>
      <c r="E2489" t="s">
        <v>347</v>
      </c>
      <c r="F2489" t="s">
        <v>4367</v>
      </c>
      <c r="H2489" t="s">
        <v>17</v>
      </c>
      <c r="I2489" t="s">
        <v>4368</v>
      </c>
    </row>
    <row r="2490" spans="1:9" hidden="1" x14ac:dyDescent="0.3">
      <c r="A2490" t="s">
        <v>3518</v>
      </c>
      <c r="B2490" t="s">
        <v>4222</v>
      </c>
      <c r="C2490" t="s">
        <v>4317</v>
      </c>
      <c r="D2490" t="s">
        <v>13</v>
      </c>
      <c r="E2490" t="s">
        <v>353</v>
      </c>
      <c r="F2490" t="s">
        <v>4369</v>
      </c>
      <c r="H2490" t="s">
        <v>17</v>
      </c>
      <c r="I2490" t="s">
        <v>4370</v>
      </c>
    </row>
    <row r="2491" spans="1:9" hidden="1" x14ac:dyDescent="0.3">
      <c r="A2491" t="s">
        <v>3520</v>
      </c>
      <c r="B2491" t="s">
        <v>4222</v>
      </c>
      <c r="C2491" t="s">
        <v>4317</v>
      </c>
      <c r="D2491" t="s">
        <v>13</v>
      </c>
      <c r="E2491" t="s">
        <v>358</v>
      </c>
      <c r="F2491" t="s">
        <v>4369</v>
      </c>
      <c r="H2491" t="s">
        <v>17</v>
      </c>
      <c r="I2491" t="s">
        <v>4371</v>
      </c>
    </row>
    <row r="2492" spans="1:9" hidden="1" x14ac:dyDescent="0.3">
      <c r="A2492" t="s">
        <v>3522</v>
      </c>
      <c r="B2492" t="s">
        <v>4222</v>
      </c>
      <c r="C2492" t="s">
        <v>4317</v>
      </c>
      <c r="D2492" t="s">
        <v>13</v>
      </c>
      <c r="E2492" t="s">
        <v>361</v>
      </c>
      <c r="F2492" t="s">
        <v>4369</v>
      </c>
      <c r="H2492" t="s">
        <v>17</v>
      </c>
      <c r="I2492" t="s">
        <v>4372</v>
      </c>
    </row>
    <row r="2493" spans="1:9" hidden="1" x14ac:dyDescent="0.3">
      <c r="A2493" t="s">
        <v>3523</v>
      </c>
      <c r="B2493" t="s">
        <v>4222</v>
      </c>
      <c r="C2493" t="s">
        <v>4317</v>
      </c>
      <c r="D2493" t="s">
        <v>13</v>
      </c>
      <c r="E2493" t="s">
        <v>364</v>
      </c>
      <c r="F2493" t="s">
        <v>4369</v>
      </c>
      <c r="H2493" t="s">
        <v>17</v>
      </c>
      <c r="I2493" t="s">
        <v>4373</v>
      </c>
    </row>
    <row r="2494" spans="1:9" hidden="1" x14ac:dyDescent="0.3">
      <c r="A2494" t="s">
        <v>3524</v>
      </c>
      <c r="B2494" t="s">
        <v>4222</v>
      </c>
      <c r="C2494" t="s">
        <v>4317</v>
      </c>
      <c r="D2494" t="s">
        <v>13</v>
      </c>
      <c r="E2494" t="s">
        <v>367</v>
      </c>
      <c r="F2494" t="s">
        <v>4369</v>
      </c>
      <c r="H2494" t="s">
        <v>17</v>
      </c>
      <c r="I2494" t="s">
        <v>4374</v>
      </c>
    </row>
    <row r="2495" spans="1:9" hidden="1" x14ac:dyDescent="0.3">
      <c r="A2495" t="s">
        <v>3526</v>
      </c>
      <c r="B2495" t="s">
        <v>4222</v>
      </c>
      <c r="C2495" t="s">
        <v>4317</v>
      </c>
      <c r="D2495" t="s">
        <v>13</v>
      </c>
      <c r="E2495" t="s">
        <v>370</v>
      </c>
      <c r="F2495" t="s">
        <v>4369</v>
      </c>
      <c r="H2495" t="s">
        <v>17</v>
      </c>
      <c r="I2495" t="s">
        <v>4375</v>
      </c>
    </row>
    <row r="2496" spans="1:9" hidden="1" x14ac:dyDescent="0.3">
      <c r="A2496" t="s">
        <v>3528</v>
      </c>
      <c r="B2496" t="s">
        <v>4222</v>
      </c>
      <c r="C2496" t="s">
        <v>4317</v>
      </c>
      <c r="D2496" t="s">
        <v>13</v>
      </c>
      <c r="E2496" t="s">
        <v>373</v>
      </c>
      <c r="F2496" t="s">
        <v>4369</v>
      </c>
      <c r="H2496" t="s">
        <v>17</v>
      </c>
      <c r="I2496" t="s">
        <v>4376</v>
      </c>
    </row>
    <row r="2497" spans="1:9" hidden="1" x14ac:dyDescent="0.3">
      <c r="A2497" t="s">
        <v>3530</v>
      </c>
      <c r="B2497" t="s">
        <v>4222</v>
      </c>
      <c r="C2497" t="s">
        <v>4317</v>
      </c>
      <c r="D2497" t="s">
        <v>13</v>
      </c>
      <c r="E2497" t="s">
        <v>376</v>
      </c>
      <c r="F2497" t="s">
        <v>4369</v>
      </c>
      <c r="H2497" t="s">
        <v>17</v>
      </c>
      <c r="I2497" t="s">
        <v>4377</v>
      </c>
    </row>
    <row r="2498" spans="1:9" hidden="1" x14ac:dyDescent="0.3">
      <c r="A2498" t="s">
        <v>3532</v>
      </c>
      <c r="B2498" t="s">
        <v>4222</v>
      </c>
      <c r="C2498" t="s">
        <v>4317</v>
      </c>
      <c r="D2498" t="s">
        <v>13</v>
      </c>
      <c r="E2498" t="s">
        <v>1675</v>
      </c>
      <c r="F2498" t="s">
        <v>4369</v>
      </c>
      <c r="H2498" t="s">
        <v>17</v>
      </c>
      <c r="I2498" t="s">
        <v>4378</v>
      </c>
    </row>
    <row r="2499" spans="1:9" hidden="1" x14ac:dyDescent="0.3">
      <c r="A2499" t="s">
        <v>3534</v>
      </c>
      <c r="B2499" t="s">
        <v>4222</v>
      </c>
      <c r="C2499" t="s">
        <v>4317</v>
      </c>
      <c r="D2499" t="s">
        <v>13</v>
      </c>
      <c r="E2499" t="s">
        <v>1678</v>
      </c>
      <c r="F2499" t="s">
        <v>4369</v>
      </c>
      <c r="H2499" t="s">
        <v>17</v>
      </c>
      <c r="I2499" t="s">
        <v>4379</v>
      </c>
    </row>
    <row r="2500" spans="1:9" hidden="1" x14ac:dyDescent="0.3">
      <c r="A2500" t="s">
        <v>3536</v>
      </c>
      <c r="B2500" t="s">
        <v>4222</v>
      </c>
      <c r="C2500" t="s">
        <v>4317</v>
      </c>
      <c r="D2500" t="s">
        <v>13</v>
      </c>
      <c r="E2500" t="s">
        <v>1681</v>
      </c>
      <c r="F2500" t="s">
        <v>4369</v>
      </c>
      <c r="H2500" t="s">
        <v>17</v>
      </c>
      <c r="I2500" t="s">
        <v>4380</v>
      </c>
    </row>
    <row r="2501" spans="1:9" hidden="1" x14ac:dyDescent="0.3">
      <c r="A2501" t="s">
        <v>3537</v>
      </c>
      <c r="B2501" t="s">
        <v>4222</v>
      </c>
      <c r="C2501" t="s">
        <v>4317</v>
      </c>
      <c r="D2501" t="s">
        <v>13</v>
      </c>
      <c r="E2501" t="s">
        <v>1683</v>
      </c>
      <c r="F2501" t="s">
        <v>4369</v>
      </c>
      <c r="H2501" t="s">
        <v>17</v>
      </c>
      <c r="I2501" t="s">
        <v>4381</v>
      </c>
    </row>
    <row r="2502" spans="1:9" hidden="1" x14ac:dyDescent="0.3">
      <c r="A2502" t="s">
        <v>3539</v>
      </c>
      <c r="B2502" t="s">
        <v>4222</v>
      </c>
      <c r="C2502" t="s">
        <v>4317</v>
      </c>
      <c r="D2502" t="s">
        <v>13</v>
      </c>
      <c r="E2502" t="s">
        <v>1685</v>
      </c>
      <c r="F2502" t="s">
        <v>4382</v>
      </c>
      <c r="H2502" t="s">
        <v>17</v>
      </c>
      <c r="I2502" t="s">
        <v>4383</v>
      </c>
    </row>
    <row r="2503" spans="1:9" hidden="1" x14ac:dyDescent="0.3">
      <c r="A2503" t="s">
        <v>3540</v>
      </c>
      <c r="B2503" t="s">
        <v>4222</v>
      </c>
      <c r="C2503" t="s">
        <v>4317</v>
      </c>
      <c r="D2503" t="s">
        <v>13</v>
      </c>
      <c r="E2503" t="s">
        <v>2859</v>
      </c>
      <c r="F2503" t="s">
        <v>4384</v>
      </c>
      <c r="H2503" t="s">
        <v>17</v>
      </c>
      <c r="I2503" t="s">
        <v>414</v>
      </c>
    </row>
    <row r="2504" spans="1:9" hidden="1" x14ac:dyDescent="0.3">
      <c r="A2504" t="s">
        <v>3543</v>
      </c>
      <c r="B2504" t="s">
        <v>4222</v>
      </c>
      <c r="C2504" t="s">
        <v>4317</v>
      </c>
      <c r="D2504" t="s">
        <v>13</v>
      </c>
      <c r="E2504" t="s">
        <v>2413</v>
      </c>
      <c r="F2504" t="s">
        <v>4385</v>
      </c>
      <c r="H2504" t="s">
        <v>17</v>
      </c>
      <c r="I2504" t="s">
        <v>4386</v>
      </c>
    </row>
    <row r="2505" spans="1:9" hidden="1" x14ac:dyDescent="0.3">
      <c r="A2505" t="s">
        <v>4389</v>
      </c>
      <c r="B2505" t="s">
        <v>4222</v>
      </c>
      <c r="C2505" t="s">
        <v>4387</v>
      </c>
      <c r="D2505" t="s">
        <v>13</v>
      </c>
      <c r="E2505" t="s">
        <v>2417</v>
      </c>
      <c r="F2505" t="s">
        <v>4388</v>
      </c>
      <c r="H2505" t="s">
        <v>17</v>
      </c>
      <c r="I2505" t="s">
        <v>3925</v>
      </c>
    </row>
    <row r="2506" spans="1:9" hidden="1" x14ac:dyDescent="0.3">
      <c r="A2506" t="s">
        <v>4391</v>
      </c>
      <c r="B2506" t="s">
        <v>4222</v>
      </c>
      <c r="C2506" t="s">
        <v>4387</v>
      </c>
      <c r="D2506" t="s">
        <v>13</v>
      </c>
      <c r="E2506" t="s">
        <v>2421</v>
      </c>
      <c r="F2506" t="s">
        <v>4388</v>
      </c>
      <c r="H2506" t="s">
        <v>17</v>
      </c>
      <c r="I2506" t="s">
        <v>4390</v>
      </c>
    </row>
    <row r="2507" spans="1:9" hidden="1" x14ac:dyDescent="0.3">
      <c r="A2507" t="s">
        <v>4393</v>
      </c>
      <c r="B2507" t="s">
        <v>4222</v>
      </c>
      <c r="C2507" t="s">
        <v>4387</v>
      </c>
      <c r="D2507" t="s">
        <v>13</v>
      </c>
      <c r="E2507" t="s">
        <v>1690</v>
      </c>
      <c r="F2507" t="s">
        <v>4388</v>
      </c>
      <c r="H2507" t="s">
        <v>17</v>
      </c>
      <c r="I2507" t="s">
        <v>4392</v>
      </c>
    </row>
    <row r="2508" spans="1:9" hidden="1" x14ac:dyDescent="0.3">
      <c r="A2508" t="s">
        <v>4395</v>
      </c>
      <c r="B2508" t="s">
        <v>4222</v>
      </c>
      <c r="C2508" t="s">
        <v>4387</v>
      </c>
      <c r="D2508" t="s">
        <v>13</v>
      </c>
      <c r="E2508" t="s">
        <v>2428</v>
      </c>
      <c r="F2508" t="s">
        <v>4388</v>
      </c>
      <c r="H2508" t="s">
        <v>17</v>
      </c>
      <c r="I2508" t="s">
        <v>4394</v>
      </c>
    </row>
    <row r="2509" spans="1:9" hidden="1" x14ac:dyDescent="0.3">
      <c r="A2509" t="s">
        <v>4397</v>
      </c>
      <c r="B2509" t="s">
        <v>4222</v>
      </c>
      <c r="C2509" t="s">
        <v>4387</v>
      </c>
      <c r="D2509" t="s">
        <v>13</v>
      </c>
      <c r="E2509" t="s">
        <v>2431</v>
      </c>
      <c r="F2509" t="s">
        <v>4388</v>
      </c>
      <c r="H2509" t="s">
        <v>17</v>
      </c>
      <c r="I2509" t="s">
        <v>4396</v>
      </c>
    </row>
    <row r="2510" spans="1:9" hidden="1" x14ac:dyDescent="0.3">
      <c r="A2510" t="s">
        <v>4399</v>
      </c>
      <c r="B2510" t="s">
        <v>4222</v>
      </c>
      <c r="C2510" t="s">
        <v>4387</v>
      </c>
      <c r="D2510" t="s">
        <v>13</v>
      </c>
      <c r="E2510" t="s">
        <v>1693</v>
      </c>
      <c r="F2510" t="s">
        <v>4388</v>
      </c>
      <c r="H2510" t="s">
        <v>17</v>
      </c>
      <c r="I2510" t="s">
        <v>4398</v>
      </c>
    </row>
    <row r="2511" spans="1:9" hidden="1" x14ac:dyDescent="0.3">
      <c r="A2511" t="s">
        <v>4401</v>
      </c>
      <c r="B2511" t="s">
        <v>4222</v>
      </c>
      <c r="C2511" t="s">
        <v>4387</v>
      </c>
      <c r="D2511" t="s">
        <v>13</v>
      </c>
      <c r="E2511" t="s">
        <v>1694</v>
      </c>
      <c r="F2511" t="s">
        <v>4388</v>
      </c>
      <c r="H2511" t="s">
        <v>17</v>
      </c>
      <c r="I2511" t="s">
        <v>4400</v>
      </c>
    </row>
    <row r="2512" spans="1:9" hidden="1" x14ac:dyDescent="0.3">
      <c r="A2512" t="s">
        <v>4403</v>
      </c>
      <c r="B2512" t="s">
        <v>4222</v>
      </c>
      <c r="C2512" t="s">
        <v>4387</v>
      </c>
      <c r="D2512" t="s">
        <v>13</v>
      </c>
      <c r="E2512" t="s">
        <v>2438</v>
      </c>
      <c r="F2512" t="s">
        <v>4388</v>
      </c>
      <c r="H2512" t="s">
        <v>17</v>
      </c>
      <c r="I2512" t="s">
        <v>4402</v>
      </c>
    </row>
    <row r="2513" spans="1:9" hidden="1" x14ac:dyDescent="0.3">
      <c r="A2513" t="s">
        <v>4405</v>
      </c>
      <c r="B2513" t="s">
        <v>4222</v>
      </c>
      <c r="C2513" t="s">
        <v>4387</v>
      </c>
      <c r="D2513" t="s">
        <v>13</v>
      </c>
      <c r="E2513" t="s">
        <v>2441</v>
      </c>
      <c r="F2513" t="s">
        <v>4388</v>
      </c>
      <c r="H2513" t="s">
        <v>17</v>
      </c>
      <c r="I2513" t="s">
        <v>4404</v>
      </c>
    </row>
    <row r="2514" spans="1:9" hidden="1" x14ac:dyDescent="0.3">
      <c r="A2514" t="s">
        <v>4407</v>
      </c>
      <c r="B2514" t="s">
        <v>4222</v>
      </c>
      <c r="C2514" t="s">
        <v>4387</v>
      </c>
      <c r="D2514" t="s">
        <v>13</v>
      </c>
      <c r="E2514" t="s">
        <v>410</v>
      </c>
      <c r="F2514" t="s">
        <v>4388</v>
      </c>
      <c r="H2514" t="s">
        <v>17</v>
      </c>
      <c r="I2514" t="s">
        <v>4406</v>
      </c>
    </row>
    <row r="2515" spans="1:9" hidden="1" x14ac:dyDescent="0.3">
      <c r="A2515" t="s">
        <v>4408</v>
      </c>
      <c r="B2515" t="s">
        <v>4222</v>
      </c>
      <c r="C2515" t="s">
        <v>4387</v>
      </c>
      <c r="D2515" t="s">
        <v>13</v>
      </c>
      <c r="E2515" t="s">
        <v>3784</v>
      </c>
      <c r="F2515" t="s">
        <v>747</v>
      </c>
      <c r="H2515" t="s">
        <v>17</v>
      </c>
    </row>
    <row r="2516" spans="1:9" hidden="1" x14ac:dyDescent="0.3">
      <c r="A2516" t="s">
        <v>4409</v>
      </c>
      <c r="B2516" t="s">
        <v>4222</v>
      </c>
      <c r="C2516" t="s">
        <v>4387</v>
      </c>
      <c r="D2516" t="s">
        <v>13</v>
      </c>
      <c r="E2516" t="s">
        <v>441</v>
      </c>
      <c r="F2516" t="s">
        <v>843</v>
      </c>
      <c r="H2516" t="s">
        <v>17</v>
      </c>
      <c r="I2516" t="s">
        <v>845</v>
      </c>
    </row>
    <row r="2517" spans="1:9" hidden="1" x14ac:dyDescent="0.3">
      <c r="A2517" t="s">
        <v>4411</v>
      </c>
      <c r="B2517" t="s">
        <v>4222</v>
      </c>
      <c r="C2517" t="s">
        <v>4387</v>
      </c>
      <c r="D2517" t="s">
        <v>13</v>
      </c>
      <c r="E2517" t="s">
        <v>444</v>
      </c>
      <c r="F2517" t="s">
        <v>797</v>
      </c>
      <c r="H2517" t="s">
        <v>17</v>
      </c>
      <c r="I2517" t="s">
        <v>4410</v>
      </c>
    </row>
    <row r="2518" spans="1:9" hidden="1" x14ac:dyDescent="0.3">
      <c r="A2518" t="s">
        <v>4413</v>
      </c>
      <c r="B2518" t="s">
        <v>4222</v>
      </c>
      <c r="C2518" t="s">
        <v>4387</v>
      </c>
      <c r="D2518" t="s">
        <v>13</v>
      </c>
      <c r="E2518" t="s">
        <v>448</v>
      </c>
      <c r="F2518" t="s">
        <v>4412</v>
      </c>
      <c r="H2518" t="s">
        <v>17</v>
      </c>
      <c r="I2518" t="s">
        <v>4188</v>
      </c>
    </row>
    <row r="2519" spans="1:9" hidden="1" x14ac:dyDescent="0.3">
      <c r="A2519" t="s">
        <v>4414</v>
      </c>
      <c r="B2519" t="s">
        <v>4222</v>
      </c>
      <c r="C2519" t="s">
        <v>4387</v>
      </c>
      <c r="D2519" t="s">
        <v>13</v>
      </c>
      <c r="E2519" t="s">
        <v>453</v>
      </c>
      <c r="F2519" t="s">
        <v>760</v>
      </c>
      <c r="H2519" t="s">
        <v>17</v>
      </c>
      <c r="I2519" t="s">
        <v>3987</v>
      </c>
    </row>
    <row r="2520" spans="1:9" hidden="1" x14ac:dyDescent="0.3">
      <c r="A2520" t="s">
        <v>4416</v>
      </c>
      <c r="B2520" t="s">
        <v>4222</v>
      </c>
      <c r="C2520" t="s">
        <v>4387</v>
      </c>
      <c r="D2520" t="s">
        <v>13</v>
      </c>
      <c r="E2520" t="s">
        <v>457</v>
      </c>
      <c r="F2520" t="s">
        <v>2196</v>
      </c>
      <c r="H2520" t="s">
        <v>17</v>
      </c>
      <c r="I2520" t="s">
        <v>4415</v>
      </c>
    </row>
    <row r="2521" spans="1:9" hidden="1" x14ac:dyDescent="0.3">
      <c r="A2521" t="s">
        <v>4418</v>
      </c>
      <c r="B2521" t="s">
        <v>4222</v>
      </c>
      <c r="C2521" t="s">
        <v>4387</v>
      </c>
      <c r="D2521" t="s">
        <v>13</v>
      </c>
      <c r="E2521" t="s">
        <v>461</v>
      </c>
      <c r="F2521" t="s">
        <v>2621</v>
      </c>
      <c r="H2521" t="s">
        <v>17</v>
      </c>
      <c r="I2521" t="s">
        <v>4417</v>
      </c>
    </row>
    <row r="2522" spans="1:9" hidden="1" x14ac:dyDescent="0.3">
      <c r="A2522" t="s">
        <v>4419</v>
      </c>
      <c r="B2522" t="s">
        <v>4222</v>
      </c>
      <c r="C2522" t="s">
        <v>4387</v>
      </c>
      <c r="D2522" t="s">
        <v>13</v>
      </c>
      <c r="E2522" t="s">
        <v>464</v>
      </c>
      <c r="F2522" t="s">
        <v>2926</v>
      </c>
      <c r="H2522" t="s">
        <v>17</v>
      </c>
      <c r="I2522" t="s">
        <v>4199</v>
      </c>
    </row>
    <row r="2523" spans="1:9" hidden="1" x14ac:dyDescent="0.3">
      <c r="A2523" t="s">
        <v>4422</v>
      </c>
      <c r="B2523" t="s">
        <v>4222</v>
      </c>
      <c r="C2523" t="s">
        <v>4387</v>
      </c>
      <c r="D2523" t="s">
        <v>13</v>
      </c>
      <c r="E2523" t="s">
        <v>468</v>
      </c>
      <c r="F2523" t="s">
        <v>4420</v>
      </c>
      <c r="H2523" t="s">
        <v>17</v>
      </c>
      <c r="I2523" t="s">
        <v>4421</v>
      </c>
    </row>
    <row r="2524" spans="1:9" hidden="1" x14ac:dyDescent="0.3">
      <c r="A2524" t="s">
        <v>4424</v>
      </c>
      <c r="B2524" t="s">
        <v>4222</v>
      </c>
      <c r="C2524" t="s">
        <v>4387</v>
      </c>
      <c r="D2524" t="s">
        <v>13</v>
      </c>
      <c r="E2524" t="s">
        <v>471</v>
      </c>
      <c r="F2524" t="s">
        <v>4423</v>
      </c>
      <c r="H2524" t="s">
        <v>17</v>
      </c>
      <c r="I2524" t="s">
        <v>414</v>
      </c>
    </row>
    <row r="2525" spans="1:9" hidden="1" x14ac:dyDescent="0.3">
      <c r="A2525" t="s">
        <v>4426</v>
      </c>
      <c r="B2525" t="s">
        <v>4222</v>
      </c>
      <c r="C2525" t="s">
        <v>4387</v>
      </c>
      <c r="D2525" t="s">
        <v>13</v>
      </c>
      <c r="E2525" t="s">
        <v>475</v>
      </c>
      <c r="F2525" t="s">
        <v>4425</v>
      </c>
      <c r="H2525" t="s">
        <v>17</v>
      </c>
      <c r="I2525" t="s">
        <v>414</v>
      </c>
    </row>
    <row r="2526" spans="1:9" hidden="1" x14ac:dyDescent="0.3">
      <c r="A2526" t="s">
        <v>4429</v>
      </c>
      <c r="B2526" t="s">
        <v>4222</v>
      </c>
      <c r="C2526" t="s">
        <v>4387</v>
      </c>
      <c r="D2526" t="s">
        <v>13</v>
      </c>
      <c r="E2526" t="s">
        <v>478</v>
      </c>
      <c r="F2526" t="s">
        <v>4427</v>
      </c>
      <c r="H2526" t="s">
        <v>17</v>
      </c>
      <c r="I2526" t="s">
        <v>4428</v>
      </c>
    </row>
    <row r="2527" spans="1:9" hidden="1" x14ac:dyDescent="0.3">
      <c r="A2527" t="s">
        <v>4431</v>
      </c>
      <c r="B2527" t="s">
        <v>4222</v>
      </c>
      <c r="C2527" t="s">
        <v>4387</v>
      </c>
      <c r="D2527" t="s">
        <v>13</v>
      </c>
      <c r="E2527" t="s">
        <v>482</v>
      </c>
      <c r="F2527" t="s">
        <v>4204</v>
      </c>
      <c r="H2527" t="s">
        <v>17</v>
      </c>
      <c r="I2527" t="s">
        <v>4430</v>
      </c>
    </row>
    <row r="2528" spans="1:9" hidden="1" x14ac:dyDescent="0.3">
      <c r="A2528" t="s">
        <v>4433</v>
      </c>
      <c r="B2528" t="s">
        <v>4222</v>
      </c>
      <c r="C2528" t="s">
        <v>4387</v>
      </c>
      <c r="D2528" t="s">
        <v>13</v>
      </c>
      <c r="E2528" t="s">
        <v>504</v>
      </c>
      <c r="F2528" t="s">
        <v>824</v>
      </c>
      <c r="H2528" t="s">
        <v>17</v>
      </c>
      <c r="I2528" t="s">
        <v>4432</v>
      </c>
    </row>
    <row r="2529" spans="1:9" hidden="1" x14ac:dyDescent="0.3">
      <c r="A2529" t="s">
        <v>4436</v>
      </c>
      <c r="B2529" t="s">
        <v>4222</v>
      </c>
      <c r="C2529" t="s">
        <v>4387</v>
      </c>
      <c r="D2529" t="s">
        <v>13</v>
      </c>
      <c r="E2529" t="s">
        <v>507</v>
      </c>
      <c r="F2529" t="s">
        <v>4434</v>
      </c>
      <c r="H2529" t="s">
        <v>17</v>
      </c>
      <c r="I2529" t="s">
        <v>4435</v>
      </c>
    </row>
    <row r="2530" spans="1:9" hidden="1" x14ac:dyDescent="0.3">
      <c r="A2530" t="s">
        <v>4437</v>
      </c>
      <c r="B2530" t="s">
        <v>4222</v>
      </c>
      <c r="C2530" t="s">
        <v>4387</v>
      </c>
      <c r="D2530" t="s">
        <v>13</v>
      </c>
      <c r="E2530" t="s">
        <v>511</v>
      </c>
      <c r="F2530" t="s">
        <v>4434</v>
      </c>
      <c r="H2530" t="s">
        <v>17</v>
      </c>
      <c r="I2530" t="s">
        <v>4435</v>
      </c>
    </row>
    <row r="2531" spans="1:9" hidden="1" x14ac:dyDescent="0.3">
      <c r="A2531" t="s">
        <v>4438</v>
      </c>
      <c r="B2531" t="s">
        <v>4222</v>
      </c>
      <c r="C2531" t="s">
        <v>4387</v>
      </c>
      <c r="D2531" t="s">
        <v>13</v>
      </c>
      <c r="E2531" t="s">
        <v>514</v>
      </c>
      <c r="F2531" t="s">
        <v>4434</v>
      </c>
      <c r="H2531" t="s">
        <v>17</v>
      </c>
      <c r="I2531" t="s">
        <v>4435</v>
      </c>
    </row>
    <row r="2532" spans="1:9" hidden="1" x14ac:dyDescent="0.3">
      <c r="A2532" t="s">
        <v>4441</v>
      </c>
      <c r="B2532" t="s">
        <v>4222</v>
      </c>
      <c r="C2532" t="s">
        <v>4387</v>
      </c>
      <c r="D2532" t="s">
        <v>13</v>
      </c>
      <c r="E2532" t="s">
        <v>518</v>
      </c>
      <c r="F2532" t="s">
        <v>4439</v>
      </c>
      <c r="H2532" t="s">
        <v>17</v>
      </c>
      <c r="I2532" t="s">
        <v>4440</v>
      </c>
    </row>
    <row r="2533" spans="1:9" hidden="1" x14ac:dyDescent="0.3">
      <c r="A2533" t="s">
        <v>4444</v>
      </c>
      <c r="B2533" t="s">
        <v>4222</v>
      </c>
      <c r="C2533" t="s">
        <v>4387</v>
      </c>
      <c r="D2533" t="s">
        <v>13</v>
      </c>
      <c r="E2533" t="s">
        <v>521</v>
      </c>
      <c r="F2533" t="s">
        <v>4442</v>
      </c>
      <c r="H2533" t="s">
        <v>17</v>
      </c>
      <c r="I2533" t="s">
        <v>4443</v>
      </c>
    </row>
    <row r="2534" spans="1:9" hidden="1" x14ac:dyDescent="0.3">
      <c r="A2534" t="s">
        <v>4446</v>
      </c>
      <c r="B2534" t="s">
        <v>4222</v>
      </c>
      <c r="C2534" t="s">
        <v>4387</v>
      </c>
      <c r="D2534" t="s">
        <v>13</v>
      </c>
      <c r="E2534" t="s">
        <v>525</v>
      </c>
      <c r="F2534" t="s">
        <v>3990</v>
      </c>
      <c r="H2534" t="s">
        <v>17</v>
      </c>
      <c r="I2534" t="s">
        <v>4445</v>
      </c>
    </row>
    <row r="2535" spans="1:9" hidden="1" x14ac:dyDescent="0.3">
      <c r="A2535" t="s">
        <v>4449</v>
      </c>
      <c r="B2535" t="s">
        <v>4222</v>
      </c>
      <c r="C2535" t="s">
        <v>4387</v>
      </c>
      <c r="D2535" t="s">
        <v>13</v>
      </c>
      <c r="E2535" t="s">
        <v>528</v>
      </c>
      <c r="F2535" t="s">
        <v>4447</v>
      </c>
      <c r="H2535" t="s">
        <v>17</v>
      </c>
      <c r="I2535" t="s">
        <v>4448</v>
      </c>
    </row>
    <row r="2536" spans="1:9" hidden="1" x14ac:dyDescent="0.3">
      <c r="A2536" t="s">
        <v>4450</v>
      </c>
      <c r="B2536" t="s">
        <v>4222</v>
      </c>
      <c r="C2536" t="s">
        <v>4387</v>
      </c>
      <c r="D2536" t="s">
        <v>13</v>
      </c>
      <c r="E2536" t="s">
        <v>3812</v>
      </c>
      <c r="F2536" t="s">
        <v>2944</v>
      </c>
      <c r="H2536" t="s">
        <v>17</v>
      </c>
      <c r="I2536" t="s">
        <v>4007</v>
      </c>
    </row>
    <row r="2537" spans="1:9" hidden="1" x14ac:dyDescent="0.3">
      <c r="A2537" t="s">
        <v>10</v>
      </c>
      <c r="B2537" t="s">
        <v>4222</v>
      </c>
      <c r="C2537" t="s">
        <v>4387</v>
      </c>
      <c r="D2537" t="s">
        <v>13</v>
      </c>
      <c r="E2537" t="s">
        <v>1409</v>
      </c>
      <c r="F2537" t="s">
        <v>2945</v>
      </c>
      <c r="H2537" t="s">
        <v>17</v>
      </c>
    </row>
    <row r="2538" spans="1:9" hidden="1" x14ac:dyDescent="0.3">
      <c r="A2538" t="s">
        <v>1742</v>
      </c>
      <c r="B2538" t="s">
        <v>4451</v>
      </c>
      <c r="F2538" t="s">
        <v>4452</v>
      </c>
    </row>
    <row r="2539" spans="1:9" hidden="1" x14ac:dyDescent="0.3">
      <c r="A2539" t="s">
        <v>1744</v>
      </c>
      <c r="B2539" t="s">
        <v>4451</v>
      </c>
      <c r="D2539" t="s">
        <v>13</v>
      </c>
      <c r="E2539" t="s">
        <v>1517</v>
      </c>
      <c r="F2539" t="s">
        <v>3861</v>
      </c>
      <c r="H2539" t="s">
        <v>17</v>
      </c>
    </row>
    <row r="2540" spans="1:9" hidden="1" x14ac:dyDescent="0.3">
      <c r="A2540" t="s">
        <v>1747</v>
      </c>
      <c r="B2540" t="s">
        <v>4451</v>
      </c>
      <c r="D2540" t="s">
        <v>13</v>
      </c>
      <c r="E2540" t="s">
        <v>996</v>
      </c>
      <c r="F2540" t="s">
        <v>4453</v>
      </c>
      <c r="H2540" t="s">
        <v>17</v>
      </c>
      <c r="I2540" t="s">
        <v>4454</v>
      </c>
    </row>
    <row r="2541" spans="1:9" hidden="1" x14ac:dyDescent="0.3">
      <c r="A2541" t="s">
        <v>1750</v>
      </c>
      <c r="B2541" t="s">
        <v>4451</v>
      </c>
      <c r="D2541" t="s">
        <v>13</v>
      </c>
      <c r="E2541" t="s">
        <v>1001</v>
      </c>
      <c r="F2541" t="s">
        <v>1706</v>
      </c>
      <c r="H2541" t="s">
        <v>17</v>
      </c>
      <c r="I2541" t="s">
        <v>4455</v>
      </c>
    </row>
    <row r="2542" spans="1:9" hidden="1" x14ac:dyDescent="0.3">
      <c r="A2542" t="s">
        <v>1752</v>
      </c>
      <c r="B2542" t="s">
        <v>4451</v>
      </c>
      <c r="D2542" t="s">
        <v>13</v>
      </c>
      <c r="E2542" t="s">
        <v>1942</v>
      </c>
      <c r="F2542" t="s">
        <v>2672</v>
      </c>
      <c r="H2542" t="s">
        <v>17</v>
      </c>
      <c r="I2542" t="s">
        <v>4456</v>
      </c>
    </row>
    <row r="2543" spans="1:9" hidden="1" x14ac:dyDescent="0.3">
      <c r="A2543" t="s">
        <v>1754</v>
      </c>
      <c r="B2543" t="s">
        <v>4451</v>
      </c>
      <c r="D2543" t="s">
        <v>13</v>
      </c>
      <c r="E2543" t="s">
        <v>22</v>
      </c>
      <c r="F2543" t="s">
        <v>4457</v>
      </c>
      <c r="H2543" t="s">
        <v>17</v>
      </c>
      <c r="I2543" t="s">
        <v>4458</v>
      </c>
    </row>
    <row r="2544" spans="1:9" hidden="1" x14ac:dyDescent="0.3">
      <c r="A2544" t="s">
        <v>1757</v>
      </c>
      <c r="B2544" t="s">
        <v>4451</v>
      </c>
      <c r="D2544" t="s">
        <v>13</v>
      </c>
      <c r="E2544" t="s">
        <v>27</v>
      </c>
      <c r="F2544" t="s">
        <v>4459</v>
      </c>
      <c r="H2544" t="s">
        <v>17</v>
      </c>
      <c r="I2544" t="s">
        <v>4460</v>
      </c>
    </row>
    <row r="2545" spans="1:9" hidden="1" x14ac:dyDescent="0.3">
      <c r="A2545" t="s">
        <v>1760</v>
      </c>
      <c r="B2545" t="s">
        <v>4451</v>
      </c>
      <c r="D2545" t="s">
        <v>13</v>
      </c>
      <c r="E2545" t="s">
        <v>1014</v>
      </c>
      <c r="F2545" t="s">
        <v>4014</v>
      </c>
      <c r="H2545" t="s">
        <v>17</v>
      </c>
      <c r="I2545" t="s">
        <v>4461</v>
      </c>
    </row>
    <row r="2546" spans="1:9" hidden="1" x14ac:dyDescent="0.3">
      <c r="A2546" t="s">
        <v>1763</v>
      </c>
      <c r="B2546" t="s">
        <v>4451</v>
      </c>
      <c r="D2546" t="s">
        <v>13</v>
      </c>
      <c r="E2546" t="s">
        <v>1017</v>
      </c>
      <c r="F2546" t="s">
        <v>4462</v>
      </c>
      <c r="H2546" t="s">
        <v>17</v>
      </c>
      <c r="I2546" t="s">
        <v>4463</v>
      </c>
    </row>
    <row r="2547" spans="1:9" hidden="1" x14ac:dyDescent="0.3">
      <c r="A2547" t="s">
        <v>1765</v>
      </c>
      <c r="B2547" t="s">
        <v>4451</v>
      </c>
      <c r="D2547" t="s">
        <v>13</v>
      </c>
      <c r="E2547" t="s">
        <v>2684</v>
      </c>
      <c r="F2547" t="s">
        <v>4016</v>
      </c>
      <c r="H2547" t="s">
        <v>17</v>
      </c>
      <c r="I2547" t="s">
        <v>4464</v>
      </c>
    </row>
    <row r="2548" spans="1:9" hidden="1" x14ac:dyDescent="0.3">
      <c r="A2548" t="s">
        <v>1768</v>
      </c>
      <c r="B2548" t="s">
        <v>4451</v>
      </c>
      <c r="D2548" t="s">
        <v>13</v>
      </c>
      <c r="E2548" t="s">
        <v>45</v>
      </c>
      <c r="F2548" t="s">
        <v>4465</v>
      </c>
      <c r="H2548" t="s">
        <v>17</v>
      </c>
      <c r="I2548" t="s">
        <v>4466</v>
      </c>
    </row>
    <row r="2549" spans="1:9" hidden="1" x14ac:dyDescent="0.3">
      <c r="A2549" t="s">
        <v>1771</v>
      </c>
      <c r="B2549" t="s">
        <v>4451</v>
      </c>
      <c r="D2549" t="s">
        <v>13</v>
      </c>
      <c r="E2549" t="s">
        <v>50</v>
      </c>
      <c r="F2549" t="s">
        <v>4467</v>
      </c>
      <c r="H2549" t="s">
        <v>17</v>
      </c>
      <c r="I2549" t="s">
        <v>4468</v>
      </c>
    </row>
    <row r="2550" spans="1:9" hidden="1" x14ac:dyDescent="0.3">
      <c r="A2550" t="s">
        <v>1775</v>
      </c>
      <c r="B2550" t="s">
        <v>4451</v>
      </c>
      <c r="D2550" t="s">
        <v>13</v>
      </c>
      <c r="E2550" t="s">
        <v>53</v>
      </c>
      <c r="F2550" t="s">
        <v>4469</v>
      </c>
      <c r="H2550" t="s">
        <v>17</v>
      </c>
      <c r="I2550" t="s">
        <v>4461</v>
      </c>
    </row>
    <row r="2551" spans="1:9" hidden="1" x14ac:dyDescent="0.3">
      <c r="A2551" t="s">
        <v>1777</v>
      </c>
      <c r="B2551" t="s">
        <v>4451</v>
      </c>
      <c r="D2551" t="s">
        <v>13</v>
      </c>
      <c r="E2551" t="s">
        <v>56</v>
      </c>
      <c r="F2551" t="s">
        <v>4462</v>
      </c>
      <c r="H2551" t="s">
        <v>17</v>
      </c>
      <c r="I2551" t="s">
        <v>4470</v>
      </c>
    </row>
    <row r="2552" spans="1:9" hidden="1" x14ac:dyDescent="0.3">
      <c r="A2552" t="s">
        <v>1779</v>
      </c>
      <c r="B2552" t="s">
        <v>4451</v>
      </c>
      <c r="D2552" t="s">
        <v>13</v>
      </c>
      <c r="E2552" t="s">
        <v>61</v>
      </c>
      <c r="F2552" t="s">
        <v>4471</v>
      </c>
      <c r="H2552" t="s">
        <v>17</v>
      </c>
      <c r="I2552" t="s">
        <v>4466</v>
      </c>
    </row>
    <row r="2553" spans="1:9" hidden="1" x14ac:dyDescent="0.3">
      <c r="A2553" t="s">
        <v>1781</v>
      </c>
      <c r="B2553" t="s">
        <v>4451</v>
      </c>
      <c r="D2553" t="s">
        <v>13</v>
      </c>
      <c r="E2553" t="s">
        <v>1039</v>
      </c>
      <c r="F2553" t="s">
        <v>4472</v>
      </c>
      <c r="H2553" t="s">
        <v>17</v>
      </c>
      <c r="I2553" t="s">
        <v>4466</v>
      </c>
    </row>
    <row r="2554" spans="1:9" hidden="1" x14ac:dyDescent="0.3">
      <c r="A2554" t="s">
        <v>1784</v>
      </c>
      <c r="B2554" t="s">
        <v>4451</v>
      </c>
      <c r="D2554" t="s">
        <v>13</v>
      </c>
      <c r="E2554" t="s">
        <v>2168</v>
      </c>
      <c r="F2554" t="s">
        <v>4473</v>
      </c>
      <c r="H2554" t="s">
        <v>17</v>
      </c>
      <c r="I2554" t="s">
        <v>4474</v>
      </c>
    </row>
    <row r="2555" spans="1:9" hidden="1" x14ac:dyDescent="0.3">
      <c r="A2555" t="s">
        <v>1787</v>
      </c>
      <c r="B2555" t="s">
        <v>4451</v>
      </c>
      <c r="D2555" t="s">
        <v>13</v>
      </c>
      <c r="E2555" t="s">
        <v>1050</v>
      </c>
      <c r="F2555" t="s">
        <v>4475</v>
      </c>
      <c r="H2555" t="s">
        <v>17</v>
      </c>
      <c r="I2555" t="s">
        <v>4476</v>
      </c>
    </row>
    <row r="2556" spans="1:9" hidden="1" x14ac:dyDescent="0.3">
      <c r="A2556" t="s">
        <v>1789</v>
      </c>
      <c r="B2556" t="s">
        <v>4451</v>
      </c>
      <c r="D2556" t="s">
        <v>13</v>
      </c>
      <c r="E2556" t="s">
        <v>1055</v>
      </c>
      <c r="F2556" t="s">
        <v>4477</v>
      </c>
      <c r="H2556" t="s">
        <v>17</v>
      </c>
      <c r="I2556" t="s">
        <v>4466</v>
      </c>
    </row>
    <row r="2557" spans="1:9" hidden="1" x14ac:dyDescent="0.3">
      <c r="A2557" t="s">
        <v>1793</v>
      </c>
      <c r="B2557" t="s">
        <v>4451</v>
      </c>
      <c r="D2557" t="s">
        <v>13</v>
      </c>
      <c r="E2557" t="s">
        <v>80</v>
      </c>
      <c r="F2557" t="s">
        <v>4478</v>
      </c>
      <c r="H2557" t="s">
        <v>17</v>
      </c>
      <c r="I2557" t="s">
        <v>4466</v>
      </c>
    </row>
    <row r="2558" spans="1:9" hidden="1" x14ac:dyDescent="0.3">
      <c r="A2558" t="s">
        <v>1795</v>
      </c>
      <c r="B2558" t="s">
        <v>4451</v>
      </c>
      <c r="D2558" t="s">
        <v>13</v>
      </c>
      <c r="E2558" t="s">
        <v>85</v>
      </c>
      <c r="F2558" t="s">
        <v>4479</v>
      </c>
      <c r="H2558" t="s">
        <v>17</v>
      </c>
      <c r="I2558" t="s">
        <v>4480</v>
      </c>
    </row>
    <row r="2559" spans="1:9" hidden="1" x14ac:dyDescent="0.3">
      <c r="A2559" t="s">
        <v>1798</v>
      </c>
      <c r="B2559" t="s">
        <v>4451</v>
      </c>
      <c r="D2559" t="s">
        <v>13</v>
      </c>
      <c r="E2559" t="s">
        <v>90</v>
      </c>
      <c r="F2559" t="s">
        <v>4031</v>
      </c>
      <c r="H2559" t="s">
        <v>17</v>
      </c>
      <c r="I2559" t="s">
        <v>4461</v>
      </c>
    </row>
    <row r="2560" spans="1:9" hidden="1" x14ac:dyDescent="0.3">
      <c r="A2560" t="s">
        <v>1801</v>
      </c>
      <c r="B2560" t="s">
        <v>4451</v>
      </c>
      <c r="D2560" t="s">
        <v>13</v>
      </c>
      <c r="E2560" t="s">
        <v>95</v>
      </c>
      <c r="F2560" t="s">
        <v>4462</v>
      </c>
      <c r="H2560" t="s">
        <v>17</v>
      </c>
      <c r="I2560" t="s">
        <v>4463</v>
      </c>
    </row>
    <row r="2561" spans="1:9" hidden="1" x14ac:dyDescent="0.3">
      <c r="A2561" t="s">
        <v>1803</v>
      </c>
      <c r="B2561" t="s">
        <v>4451</v>
      </c>
      <c r="D2561" t="s">
        <v>13</v>
      </c>
      <c r="E2561" t="s">
        <v>100</v>
      </c>
      <c r="F2561" t="s">
        <v>4481</v>
      </c>
      <c r="H2561" t="s">
        <v>17</v>
      </c>
      <c r="I2561" t="s">
        <v>4466</v>
      </c>
    </row>
    <row r="2562" spans="1:9" hidden="1" x14ac:dyDescent="0.3">
      <c r="A2562" t="s">
        <v>1806</v>
      </c>
      <c r="B2562" t="s">
        <v>4451</v>
      </c>
      <c r="D2562" t="s">
        <v>13</v>
      </c>
      <c r="E2562" t="s">
        <v>106</v>
      </c>
      <c r="F2562" t="s">
        <v>4482</v>
      </c>
      <c r="H2562" t="s">
        <v>17</v>
      </c>
      <c r="I2562" t="s">
        <v>4466</v>
      </c>
    </row>
    <row r="2563" spans="1:9" hidden="1" x14ac:dyDescent="0.3">
      <c r="A2563" t="s">
        <v>1808</v>
      </c>
      <c r="B2563" t="s">
        <v>4451</v>
      </c>
      <c r="D2563" t="s">
        <v>13</v>
      </c>
      <c r="E2563" t="s">
        <v>1072</v>
      </c>
      <c r="F2563" t="s">
        <v>4483</v>
      </c>
      <c r="H2563" t="s">
        <v>17</v>
      </c>
      <c r="I2563" t="s">
        <v>4474</v>
      </c>
    </row>
    <row r="2564" spans="1:9" hidden="1" x14ac:dyDescent="0.3">
      <c r="A2564" t="s">
        <v>1811</v>
      </c>
      <c r="B2564" t="s">
        <v>4451</v>
      </c>
      <c r="D2564" t="s">
        <v>13</v>
      </c>
      <c r="E2564" t="s">
        <v>117</v>
      </c>
      <c r="F2564" t="s">
        <v>4484</v>
      </c>
      <c r="H2564" t="s">
        <v>17</v>
      </c>
      <c r="I2564" t="s">
        <v>4485</v>
      </c>
    </row>
    <row r="2565" spans="1:9" hidden="1" x14ac:dyDescent="0.3">
      <c r="A2565" t="s">
        <v>1814</v>
      </c>
      <c r="B2565" t="s">
        <v>4451</v>
      </c>
      <c r="D2565" t="s">
        <v>13</v>
      </c>
      <c r="E2565" t="s">
        <v>121</v>
      </c>
      <c r="F2565" t="s">
        <v>4486</v>
      </c>
      <c r="H2565" t="s">
        <v>17</v>
      </c>
      <c r="I2565" t="s">
        <v>4487</v>
      </c>
    </row>
    <row r="2566" spans="1:9" hidden="1" x14ac:dyDescent="0.3">
      <c r="A2566" t="s">
        <v>1818</v>
      </c>
      <c r="B2566" t="s">
        <v>4451</v>
      </c>
      <c r="D2566" t="s">
        <v>13</v>
      </c>
      <c r="E2566" t="s">
        <v>126</v>
      </c>
      <c r="F2566" t="s">
        <v>4488</v>
      </c>
      <c r="H2566" t="s">
        <v>17</v>
      </c>
      <c r="I2566" t="s">
        <v>4466</v>
      </c>
    </row>
    <row r="2567" spans="1:9" hidden="1" x14ac:dyDescent="0.3">
      <c r="A2567" t="s">
        <v>1820</v>
      </c>
      <c r="B2567" t="s">
        <v>4451</v>
      </c>
      <c r="D2567" t="s">
        <v>13</v>
      </c>
      <c r="E2567" t="s">
        <v>129</v>
      </c>
      <c r="F2567" t="s">
        <v>4489</v>
      </c>
      <c r="H2567" t="s">
        <v>17</v>
      </c>
      <c r="I2567" t="s">
        <v>4466</v>
      </c>
    </row>
    <row r="2568" spans="1:9" hidden="1" x14ac:dyDescent="0.3">
      <c r="A2568" t="s">
        <v>1822</v>
      </c>
      <c r="B2568" t="s">
        <v>4451</v>
      </c>
      <c r="D2568" t="s">
        <v>13</v>
      </c>
      <c r="E2568" t="s">
        <v>132</v>
      </c>
      <c r="F2568" t="s">
        <v>4490</v>
      </c>
      <c r="H2568" t="s">
        <v>17</v>
      </c>
      <c r="I2568" t="s">
        <v>4491</v>
      </c>
    </row>
    <row r="2569" spans="1:9" hidden="1" x14ac:dyDescent="0.3">
      <c r="A2569" t="s">
        <v>1824</v>
      </c>
      <c r="B2569" t="s">
        <v>4451</v>
      </c>
      <c r="D2569" t="s">
        <v>13</v>
      </c>
      <c r="E2569" t="s">
        <v>135</v>
      </c>
      <c r="F2569" t="s">
        <v>4492</v>
      </c>
      <c r="H2569" t="s">
        <v>17</v>
      </c>
      <c r="I2569" t="s">
        <v>4491</v>
      </c>
    </row>
    <row r="2570" spans="1:9" hidden="1" x14ac:dyDescent="0.3">
      <c r="A2570" t="s">
        <v>1826</v>
      </c>
      <c r="B2570" t="s">
        <v>4451</v>
      </c>
      <c r="D2570" t="s">
        <v>13</v>
      </c>
      <c r="E2570" t="s">
        <v>138</v>
      </c>
      <c r="F2570" t="s">
        <v>4493</v>
      </c>
      <c r="H2570" t="s">
        <v>17</v>
      </c>
      <c r="I2570" t="s">
        <v>4466</v>
      </c>
    </row>
    <row r="2571" spans="1:9" hidden="1" x14ac:dyDescent="0.3">
      <c r="A2571" t="s">
        <v>1828</v>
      </c>
      <c r="B2571" t="s">
        <v>4451</v>
      </c>
      <c r="D2571" t="s">
        <v>13</v>
      </c>
      <c r="E2571" t="s">
        <v>141</v>
      </c>
      <c r="F2571" t="s">
        <v>4494</v>
      </c>
      <c r="H2571" t="s">
        <v>17</v>
      </c>
      <c r="I2571" t="s">
        <v>4466</v>
      </c>
    </row>
    <row r="2572" spans="1:9" hidden="1" x14ac:dyDescent="0.3">
      <c r="A2572" t="s">
        <v>1831</v>
      </c>
      <c r="B2572" t="s">
        <v>4451</v>
      </c>
      <c r="D2572" t="s">
        <v>13</v>
      </c>
      <c r="E2572" t="s">
        <v>144</v>
      </c>
      <c r="F2572" t="s">
        <v>4495</v>
      </c>
      <c r="H2572" t="s">
        <v>17</v>
      </c>
      <c r="I2572" t="s">
        <v>4496</v>
      </c>
    </row>
    <row r="2573" spans="1:9" hidden="1" x14ac:dyDescent="0.3">
      <c r="A2573" t="s">
        <v>1833</v>
      </c>
      <c r="B2573" t="s">
        <v>4451</v>
      </c>
      <c r="D2573" t="s">
        <v>13</v>
      </c>
      <c r="E2573" t="s">
        <v>147</v>
      </c>
      <c r="F2573" t="s">
        <v>4497</v>
      </c>
      <c r="H2573" t="s">
        <v>17</v>
      </c>
      <c r="I2573" t="s">
        <v>4466</v>
      </c>
    </row>
    <row r="2574" spans="1:9" hidden="1" x14ac:dyDescent="0.3">
      <c r="A2574" t="s">
        <v>1836</v>
      </c>
      <c r="B2574" t="s">
        <v>4451</v>
      </c>
      <c r="D2574" t="s">
        <v>13</v>
      </c>
      <c r="E2574" t="s">
        <v>152</v>
      </c>
      <c r="F2574" t="s">
        <v>4498</v>
      </c>
      <c r="H2574" t="s">
        <v>17</v>
      </c>
      <c r="I2574" t="s">
        <v>4499</v>
      </c>
    </row>
    <row r="2575" spans="1:9" hidden="1" x14ac:dyDescent="0.3">
      <c r="A2575" t="s">
        <v>1840</v>
      </c>
      <c r="B2575" t="s">
        <v>4451</v>
      </c>
      <c r="D2575" t="s">
        <v>13</v>
      </c>
      <c r="E2575" t="s">
        <v>157</v>
      </c>
      <c r="F2575" t="s">
        <v>4500</v>
      </c>
      <c r="H2575" t="s">
        <v>17</v>
      </c>
      <c r="I2575" t="s">
        <v>4501</v>
      </c>
    </row>
    <row r="2576" spans="1:9" hidden="1" x14ac:dyDescent="0.3">
      <c r="A2576" t="s">
        <v>1843</v>
      </c>
      <c r="B2576" t="s">
        <v>4451</v>
      </c>
      <c r="C2576" t="s">
        <v>4502</v>
      </c>
      <c r="D2576" t="s">
        <v>13</v>
      </c>
      <c r="E2576" t="s">
        <v>162</v>
      </c>
      <c r="F2576" t="s">
        <v>4503</v>
      </c>
      <c r="H2576" t="s">
        <v>17</v>
      </c>
      <c r="I2576" t="s">
        <v>4466</v>
      </c>
    </row>
    <row r="2577" spans="1:9" hidden="1" x14ac:dyDescent="0.3">
      <c r="A2577" t="s">
        <v>1847</v>
      </c>
      <c r="B2577" t="s">
        <v>4451</v>
      </c>
      <c r="C2577" t="s">
        <v>4502</v>
      </c>
      <c r="D2577" t="s">
        <v>13</v>
      </c>
      <c r="E2577" t="s">
        <v>167</v>
      </c>
      <c r="F2577" t="s">
        <v>4063</v>
      </c>
      <c r="H2577" t="s">
        <v>17</v>
      </c>
      <c r="I2577" t="s">
        <v>4466</v>
      </c>
    </row>
    <row r="2578" spans="1:9" hidden="1" x14ac:dyDescent="0.3">
      <c r="A2578" t="s">
        <v>1849</v>
      </c>
      <c r="B2578" t="s">
        <v>4451</v>
      </c>
      <c r="C2578" t="s">
        <v>4502</v>
      </c>
      <c r="D2578" t="s">
        <v>13</v>
      </c>
      <c r="E2578" t="s">
        <v>172</v>
      </c>
      <c r="F2578" t="s">
        <v>4504</v>
      </c>
      <c r="H2578" t="s">
        <v>17</v>
      </c>
      <c r="I2578" t="s">
        <v>4466</v>
      </c>
    </row>
    <row r="2579" spans="1:9" hidden="1" x14ac:dyDescent="0.3">
      <c r="A2579" t="s">
        <v>1851</v>
      </c>
      <c r="B2579" t="s">
        <v>4451</v>
      </c>
      <c r="C2579" t="s">
        <v>4502</v>
      </c>
      <c r="D2579" t="s">
        <v>13</v>
      </c>
      <c r="E2579" t="s">
        <v>177</v>
      </c>
      <c r="F2579" t="s">
        <v>4064</v>
      </c>
      <c r="H2579" t="s">
        <v>17</v>
      </c>
      <c r="I2579" t="s">
        <v>4466</v>
      </c>
    </row>
    <row r="2580" spans="1:9" hidden="1" x14ac:dyDescent="0.3">
      <c r="A2580" t="s">
        <v>1853</v>
      </c>
      <c r="B2580" t="s">
        <v>4451</v>
      </c>
      <c r="C2580" t="s">
        <v>4502</v>
      </c>
      <c r="D2580" t="s">
        <v>13</v>
      </c>
      <c r="E2580" t="s">
        <v>182</v>
      </c>
      <c r="F2580" t="s">
        <v>4505</v>
      </c>
      <c r="H2580" t="s">
        <v>17</v>
      </c>
      <c r="I2580" t="s">
        <v>4466</v>
      </c>
    </row>
    <row r="2581" spans="1:9" hidden="1" x14ac:dyDescent="0.3">
      <c r="A2581" t="s">
        <v>1855</v>
      </c>
      <c r="B2581" t="s">
        <v>4451</v>
      </c>
      <c r="C2581" t="s">
        <v>4502</v>
      </c>
      <c r="D2581" t="s">
        <v>13</v>
      </c>
      <c r="E2581" t="s">
        <v>187</v>
      </c>
      <c r="F2581" t="s">
        <v>4066</v>
      </c>
      <c r="H2581" t="s">
        <v>17</v>
      </c>
      <c r="I2581" t="s">
        <v>4466</v>
      </c>
    </row>
    <row r="2582" spans="1:9" hidden="1" x14ac:dyDescent="0.3">
      <c r="A2582" t="s">
        <v>1857</v>
      </c>
      <c r="B2582" t="s">
        <v>4451</v>
      </c>
      <c r="C2582" t="s">
        <v>4502</v>
      </c>
      <c r="D2582" t="s">
        <v>13</v>
      </c>
      <c r="E2582" t="s">
        <v>193</v>
      </c>
      <c r="F2582" t="s">
        <v>4506</v>
      </c>
      <c r="H2582" t="s">
        <v>17</v>
      </c>
      <c r="I2582" t="s">
        <v>4466</v>
      </c>
    </row>
    <row r="2583" spans="1:9" hidden="1" x14ac:dyDescent="0.3">
      <c r="A2583" t="s">
        <v>1859</v>
      </c>
      <c r="B2583" t="s">
        <v>4451</v>
      </c>
      <c r="C2583" t="s">
        <v>4502</v>
      </c>
      <c r="D2583" t="s">
        <v>13</v>
      </c>
      <c r="E2583" t="s">
        <v>198</v>
      </c>
      <c r="F2583" t="s">
        <v>4507</v>
      </c>
      <c r="H2583" t="s">
        <v>17</v>
      </c>
      <c r="I2583" t="s">
        <v>4466</v>
      </c>
    </row>
    <row r="2584" spans="1:9" hidden="1" x14ac:dyDescent="0.3">
      <c r="A2584" t="s">
        <v>1861</v>
      </c>
      <c r="B2584" t="s">
        <v>4451</v>
      </c>
      <c r="C2584" t="s">
        <v>4502</v>
      </c>
      <c r="D2584" t="s">
        <v>13</v>
      </c>
      <c r="E2584" t="s">
        <v>202</v>
      </c>
      <c r="F2584" t="s">
        <v>4067</v>
      </c>
      <c r="H2584" t="s">
        <v>17</v>
      </c>
      <c r="I2584" t="s">
        <v>4466</v>
      </c>
    </row>
    <row r="2585" spans="1:9" hidden="1" x14ac:dyDescent="0.3">
      <c r="A2585" t="s">
        <v>1863</v>
      </c>
      <c r="B2585" t="s">
        <v>4451</v>
      </c>
      <c r="C2585" t="s">
        <v>4502</v>
      </c>
      <c r="D2585" t="s">
        <v>13</v>
      </c>
      <c r="E2585" t="s">
        <v>206</v>
      </c>
      <c r="F2585" t="s">
        <v>4068</v>
      </c>
      <c r="H2585" t="s">
        <v>17</v>
      </c>
      <c r="I2585" t="s">
        <v>4466</v>
      </c>
    </row>
    <row r="2586" spans="1:9" hidden="1" x14ac:dyDescent="0.3">
      <c r="A2586" t="s">
        <v>1865</v>
      </c>
      <c r="B2586" t="s">
        <v>4451</v>
      </c>
      <c r="C2586" t="s">
        <v>4502</v>
      </c>
      <c r="D2586" t="s">
        <v>13</v>
      </c>
      <c r="E2586" t="s">
        <v>210</v>
      </c>
      <c r="F2586" t="s">
        <v>4508</v>
      </c>
      <c r="H2586" t="s">
        <v>17</v>
      </c>
      <c r="I2586" t="s">
        <v>4466</v>
      </c>
    </row>
    <row r="2587" spans="1:9" hidden="1" x14ac:dyDescent="0.3">
      <c r="A2587" t="s">
        <v>1867</v>
      </c>
      <c r="B2587" t="s">
        <v>4451</v>
      </c>
      <c r="C2587" t="s">
        <v>4502</v>
      </c>
      <c r="D2587" t="s">
        <v>13</v>
      </c>
      <c r="E2587" t="s">
        <v>214</v>
      </c>
      <c r="F2587" t="s">
        <v>4509</v>
      </c>
      <c r="H2587" t="s">
        <v>17</v>
      </c>
      <c r="I2587" t="s">
        <v>4466</v>
      </c>
    </row>
    <row r="2588" spans="1:9" hidden="1" x14ac:dyDescent="0.3">
      <c r="A2588" t="s">
        <v>1869</v>
      </c>
      <c r="B2588" t="s">
        <v>4451</v>
      </c>
      <c r="C2588" t="s">
        <v>4502</v>
      </c>
      <c r="D2588" t="s">
        <v>13</v>
      </c>
      <c r="E2588" t="s">
        <v>218</v>
      </c>
      <c r="F2588" t="s">
        <v>4510</v>
      </c>
      <c r="H2588" t="s">
        <v>17</v>
      </c>
      <c r="I2588" t="s">
        <v>4466</v>
      </c>
    </row>
    <row r="2589" spans="1:9" hidden="1" x14ac:dyDescent="0.3">
      <c r="A2589" t="s">
        <v>1873</v>
      </c>
      <c r="B2589" t="s">
        <v>4451</v>
      </c>
      <c r="C2589" t="s">
        <v>4502</v>
      </c>
      <c r="D2589" t="s">
        <v>13</v>
      </c>
      <c r="E2589" t="s">
        <v>223</v>
      </c>
      <c r="F2589" t="s">
        <v>4511</v>
      </c>
      <c r="H2589" t="s">
        <v>17</v>
      </c>
      <c r="I2589" t="s">
        <v>4466</v>
      </c>
    </row>
    <row r="2590" spans="1:9" hidden="1" x14ac:dyDescent="0.3">
      <c r="A2590" t="s">
        <v>1875</v>
      </c>
      <c r="B2590" t="s">
        <v>4451</v>
      </c>
      <c r="C2590" t="s">
        <v>4072</v>
      </c>
      <c r="D2590" t="s">
        <v>13</v>
      </c>
      <c r="E2590" t="s">
        <v>228</v>
      </c>
      <c r="F2590" t="s">
        <v>4073</v>
      </c>
      <c r="H2590" t="s">
        <v>17</v>
      </c>
      <c r="I2590" t="s">
        <v>4466</v>
      </c>
    </row>
    <row r="2591" spans="1:9" hidden="1" x14ac:dyDescent="0.3">
      <c r="A2591" t="s">
        <v>1878</v>
      </c>
      <c r="B2591" t="s">
        <v>4451</v>
      </c>
      <c r="C2591" t="s">
        <v>4072</v>
      </c>
      <c r="D2591" t="s">
        <v>13</v>
      </c>
      <c r="E2591" t="s">
        <v>233</v>
      </c>
      <c r="F2591" t="s">
        <v>4074</v>
      </c>
      <c r="H2591" t="s">
        <v>17</v>
      </c>
      <c r="I2591" t="s">
        <v>4512</v>
      </c>
    </row>
    <row r="2592" spans="1:9" hidden="1" x14ac:dyDescent="0.3">
      <c r="A2592" t="s">
        <v>1882</v>
      </c>
      <c r="B2592" t="s">
        <v>4451</v>
      </c>
      <c r="C2592" t="s">
        <v>4072</v>
      </c>
      <c r="D2592" t="s">
        <v>13</v>
      </c>
      <c r="E2592" t="s">
        <v>236</v>
      </c>
      <c r="F2592" t="s">
        <v>4513</v>
      </c>
      <c r="H2592" t="s">
        <v>17</v>
      </c>
      <c r="I2592" t="s">
        <v>4512</v>
      </c>
    </row>
    <row r="2593" spans="1:9" hidden="1" x14ac:dyDescent="0.3">
      <c r="A2593" t="s">
        <v>1886</v>
      </c>
      <c r="B2593" t="s">
        <v>4451</v>
      </c>
      <c r="C2593" t="s">
        <v>4072</v>
      </c>
      <c r="D2593" t="s">
        <v>13</v>
      </c>
      <c r="E2593" t="s">
        <v>239</v>
      </c>
      <c r="F2593" t="s">
        <v>4076</v>
      </c>
      <c r="H2593" t="s">
        <v>17</v>
      </c>
      <c r="I2593" t="s">
        <v>4466</v>
      </c>
    </row>
    <row r="2594" spans="1:9" hidden="1" x14ac:dyDescent="0.3">
      <c r="A2594" t="s">
        <v>1889</v>
      </c>
      <c r="B2594" t="s">
        <v>4451</v>
      </c>
      <c r="C2594" t="s">
        <v>4072</v>
      </c>
      <c r="D2594" t="s">
        <v>13</v>
      </c>
      <c r="E2594" t="s">
        <v>1881</v>
      </c>
      <c r="F2594" t="s">
        <v>4514</v>
      </c>
      <c r="H2594" t="s">
        <v>17</v>
      </c>
      <c r="I2594" t="s">
        <v>4466</v>
      </c>
    </row>
    <row r="2595" spans="1:9" hidden="1" x14ac:dyDescent="0.3">
      <c r="A2595" t="s">
        <v>1893</v>
      </c>
      <c r="B2595" t="s">
        <v>4451</v>
      </c>
      <c r="C2595" t="s">
        <v>4072</v>
      </c>
      <c r="D2595" t="s">
        <v>13</v>
      </c>
      <c r="E2595" t="s">
        <v>1885</v>
      </c>
      <c r="F2595" t="s">
        <v>4515</v>
      </c>
      <c r="H2595" t="s">
        <v>17</v>
      </c>
      <c r="I2595" t="s">
        <v>4466</v>
      </c>
    </row>
    <row r="2596" spans="1:9" hidden="1" x14ac:dyDescent="0.3">
      <c r="A2596" t="s">
        <v>1896</v>
      </c>
      <c r="B2596" t="s">
        <v>4451</v>
      </c>
      <c r="C2596" t="s">
        <v>4072</v>
      </c>
      <c r="D2596" t="s">
        <v>13</v>
      </c>
      <c r="E2596" t="s">
        <v>1588</v>
      </c>
      <c r="F2596" t="s">
        <v>4516</v>
      </c>
      <c r="H2596" t="s">
        <v>17</v>
      </c>
      <c r="I2596" t="s">
        <v>4466</v>
      </c>
    </row>
    <row r="2597" spans="1:9" hidden="1" x14ac:dyDescent="0.3">
      <c r="A2597" t="s">
        <v>1898</v>
      </c>
      <c r="B2597" t="s">
        <v>4451</v>
      </c>
      <c r="C2597" t="s">
        <v>4072</v>
      </c>
      <c r="D2597" t="s">
        <v>13</v>
      </c>
      <c r="E2597" t="s">
        <v>1892</v>
      </c>
      <c r="F2597" t="s">
        <v>4517</v>
      </c>
      <c r="H2597" t="s">
        <v>17</v>
      </c>
      <c r="I2597" t="s">
        <v>4466</v>
      </c>
    </row>
    <row r="2598" spans="1:9" hidden="1" x14ac:dyDescent="0.3">
      <c r="A2598" t="s">
        <v>1901</v>
      </c>
      <c r="B2598" t="s">
        <v>4451</v>
      </c>
      <c r="C2598" t="s">
        <v>4072</v>
      </c>
      <c r="D2598" t="s">
        <v>13</v>
      </c>
      <c r="E2598" t="s">
        <v>1146</v>
      </c>
      <c r="F2598" t="s">
        <v>4518</v>
      </c>
      <c r="H2598" t="s">
        <v>17</v>
      </c>
      <c r="I2598" t="s">
        <v>4466</v>
      </c>
    </row>
    <row r="2599" spans="1:9" hidden="1" x14ac:dyDescent="0.3">
      <c r="A2599" t="s">
        <v>1903</v>
      </c>
      <c r="B2599" t="s">
        <v>4451</v>
      </c>
      <c r="C2599" t="s">
        <v>4072</v>
      </c>
      <c r="D2599" t="s">
        <v>13</v>
      </c>
      <c r="E2599" t="s">
        <v>1150</v>
      </c>
      <c r="F2599" t="s">
        <v>4079</v>
      </c>
      <c r="H2599" t="s">
        <v>17</v>
      </c>
      <c r="I2599" t="s">
        <v>4466</v>
      </c>
    </row>
    <row r="2600" spans="1:9" hidden="1" x14ac:dyDescent="0.3">
      <c r="A2600" t="s">
        <v>1905</v>
      </c>
      <c r="B2600" t="s">
        <v>4451</v>
      </c>
      <c r="C2600" t="s">
        <v>4072</v>
      </c>
      <c r="D2600" t="s">
        <v>13</v>
      </c>
      <c r="E2600" t="s">
        <v>1154</v>
      </c>
      <c r="F2600" t="s">
        <v>4519</v>
      </c>
      <c r="H2600" t="s">
        <v>17</v>
      </c>
      <c r="I2600" t="s">
        <v>4466</v>
      </c>
    </row>
    <row r="2601" spans="1:9" hidden="1" x14ac:dyDescent="0.3">
      <c r="A2601" t="s">
        <v>1907</v>
      </c>
      <c r="B2601" t="s">
        <v>4451</v>
      </c>
      <c r="C2601" t="s">
        <v>4072</v>
      </c>
      <c r="D2601" t="s">
        <v>13</v>
      </c>
      <c r="E2601" t="s">
        <v>1158</v>
      </c>
      <c r="F2601" t="s">
        <v>4520</v>
      </c>
      <c r="H2601" t="s">
        <v>17</v>
      </c>
      <c r="I2601" t="s">
        <v>4466</v>
      </c>
    </row>
    <row r="2602" spans="1:9" hidden="1" x14ac:dyDescent="0.3">
      <c r="A2602" t="s">
        <v>1909</v>
      </c>
      <c r="B2602" t="s">
        <v>4451</v>
      </c>
      <c r="C2602" t="s">
        <v>4072</v>
      </c>
      <c r="D2602" t="s">
        <v>13</v>
      </c>
      <c r="E2602" t="s">
        <v>1162</v>
      </c>
      <c r="F2602" t="s">
        <v>4521</v>
      </c>
      <c r="H2602" t="s">
        <v>17</v>
      </c>
      <c r="I2602" t="s">
        <v>4466</v>
      </c>
    </row>
    <row r="2603" spans="1:9" hidden="1" x14ac:dyDescent="0.3">
      <c r="A2603" t="s">
        <v>1911</v>
      </c>
      <c r="B2603" t="s">
        <v>4451</v>
      </c>
      <c r="C2603" t="s">
        <v>4072</v>
      </c>
      <c r="D2603" t="s">
        <v>13</v>
      </c>
      <c r="E2603" t="s">
        <v>1165</v>
      </c>
      <c r="F2603" t="s">
        <v>4522</v>
      </c>
      <c r="H2603" t="s">
        <v>17</v>
      </c>
      <c r="I2603" t="s">
        <v>4466</v>
      </c>
    </row>
    <row r="2604" spans="1:9" hidden="1" x14ac:dyDescent="0.3">
      <c r="A2604" t="s">
        <v>1917</v>
      </c>
      <c r="B2604" t="s">
        <v>4451</v>
      </c>
      <c r="C2604" t="s">
        <v>4072</v>
      </c>
      <c r="D2604" t="s">
        <v>13</v>
      </c>
      <c r="E2604" t="s">
        <v>1168</v>
      </c>
      <c r="F2604" t="s">
        <v>4523</v>
      </c>
      <c r="H2604" t="s">
        <v>17</v>
      </c>
      <c r="I2604" t="s">
        <v>4466</v>
      </c>
    </row>
    <row r="2605" spans="1:9" hidden="1" x14ac:dyDescent="0.3">
      <c r="A2605" t="s">
        <v>1919</v>
      </c>
      <c r="B2605" t="s">
        <v>4451</v>
      </c>
      <c r="C2605" t="s">
        <v>4524</v>
      </c>
      <c r="D2605" t="s">
        <v>13</v>
      </c>
      <c r="E2605" t="s">
        <v>1172</v>
      </c>
      <c r="F2605" t="s">
        <v>4525</v>
      </c>
      <c r="H2605" t="s">
        <v>17</v>
      </c>
      <c r="I2605" t="s">
        <v>4466</v>
      </c>
    </row>
    <row r="2606" spans="1:9" hidden="1" x14ac:dyDescent="0.3">
      <c r="A2606" t="s">
        <v>1921</v>
      </c>
      <c r="B2606" t="s">
        <v>4451</v>
      </c>
      <c r="C2606" t="s">
        <v>4524</v>
      </c>
      <c r="D2606" t="s">
        <v>13</v>
      </c>
      <c r="E2606" t="s">
        <v>1176</v>
      </c>
      <c r="F2606" t="s">
        <v>4526</v>
      </c>
      <c r="H2606" t="s">
        <v>17</v>
      </c>
      <c r="I2606" t="s">
        <v>4466</v>
      </c>
    </row>
    <row r="2607" spans="1:9" hidden="1" x14ac:dyDescent="0.3">
      <c r="A2607" t="s">
        <v>1925</v>
      </c>
      <c r="B2607" t="s">
        <v>4451</v>
      </c>
      <c r="C2607" t="s">
        <v>4524</v>
      </c>
      <c r="D2607" t="s">
        <v>13</v>
      </c>
      <c r="E2607" t="s">
        <v>1179</v>
      </c>
      <c r="F2607" t="s">
        <v>4527</v>
      </c>
      <c r="H2607" t="s">
        <v>17</v>
      </c>
      <c r="I2607" t="s">
        <v>4466</v>
      </c>
    </row>
    <row r="2608" spans="1:9" hidden="1" x14ac:dyDescent="0.3">
      <c r="A2608" t="s">
        <v>1927</v>
      </c>
      <c r="B2608" t="s">
        <v>4451</v>
      </c>
      <c r="C2608" t="s">
        <v>4524</v>
      </c>
      <c r="D2608" t="s">
        <v>13</v>
      </c>
      <c r="E2608" t="s">
        <v>1205</v>
      </c>
      <c r="F2608" t="s">
        <v>4528</v>
      </c>
      <c r="H2608" t="s">
        <v>17</v>
      </c>
      <c r="I2608" t="s">
        <v>4466</v>
      </c>
    </row>
    <row r="2609" spans="1:9" hidden="1" x14ac:dyDescent="0.3">
      <c r="A2609" t="s">
        <v>1929</v>
      </c>
      <c r="B2609" t="s">
        <v>4451</v>
      </c>
      <c r="C2609" t="s">
        <v>4524</v>
      </c>
      <c r="D2609" t="s">
        <v>13</v>
      </c>
      <c r="E2609" t="s">
        <v>1209</v>
      </c>
      <c r="F2609" t="s">
        <v>4529</v>
      </c>
      <c r="H2609" t="s">
        <v>17</v>
      </c>
      <c r="I2609" t="s">
        <v>4466</v>
      </c>
    </row>
    <row r="2610" spans="1:9" hidden="1" x14ac:dyDescent="0.3">
      <c r="A2610" t="s">
        <v>1931</v>
      </c>
      <c r="B2610" t="s">
        <v>4451</v>
      </c>
      <c r="C2610" t="s">
        <v>4524</v>
      </c>
      <c r="D2610" t="s">
        <v>13</v>
      </c>
      <c r="E2610" t="s">
        <v>1213</v>
      </c>
      <c r="F2610" t="s">
        <v>4530</v>
      </c>
      <c r="H2610" t="s">
        <v>17</v>
      </c>
      <c r="I2610" t="s">
        <v>4466</v>
      </c>
    </row>
    <row r="2611" spans="1:9" hidden="1" x14ac:dyDescent="0.3">
      <c r="A2611" t="s">
        <v>1933</v>
      </c>
      <c r="B2611" t="s">
        <v>4451</v>
      </c>
      <c r="C2611" t="s">
        <v>4524</v>
      </c>
      <c r="D2611" t="s">
        <v>13</v>
      </c>
      <c r="E2611" t="s">
        <v>1219</v>
      </c>
      <c r="F2611" t="s">
        <v>4531</v>
      </c>
      <c r="H2611" t="s">
        <v>17</v>
      </c>
      <c r="I2611" t="s">
        <v>4466</v>
      </c>
    </row>
    <row r="2612" spans="1:9" hidden="1" x14ac:dyDescent="0.3">
      <c r="A2612" t="s">
        <v>3044</v>
      </c>
      <c r="B2612" t="s">
        <v>4451</v>
      </c>
      <c r="C2612" t="s">
        <v>4524</v>
      </c>
      <c r="D2612" t="s">
        <v>13</v>
      </c>
      <c r="E2612" t="s">
        <v>1224</v>
      </c>
      <c r="F2612" t="s">
        <v>4532</v>
      </c>
      <c r="H2612" t="s">
        <v>17</v>
      </c>
      <c r="I2612" t="s">
        <v>4466</v>
      </c>
    </row>
    <row r="2613" spans="1:9" hidden="1" x14ac:dyDescent="0.3">
      <c r="A2613" t="s">
        <v>4534</v>
      </c>
      <c r="B2613" t="s">
        <v>4451</v>
      </c>
      <c r="C2613" t="s">
        <v>4524</v>
      </c>
      <c r="D2613" t="s">
        <v>13</v>
      </c>
      <c r="E2613" t="s">
        <v>1228</v>
      </c>
      <c r="F2613" t="s">
        <v>4533</v>
      </c>
      <c r="H2613" t="s">
        <v>17</v>
      </c>
      <c r="I2613" t="s">
        <v>4466</v>
      </c>
    </row>
    <row r="2614" spans="1:9" hidden="1" x14ac:dyDescent="0.3">
      <c r="A2614" t="s">
        <v>3047</v>
      </c>
      <c r="B2614" t="s">
        <v>4451</v>
      </c>
      <c r="C2614" t="s">
        <v>4524</v>
      </c>
      <c r="D2614" t="s">
        <v>13</v>
      </c>
      <c r="E2614" t="s">
        <v>1232</v>
      </c>
      <c r="F2614" t="s">
        <v>4535</v>
      </c>
      <c r="H2614" t="s">
        <v>17</v>
      </c>
      <c r="I2614" t="s">
        <v>4466</v>
      </c>
    </row>
    <row r="2615" spans="1:9" hidden="1" x14ac:dyDescent="0.3">
      <c r="A2615" t="s">
        <v>3049</v>
      </c>
      <c r="B2615" t="s">
        <v>4451</v>
      </c>
      <c r="C2615" t="s">
        <v>4524</v>
      </c>
      <c r="D2615" t="s">
        <v>13</v>
      </c>
      <c r="E2615" t="s">
        <v>1236</v>
      </c>
      <c r="F2615" t="s">
        <v>4088</v>
      </c>
      <c r="H2615" t="s">
        <v>17</v>
      </c>
      <c r="I2615" t="s">
        <v>4466</v>
      </c>
    </row>
    <row r="2616" spans="1:9" hidden="1" x14ac:dyDescent="0.3">
      <c r="A2616" t="s">
        <v>3051</v>
      </c>
      <c r="B2616" t="s">
        <v>4451</v>
      </c>
      <c r="C2616" t="s">
        <v>4524</v>
      </c>
      <c r="D2616" t="s">
        <v>13</v>
      </c>
      <c r="E2616" t="s">
        <v>1240</v>
      </c>
      <c r="F2616" t="s">
        <v>4536</v>
      </c>
      <c r="H2616" t="s">
        <v>17</v>
      </c>
      <c r="I2616" t="s">
        <v>4466</v>
      </c>
    </row>
    <row r="2617" spans="1:9" hidden="1" x14ac:dyDescent="0.3">
      <c r="A2617" t="s">
        <v>3053</v>
      </c>
      <c r="B2617" t="s">
        <v>4451</v>
      </c>
      <c r="C2617" t="s">
        <v>4524</v>
      </c>
      <c r="D2617" t="s">
        <v>13</v>
      </c>
      <c r="E2617" t="s">
        <v>1244</v>
      </c>
      <c r="F2617" t="s">
        <v>4537</v>
      </c>
      <c r="H2617" t="s">
        <v>17</v>
      </c>
      <c r="I2617" t="s">
        <v>4466</v>
      </c>
    </row>
    <row r="2618" spans="1:9" hidden="1" x14ac:dyDescent="0.3">
      <c r="A2618" t="s">
        <v>3055</v>
      </c>
      <c r="B2618" t="s">
        <v>4451</v>
      </c>
      <c r="C2618" t="s">
        <v>4524</v>
      </c>
      <c r="D2618" t="s">
        <v>13</v>
      </c>
      <c r="E2618" t="s">
        <v>1248</v>
      </c>
      <c r="F2618" t="s">
        <v>4538</v>
      </c>
      <c r="H2618" t="s">
        <v>17</v>
      </c>
      <c r="I2618" t="s">
        <v>4466</v>
      </c>
    </row>
    <row r="2619" spans="1:9" hidden="1" x14ac:dyDescent="0.3">
      <c r="A2619" t="s">
        <v>3057</v>
      </c>
      <c r="B2619" t="s">
        <v>4451</v>
      </c>
      <c r="C2619" t="s">
        <v>4524</v>
      </c>
      <c r="D2619" t="s">
        <v>13</v>
      </c>
      <c r="E2619" t="s">
        <v>1252</v>
      </c>
      <c r="F2619" t="s">
        <v>4539</v>
      </c>
      <c r="H2619" t="s">
        <v>17</v>
      </c>
      <c r="I2619" t="s">
        <v>4466</v>
      </c>
    </row>
    <row r="2620" spans="1:9" hidden="1" x14ac:dyDescent="0.3">
      <c r="A2620" t="s">
        <v>3059</v>
      </c>
      <c r="B2620" t="s">
        <v>4451</v>
      </c>
      <c r="C2620" t="s">
        <v>4524</v>
      </c>
      <c r="D2620" t="s">
        <v>13</v>
      </c>
      <c r="E2620" t="s">
        <v>1256</v>
      </c>
      <c r="F2620" t="s">
        <v>4540</v>
      </c>
      <c r="H2620" t="s">
        <v>17</v>
      </c>
      <c r="I2620" t="s">
        <v>4466</v>
      </c>
    </row>
    <row r="2621" spans="1:9" hidden="1" x14ac:dyDescent="0.3">
      <c r="A2621" t="s">
        <v>3061</v>
      </c>
      <c r="B2621" t="s">
        <v>4451</v>
      </c>
      <c r="C2621" t="s">
        <v>4524</v>
      </c>
      <c r="D2621" t="s">
        <v>13</v>
      </c>
      <c r="E2621" t="s">
        <v>1261</v>
      </c>
      <c r="F2621" t="s">
        <v>4541</v>
      </c>
      <c r="H2621" t="s">
        <v>17</v>
      </c>
      <c r="I2621" t="s">
        <v>4542</v>
      </c>
    </row>
    <row r="2622" spans="1:9" hidden="1" x14ac:dyDescent="0.3">
      <c r="A2622" t="s">
        <v>3067</v>
      </c>
      <c r="B2622" t="s">
        <v>4451</v>
      </c>
      <c r="C2622" t="s">
        <v>4524</v>
      </c>
      <c r="D2622" t="s">
        <v>13</v>
      </c>
      <c r="E2622" t="s">
        <v>1265</v>
      </c>
      <c r="F2622" t="s">
        <v>4543</v>
      </c>
      <c r="H2622" t="s">
        <v>17</v>
      </c>
      <c r="I2622" t="s">
        <v>4544</v>
      </c>
    </row>
    <row r="2623" spans="1:9" hidden="1" x14ac:dyDescent="0.3">
      <c r="A2623" t="s">
        <v>3069</v>
      </c>
      <c r="B2623" t="s">
        <v>4451</v>
      </c>
      <c r="C2623" t="s">
        <v>4545</v>
      </c>
      <c r="D2623" t="s">
        <v>13</v>
      </c>
      <c r="E2623" t="s">
        <v>303</v>
      </c>
      <c r="F2623" t="s">
        <v>4546</v>
      </c>
      <c r="H2623" t="s">
        <v>17</v>
      </c>
      <c r="I2623" t="s">
        <v>4547</v>
      </c>
    </row>
    <row r="2624" spans="1:9" hidden="1" x14ac:dyDescent="0.3">
      <c r="A2624" t="s">
        <v>4105</v>
      </c>
      <c r="B2624" t="s">
        <v>4451</v>
      </c>
      <c r="C2624" t="s">
        <v>4545</v>
      </c>
      <c r="D2624" t="s">
        <v>13</v>
      </c>
      <c r="E2624" t="s">
        <v>308</v>
      </c>
      <c r="F2624" t="s">
        <v>4548</v>
      </c>
      <c r="H2624" t="s">
        <v>17</v>
      </c>
      <c r="I2624" t="s">
        <v>4549</v>
      </c>
    </row>
    <row r="2625" spans="1:9" hidden="1" x14ac:dyDescent="0.3">
      <c r="A2625" t="s">
        <v>3073</v>
      </c>
      <c r="B2625" t="s">
        <v>4451</v>
      </c>
      <c r="C2625" t="s">
        <v>4545</v>
      </c>
      <c r="D2625" t="s">
        <v>13</v>
      </c>
      <c r="E2625" t="s">
        <v>312</v>
      </c>
      <c r="F2625" t="s">
        <v>4550</v>
      </c>
      <c r="H2625" t="s">
        <v>17</v>
      </c>
      <c r="I2625" t="s">
        <v>4466</v>
      </c>
    </row>
    <row r="2626" spans="1:9" hidden="1" x14ac:dyDescent="0.3">
      <c r="A2626" t="s">
        <v>3076</v>
      </c>
      <c r="B2626" t="s">
        <v>4451</v>
      </c>
      <c r="C2626" t="s">
        <v>4545</v>
      </c>
      <c r="D2626" t="s">
        <v>13</v>
      </c>
      <c r="E2626" t="s">
        <v>316</v>
      </c>
      <c r="F2626" t="s">
        <v>4551</v>
      </c>
      <c r="H2626" t="s">
        <v>17</v>
      </c>
      <c r="I2626" t="s">
        <v>4552</v>
      </c>
    </row>
    <row r="2627" spans="1:9" hidden="1" x14ac:dyDescent="0.3">
      <c r="A2627" t="s">
        <v>3078</v>
      </c>
      <c r="B2627" t="s">
        <v>4451</v>
      </c>
      <c r="C2627" t="s">
        <v>4545</v>
      </c>
      <c r="D2627" t="s">
        <v>13</v>
      </c>
      <c r="E2627" t="s">
        <v>319</v>
      </c>
      <c r="F2627" t="s">
        <v>4553</v>
      </c>
      <c r="H2627" t="s">
        <v>17</v>
      </c>
      <c r="I2627" t="s">
        <v>4554</v>
      </c>
    </row>
    <row r="2628" spans="1:9" hidden="1" x14ac:dyDescent="0.3">
      <c r="A2628" t="s">
        <v>3080</v>
      </c>
      <c r="B2628" t="s">
        <v>4451</v>
      </c>
      <c r="C2628" t="s">
        <v>4545</v>
      </c>
      <c r="D2628" t="s">
        <v>13</v>
      </c>
      <c r="E2628" t="s">
        <v>323</v>
      </c>
      <c r="F2628" t="s">
        <v>4555</v>
      </c>
      <c r="H2628" t="s">
        <v>17</v>
      </c>
      <c r="I2628" t="s">
        <v>4556</v>
      </c>
    </row>
    <row r="2629" spans="1:9" hidden="1" x14ac:dyDescent="0.3">
      <c r="A2629" t="s">
        <v>3082</v>
      </c>
      <c r="B2629" t="s">
        <v>4451</v>
      </c>
      <c r="C2629" t="s">
        <v>4545</v>
      </c>
      <c r="D2629" t="s">
        <v>13</v>
      </c>
      <c r="E2629" t="s">
        <v>327</v>
      </c>
      <c r="F2629" t="s">
        <v>4557</v>
      </c>
      <c r="H2629" t="s">
        <v>17</v>
      </c>
      <c r="I2629" t="s">
        <v>4558</v>
      </c>
    </row>
    <row r="2630" spans="1:9" hidden="1" x14ac:dyDescent="0.3">
      <c r="A2630" t="s">
        <v>3084</v>
      </c>
      <c r="B2630" t="s">
        <v>4451</v>
      </c>
      <c r="C2630" t="s">
        <v>4545</v>
      </c>
      <c r="D2630" t="s">
        <v>13</v>
      </c>
      <c r="E2630" t="s">
        <v>332</v>
      </c>
      <c r="F2630" t="s">
        <v>4559</v>
      </c>
      <c r="H2630" t="s">
        <v>17</v>
      </c>
      <c r="I2630" t="s">
        <v>4560</v>
      </c>
    </row>
    <row r="2631" spans="1:9" hidden="1" x14ac:dyDescent="0.3">
      <c r="A2631" t="s">
        <v>3086</v>
      </c>
      <c r="B2631" t="s">
        <v>4451</v>
      </c>
      <c r="C2631" t="s">
        <v>4545</v>
      </c>
      <c r="D2631" t="s">
        <v>13</v>
      </c>
      <c r="E2631" t="s">
        <v>335</v>
      </c>
      <c r="F2631" t="s">
        <v>4561</v>
      </c>
      <c r="H2631" t="s">
        <v>17</v>
      </c>
      <c r="I2631" t="s">
        <v>4466</v>
      </c>
    </row>
    <row r="2632" spans="1:9" hidden="1" x14ac:dyDescent="0.3">
      <c r="A2632" t="s">
        <v>4120</v>
      </c>
      <c r="B2632" t="s">
        <v>4451</v>
      </c>
      <c r="C2632" t="s">
        <v>4545</v>
      </c>
      <c r="D2632" t="s">
        <v>13</v>
      </c>
      <c r="E2632" t="s">
        <v>338</v>
      </c>
      <c r="F2632" t="s">
        <v>4562</v>
      </c>
      <c r="H2632" t="s">
        <v>17</v>
      </c>
      <c r="I2632" t="s">
        <v>4563</v>
      </c>
    </row>
    <row r="2633" spans="1:9" hidden="1" x14ac:dyDescent="0.3">
      <c r="A2633" t="s">
        <v>3092</v>
      </c>
      <c r="B2633" t="s">
        <v>4451</v>
      </c>
      <c r="C2633" t="s">
        <v>4545</v>
      </c>
      <c r="D2633" t="s">
        <v>13</v>
      </c>
      <c r="E2633" t="s">
        <v>341</v>
      </c>
      <c r="F2633" t="s">
        <v>4564</v>
      </c>
      <c r="H2633" t="s">
        <v>17</v>
      </c>
      <c r="I2633" t="s">
        <v>4466</v>
      </c>
    </row>
    <row r="2634" spans="1:9" hidden="1" x14ac:dyDescent="0.3">
      <c r="A2634" t="s">
        <v>3095</v>
      </c>
      <c r="B2634" t="s">
        <v>4451</v>
      </c>
      <c r="C2634" t="s">
        <v>4545</v>
      </c>
      <c r="D2634" t="s">
        <v>13</v>
      </c>
      <c r="E2634" t="s">
        <v>4565</v>
      </c>
      <c r="F2634" t="s">
        <v>4566</v>
      </c>
      <c r="H2634" t="s">
        <v>17</v>
      </c>
      <c r="I2634" t="s">
        <v>4567</v>
      </c>
    </row>
    <row r="2635" spans="1:9" hidden="1" x14ac:dyDescent="0.3">
      <c r="A2635" t="s">
        <v>3097</v>
      </c>
      <c r="B2635" t="s">
        <v>4451</v>
      </c>
      <c r="C2635" t="s">
        <v>4545</v>
      </c>
      <c r="D2635" t="s">
        <v>13</v>
      </c>
      <c r="E2635" t="s">
        <v>4568</v>
      </c>
      <c r="F2635" t="s">
        <v>4569</v>
      </c>
      <c r="H2635" t="s">
        <v>17</v>
      </c>
      <c r="I2635" t="s">
        <v>4570</v>
      </c>
    </row>
    <row r="2636" spans="1:9" hidden="1" x14ac:dyDescent="0.3">
      <c r="A2636" t="s">
        <v>3099</v>
      </c>
      <c r="B2636" t="s">
        <v>4451</v>
      </c>
      <c r="C2636" t="s">
        <v>4545</v>
      </c>
      <c r="D2636" t="s">
        <v>13</v>
      </c>
      <c r="E2636" t="s">
        <v>361</v>
      </c>
      <c r="F2636" t="s">
        <v>4571</v>
      </c>
      <c r="H2636" t="s">
        <v>17</v>
      </c>
      <c r="I2636" t="s">
        <v>4572</v>
      </c>
    </row>
    <row r="2637" spans="1:9" hidden="1" x14ac:dyDescent="0.3">
      <c r="A2637" t="s">
        <v>3102</v>
      </c>
      <c r="B2637" t="s">
        <v>4451</v>
      </c>
      <c r="C2637" t="s">
        <v>4545</v>
      </c>
      <c r="D2637" t="s">
        <v>13</v>
      </c>
      <c r="E2637" t="s">
        <v>364</v>
      </c>
      <c r="F2637" t="s">
        <v>3990</v>
      </c>
      <c r="H2637" t="s">
        <v>17</v>
      </c>
      <c r="I2637" t="s">
        <v>4573</v>
      </c>
    </row>
    <row r="2638" spans="1:9" hidden="1" x14ac:dyDescent="0.3">
      <c r="A2638" t="s">
        <v>3105</v>
      </c>
      <c r="B2638" t="s">
        <v>4451</v>
      </c>
      <c r="C2638" t="s">
        <v>4545</v>
      </c>
      <c r="D2638" t="s">
        <v>13</v>
      </c>
      <c r="E2638" t="s">
        <v>1669</v>
      </c>
      <c r="F2638" t="s">
        <v>4170</v>
      </c>
      <c r="H2638" t="s">
        <v>17</v>
      </c>
      <c r="I2638" t="s">
        <v>4574</v>
      </c>
    </row>
    <row r="2639" spans="1:9" hidden="1" x14ac:dyDescent="0.3">
      <c r="A2639" t="s">
        <v>3108</v>
      </c>
      <c r="B2639" t="s">
        <v>4451</v>
      </c>
      <c r="C2639" t="s">
        <v>4545</v>
      </c>
      <c r="D2639" t="s">
        <v>13</v>
      </c>
      <c r="E2639" t="s">
        <v>4575</v>
      </c>
      <c r="F2639" t="s">
        <v>4576</v>
      </c>
      <c r="H2639" t="s">
        <v>17</v>
      </c>
      <c r="I2639" t="s">
        <v>4577</v>
      </c>
    </row>
    <row r="2640" spans="1:9" hidden="1" x14ac:dyDescent="0.3">
      <c r="A2640" t="s">
        <v>3111</v>
      </c>
      <c r="B2640" t="s">
        <v>4451</v>
      </c>
      <c r="C2640" t="s">
        <v>4545</v>
      </c>
      <c r="D2640" t="s">
        <v>13</v>
      </c>
      <c r="E2640" t="s">
        <v>382</v>
      </c>
      <c r="F2640" t="s">
        <v>4578</v>
      </c>
      <c r="H2640" t="s">
        <v>17</v>
      </c>
      <c r="I2640" t="s">
        <v>4579</v>
      </c>
    </row>
    <row r="2641" spans="1:9" hidden="1" x14ac:dyDescent="0.3">
      <c r="A2641" t="s">
        <v>3113</v>
      </c>
      <c r="B2641" t="s">
        <v>4451</v>
      </c>
      <c r="C2641" t="s">
        <v>4545</v>
      </c>
      <c r="D2641" t="s">
        <v>13</v>
      </c>
      <c r="E2641" t="s">
        <v>1681</v>
      </c>
      <c r="F2641" t="s">
        <v>4580</v>
      </c>
      <c r="H2641" t="s">
        <v>17</v>
      </c>
      <c r="I2641" t="s">
        <v>4581</v>
      </c>
    </row>
    <row r="2642" spans="1:9" hidden="1" x14ac:dyDescent="0.3">
      <c r="A2642" t="s">
        <v>3116</v>
      </c>
      <c r="B2642" t="s">
        <v>4451</v>
      </c>
      <c r="C2642" t="s">
        <v>4545</v>
      </c>
      <c r="D2642" t="s">
        <v>13</v>
      </c>
      <c r="E2642" t="s">
        <v>1683</v>
      </c>
      <c r="F2642" t="s">
        <v>4582</v>
      </c>
      <c r="H2642" t="s">
        <v>17</v>
      </c>
      <c r="I2642" t="s">
        <v>4583</v>
      </c>
    </row>
    <row r="2643" spans="1:9" hidden="1" x14ac:dyDescent="0.3">
      <c r="A2643" t="s">
        <v>3119</v>
      </c>
      <c r="B2643" t="s">
        <v>4451</v>
      </c>
      <c r="C2643" t="s">
        <v>4545</v>
      </c>
      <c r="D2643" t="s">
        <v>13</v>
      </c>
      <c r="E2643" t="s">
        <v>1685</v>
      </c>
      <c r="F2643" t="s">
        <v>4584</v>
      </c>
      <c r="H2643" t="s">
        <v>17</v>
      </c>
      <c r="I2643" t="s">
        <v>4585</v>
      </c>
    </row>
    <row r="2644" spans="1:9" hidden="1" x14ac:dyDescent="0.3">
      <c r="A2644" t="s">
        <v>3122</v>
      </c>
      <c r="B2644" t="s">
        <v>4451</v>
      </c>
      <c r="C2644" t="s">
        <v>4545</v>
      </c>
      <c r="D2644" t="s">
        <v>13</v>
      </c>
      <c r="E2644" t="s">
        <v>2859</v>
      </c>
      <c r="F2644" t="s">
        <v>843</v>
      </c>
      <c r="H2644" t="s">
        <v>17</v>
      </c>
      <c r="I2644" t="s">
        <v>845</v>
      </c>
    </row>
    <row r="2645" spans="1:9" hidden="1" x14ac:dyDescent="0.3">
      <c r="A2645" t="s">
        <v>3125</v>
      </c>
      <c r="B2645" t="s">
        <v>4451</v>
      </c>
      <c r="C2645" t="s">
        <v>4545</v>
      </c>
      <c r="D2645" t="s">
        <v>13</v>
      </c>
      <c r="E2645" t="s">
        <v>2413</v>
      </c>
      <c r="F2645" t="s">
        <v>2775</v>
      </c>
      <c r="H2645" t="s">
        <v>17</v>
      </c>
      <c r="I2645" t="s">
        <v>4586</v>
      </c>
    </row>
    <row r="2646" spans="1:9" hidden="1" x14ac:dyDescent="0.3">
      <c r="A2646" t="s">
        <v>3128</v>
      </c>
      <c r="B2646" t="s">
        <v>4451</v>
      </c>
      <c r="C2646" t="s">
        <v>4545</v>
      </c>
      <c r="D2646" t="s">
        <v>13</v>
      </c>
      <c r="E2646" t="s">
        <v>2417</v>
      </c>
      <c r="F2646" t="s">
        <v>4204</v>
      </c>
      <c r="H2646" t="s">
        <v>17</v>
      </c>
      <c r="I2646" t="s">
        <v>4205</v>
      </c>
    </row>
    <row r="2647" spans="1:9" hidden="1" x14ac:dyDescent="0.3">
      <c r="A2647" t="s">
        <v>3131</v>
      </c>
      <c r="B2647" t="s">
        <v>4451</v>
      </c>
      <c r="C2647" t="s">
        <v>4545</v>
      </c>
      <c r="D2647" t="s">
        <v>13</v>
      </c>
      <c r="E2647" t="s">
        <v>2421</v>
      </c>
      <c r="F2647" t="s">
        <v>824</v>
      </c>
      <c r="H2647" t="s">
        <v>17</v>
      </c>
      <c r="I2647" t="s">
        <v>4587</v>
      </c>
    </row>
    <row r="2648" spans="1:9" hidden="1" x14ac:dyDescent="0.3">
      <c r="A2648" t="s">
        <v>3134</v>
      </c>
      <c r="B2648" t="s">
        <v>4451</v>
      </c>
      <c r="C2648" t="s">
        <v>4545</v>
      </c>
      <c r="D2648" t="s">
        <v>13</v>
      </c>
      <c r="E2648" t="s">
        <v>1690</v>
      </c>
      <c r="F2648" t="s">
        <v>4588</v>
      </c>
      <c r="H2648" t="s">
        <v>17</v>
      </c>
      <c r="I2648" t="s">
        <v>4589</v>
      </c>
    </row>
    <row r="2649" spans="1:9" hidden="1" x14ac:dyDescent="0.3">
      <c r="A2649" t="s">
        <v>3136</v>
      </c>
      <c r="B2649" t="s">
        <v>4451</v>
      </c>
      <c r="C2649" t="s">
        <v>4545</v>
      </c>
      <c r="D2649" t="s">
        <v>13</v>
      </c>
      <c r="E2649" t="s">
        <v>400</v>
      </c>
      <c r="F2649" t="s">
        <v>747</v>
      </c>
      <c r="H2649" t="s">
        <v>17</v>
      </c>
    </row>
    <row r="2650" spans="1:9" hidden="1" x14ac:dyDescent="0.3">
      <c r="A2650" t="s">
        <v>3139</v>
      </c>
      <c r="B2650" t="s">
        <v>4451</v>
      </c>
      <c r="C2650" t="s">
        <v>4545</v>
      </c>
      <c r="D2650" t="s">
        <v>13</v>
      </c>
      <c r="E2650" t="s">
        <v>1693</v>
      </c>
      <c r="F2650" t="s">
        <v>4590</v>
      </c>
      <c r="H2650" t="s">
        <v>17</v>
      </c>
      <c r="I2650" t="s">
        <v>4589</v>
      </c>
    </row>
    <row r="2651" spans="1:9" hidden="1" x14ac:dyDescent="0.3">
      <c r="A2651" t="s">
        <v>3141</v>
      </c>
      <c r="B2651" t="s">
        <v>4451</v>
      </c>
      <c r="C2651" t="s">
        <v>4545</v>
      </c>
      <c r="D2651" t="s">
        <v>13</v>
      </c>
      <c r="E2651" t="s">
        <v>1694</v>
      </c>
      <c r="F2651" t="s">
        <v>4591</v>
      </c>
      <c r="H2651" t="s">
        <v>17</v>
      </c>
      <c r="I2651" t="s">
        <v>4592</v>
      </c>
    </row>
    <row r="2652" spans="1:9" hidden="1" x14ac:dyDescent="0.3">
      <c r="A2652" t="s">
        <v>4157</v>
      </c>
      <c r="B2652" t="s">
        <v>4451</v>
      </c>
      <c r="C2652" t="s">
        <v>4545</v>
      </c>
      <c r="D2652" t="s">
        <v>13</v>
      </c>
      <c r="E2652" t="s">
        <v>2438</v>
      </c>
      <c r="F2652" t="s">
        <v>2926</v>
      </c>
      <c r="H2652" t="s">
        <v>17</v>
      </c>
      <c r="I2652" t="s">
        <v>4199</v>
      </c>
    </row>
    <row r="2653" spans="1:9" hidden="1" x14ac:dyDescent="0.3">
      <c r="A2653" t="s">
        <v>3145</v>
      </c>
      <c r="B2653" t="s">
        <v>4451</v>
      </c>
      <c r="C2653" t="s">
        <v>4545</v>
      </c>
      <c r="D2653" t="s">
        <v>13</v>
      </c>
      <c r="E2653" t="s">
        <v>2441</v>
      </c>
      <c r="F2653" t="s">
        <v>2918</v>
      </c>
      <c r="H2653" t="s">
        <v>17</v>
      </c>
      <c r="I2653" t="s">
        <v>4593</v>
      </c>
    </row>
    <row r="2654" spans="1:9" hidden="1" x14ac:dyDescent="0.3">
      <c r="A2654" t="s">
        <v>3148</v>
      </c>
      <c r="B2654" t="s">
        <v>4451</v>
      </c>
      <c r="C2654" t="s">
        <v>4545</v>
      </c>
      <c r="D2654" t="s">
        <v>13</v>
      </c>
      <c r="E2654" t="s">
        <v>410</v>
      </c>
      <c r="F2654" t="s">
        <v>4594</v>
      </c>
      <c r="H2654" t="s">
        <v>17</v>
      </c>
      <c r="I2654" t="s">
        <v>4595</v>
      </c>
    </row>
    <row r="2655" spans="1:9" hidden="1" x14ac:dyDescent="0.3">
      <c r="A2655" t="s">
        <v>3150</v>
      </c>
      <c r="B2655" t="s">
        <v>4451</v>
      </c>
      <c r="C2655" t="s">
        <v>4545</v>
      </c>
      <c r="D2655" t="s">
        <v>13</v>
      </c>
      <c r="E2655" t="s">
        <v>415</v>
      </c>
      <c r="F2655" t="s">
        <v>4596</v>
      </c>
      <c r="H2655" t="s">
        <v>17</v>
      </c>
      <c r="I2655" t="s">
        <v>4597</v>
      </c>
    </row>
    <row r="2656" spans="1:9" hidden="1" x14ac:dyDescent="0.3">
      <c r="A2656" t="s">
        <v>3152</v>
      </c>
      <c r="B2656" t="s">
        <v>4451</v>
      </c>
      <c r="C2656" t="s">
        <v>4545</v>
      </c>
      <c r="D2656" t="s">
        <v>13</v>
      </c>
      <c r="E2656" t="s">
        <v>420</v>
      </c>
      <c r="F2656" t="s">
        <v>4598</v>
      </c>
      <c r="H2656" t="s">
        <v>17</v>
      </c>
      <c r="I2656" t="s">
        <v>4188</v>
      </c>
    </row>
    <row r="2657" spans="1:9" hidden="1" x14ac:dyDescent="0.3">
      <c r="A2657" t="s">
        <v>3154</v>
      </c>
      <c r="B2657" t="s">
        <v>4451</v>
      </c>
      <c r="C2657" t="s">
        <v>4545</v>
      </c>
      <c r="D2657" t="s">
        <v>13</v>
      </c>
      <c r="E2657" t="s">
        <v>423</v>
      </c>
      <c r="F2657" t="s">
        <v>4599</v>
      </c>
      <c r="H2657" t="s">
        <v>17</v>
      </c>
      <c r="I2657" t="s">
        <v>4600</v>
      </c>
    </row>
    <row r="2658" spans="1:9" hidden="1" x14ac:dyDescent="0.3">
      <c r="A2658" t="s">
        <v>10</v>
      </c>
      <c r="B2658" t="s">
        <v>4451</v>
      </c>
      <c r="C2658" t="s">
        <v>4545</v>
      </c>
      <c r="D2658" t="s">
        <v>13</v>
      </c>
      <c r="E2658" t="s">
        <v>426</v>
      </c>
      <c r="F2658" t="s">
        <v>4601</v>
      </c>
      <c r="H2658" t="s">
        <v>17</v>
      </c>
      <c r="I2658" t="s">
        <v>4583</v>
      </c>
    </row>
    <row r="2659" spans="1:9" hidden="1" x14ac:dyDescent="0.3">
      <c r="A2659" t="s">
        <v>1742</v>
      </c>
      <c r="B2659" t="s">
        <v>4602</v>
      </c>
      <c r="F2659" t="s">
        <v>4603</v>
      </c>
    </row>
    <row r="2660" spans="1:9" hidden="1" x14ac:dyDescent="0.3">
      <c r="A2660" t="s">
        <v>2671</v>
      </c>
      <c r="B2660" t="s">
        <v>4602</v>
      </c>
      <c r="D2660" t="s">
        <v>13</v>
      </c>
      <c r="E2660" t="s">
        <v>14</v>
      </c>
      <c r="F2660" t="s">
        <v>3861</v>
      </c>
      <c r="H2660" t="s">
        <v>17</v>
      </c>
    </row>
    <row r="2661" spans="1:9" hidden="1" x14ac:dyDescent="0.3">
      <c r="A2661" t="s">
        <v>2674</v>
      </c>
      <c r="B2661" t="s">
        <v>4602</v>
      </c>
      <c r="D2661" t="s">
        <v>13</v>
      </c>
      <c r="E2661" t="s">
        <v>1743</v>
      </c>
      <c r="F2661" t="s">
        <v>4604</v>
      </c>
      <c r="H2661" t="s">
        <v>17</v>
      </c>
      <c r="I2661" t="s">
        <v>4605</v>
      </c>
    </row>
    <row r="2662" spans="1:9" hidden="1" x14ac:dyDescent="0.3">
      <c r="A2662" t="s">
        <v>2676</v>
      </c>
      <c r="B2662" t="s">
        <v>4602</v>
      </c>
      <c r="D2662" t="s">
        <v>13</v>
      </c>
      <c r="E2662" t="s">
        <v>996</v>
      </c>
      <c r="F2662" t="s">
        <v>4606</v>
      </c>
      <c r="H2662" t="s">
        <v>17</v>
      </c>
      <c r="I2662" t="s">
        <v>4607</v>
      </c>
    </row>
    <row r="2663" spans="1:9" hidden="1" x14ac:dyDescent="0.3">
      <c r="A2663" t="s">
        <v>2679</v>
      </c>
      <c r="B2663" t="s">
        <v>4602</v>
      </c>
      <c r="D2663" t="s">
        <v>13</v>
      </c>
      <c r="E2663" t="s">
        <v>1001</v>
      </c>
      <c r="F2663" t="s">
        <v>4608</v>
      </c>
      <c r="H2663" t="s">
        <v>17</v>
      </c>
      <c r="I2663" t="s">
        <v>4466</v>
      </c>
    </row>
    <row r="2664" spans="1:9" hidden="1" x14ac:dyDescent="0.3">
      <c r="A2664" t="s">
        <v>23</v>
      </c>
      <c r="B2664" t="s">
        <v>4602</v>
      </c>
      <c r="D2664" t="s">
        <v>13</v>
      </c>
      <c r="E2664" t="s">
        <v>1942</v>
      </c>
      <c r="F2664" t="s">
        <v>4609</v>
      </c>
      <c r="H2664" t="s">
        <v>17</v>
      </c>
      <c r="I2664" t="s">
        <v>4610</v>
      </c>
    </row>
    <row r="2665" spans="1:9" hidden="1" x14ac:dyDescent="0.3">
      <c r="A2665" t="s">
        <v>28</v>
      </c>
      <c r="B2665" t="s">
        <v>4602</v>
      </c>
      <c r="D2665" t="s">
        <v>13</v>
      </c>
      <c r="E2665" t="s">
        <v>22</v>
      </c>
      <c r="F2665" t="s">
        <v>4611</v>
      </c>
      <c r="H2665" t="s">
        <v>17</v>
      </c>
      <c r="I2665" t="s">
        <v>4612</v>
      </c>
    </row>
    <row r="2666" spans="1:9" hidden="1" x14ac:dyDescent="0.3">
      <c r="A2666" t="s">
        <v>33</v>
      </c>
      <c r="B2666" t="s">
        <v>4602</v>
      </c>
      <c r="D2666" t="s">
        <v>13</v>
      </c>
      <c r="E2666" t="s">
        <v>27</v>
      </c>
      <c r="F2666" t="s">
        <v>4613</v>
      </c>
      <c r="H2666" t="s">
        <v>17</v>
      </c>
      <c r="I2666" t="s">
        <v>4466</v>
      </c>
    </row>
    <row r="2667" spans="1:9" hidden="1" x14ac:dyDescent="0.3">
      <c r="A2667" t="s">
        <v>2687</v>
      </c>
      <c r="B2667" t="s">
        <v>4602</v>
      </c>
      <c r="D2667" t="s">
        <v>13</v>
      </c>
      <c r="E2667" t="s">
        <v>32</v>
      </c>
      <c r="F2667" t="s">
        <v>4614</v>
      </c>
      <c r="H2667" t="s">
        <v>17</v>
      </c>
      <c r="I2667" t="s">
        <v>4615</v>
      </c>
    </row>
    <row r="2668" spans="1:9" hidden="1" x14ac:dyDescent="0.3">
      <c r="A2668" t="s">
        <v>37</v>
      </c>
      <c r="B2668" t="s">
        <v>4602</v>
      </c>
      <c r="D2668" t="s">
        <v>13</v>
      </c>
      <c r="E2668" t="s">
        <v>2684</v>
      </c>
      <c r="F2668" t="s">
        <v>3972</v>
      </c>
      <c r="H2668" t="s">
        <v>17</v>
      </c>
      <c r="I2668" t="s">
        <v>4616</v>
      </c>
    </row>
    <row r="2669" spans="1:9" hidden="1" x14ac:dyDescent="0.3">
      <c r="A2669" t="s">
        <v>42</v>
      </c>
      <c r="B2669" t="s">
        <v>4602</v>
      </c>
      <c r="D2669" t="s">
        <v>13</v>
      </c>
      <c r="E2669" t="s">
        <v>45</v>
      </c>
      <c r="F2669" t="s">
        <v>4617</v>
      </c>
      <c r="H2669" t="s">
        <v>17</v>
      </c>
      <c r="I2669" t="s">
        <v>4618</v>
      </c>
    </row>
    <row r="2670" spans="1:9" hidden="1" x14ac:dyDescent="0.3">
      <c r="A2670" t="s">
        <v>46</v>
      </c>
      <c r="B2670" t="s">
        <v>4602</v>
      </c>
      <c r="D2670" t="s">
        <v>13</v>
      </c>
      <c r="E2670" t="s">
        <v>50</v>
      </c>
      <c r="F2670" t="s">
        <v>4619</v>
      </c>
      <c r="H2670" t="s">
        <v>17</v>
      </c>
      <c r="I2670" t="s">
        <v>4620</v>
      </c>
    </row>
    <row r="2671" spans="1:9" hidden="1" x14ac:dyDescent="0.3">
      <c r="A2671" t="s">
        <v>51</v>
      </c>
      <c r="B2671" t="s">
        <v>4602</v>
      </c>
      <c r="D2671" t="s">
        <v>13</v>
      </c>
      <c r="E2671" t="s">
        <v>53</v>
      </c>
      <c r="F2671" t="s">
        <v>843</v>
      </c>
      <c r="H2671" t="s">
        <v>17</v>
      </c>
      <c r="I2671" t="s">
        <v>845</v>
      </c>
    </row>
    <row r="2672" spans="1:9" hidden="1" x14ac:dyDescent="0.3">
      <c r="A2672" t="s">
        <v>54</v>
      </c>
      <c r="B2672" t="s">
        <v>4602</v>
      </c>
      <c r="D2672" t="s">
        <v>13</v>
      </c>
      <c r="E2672" t="s">
        <v>56</v>
      </c>
      <c r="F2672" t="s">
        <v>2775</v>
      </c>
      <c r="H2672" t="s">
        <v>17</v>
      </c>
      <c r="I2672" t="s">
        <v>4621</v>
      </c>
    </row>
    <row r="2673" spans="1:9" hidden="1" x14ac:dyDescent="0.3">
      <c r="A2673" t="s">
        <v>57</v>
      </c>
      <c r="B2673" t="s">
        <v>4602</v>
      </c>
      <c r="D2673" t="s">
        <v>13</v>
      </c>
      <c r="E2673" t="s">
        <v>61</v>
      </c>
      <c r="F2673" t="s">
        <v>4204</v>
      </c>
      <c r="H2673" t="s">
        <v>17</v>
      </c>
      <c r="I2673" t="s">
        <v>4205</v>
      </c>
    </row>
    <row r="2674" spans="1:9" hidden="1" x14ac:dyDescent="0.3">
      <c r="A2674" t="s">
        <v>62</v>
      </c>
      <c r="B2674" t="s">
        <v>4602</v>
      </c>
      <c r="D2674" t="s">
        <v>13</v>
      </c>
      <c r="E2674" t="s">
        <v>1039</v>
      </c>
      <c r="F2674" t="s">
        <v>824</v>
      </c>
      <c r="H2674" t="s">
        <v>17</v>
      </c>
      <c r="I2674" t="s">
        <v>4207</v>
      </c>
    </row>
    <row r="2675" spans="1:9" hidden="1" x14ac:dyDescent="0.3">
      <c r="A2675" t="s">
        <v>67</v>
      </c>
      <c r="B2675" t="s">
        <v>4602</v>
      </c>
      <c r="D2675" t="s">
        <v>13</v>
      </c>
      <c r="E2675" t="s">
        <v>1043</v>
      </c>
      <c r="F2675" t="s">
        <v>4588</v>
      </c>
      <c r="H2675" t="s">
        <v>17</v>
      </c>
      <c r="I2675" t="s">
        <v>4622</v>
      </c>
    </row>
    <row r="2676" spans="1:9" hidden="1" x14ac:dyDescent="0.3">
      <c r="A2676" t="s">
        <v>72</v>
      </c>
      <c r="B2676" t="s">
        <v>4602</v>
      </c>
      <c r="D2676" t="s">
        <v>13</v>
      </c>
      <c r="E2676" t="s">
        <v>71</v>
      </c>
      <c r="F2676" t="s">
        <v>747</v>
      </c>
      <c r="H2676" t="s">
        <v>17</v>
      </c>
      <c r="I2676" t="s">
        <v>4623</v>
      </c>
    </row>
    <row r="2677" spans="1:9" hidden="1" x14ac:dyDescent="0.3">
      <c r="A2677" t="s">
        <v>77</v>
      </c>
      <c r="B2677" t="s">
        <v>4602</v>
      </c>
      <c r="D2677" t="s">
        <v>13</v>
      </c>
      <c r="E2677" t="s">
        <v>1050</v>
      </c>
      <c r="F2677" t="s">
        <v>4590</v>
      </c>
      <c r="H2677" t="s">
        <v>17</v>
      </c>
      <c r="I2677" t="s">
        <v>4624</v>
      </c>
    </row>
    <row r="2678" spans="1:9" hidden="1" x14ac:dyDescent="0.3">
      <c r="A2678" t="s">
        <v>81</v>
      </c>
      <c r="B2678" t="s">
        <v>4602</v>
      </c>
      <c r="D2678" t="s">
        <v>13</v>
      </c>
      <c r="E2678" t="s">
        <v>1055</v>
      </c>
      <c r="F2678" t="s">
        <v>2918</v>
      </c>
      <c r="H2678" t="s">
        <v>17</v>
      </c>
      <c r="I2678" t="s">
        <v>4593</v>
      </c>
    </row>
    <row r="2679" spans="1:9" hidden="1" x14ac:dyDescent="0.3">
      <c r="A2679" t="s">
        <v>86</v>
      </c>
      <c r="B2679" t="s">
        <v>4602</v>
      </c>
      <c r="D2679" t="s">
        <v>13</v>
      </c>
      <c r="E2679" t="s">
        <v>80</v>
      </c>
      <c r="F2679" t="s">
        <v>4594</v>
      </c>
      <c r="H2679" t="s">
        <v>17</v>
      </c>
      <c r="I2679" t="s">
        <v>4625</v>
      </c>
    </row>
    <row r="2680" spans="1:9" hidden="1" x14ac:dyDescent="0.3">
      <c r="A2680" t="s">
        <v>91</v>
      </c>
      <c r="B2680" t="s">
        <v>4602</v>
      </c>
      <c r="D2680" t="s">
        <v>13</v>
      </c>
      <c r="E2680" t="s">
        <v>85</v>
      </c>
      <c r="F2680" t="s">
        <v>4596</v>
      </c>
      <c r="H2680" t="s">
        <v>17</v>
      </c>
      <c r="I2680" t="s">
        <v>4626</v>
      </c>
    </row>
    <row r="2681" spans="1:9" hidden="1" x14ac:dyDescent="0.3">
      <c r="A2681" t="s">
        <v>96</v>
      </c>
      <c r="B2681" t="s">
        <v>4602</v>
      </c>
      <c r="D2681" t="s">
        <v>13</v>
      </c>
      <c r="E2681" t="s">
        <v>90</v>
      </c>
      <c r="F2681" t="s">
        <v>4627</v>
      </c>
      <c r="H2681" t="s">
        <v>17</v>
      </c>
      <c r="I2681" t="s">
        <v>4188</v>
      </c>
    </row>
    <row r="2682" spans="1:9" hidden="1" x14ac:dyDescent="0.3">
      <c r="A2682" t="s">
        <v>10</v>
      </c>
      <c r="B2682" t="s">
        <v>4602</v>
      </c>
      <c r="D2682" t="s">
        <v>13</v>
      </c>
      <c r="E2682" t="s">
        <v>95</v>
      </c>
      <c r="F2682" t="s">
        <v>4190</v>
      </c>
      <c r="H2682" t="s">
        <v>17</v>
      </c>
      <c r="I2682" t="s">
        <v>4600</v>
      </c>
    </row>
    <row r="2683" spans="1:9" hidden="1" x14ac:dyDescent="0.3">
      <c r="A2683" t="s">
        <v>1742</v>
      </c>
      <c r="B2683" t="s">
        <v>4628</v>
      </c>
      <c r="F2683" t="s">
        <v>4629</v>
      </c>
    </row>
    <row r="2684" spans="1:9" hidden="1" x14ac:dyDescent="0.3">
      <c r="A2684" t="s">
        <v>3360</v>
      </c>
      <c r="B2684" t="s">
        <v>4628</v>
      </c>
      <c r="D2684" t="s">
        <v>13</v>
      </c>
      <c r="E2684" t="s">
        <v>14</v>
      </c>
      <c r="F2684" t="s">
        <v>2670</v>
      </c>
      <c r="H2684" t="s">
        <v>17</v>
      </c>
    </row>
    <row r="2685" spans="1:9" hidden="1" x14ac:dyDescent="0.3">
      <c r="A2685" t="s">
        <v>3361</v>
      </c>
      <c r="B2685" t="s">
        <v>4628</v>
      </c>
      <c r="D2685" t="s">
        <v>13</v>
      </c>
      <c r="E2685" t="s">
        <v>1743</v>
      </c>
      <c r="F2685" t="s">
        <v>4630</v>
      </c>
      <c r="H2685" t="s">
        <v>17</v>
      </c>
      <c r="I2685" t="s">
        <v>4605</v>
      </c>
    </row>
    <row r="2686" spans="1:9" hidden="1" x14ac:dyDescent="0.3">
      <c r="A2686" t="s">
        <v>4226</v>
      </c>
      <c r="B2686" t="s">
        <v>4628</v>
      </c>
      <c r="D2686" t="s">
        <v>13</v>
      </c>
      <c r="E2686" t="s">
        <v>996</v>
      </c>
      <c r="F2686" t="s">
        <v>4631</v>
      </c>
      <c r="H2686" t="s">
        <v>17</v>
      </c>
      <c r="I2686" t="s">
        <v>4632</v>
      </c>
    </row>
    <row r="2687" spans="1:9" hidden="1" x14ac:dyDescent="0.3">
      <c r="A2687" t="s">
        <v>3365</v>
      </c>
      <c r="B2687" t="s">
        <v>4628</v>
      </c>
      <c r="D2687" t="s">
        <v>13</v>
      </c>
      <c r="E2687" t="s">
        <v>1001</v>
      </c>
      <c r="F2687" t="s">
        <v>4633</v>
      </c>
      <c r="H2687" t="s">
        <v>17</v>
      </c>
      <c r="I2687" t="s">
        <v>4634</v>
      </c>
    </row>
    <row r="2688" spans="1:9" hidden="1" x14ac:dyDescent="0.3">
      <c r="A2688" t="s">
        <v>377</v>
      </c>
      <c r="B2688" t="s">
        <v>4628</v>
      </c>
      <c r="D2688" t="s">
        <v>13</v>
      </c>
      <c r="E2688" t="s">
        <v>1942</v>
      </c>
      <c r="F2688" t="s">
        <v>4635</v>
      </c>
      <c r="H2688" t="s">
        <v>17</v>
      </c>
      <c r="I2688" t="s">
        <v>4636</v>
      </c>
    </row>
    <row r="2689" spans="1:9" hidden="1" x14ac:dyDescent="0.3">
      <c r="A2689" t="s">
        <v>383</v>
      </c>
      <c r="B2689" t="s">
        <v>4628</v>
      </c>
      <c r="D2689" t="s">
        <v>13</v>
      </c>
      <c r="E2689" t="s">
        <v>4637</v>
      </c>
      <c r="F2689" t="s">
        <v>4638</v>
      </c>
      <c r="H2689" t="s">
        <v>17</v>
      </c>
      <c r="I2689" t="s">
        <v>4639</v>
      </c>
    </row>
    <row r="2690" spans="1:9" hidden="1" x14ac:dyDescent="0.3">
      <c r="A2690" t="s">
        <v>1638</v>
      </c>
      <c r="B2690" t="s">
        <v>4628</v>
      </c>
      <c r="D2690" t="s">
        <v>13</v>
      </c>
      <c r="E2690" t="s">
        <v>32</v>
      </c>
      <c r="F2690" t="s">
        <v>4569</v>
      </c>
      <c r="H2690" t="s">
        <v>17</v>
      </c>
      <c r="I2690" t="s">
        <v>4640</v>
      </c>
    </row>
    <row r="2691" spans="1:9" hidden="1" x14ac:dyDescent="0.3">
      <c r="A2691" t="s">
        <v>1640</v>
      </c>
      <c r="B2691" t="s">
        <v>4628</v>
      </c>
      <c r="D2691" t="s">
        <v>13</v>
      </c>
      <c r="E2691" t="s">
        <v>36</v>
      </c>
      <c r="F2691" t="s">
        <v>4641</v>
      </c>
      <c r="H2691" t="s">
        <v>17</v>
      </c>
      <c r="I2691" t="s">
        <v>4642</v>
      </c>
    </row>
    <row r="2692" spans="1:9" hidden="1" x14ac:dyDescent="0.3">
      <c r="A2692" t="s">
        <v>1643</v>
      </c>
      <c r="B2692" t="s">
        <v>4628</v>
      </c>
      <c r="D2692" t="s">
        <v>13</v>
      </c>
      <c r="E2692" t="s">
        <v>4643</v>
      </c>
      <c r="F2692" t="s">
        <v>4644</v>
      </c>
      <c r="H2692" t="s">
        <v>17</v>
      </c>
      <c r="I2692" t="s">
        <v>4645</v>
      </c>
    </row>
    <row r="2693" spans="1:9" hidden="1" x14ac:dyDescent="0.3">
      <c r="A2693" t="s">
        <v>388</v>
      </c>
      <c r="B2693" t="s">
        <v>4628</v>
      </c>
      <c r="D2693" t="s">
        <v>13</v>
      </c>
      <c r="E2693" t="s">
        <v>2238</v>
      </c>
      <c r="F2693" t="s">
        <v>3972</v>
      </c>
      <c r="H2693" t="s">
        <v>17</v>
      </c>
      <c r="I2693" t="s">
        <v>4616</v>
      </c>
    </row>
    <row r="2694" spans="1:9" hidden="1" x14ac:dyDescent="0.3">
      <c r="A2694" t="s">
        <v>1647</v>
      </c>
      <c r="B2694" t="s">
        <v>4628</v>
      </c>
      <c r="D2694" t="s">
        <v>13</v>
      </c>
      <c r="E2694" t="s">
        <v>56</v>
      </c>
      <c r="F2694" t="s">
        <v>4617</v>
      </c>
      <c r="H2694" t="s">
        <v>17</v>
      </c>
      <c r="I2694" t="s">
        <v>4646</v>
      </c>
    </row>
    <row r="2695" spans="1:9" hidden="1" x14ac:dyDescent="0.3">
      <c r="A2695" t="s">
        <v>392</v>
      </c>
      <c r="B2695" t="s">
        <v>4628</v>
      </c>
      <c r="D2695" t="s">
        <v>13</v>
      </c>
      <c r="E2695" t="s">
        <v>61</v>
      </c>
      <c r="F2695" t="s">
        <v>843</v>
      </c>
      <c r="H2695" t="s">
        <v>17</v>
      </c>
      <c r="I2695" t="s">
        <v>845</v>
      </c>
    </row>
    <row r="2696" spans="1:9" hidden="1" x14ac:dyDescent="0.3">
      <c r="A2696" t="s">
        <v>1653</v>
      </c>
      <c r="B2696" t="s">
        <v>4628</v>
      </c>
      <c r="D2696" t="s">
        <v>13</v>
      </c>
      <c r="E2696" t="s">
        <v>1039</v>
      </c>
      <c r="F2696" t="s">
        <v>2775</v>
      </c>
      <c r="H2696" t="s">
        <v>17</v>
      </c>
      <c r="I2696" t="s">
        <v>4647</v>
      </c>
    </row>
    <row r="2697" spans="1:9" hidden="1" x14ac:dyDescent="0.3">
      <c r="A2697" t="s">
        <v>395</v>
      </c>
      <c r="B2697" t="s">
        <v>4628</v>
      </c>
      <c r="D2697" t="s">
        <v>13</v>
      </c>
      <c r="E2697" t="s">
        <v>1043</v>
      </c>
      <c r="F2697" t="s">
        <v>4204</v>
      </c>
      <c r="H2697" t="s">
        <v>17</v>
      </c>
      <c r="I2697" t="s">
        <v>4205</v>
      </c>
    </row>
    <row r="2698" spans="1:9" hidden="1" x14ac:dyDescent="0.3">
      <c r="A2698" t="s">
        <v>1656</v>
      </c>
      <c r="B2698" t="s">
        <v>4628</v>
      </c>
      <c r="D2698" t="s">
        <v>13</v>
      </c>
      <c r="E2698" t="s">
        <v>71</v>
      </c>
      <c r="F2698" t="s">
        <v>824</v>
      </c>
      <c r="H2698" t="s">
        <v>17</v>
      </c>
      <c r="I2698" t="s">
        <v>4207</v>
      </c>
    </row>
    <row r="2699" spans="1:9" hidden="1" x14ac:dyDescent="0.3">
      <c r="A2699" t="s">
        <v>398</v>
      </c>
      <c r="B2699" t="s">
        <v>4628</v>
      </c>
      <c r="D2699" t="s">
        <v>13</v>
      </c>
      <c r="E2699" t="s">
        <v>1050</v>
      </c>
      <c r="F2699" t="s">
        <v>4588</v>
      </c>
      <c r="H2699" t="s">
        <v>17</v>
      </c>
      <c r="I2699" t="s">
        <v>4589</v>
      </c>
    </row>
    <row r="2700" spans="1:9" hidden="1" x14ac:dyDescent="0.3">
      <c r="A2700" t="s">
        <v>3378</v>
      </c>
      <c r="B2700" t="s">
        <v>4628</v>
      </c>
      <c r="D2700" t="s">
        <v>13</v>
      </c>
      <c r="E2700" t="s">
        <v>1055</v>
      </c>
      <c r="F2700" t="s">
        <v>747</v>
      </c>
      <c r="H2700" t="s">
        <v>17</v>
      </c>
      <c r="I2700" t="s">
        <v>4648</v>
      </c>
    </row>
    <row r="2701" spans="1:9" hidden="1" x14ac:dyDescent="0.3">
      <c r="A2701" t="s">
        <v>401</v>
      </c>
      <c r="B2701" t="s">
        <v>4628</v>
      </c>
      <c r="D2701" t="s">
        <v>13</v>
      </c>
      <c r="E2701" t="s">
        <v>80</v>
      </c>
      <c r="F2701" t="s">
        <v>4590</v>
      </c>
      <c r="H2701" t="s">
        <v>17</v>
      </c>
      <c r="I2701" t="s">
        <v>4624</v>
      </c>
    </row>
    <row r="2702" spans="1:9" hidden="1" x14ac:dyDescent="0.3">
      <c r="A2702" t="s">
        <v>1663</v>
      </c>
      <c r="B2702" t="s">
        <v>4628</v>
      </c>
      <c r="D2702" t="s">
        <v>13</v>
      </c>
      <c r="E2702" t="s">
        <v>85</v>
      </c>
      <c r="F2702" t="s">
        <v>2918</v>
      </c>
      <c r="H2702" t="s">
        <v>17</v>
      </c>
      <c r="I2702" t="s">
        <v>4593</v>
      </c>
    </row>
    <row r="2703" spans="1:9" hidden="1" x14ac:dyDescent="0.3">
      <c r="A2703" t="s">
        <v>404</v>
      </c>
      <c r="B2703" t="s">
        <v>4628</v>
      </c>
      <c r="D2703" t="s">
        <v>13</v>
      </c>
      <c r="E2703" t="s">
        <v>90</v>
      </c>
      <c r="F2703" t="s">
        <v>4594</v>
      </c>
      <c r="H2703" t="s">
        <v>17</v>
      </c>
      <c r="I2703" t="s">
        <v>4649</v>
      </c>
    </row>
    <row r="2704" spans="1:9" hidden="1" x14ac:dyDescent="0.3">
      <c r="A2704" t="s">
        <v>3382</v>
      </c>
      <c r="B2704" t="s">
        <v>4628</v>
      </c>
      <c r="D2704" t="s">
        <v>13</v>
      </c>
      <c r="E2704" t="s">
        <v>95</v>
      </c>
      <c r="F2704" t="s">
        <v>4596</v>
      </c>
      <c r="H2704" t="s">
        <v>17</v>
      </c>
      <c r="I2704" t="s">
        <v>4650</v>
      </c>
    </row>
    <row r="2705" spans="1:9" hidden="1" x14ac:dyDescent="0.3">
      <c r="A2705" t="s">
        <v>407</v>
      </c>
      <c r="B2705" t="s">
        <v>4628</v>
      </c>
      <c r="D2705" t="s">
        <v>13</v>
      </c>
      <c r="E2705" t="s">
        <v>100</v>
      </c>
      <c r="F2705" t="s">
        <v>4627</v>
      </c>
      <c r="H2705" t="s">
        <v>17</v>
      </c>
      <c r="I2705" t="s">
        <v>4188</v>
      </c>
    </row>
    <row r="2706" spans="1:9" hidden="1" x14ac:dyDescent="0.3">
      <c r="A2706" t="s">
        <v>10</v>
      </c>
      <c r="B2706" t="s">
        <v>4628</v>
      </c>
      <c r="D2706" t="s">
        <v>13</v>
      </c>
      <c r="E2706" t="s">
        <v>106</v>
      </c>
      <c r="F2706" t="s">
        <v>4190</v>
      </c>
      <c r="H2706" t="s">
        <v>17</v>
      </c>
      <c r="I2706" t="s">
        <v>4651</v>
      </c>
    </row>
    <row r="2707" spans="1:9" hidden="1" x14ac:dyDescent="0.3">
      <c r="A2707" t="s">
        <v>1742</v>
      </c>
      <c r="B2707" t="s">
        <v>4652</v>
      </c>
      <c r="F2707" t="s">
        <v>4653</v>
      </c>
    </row>
    <row r="2708" spans="1:9" hidden="1" x14ac:dyDescent="0.3">
      <c r="A2708" t="s">
        <v>4654</v>
      </c>
      <c r="B2708" t="s">
        <v>4652</v>
      </c>
      <c r="D2708" t="s">
        <v>13</v>
      </c>
      <c r="E2708" t="s">
        <v>14</v>
      </c>
      <c r="F2708" t="s">
        <v>3861</v>
      </c>
      <c r="H2708" t="s">
        <v>17</v>
      </c>
    </row>
    <row r="2709" spans="1:9" hidden="1" x14ac:dyDescent="0.3">
      <c r="A2709" t="s">
        <v>2136</v>
      </c>
      <c r="B2709" t="s">
        <v>4652</v>
      </c>
      <c r="D2709" t="s">
        <v>13</v>
      </c>
      <c r="E2709" t="s">
        <v>1743</v>
      </c>
      <c r="F2709" t="s">
        <v>4655</v>
      </c>
      <c r="H2709" t="s">
        <v>17</v>
      </c>
      <c r="I2709" t="s">
        <v>4656</v>
      </c>
    </row>
    <row r="2710" spans="1:9" hidden="1" x14ac:dyDescent="0.3">
      <c r="A2710" t="s">
        <v>2138</v>
      </c>
      <c r="B2710" t="s">
        <v>4652</v>
      </c>
      <c r="D2710" t="s">
        <v>13</v>
      </c>
      <c r="E2710" t="s">
        <v>996</v>
      </c>
      <c r="F2710" t="s">
        <v>4657</v>
      </c>
      <c r="H2710" t="s">
        <v>17</v>
      </c>
      <c r="I2710" t="s">
        <v>4658</v>
      </c>
    </row>
    <row r="2711" spans="1:9" hidden="1" x14ac:dyDescent="0.3">
      <c r="A2711" t="s">
        <v>2140</v>
      </c>
      <c r="B2711" t="s">
        <v>4652</v>
      </c>
      <c r="D2711" t="s">
        <v>13</v>
      </c>
      <c r="E2711" t="s">
        <v>1001</v>
      </c>
      <c r="F2711" t="s">
        <v>4659</v>
      </c>
      <c r="H2711" t="s">
        <v>17</v>
      </c>
      <c r="I2711" t="s">
        <v>4658</v>
      </c>
    </row>
    <row r="2712" spans="1:9" hidden="1" x14ac:dyDescent="0.3">
      <c r="A2712" t="s">
        <v>629</v>
      </c>
      <c r="B2712" t="s">
        <v>4652</v>
      </c>
      <c r="D2712" t="s">
        <v>13</v>
      </c>
      <c r="E2712" t="s">
        <v>1942</v>
      </c>
      <c r="F2712" t="s">
        <v>4660</v>
      </c>
      <c r="H2712" t="s">
        <v>17</v>
      </c>
      <c r="I2712" t="s">
        <v>4661</v>
      </c>
    </row>
    <row r="2713" spans="1:9" hidden="1" x14ac:dyDescent="0.3">
      <c r="A2713" t="s">
        <v>2144</v>
      </c>
      <c r="B2713" t="s">
        <v>4652</v>
      </c>
      <c r="D2713" t="s">
        <v>13</v>
      </c>
      <c r="E2713" t="s">
        <v>22</v>
      </c>
      <c r="F2713" t="s">
        <v>4662</v>
      </c>
      <c r="H2713" t="s">
        <v>17</v>
      </c>
      <c r="I2713" t="s">
        <v>4663</v>
      </c>
    </row>
    <row r="2714" spans="1:9" hidden="1" x14ac:dyDescent="0.3">
      <c r="A2714" t="s">
        <v>2147</v>
      </c>
      <c r="B2714" t="s">
        <v>4652</v>
      </c>
      <c r="D2714" t="s">
        <v>13</v>
      </c>
      <c r="E2714" t="s">
        <v>27</v>
      </c>
      <c r="F2714" t="s">
        <v>4664</v>
      </c>
      <c r="H2714" t="s">
        <v>17</v>
      </c>
      <c r="I2714" t="s">
        <v>4665</v>
      </c>
    </row>
    <row r="2715" spans="1:9" hidden="1" x14ac:dyDescent="0.3">
      <c r="A2715" t="s">
        <v>633</v>
      </c>
      <c r="B2715" t="s">
        <v>4652</v>
      </c>
      <c r="D2715" t="s">
        <v>13</v>
      </c>
      <c r="E2715" t="s">
        <v>1014</v>
      </c>
      <c r="F2715" t="s">
        <v>4666</v>
      </c>
      <c r="H2715" t="s">
        <v>17</v>
      </c>
      <c r="I2715" t="s">
        <v>4667</v>
      </c>
    </row>
    <row r="2716" spans="1:9" hidden="1" x14ac:dyDescent="0.3">
      <c r="A2716" t="s">
        <v>2151</v>
      </c>
      <c r="B2716" t="s">
        <v>4652</v>
      </c>
      <c r="D2716" t="s">
        <v>13</v>
      </c>
      <c r="E2716" t="s">
        <v>1017</v>
      </c>
      <c r="F2716" t="s">
        <v>4668</v>
      </c>
      <c r="H2716" t="s">
        <v>17</v>
      </c>
      <c r="I2716" t="s">
        <v>4605</v>
      </c>
    </row>
    <row r="2717" spans="1:9" hidden="1" x14ac:dyDescent="0.3">
      <c r="A2717" t="s">
        <v>2153</v>
      </c>
      <c r="B2717" t="s">
        <v>4652</v>
      </c>
      <c r="D2717" t="s">
        <v>13</v>
      </c>
      <c r="E2717" t="s">
        <v>36</v>
      </c>
      <c r="F2717" t="s">
        <v>4129</v>
      </c>
      <c r="H2717" t="s">
        <v>17</v>
      </c>
      <c r="I2717" t="s">
        <v>4669</v>
      </c>
    </row>
    <row r="2718" spans="1:9" hidden="1" x14ac:dyDescent="0.3">
      <c r="A2718" t="s">
        <v>636</v>
      </c>
      <c r="B2718" t="s">
        <v>4652</v>
      </c>
      <c r="D2718" t="s">
        <v>13</v>
      </c>
      <c r="E2718" t="s">
        <v>41</v>
      </c>
      <c r="F2718" t="s">
        <v>4670</v>
      </c>
      <c r="H2718" t="s">
        <v>17</v>
      </c>
      <c r="I2718" t="s">
        <v>4466</v>
      </c>
    </row>
    <row r="2719" spans="1:9" hidden="1" x14ac:dyDescent="0.3">
      <c r="A2719" t="s">
        <v>2159</v>
      </c>
      <c r="B2719" t="s">
        <v>4652</v>
      </c>
      <c r="D2719" t="s">
        <v>13</v>
      </c>
      <c r="E2719" t="s">
        <v>45</v>
      </c>
      <c r="F2719" t="s">
        <v>4671</v>
      </c>
      <c r="H2719" t="s">
        <v>17</v>
      </c>
      <c r="I2719" t="s">
        <v>4466</v>
      </c>
    </row>
    <row r="2720" spans="1:9" hidden="1" x14ac:dyDescent="0.3">
      <c r="A2720" t="s">
        <v>2162</v>
      </c>
      <c r="B2720" t="s">
        <v>4652</v>
      </c>
      <c r="D2720" t="s">
        <v>13</v>
      </c>
      <c r="E2720" t="s">
        <v>50</v>
      </c>
      <c r="F2720" t="s">
        <v>4672</v>
      </c>
      <c r="H2720" t="s">
        <v>17</v>
      </c>
      <c r="I2720" t="s">
        <v>4572</v>
      </c>
    </row>
    <row r="2721" spans="1:9" hidden="1" x14ac:dyDescent="0.3">
      <c r="A2721" t="s">
        <v>639</v>
      </c>
      <c r="B2721" t="s">
        <v>4652</v>
      </c>
      <c r="D2721" t="s">
        <v>13</v>
      </c>
      <c r="E2721" t="s">
        <v>4673</v>
      </c>
      <c r="F2721" t="s">
        <v>4614</v>
      </c>
      <c r="H2721" t="s">
        <v>17</v>
      </c>
      <c r="I2721" t="s">
        <v>4615</v>
      </c>
    </row>
    <row r="2722" spans="1:9" hidden="1" x14ac:dyDescent="0.3">
      <c r="A2722" t="s">
        <v>2165</v>
      </c>
      <c r="B2722" t="s">
        <v>4652</v>
      </c>
      <c r="D2722" t="s">
        <v>13</v>
      </c>
      <c r="E2722" t="s">
        <v>4674</v>
      </c>
      <c r="F2722" t="s">
        <v>4675</v>
      </c>
      <c r="H2722" t="s">
        <v>17</v>
      </c>
      <c r="I2722" t="s">
        <v>4676</v>
      </c>
    </row>
    <row r="2723" spans="1:9" hidden="1" x14ac:dyDescent="0.3">
      <c r="A2723" t="s">
        <v>2169</v>
      </c>
      <c r="B2723" t="s">
        <v>4652</v>
      </c>
      <c r="D2723" t="s">
        <v>13</v>
      </c>
      <c r="E2723" t="s">
        <v>2168</v>
      </c>
      <c r="F2723" t="s">
        <v>3972</v>
      </c>
      <c r="H2723" t="s">
        <v>17</v>
      </c>
      <c r="I2723" t="s">
        <v>4616</v>
      </c>
    </row>
    <row r="2724" spans="1:9" hidden="1" x14ac:dyDescent="0.3">
      <c r="A2724" t="s">
        <v>642</v>
      </c>
      <c r="B2724" t="s">
        <v>4652</v>
      </c>
      <c r="D2724" t="s">
        <v>13</v>
      </c>
      <c r="E2724" t="s">
        <v>76</v>
      </c>
      <c r="F2724" t="s">
        <v>4677</v>
      </c>
      <c r="H2724" t="s">
        <v>17</v>
      </c>
      <c r="I2724" t="s">
        <v>4678</v>
      </c>
    </row>
    <row r="2725" spans="1:9" hidden="1" x14ac:dyDescent="0.3">
      <c r="A2725" t="s">
        <v>2174</v>
      </c>
      <c r="B2725" t="s">
        <v>4652</v>
      </c>
      <c r="D2725" t="s">
        <v>13</v>
      </c>
      <c r="E2725" t="s">
        <v>1792</v>
      </c>
      <c r="F2725" t="s">
        <v>4679</v>
      </c>
      <c r="H2725" t="s">
        <v>17</v>
      </c>
      <c r="I2725" t="s">
        <v>4680</v>
      </c>
    </row>
    <row r="2726" spans="1:9" hidden="1" x14ac:dyDescent="0.3">
      <c r="A2726" t="s">
        <v>2176</v>
      </c>
      <c r="B2726" t="s">
        <v>4652</v>
      </c>
      <c r="D2726" t="s">
        <v>13</v>
      </c>
      <c r="E2726" t="s">
        <v>90</v>
      </c>
      <c r="F2726" t="s">
        <v>843</v>
      </c>
      <c r="H2726" t="s">
        <v>17</v>
      </c>
      <c r="I2726" t="s">
        <v>845</v>
      </c>
    </row>
    <row r="2727" spans="1:9" hidden="1" x14ac:dyDescent="0.3">
      <c r="A2727" t="s">
        <v>645</v>
      </c>
      <c r="B2727" t="s">
        <v>4652</v>
      </c>
      <c r="D2727" t="s">
        <v>13</v>
      </c>
      <c r="E2727" t="s">
        <v>95</v>
      </c>
      <c r="F2727" t="s">
        <v>2775</v>
      </c>
      <c r="H2727" t="s">
        <v>17</v>
      </c>
      <c r="I2727" t="s">
        <v>4681</v>
      </c>
    </row>
    <row r="2728" spans="1:9" hidden="1" x14ac:dyDescent="0.3">
      <c r="A2728" t="s">
        <v>2179</v>
      </c>
      <c r="B2728" t="s">
        <v>4652</v>
      </c>
      <c r="D2728" t="s">
        <v>13</v>
      </c>
      <c r="E2728" t="s">
        <v>100</v>
      </c>
      <c r="F2728" t="s">
        <v>4682</v>
      </c>
      <c r="H2728" t="s">
        <v>17</v>
      </c>
      <c r="I2728" t="s">
        <v>4205</v>
      </c>
    </row>
    <row r="2729" spans="1:9" hidden="1" x14ac:dyDescent="0.3">
      <c r="A2729" t="s">
        <v>2181</v>
      </c>
      <c r="B2729" t="s">
        <v>4652</v>
      </c>
      <c r="D2729" t="s">
        <v>13</v>
      </c>
      <c r="E2729" t="s">
        <v>106</v>
      </c>
      <c r="F2729" t="s">
        <v>3344</v>
      </c>
      <c r="H2729" t="s">
        <v>17</v>
      </c>
      <c r="I2729" t="s">
        <v>4207</v>
      </c>
    </row>
    <row r="2730" spans="1:9" hidden="1" x14ac:dyDescent="0.3">
      <c r="A2730" t="s">
        <v>648</v>
      </c>
      <c r="B2730" t="s">
        <v>4652</v>
      </c>
      <c r="D2730" t="s">
        <v>13</v>
      </c>
      <c r="E2730" t="s">
        <v>111</v>
      </c>
      <c r="F2730" t="s">
        <v>4588</v>
      </c>
      <c r="H2730" t="s">
        <v>17</v>
      </c>
      <c r="I2730" t="s">
        <v>4589</v>
      </c>
    </row>
    <row r="2731" spans="1:9" hidden="1" x14ac:dyDescent="0.3">
      <c r="A2731" t="s">
        <v>2182</v>
      </c>
      <c r="B2731" t="s">
        <v>4652</v>
      </c>
      <c r="D2731" t="s">
        <v>13</v>
      </c>
      <c r="E2731" t="s">
        <v>114</v>
      </c>
      <c r="F2731" t="s">
        <v>747</v>
      </c>
      <c r="H2731" t="s">
        <v>17</v>
      </c>
      <c r="I2731" t="s">
        <v>4623</v>
      </c>
    </row>
    <row r="2732" spans="1:9" hidden="1" x14ac:dyDescent="0.3">
      <c r="A2732" t="s">
        <v>2184</v>
      </c>
      <c r="B2732" t="s">
        <v>4652</v>
      </c>
      <c r="D2732" t="s">
        <v>13</v>
      </c>
      <c r="E2732" t="s">
        <v>117</v>
      </c>
      <c r="F2732" t="s">
        <v>4590</v>
      </c>
      <c r="H2732" t="s">
        <v>17</v>
      </c>
      <c r="I2732" t="s">
        <v>4624</v>
      </c>
    </row>
    <row r="2733" spans="1:9" hidden="1" x14ac:dyDescent="0.3">
      <c r="A2733" t="s">
        <v>651</v>
      </c>
      <c r="B2733" t="s">
        <v>4652</v>
      </c>
      <c r="D2733" t="s">
        <v>13</v>
      </c>
      <c r="E2733" t="s">
        <v>121</v>
      </c>
      <c r="F2733" t="s">
        <v>2918</v>
      </c>
      <c r="H2733" t="s">
        <v>17</v>
      </c>
      <c r="I2733" t="s">
        <v>4593</v>
      </c>
    </row>
    <row r="2734" spans="1:9" hidden="1" x14ac:dyDescent="0.3">
      <c r="A2734" t="s">
        <v>656</v>
      </c>
      <c r="B2734" t="s">
        <v>4652</v>
      </c>
      <c r="D2734" t="s">
        <v>13</v>
      </c>
      <c r="E2734" t="s">
        <v>126</v>
      </c>
      <c r="F2734" t="s">
        <v>4594</v>
      </c>
      <c r="H2734" t="s">
        <v>17</v>
      </c>
      <c r="I2734" t="s">
        <v>4683</v>
      </c>
    </row>
    <row r="2735" spans="1:9" hidden="1" x14ac:dyDescent="0.3">
      <c r="A2735" t="s">
        <v>659</v>
      </c>
      <c r="B2735" t="s">
        <v>4652</v>
      </c>
      <c r="D2735" t="s">
        <v>13</v>
      </c>
      <c r="E2735" t="s">
        <v>129</v>
      </c>
      <c r="F2735" t="s">
        <v>4596</v>
      </c>
      <c r="H2735" t="s">
        <v>17</v>
      </c>
      <c r="I2735" t="s">
        <v>4684</v>
      </c>
    </row>
    <row r="2736" spans="1:9" hidden="1" x14ac:dyDescent="0.3">
      <c r="A2736" t="s">
        <v>662</v>
      </c>
      <c r="B2736" t="s">
        <v>4652</v>
      </c>
      <c r="D2736" t="s">
        <v>13</v>
      </c>
      <c r="E2736" t="s">
        <v>132</v>
      </c>
      <c r="F2736" t="s">
        <v>4627</v>
      </c>
      <c r="H2736" t="s">
        <v>17</v>
      </c>
      <c r="I2736" t="s">
        <v>4188</v>
      </c>
    </row>
    <row r="2737" spans="1:9" hidden="1" x14ac:dyDescent="0.3">
      <c r="A2737" t="s">
        <v>10</v>
      </c>
      <c r="B2737" t="s">
        <v>4652</v>
      </c>
      <c r="D2737" t="s">
        <v>13</v>
      </c>
      <c r="E2737" t="s">
        <v>135</v>
      </c>
      <c r="F2737" t="s">
        <v>4190</v>
      </c>
      <c r="H2737" t="s">
        <v>17</v>
      </c>
      <c r="I2737" t="s">
        <v>4651</v>
      </c>
    </row>
    <row r="2738" spans="1:9" hidden="1" x14ac:dyDescent="0.3">
      <c r="A2738" t="s">
        <v>1742</v>
      </c>
      <c r="B2738" t="s">
        <v>4685</v>
      </c>
      <c r="F2738" t="s">
        <v>4686</v>
      </c>
    </row>
    <row r="2739" spans="1:9" hidden="1" x14ac:dyDescent="0.3">
      <c r="A2739" t="s">
        <v>1744</v>
      </c>
      <c r="B2739" t="s">
        <v>4685</v>
      </c>
      <c r="C2739" t="s">
        <v>4687</v>
      </c>
      <c r="D2739" t="s">
        <v>13</v>
      </c>
      <c r="E2739" t="s">
        <v>14</v>
      </c>
      <c r="F2739" t="s">
        <v>4688</v>
      </c>
      <c r="H2739" t="s">
        <v>17</v>
      </c>
    </row>
    <row r="2740" spans="1:9" hidden="1" x14ac:dyDescent="0.3">
      <c r="A2740" t="s">
        <v>1747</v>
      </c>
      <c r="B2740" t="s">
        <v>4685</v>
      </c>
      <c r="C2740" t="s">
        <v>4687</v>
      </c>
      <c r="D2740" t="s">
        <v>13</v>
      </c>
      <c r="E2740" t="s">
        <v>1743</v>
      </c>
      <c r="F2740" t="s">
        <v>4689</v>
      </c>
      <c r="H2740" t="s">
        <v>17</v>
      </c>
      <c r="I2740" t="s">
        <v>4690</v>
      </c>
    </row>
    <row r="2741" spans="1:9" hidden="1" x14ac:dyDescent="0.3">
      <c r="A2741" t="s">
        <v>1750</v>
      </c>
      <c r="B2741" t="s">
        <v>4685</v>
      </c>
      <c r="C2741" t="s">
        <v>4687</v>
      </c>
      <c r="D2741" t="s">
        <v>13</v>
      </c>
      <c r="E2741" t="s">
        <v>996</v>
      </c>
      <c r="F2741" t="s">
        <v>4691</v>
      </c>
      <c r="H2741" t="s">
        <v>17</v>
      </c>
      <c r="I2741" t="s">
        <v>4690</v>
      </c>
    </row>
    <row r="2742" spans="1:9" hidden="1" x14ac:dyDescent="0.3">
      <c r="A2742" t="s">
        <v>1752</v>
      </c>
      <c r="B2742" t="s">
        <v>4685</v>
      </c>
      <c r="C2742" t="s">
        <v>4687</v>
      </c>
      <c r="D2742" t="s">
        <v>13</v>
      </c>
      <c r="E2742" t="s">
        <v>1001</v>
      </c>
      <c r="F2742" t="s">
        <v>4692</v>
      </c>
      <c r="H2742" t="s">
        <v>17</v>
      </c>
      <c r="I2742" t="s">
        <v>4466</v>
      </c>
    </row>
    <row r="2743" spans="1:9" hidden="1" x14ac:dyDescent="0.3">
      <c r="A2743" t="s">
        <v>1754</v>
      </c>
      <c r="B2743" t="s">
        <v>4685</v>
      </c>
      <c r="C2743" t="s">
        <v>4687</v>
      </c>
      <c r="D2743" t="s">
        <v>13</v>
      </c>
      <c r="E2743" t="s">
        <v>1942</v>
      </c>
      <c r="F2743" t="s">
        <v>4693</v>
      </c>
      <c r="H2743" t="s">
        <v>17</v>
      </c>
      <c r="I2743" t="s">
        <v>4694</v>
      </c>
    </row>
    <row r="2744" spans="1:9" hidden="1" x14ac:dyDescent="0.3">
      <c r="A2744" t="s">
        <v>1757</v>
      </c>
      <c r="B2744" t="s">
        <v>4685</v>
      </c>
      <c r="C2744" t="s">
        <v>4687</v>
      </c>
      <c r="D2744" t="s">
        <v>13</v>
      </c>
      <c r="E2744" t="s">
        <v>22</v>
      </c>
      <c r="F2744" t="s">
        <v>4695</v>
      </c>
      <c r="H2744" t="s">
        <v>17</v>
      </c>
      <c r="I2744" t="s">
        <v>4696</v>
      </c>
    </row>
    <row r="2745" spans="1:9" hidden="1" x14ac:dyDescent="0.3">
      <c r="A2745" t="s">
        <v>1760</v>
      </c>
      <c r="B2745" t="s">
        <v>4685</v>
      </c>
      <c r="C2745" t="s">
        <v>4687</v>
      </c>
      <c r="D2745" t="s">
        <v>13</v>
      </c>
      <c r="E2745" t="s">
        <v>27</v>
      </c>
      <c r="F2745" t="s">
        <v>4697</v>
      </c>
      <c r="H2745" t="s">
        <v>17</v>
      </c>
      <c r="I2745" t="s">
        <v>4698</v>
      </c>
    </row>
    <row r="2746" spans="1:9" hidden="1" x14ac:dyDescent="0.3">
      <c r="A2746" t="s">
        <v>1763</v>
      </c>
      <c r="B2746" t="s">
        <v>4685</v>
      </c>
      <c r="C2746" t="s">
        <v>4687</v>
      </c>
      <c r="D2746" t="s">
        <v>13</v>
      </c>
      <c r="E2746" t="s">
        <v>1014</v>
      </c>
      <c r="F2746" t="s">
        <v>4699</v>
      </c>
      <c r="H2746" t="s">
        <v>17</v>
      </c>
      <c r="I2746" t="s">
        <v>4466</v>
      </c>
    </row>
    <row r="2747" spans="1:9" hidden="1" x14ac:dyDescent="0.3">
      <c r="A2747" t="s">
        <v>1765</v>
      </c>
      <c r="B2747" t="s">
        <v>4685</v>
      </c>
      <c r="C2747" t="s">
        <v>4687</v>
      </c>
      <c r="D2747" t="s">
        <v>13</v>
      </c>
      <c r="E2747" t="s">
        <v>1017</v>
      </c>
      <c r="F2747" t="s">
        <v>4700</v>
      </c>
      <c r="H2747" t="s">
        <v>17</v>
      </c>
      <c r="I2747" t="s">
        <v>4701</v>
      </c>
    </row>
    <row r="2748" spans="1:9" hidden="1" x14ac:dyDescent="0.3">
      <c r="A2748" t="s">
        <v>1768</v>
      </c>
      <c r="B2748" t="s">
        <v>4685</v>
      </c>
      <c r="C2748" t="s">
        <v>4687</v>
      </c>
      <c r="D2748" t="s">
        <v>13</v>
      </c>
      <c r="E2748" t="s">
        <v>36</v>
      </c>
      <c r="F2748" t="s">
        <v>4702</v>
      </c>
      <c r="H2748" t="s">
        <v>17</v>
      </c>
      <c r="I2748" t="s">
        <v>4703</v>
      </c>
    </row>
    <row r="2749" spans="1:9" hidden="1" x14ac:dyDescent="0.3">
      <c r="A2749" t="s">
        <v>1771</v>
      </c>
      <c r="B2749" t="s">
        <v>4685</v>
      </c>
      <c r="C2749" t="s">
        <v>4687</v>
      </c>
      <c r="D2749" t="s">
        <v>13</v>
      </c>
      <c r="E2749" t="s">
        <v>41</v>
      </c>
      <c r="F2749" t="s">
        <v>4704</v>
      </c>
      <c r="H2749" t="s">
        <v>17</v>
      </c>
      <c r="I2749" t="s">
        <v>4466</v>
      </c>
    </row>
    <row r="2750" spans="1:9" hidden="1" x14ac:dyDescent="0.3">
      <c r="A2750" t="s">
        <v>1775</v>
      </c>
      <c r="B2750" t="s">
        <v>4685</v>
      </c>
      <c r="C2750" t="s">
        <v>4687</v>
      </c>
      <c r="D2750" t="s">
        <v>13</v>
      </c>
      <c r="E2750" t="s">
        <v>45</v>
      </c>
      <c r="F2750" t="s">
        <v>4705</v>
      </c>
      <c r="H2750" t="s">
        <v>17</v>
      </c>
      <c r="I2750" t="s">
        <v>4706</v>
      </c>
    </row>
    <row r="2751" spans="1:9" hidden="1" x14ac:dyDescent="0.3">
      <c r="A2751" t="s">
        <v>1777</v>
      </c>
      <c r="B2751" t="s">
        <v>4685</v>
      </c>
      <c r="C2751" t="s">
        <v>4687</v>
      </c>
      <c r="D2751" t="s">
        <v>13</v>
      </c>
      <c r="E2751" t="s">
        <v>50</v>
      </c>
      <c r="F2751" t="s">
        <v>4707</v>
      </c>
      <c r="H2751" t="s">
        <v>17</v>
      </c>
      <c r="I2751" t="s">
        <v>4708</v>
      </c>
    </row>
    <row r="2752" spans="1:9" hidden="1" x14ac:dyDescent="0.3">
      <c r="A2752" t="s">
        <v>1779</v>
      </c>
      <c r="B2752" t="s">
        <v>4685</v>
      </c>
      <c r="C2752" t="s">
        <v>4687</v>
      </c>
      <c r="D2752" t="s">
        <v>13</v>
      </c>
      <c r="E2752" t="s">
        <v>53</v>
      </c>
      <c r="F2752" t="s">
        <v>4709</v>
      </c>
      <c r="H2752" t="s">
        <v>17</v>
      </c>
      <c r="I2752" t="s">
        <v>4710</v>
      </c>
    </row>
    <row r="2753" spans="1:9" hidden="1" x14ac:dyDescent="0.3">
      <c r="A2753" t="s">
        <v>1781</v>
      </c>
      <c r="B2753" t="s">
        <v>4685</v>
      </c>
      <c r="C2753" t="s">
        <v>4687</v>
      </c>
      <c r="D2753" t="s">
        <v>13</v>
      </c>
      <c r="E2753" t="s">
        <v>56</v>
      </c>
      <c r="F2753" t="s">
        <v>4711</v>
      </c>
      <c r="H2753" t="s">
        <v>17</v>
      </c>
      <c r="I2753" t="s">
        <v>4710</v>
      </c>
    </row>
    <row r="2754" spans="1:9" hidden="1" x14ac:dyDescent="0.3">
      <c r="A2754" t="s">
        <v>1784</v>
      </c>
      <c r="B2754" t="s">
        <v>4685</v>
      </c>
      <c r="C2754" t="s">
        <v>4687</v>
      </c>
      <c r="D2754" t="s">
        <v>13</v>
      </c>
      <c r="E2754" t="s">
        <v>61</v>
      </c>
      <c r="F2754" t="s">
        <v>4712</v>
      </c>
      <c r="H2754" t="s">
        <v>17</v>
      </c>
      <c r="I2754" t="s">
        <v>4713</v>
      </c>
    </row>
    <row r="2755" spans="1:9" hidden="1" x14ac:dyDescent="0.3">
      <c r="A2755" t="s">
        <v>1787</v>
      </c>
      <c r="B2755" t="s">
        <v>4685</v>
      </c>
      <c r="C2755" t="s">
        <v>4687</v>
      </c>
      <c r="D2755" t="s">
        <v>13</v>
      </c>
      <c r="E2755" t="s">
        <v>66</v>
      </c>
      <c r="F2755" t="s">
        <v>4714</v>
      </c>
      <c r="H2755" t="s">
        <v>17</v>
      </c>
      <c r="I2755" t="s">
        <v>4715</v>
      </c>
    </row>
    <row r="2756" spans="1:9" hidden="1" x14ac:dyDescent="0.3">
      <c r="A2756" t="s">
        <v>1789</v>
      </c>
      <c r="B2756" t="s">
        <v>4685</v>
      </c>
      <c r="C2756" t="s">
        <v>4687</v>
      </c>
      <c r="D2756" t="s">
        <v>13</v>
      </c>
      <c r="E2756" t="s">
        <v>71</v>
      </c>
      <c r="F2756" t="s">
        <v>4716</v>
      </c>
      <c r="H2756" t="s">
        <v>17</v>
      </c>
      <c r="I2756" t="s">
        <v>4717</v>
      </c>
    </row>
    <row r="2757" spans="1:9" hidden="1" x14ac:dyDescent="0.3">
      <c r="A2757" t="s">
        <v>1793</v>
      </c>
      <c r="B2757" t="s">
        <v>4685</v>
      </c>
      <c r="C2757" t="s">
        <v>4687</v>
      </c>
      <c r="D2757" t="s">
        <v>13</v>
      </c>
      <c r="E2757" t="s">
        <v>1050</v>
      </c>
      <c r="F2757" t="s">
        <v>4718</v>
      </c>
      <c r="H2757" t="s">
        <v>17</v>
      </c>
      <c r="I2757" t="s">
        <v>4719</v>
      </c>
    </row>
    <row r="2758" spans="1:9" hidden="1" x14ac:dyDescent="0.3">
      <c r="A2758" t="s">
        <v>1798</v>
      </c>
      <c r="B2758" t="s">
        <v>4685</v>
      </c>
      <c r="C2758" t="s">
        <v>4687</v>
      </c>
      <c r="D2758" t="s">
        <v>13</v>
      </c>
      <c r="E2758" t="s">
        <v>1055</v>
      </c>
      <c r="F2758" t="s">
        <v>4720</v>
      </c>
      <c r="H2758" t="s">
        <v>17</v>
      </c>
      <c r="I2758" t="s">
        <v>4721</v>
      </c>
    </row>
    <row r="2759" spans="1:9" hidden="1" x14ac:dyDescent="0.3">
      <c r="A2759" t="s">
        <v>1801</v>
      </c>
      <c r="B2759" t="s">
        <v>4685</v>
      </c>
      <c r="C2759" t="s">
        <v>4687</v>
      </c>
      <c r="D2759" t="s">
        <v>13</v>
      </c>
      <c r="E2759" t="s">
        <v>80</v>
      </c>
      <c r="F2759" t="s">
        <v>4722</v>
      </c>
      <c r="H2759" t="s">
        <v>17</v>
      </c>
      <c r="I2759" t="s">
        <v>3925</v>
      </c>
    </row>
    <row r="2760" spans="1:9" hidden="1" x14ac:dyDescent="0.3">
      <c r="A2760" t="s">
        <v>1803</v>
      </c>
      <c r="B2760" t="s">
        <v>4685</v>
      </c>
      <c r="C2760" t="s">
        <v>4687</v>
      </c>
      <c r="D2760" t="s">
        <v>13</v>
      </c>
      <c r="E2760" t="s">
        <v>85</v>
      </c>
      <c r="F2760" t="s">
        <v>4722</v>
      </c>
      <c r="H2760" t="s">
        <v>17</v>
      </c>
      <c r="I2760" t="s">
        <v>4723</v>
      </c>
    </row>
    <row r="2761" spans="1:9" hidden="1" x14ac:dyDescent="0.3">
      <c r="A2761" t="s">
        <v>1806</v>
      </c>
      <c r="B2761" t="s">
        <v>4685</v>
      </c>
      <c r="C2761" t="s">
        <v>4687</v>
      </c>
      <c r="D2761" t="s">
        <v>13</v>
      </c>
      <c r="E2761" t="s">
        <v>90</v>
      </c>
      <c r="F2761" t="s">
        <v>4722</v>
      </c>
      <c r="H2761" t="s">
        <v>17</v>
      </c>
      <c r="I2761" t="s">
        <v>4724</v>
      </c>
    </row>
    <row r="2762" spans="1:9" hidden="1" x14ac:dyDescent="0.3">
      <c r="A2762" t="s">
        <v>1808</v>
      </c>
      <c r="B2762" t="s">
        <v>4685</v>
      </c>
      <c r="C2762" t="s">
        <v>4687</v>
      </c>
      <c r="D2762" t="s">
        <v>13</v>
      </c>
      <c r="E2762" t="s">
        <v>95</v>
      </c>
      <c r="F2762" t="s">
        <v>4722</v>
      </c>
      <c r="H2762" t="s">
        <v>17</v>
      </c>
      <c r="I2762" t="s">
        <v>4725</v>
      </c>
    </row>
    <row r="2763" spans="1:9" hidden="1" x14ac:dyDescent="0.3">
      <c r="A2763" t="s">
        <v>1811</v>
      </c>
      <c r="B2763" t="s">
        <v>4685</v>
      </c>
      <c r="C2763" t="s">
        <v>4687</v>
      </c>
      <c r="D2763" t="s">
        <v>13</v>
      </c>
      <c r="E2763" t="s">
        <v>100</v>
      </c>
      <c r="F2763" t="s">
        <v>4722</v>
      </c>
      <c r="H2763" t="s">
        <v>17</v>
      </c>
      <c r="I2763" t="s">
        <v>3931</v>
      </c>
    </row>
    <row r="2764" spans="1:9" hidden="1" x14ac:dyDescent="0.3">
      <c r="A2764" t="s">
        <v>1814</v>
      </c>
      <c r="B2764" t="s">
        <v>4685</v>
      </c>
      <c r="C2764" t="s">
        <v>4687</v>
      </c>
      <c r="D2764" t="s">
        <v>13</v>
      </c>
      <c r="E2764" t="s">
        <v>106</v>
      </c>
      <c r="F2764" t="s">
        <v>4726</v>
      </c>
      <c r="H2764" t="s">
        <v>17</v>
      </c>
      <c r="I2764" t="s">
        <v>4727</v>
      </c>
    </row>
    <row r="2765" spans="1:9" hidden="1" x14ac:dyDescent="0.3">
      <c r="A2765" t="s">
        <v>1818</v>
      </c>
      <c r="B2765" t="s">
        <v>4685</v>
      </c>
      <c r="C2765" t="s">
        <v>4687</v>
      </c>
      <c r="D2765" t="s">
        <v>13</v>
      </c>
      <c r="E2765" t="s">
        <v>111</v>
      </c>
      <c r="F2765" t="s">
        <v>4728</v>
      </c>
      <c r="H2765" t="s">
        <v>17</v>
      </c>
      <c r="I2765" t="s">
        <v>4729</v>
      </c>
    </row>
    <row r="2766" spans="1:9" hidden="1" x14ac:dyDescent="0.3">
      <c r="A2766" t="s">
        <v>1820</v>
      </c>
      <c r="B2766" t="s">
        <v>4685</v>
      </c>
      <c r="C2766" t="s">
        <v>4687</v>
      </c>
      <c r="D2766" t="s">
        <v>13</v>
      </c>
      <c r="E2766" t="s">
        <v>114</v>
      </c>
      <c r="F2766" t="s">
        <v>4730</v>
      </c>
      <c r="H2766" t="s">
        <v>17</v>
      </c>
      <c r="I2766" t="s">
        <v>4731</v>
      </c>
    </row>
    <row r="2767" spans="1:9" hidden="1" x14ac:dyDescent="0.3">
      <c r="A2767" t="s">
        <v>1822</v>
      </c>
      <c r="B2767" t="s">
        <v>4685</v>
      </c>
      <c r="C2767" t="s">
        <v>4687</v>
      </c>
      <c r="D2767" t="s">
        <v>13</v>
      </c>
      <c r="E2767" t="s">
        <v>117</v>
      </c>
      <c r="F2767" t="s">
        <v>4732</v>
      </c>
      <c r="H2767" t="s">
        <v>17</v>
      </c>
      <c r="I2767" t="s">
        <v>4733</v>
      </c>
    </row>
    <row r="2768" spans="1:9" hidden="1" x14ac:dyDescent="0.3">
      <c r="A2768" t="s">
        <v>1824</v>
      </c>
      <c r="B2768" t="s">
        <v>4685</v>
      </c>
      <c r="C2768" t="s">
        <v>4687</v>
      </c>
      <c r="D2768" t="s">
        <v>13</v>
      </c>
      <c r="E2768" t="s">
        <v>121</v>
      </c>
      <c r="F2768" t="s">
        <v>4734</v>
      </c>
      <c r="H2768" t="s">
        <v>17</v>
      </c>
      <c r="I2768" t="s">
        <v>4733</v>
      </c>
    </row>
    <row r="2769" spans="1:9" hidden="1" x14ac:dyDescent="0.3">
      <c r="A2769" t="s">
        <v>1826</v>
      </c>
      <c r="B2769" t="s">
        <v>4685</v>
      </c>
      <c r="C2769" t="s">
        <v>4687</v>
      </c>
      <c r="D2769" t="s">
        <v>13</v>
      </c>
      <c r="E2769" t="s">
        <v>126</v>
      </c>
      <c r="F2769" t="s">
        <v>4735</v>
      </c>
      <c r="H2769" t="s">
        <v>17</v>
      </c>
      <c r="I2769" t="s">
        <v>4736</v>
      </c>
    </row>
    <row r="2770" spans="1:9" hidden="1" x14ac:dyDescent="0.3">
      <c r="A2770" t="s">
        <v>1828</v>
      </c>
      <c r="B2770" t="s">
        <v>4685</v>
      </c>
      <c r="C2770" t="s">
        <v>4687</v>
      </c>
      <c r="D2770" t="s">
        <v>13</v>
      </c>
      <c r="E2770" t="s">
        <v>129</v>
      </c>
      <c r="F2770" t="s">
        <v>4737</v>
      </c>
      <c r="H2770" t="s">
        <v>17</v>
      </c>
      <c r="I2770" t="s">
        <v>4738</v>
      </c>
    </row>
    <row r="2771" spans="1:9" hidden="1" x14ac:dyDescent="0.3">
      <c r="A2771" t="s">
        <v>1831</v>
      </c>
      <c r="B2771" t="s">
        <v>4685</v>
      </c>
      <c r="C2771" t="s">
        <v>4687</v>
      </c>
      <c r="D2771" t="s">
        <v>13</v>
      </c>
      <c r="E2771" t="s">
        <v>132</v>
      </c>
      <c r="F2771" t="s">
        <v>4739</v>
      </c>
      <c r="H2771" t="s">
        <v>17</v>
      </c>
      <c r="I2771" t="s">
        <v>4740</v>
      </c>
    </row>
    <row r="2772" spans="1:9" hidden="1" x14ac:dyDescent="0.3">
      <c r="A2772" t="s">
        <v>1833</v>
      </c>
      <c r="B2772" t="s">
        <v>4685</v>
      </c>
      <c r="C2772" t="s">
        <v>4687</v>
      </c>
      <c r="D2772" t="s">
        <v>13</v>
      </c>
      <c r="E2772" t="s">
        <v>135</v>
      </c>
      <c r="F2772" t="s">
        <v>4741</v>
      </c>
      <c r="H2772" t="s">
        <v>17</v>
      </c>
      <c r="I2772" t="s">
        <v>4742</v>
      </c>
    </row>
    <row r="2773" spans="1:9" hidden="1" x14ac:dyDescent="0.3">
      <c r="A2773" t="s">
        <v>1836</v>
      </c>
      <c r="B2773" t="s">
        <v>4685</v>
      </c>
      <c r="C2773" t="s">
        <v>4687</v>
      </c>
      <c r="D2773" t="s">
        <v>13</v>
      </c>
      <c r="E2773" t="s">
        <v>138</v>
      </c>
      <c r="F2773" t="s">
        <v>4743</v>
      </c>
      <c r="H2773" t="s">
        <v>17</v>
      </c>
      <c r="I2773" t="s">
        <v>4466</v>
      </c>
    </row>
    <row r="2774" spans="1:9" hidden="1" x14ac:dyDescent="0.3">
      <c r="A2774" t="s">
        <v>1838</v>
      </c>
      <c r="B2774" t="s">
        <v>4685</v>
      </c>
      <c r="C2774" t="s">
        <v>4687</v>
      </c>
      <c r="D2774" t="s">
        <v>13</v>
      </c>
      <c r="E2774" t="s">
        <v>141</v>
      </c>
      <c r="F2774" t="s">
        <v>4744</v>
      </c>
      <c r="H2774" t="s">
        <v>17</v>
      </c>
      <c r="I2774" t="s">
        <v>4466</v>
      </c>
    </row>
    <row r="2775" spans="1:9" hidden="1" x14ac:dyDescent="0.3">
      <c r="A2775" t="s">
        <v>1840</v>
      </c>
      <c r="B2775" t="s">
        <v>4685</v>
      </c>
      <c r="C2775" t="s">
        <v>4687</v>
      </c>
      <c r="D2775" t="s">
        <v>13</v>
      </c>
      <c r="E2775" t="s">
        <v>144</v>
      </c>
      <c r="F2775" t="s">
        <v>4745</v>
      </c>
      <c r="H2775" t="s">
        <v>17</v>
      </c>
      <c r="I2775" t="s">
        <v>4466</v>
      </c>
    </row>
    <row r="2776" spans="1:9" hidden="1" x14ac:dyDescent="0.3">
      <c r="A2776" t="s">
        <v>1843</v>
      </c>
      <c r="B2776" t="s">
        <v>4685</v>
      </c>
      <c r="C2776" t="s">
        <v>4687</v>
      </c>
      <c r="D2776" t="s">
        <v>13</v>
      </c>
      <c r="E2776" t="s">
        <v>147</v>
      </c>
      <c r="F2776" t="s">
        <v>4746</v>
      </c>
      <c r="H2776" t="s">
        <v>17</v>
      </c>
      <c r="I2776" t="s">
        <v>4466</v>
      </c>
    </row>
    <row r="2777" spans="1:9" hidden="1" x14ac:dyDescent="0.3">
      <c r="A2777" t="s">
        <v>1847</v>
      </c>
      <c r="B2777" t="s">
        <v>4685</v>
      </c>
      <c r="C2777" t="s">
        <v>4687</v>
      </c>
      <c r="D2777" t="s">
        <v>13</v>
      </c>
      <c r="E2777" t="s">
        <v>152</v>
      </c>
      <c r="F2777" t="s">
        <v>4747</v>
      </c>
      <c r="H2777" t="s">
        <v>17</v>
      </c>
      <c r="I2777" t="s">
        <v>4748</v>
      </c>
    </row>
    <row r="2778" spans="1:9" hidden="1" x14ac:dyDescent="0.3">
      <c r="A2778" t="s">
        <v>1849</v>
      </c>
      <c r="B2778" t="s">
        <v>4685</v>
      </c>
      <c r="C2778" t="s">
        <v>4687</v>
      </c>
      <c r="D2778" t="s">
        <v>13</v>
      </c>
      <c r="E2778" t="s">
        <v>157</v>
      </c>
      <c r="F2778" t="s">
        <v>4749</v>
      </c>
      <c r="H2778" t="s">
        <v>17</v>
      </c>
      <c r="I2778" t="s">
        <v>4713</v>
      </c>
    </row>
    <row r="2779" spans="1:9" hidden="1" x14ac:dyDescent="0.3">
      <c r="A2779" t="s">
        <v>1851</v>
      </c>
      <c r="B2779" t="s">
        <v>4685</v>
      </c>
      <c r="C2779" t="s">
        <v>4687</v>
      </c>
      <c r="D2779" t="s">
        <v>13</v>
      </c>
      <c r="E2779" t="s">
        <v>162</v>
      </c>
      <c r="F2779" t="s">
        <v>4750</v>
      </c>
      <c r="H2779" t="s">
        <v>17</v>
      </c>
      <c r="I2779" t="s">
        <v>4466</v>
      </c>
    </row>
    <row r="2780" spans="1:9" hidden="1" x14ac:dyDescent="0.3">
      <c r="A2780" t="s">
        <v>1853</v>
      </c>
      <c r="B2780" t="s">
        <v>4685</v>
      </c>
      <c r="C2780" t="s">
        <v>4687</v>
      </c>
      <c r="D2780" t="s">
        <v>13</v>
      </c>
      <c r="E2780" t="s">
        <v>167</v>
      </c>
      <c r="F2780" t="s">
        <v>4751</v>
      </c>
      <c r="H2780" t="s">
        <v>17</v>
      </c>
      <c r="I2780" t="s">
        <v>4752</v>
      </c>
    </row>
    <row r="2781" spans="1:9" hidden="1" x14ac:dyDescent="0.3">
      <c r="A2781" t="s">
        <v>1855</v>
      </c>
      <c r="B2781" t="s">
        <v>4685</v>
      </c>
      <c r="C2781" t="s">
        <v>4687</v>
      </c>
      <c r="D2781" t="s">
        <v>13</v>
      </c>
      <c r="E2781" t="s">
        <v>1104</v>
      </c>
      <c r="F2781" t="s">
        <v>4753</v>
      </c>
      <c r="H2781" t="s">
        <v>17</v>
      </c>
      <c r="I2781" t="s">
        <v>4754</v>
      </c>
    </row>
    <row r="2782" spans="1:9" hidden="1" x14ac:dyDescent="0.3">
      <c r="A2782" t="s">
        <v>1857</v>
      </c>
      <c r="B2782" t="s">
        <v>4685</v>
      </c>
      <c r="C2782" t="s">
        <v>4687</v>
      </c>
      <c r="D2782" t="s">
        <v>13</v>
      </c>
      <c r="E2782" t="s">
        <v>1109</v>
      </c>
      <c r="F2782" t="s">
        <v>4755</v>
      </c>
      <c r="H2782" t="s">
        <v>17</v>
      </c>
      <c r="I2782" t="s">
        <v>4756</v>
      </c>
    </row>
    <row r="2783" spans="1:9" hidden="1" x14ac:dyDescent="0.3">
      <c r="A2783" t="s">
        <v>1859</v>
      </c>
      <c r="B2783" t="s">
        <v>4685</v>
      </c>
      <c r="C2783" t="s">
        <v>4687</v>
      </c>
      <c r="D2783" t="s">
        <v>13</v>
      </c>
      <c r="E2783" t="s">
        <v>193</v>
      </c>
      <c r="F2783" t="s">
        <v>4757</v>
      </c>
      <c r="H2783" t="s">
        <v>17</v>
      </c>
      <c r="I2783" t="s">
        <v>4758</v>
      </c>
    </row>
    <row r="2784" spans="1:9" hidden="1" x14ac:dyDescent="0.3">
      <c r="A2784" t="s">
        <v>1861</v>
      </c>
      <c r="B2784" t="s">
        <v>4685</v>
      </c>
      <c r="C2784" t="s">
        <v>4687</v>
      </c>
      <c r="D2784" t="s">
        <v>13</v>
      </c>
      <c r="E2784" t="s">
        <v>198</v>
      </c>
      <c r="F2784" t="s">
        <v>4759</v>
      </c>
      <c r="H2784" t="s">
        <v>17</v>
      </c>
      <c r="I2784" t="s">
        <v>4760</v>
      </c>
    </row>
    <row r="2785" spans="1:9" hidden="1" x14ac:dyDescent="0.3">
      <c r="A2785" t="s">
        <v>1863</v>
      </c>
      <c r="B2785" t="s">
        <v>4685</v>
      </c>
      <c r="C2785" t="s">
        <v>4687</v>
      </c>
      <c r="D2785" t="s">
        <v>13</v>
      </c>
      <c r="E2785" t="s">
        <v>202</v>
      </c>
      <c r="F2785" t="s">
        <v>4761</v>
      </c>
      <c r="H2785" t="s">
        <v>17</v>
      </c>
      <c r="I2785" t="s">
        <v>4748</v>
      </c>
    </row>
    <row r="2786" spans="1:9" hidden="1" x14ac:dyDescent="0.3">
      <c r="A2786" t="s">
        <v>1865</v>
      </c>
      <c r="B2786" t="s">
        <v>4685</v>
      </c>
      <c r="C2786" t="s">
        <v>4687</v>
      </c>
      <c r="D2786" t="s">
        <v>13</v>
      </c>
      <c r="E2786" t="s">
        <v>206</v>
      </c>
      <c r="F2786" t="s">
        <v>4762</v>
      </c>
      <c r="H2786" t="s">
        <v>17</v>
      </c>
      <c r="I2786" t="s">
        <v>4763</v>
      </c>
    </row>
    <row r="2787" spans="1:9" hidden="1" x14ac:dyDescent="0.3">
      <c r="A2787" t="s">
        <v>1867</v>
      </c>
      <c r="B2787" t="s">
        <v>4685</v>
      </c>
      <c r="C2787" t="s">
        <v>4687</v>
      </c>
      <c r="D2787" t="s">
        <v>13</v>
      </c>
      <c r="E2787" t="s">
        <v>210</v>
      </c>
      <c r="F2787" t="s">
        <v>4764</v>
      </c>
      <c r="H2787" t="s">
        <v>17</v>
      </c>
      <c r="I2787" t="s">
        <v>4466</v>
      </c>
    </row>
    <row r="2788" spans="1:9" hidden="1" x14ac:dyDescent="0.3">
      <c r="A2788" t="s">
        <v>1869</v>
      </c>
      <c r="B2788" t="s">
        <v>4685</v>
      </c>
      <c r="C2788" t="s">
        <v>4687</v>
      </c>
      <c r="D2788" t="s">
        <v>13</v>
      </c>
      <c r="E2788" t="s">
        <v>214</v>
      </c>
      <c r="F2788" t="s">
        <v>4765</v>
      </c>
      <c r="H2788" t="s">
        <v>17</v>
      </c>
      <c r="I2788" t="s">
        <v>4466</v>
      </c>
    </row>
    <row r="2789" spans="1:9" hidden="1" x14ac:dyDescent="0.3">
      <c r="A2789" t="s">
        <v>1871</v>
      </c>
      <c r="B2789" t="s">
        <v>4685</v>
      </c>
      <c r="C2789" t="s">
        <v>4687</v>
      </c>
      <c r="D2789" t="s">
        <v>13</v>
      </c>
      <c r="E2789" t="s">
        <v>1127</v>
      </c>
      <c r="F2789" t="s">
        <v>4766</v>
      </c>
      <c r="H2789" t="s">
        <v>17</v>
      </c>
      <c r="I2789" t="s">
        <v>4754</v>
      </c>
    </row>
    <row r="2790" spans="1:9" hidden="1" x14ac:dyDescent="0.3">
      <c r="A2790" t="s">
        <v>1873</v>
      </c>
      <c r="B2790" t="s">
        <v>4685</v>
      </c>
      <c r="C2790" t="s">
        <v>4687</v>
      </c>
      <c r="D2790" t="s">
        <v>13</v>
      </c>
      <c r="E2790" t="s">
        <v>1131</v>
      </c>
      <c r="F2790" t="s">
        <v>4767</v>
      </c>
      <c r="H2790" t="s">
        <v>17</v>
      </c>
      <c r="I2790" t="s">
        <v>4768</v>
      </c>
    </row>
    <row r="2791" spans="1:9" hidden="1" x14ac:dyDescent="0.3">
      <c r="A2791" t="s">
        <v>1875</v>
      </c>
      <c r="B2791" t="s">
        <v>4685</v>
      </c>
      <c r="C2791" t="s">
        <v>4687</v>
      </c>
      <c r="D2791" t="s">
        <v>13</v>
      </c>
      <c r="E2791" t="s">
        <v>236</v>
      </c>
      <c r="F2791" t="s">
        <v>4769</v>
      </c>
      <c r="H2791" t="s">
        <v>17</v>
      </c>
      <c r="I2791" t="s">
        <v>4758</v>
      </c>
    </row>
    <row r="2792" spans="1:9" hidden="1" x14ac:dyDescent="0.3">
      <c r="A2792" t="s">
        <v>1882</v>
      </c>
      <c r="B2792" t="s">
        <v>4685</v>
      </c>
      <c r="C2792" t="s">
        <v>4687</v>
      </c>
      <c r="D2792" t="s">
        <v>13</v>
      </c>
      <c r="E2792" t="s">
        <v>239</v>
      </c>
      <c r="F2792" t="s">
        <v>4770</v>
      </c>
      <c r="H2792" t="s">
        <v>17</v>
      </c>
      <c r="I2792" t="s">
        <v>4760</v>
      </c>
    </row>
    <row r="2793" spans="1:9" hidden="1" x14ac:dyDescent="0.3">
      <c r="A2793" t="s">
        <v>1886</v>
      </c>
      <c r="B2793" t="s">
        <v>4685</v>
      </c>
      <c r="C2793" t="s">
        <v>4771</v>
      </c>
      <c r="D2793" t="s">
        <v>13</v>
      </c>
      <c r="E2793" t="s">
        <v>1881</v>
      </c>
      <c r="F2793" t="s">
        <v>4772</v>
      </c>
      <c r="H2793" t="s">
        <v>17</v>
      </c>
      <c r="I2793" t="s">
        <v>3925</v>
      </c>
    </row>
    <row r="2794" spans="1:9" hidden="1" x14ac:dyDescent="0.3">
      <c r="A2794" t="s">
        <v>1889</v>
      </c>
      <c r="B2794" t="s">
        <v>4685</v>
      </c>
      <c r="C2794" t="s">
        <v>4771</v>
      </c>
      <c r="D2794" t="s">
        <v>13</v>
      </c>
      <c r="E2794" t="s">
        <v>1885</v>
      </c>
      <c r="F2794" t="s">
        <v>4772</v>
      </c>
      <c r="H2794" t="s">
        <v>17</v>
      </c>
      <c r="I2794" t="s">
        <v>3924</v>
      </c>
    </row>
    <row r="2795" spans="1:9" hidden="1" x14ac:dyDescent="0.3">
      <c r="A2795" t="s">
        <v>1893</v>
      </c>
      <c r="B2795" t="s">
        <v>4685</v>
      </c>
      <c r="C2795" t="s">
        <v>4771</v>
      </c>
      <c r="D2795" t="s">
        <v>13</v>
      </c>
      <c r="E2795" t="s">
        <v>1588</v>
      </c>
      <c r="F2795" t="s">
        <v>4772</v>
      </c>
      <c r="H2795" t="s">
        <v>17</v>
      </c>
      <c r="I2795" t="s">
        <v>4723</v>
      </c>
    </row>
    <row r="2796" spans="1:9" hidden="1" x14ac:dyDescent="0.3">
      <c r="A2796" t="s">
        <v>1896</v>
      </c>
      <c r="B2796" t="s">
        <v>4685</v>
      </c>
      <c r="C2796" t="s">
        <v>4771</v>
      </c>
      <c r="D2796" t="s">
        <v>13</v>
      </c>
      <c r="E2796" t="s">
        <v>1892</v>
      </c>
      <c r="F2796" t="s">
        <v>4772</v>
      </c>
      <c r="H2796" t="s">
        <v>17</v>
      </c>
      <c r="I2796" t="s">
        <v>4724</v>
      </c>
    </row>
    <row r="2797" spans="1:9" hidden="1" x14ac:dyDescent="0.3">
      <c r="A2797" t="s">
        <v>1898</v>
      </c>
      <c r="B2797" t="s">
        <v>4685</v>
      </c>
      <c r="C2797" t="s">
        <v>4771</v>
      </c>
      <c r="D2797" t="s">
        <v>13</v>
      </c>
      <c r="E2797" t="s">
        <v>1146</v>
      </c>
      <c r="F2797" t="s">
        <v>4772</v>
      </c>
      <c r="H2797" t="s">
        <v>17</v>
      </c>
      <c r="I2797" t="s">
        <v>4773</v>
      </c>
    </row>
    <row r="2798" spans="1:9" hidden="1" x14ac:dyDescent="0.3">
      <c r="A2798" t="s">
        <v>1901</v>
      </c>
      <c r="B2798" t="s">
        <v>4685</v>
      </c>
      <c r="C2798" t="s">
        <v>4771</v>
      </c>
      <c r="D2798" t="s">
        <v>13</v>
      </c>
      <c r="E2798" t="s">
        <v>1150</v>
      </c>
      <c r="F2798" t="s">
        <v>4772</v>
      </c>
      <c r="H2798" t="s">
        <v>17</v>
      </c>
      <c r="I2798" t="s">
        <v>4725</v>
      </c>
    </row>
    <row r="2799" spans="1:9" hidden="1" x14ac:dyDescent="0.3">
      <c r="A2799" t="s">
        <v>1903</v>
      </c>
      <c r="B2799" t="s">
        <v>4685</v>
      </c>
      <c r="C2799" t="s">
        <v>4771</v>
      </c>
      <c r="D2799" t="s">
        <v>13</v>
      </c>
      <c r="E2799" t="s">
        <v>1154</v>
      </c>
      <c r="F2799" t="s">
        <v>4772</v>
      </c>
      <c r="H2799" t="s">
        <v>17</v>
      </c>
      <c r="I2799" t="s">
        <v>4774</v>
      </c>
    </row>
    <row r="2800" spans="1:9" hidden="1" x14ac:dyDescent="0.3">
      <c r="A2800" t="s">
        <v>1905</v>
      </c>
      <c r="B2800" t="s">
        <v>4685</v>
      </c>
      <c r="C2800" t="s">
        <v>4771</v>
      </c>
      <c r="D2800" t="s">
        <v>13</v>
      </c>
      <c r="E2800" t="s">
        <v>1158</v>
      </c>
      <c r="F2800" t="s">
        <v>4772</v>
      </c>
      <c r="H2800" t="s">
        <v>17</v>
      </c>
      <c r="I2800" t="s">
        <v>3931</v>
      </c>
    </row>
    <row r="2801" spans="1:9" hidden="1" x14ac:dyDescent="0.3">
      <c r="A2801" t="s">
        <v>1907</v>
      </c>
      <c r="B2801" t="s">
        <v>4685</v>
      </c>
      <c r="C2801" t="s">
        <v>4771</v>
      </c>
      <c r="D2801" t="s">
        <v>13</v>
      </c>
      <c r="E2801" t="s">
        <v>1162</v>
      </c>
      <c r="F2801" t="s">
        <v>4775</v>
      </c>
      <c r="H2801" t="s">
        <v>17</v>
      </c>
      <c r="I2801" t="s">
        <v>4776</v>
      </c>
    </row>
    <row r="2802" spans="1:9" hidden="1" x14ac:dyDescent="0.3">
      <c r="A2802" t="s">
        <v>1909</v>
      </c>
      <c r="B2802" t="s">
        <v>4685</v>
      </c>
      <c r="C2802" t="s">
        <v>4771</v>
      </c>
      <c r="D2802" t="s">
        <v>13</v>
      </c>
      <c r="E2802" t="s">
        <v>1165</v>
      </c>
      <c r="F2802" t="s">
        <v>4777</v>
      </c>
      <c r="H2802" t="s">
        <v>17</v>
      </c>
      <c r="I2802" t="s">
        <v>4466</v>
      </c>
    </row>
    <row r="2803" spans="1:9" hidden="1" x14ac:dyDescent="0.3">
      <c r="A2803" t="s">
        <v>1911</v>
      </c>
      <c r="B2803" t="s">
        <v>4685</v>
      </c>
      <c r="C2803" t="s">
        <v>4771</v>
      </c>
      <c r="D2803" t="s">
        <v>13</v>
      </c>
      <c r="E2803" t="s">
        <v>1168</v>
      </c>
      <c r="F2803" t="s">
        <v>4778</v>
      </c>
      <c r="H2803" t="s">
        <v>17</v>
      </c>
      <c r="I2803" t="s">
        <v>4466</v>
      </c>
    </row>
    <row r="2804" spans="1:9" hidden="1" x14ac:dyDescent="0.3">
      <c r="A2804" t="s">
        <v>1914</v>
      </c>
      <c r="B2804" t="s">
        <v>4685</v>
      </c>
      <c r="C2804" t="s">
        <v>4771</v>
      </c>
      <c r="D2804" t="s">
        <v>13</v>
      </c>
      <c r="E2804" t="s">
        <v>1172</v>
      </c>
      <c r="F2804" t="s">
        <v>4779</v>
      </c>
      <c r="H2804" t="s">
        <v>17</v>
      </c>
      <c r="I2804" t="s">
        <v>4466</v>
      </c>
    </row>
    <row r="2805" spans="1:9" hidden="1" x14ac:dyDescent="0.3">
      <c r="A2805" t="s">
        <v>1919</v>
      </c>
      <c r="B2805" t="s">
        <v>4685</v>
      </c>
      <c r="C2805" t="s">
        <v>4771</v>
      </c>
      <c r="D2805" t="s">
        <v>13</v>
      </c>
      <c r="E2805" t="s">
        <v>1176</v>
      </c>
      <c r="F2805" t="s">
        <v>3990</v>
      </c>
      <c r="H2805" t="s">
        <v>17</v>
      </c>
      <c r="I2805" t="s">
        <v>4780</v>
      </c>
    </row>
    <row r="2806" spans="1:9" hidden="1" x14ac:dyDescent="0.3">
      <c r="A2806" t="s">
        <v>1921</v>
      </c>
      <c r="B2806" t="s">
        <v>4685</v>
      </c>
      <c r="C2806" t="s">
        <v>4781</v>
      </c>
      <c r="D2806" t="s">
        <v>13</v>
      </c>
      <c r="E2806" t="s">
        <v>1179</v>
      </c>
      <c r="F2806" t="s">
        <v>4782</v>
      </c>
      <c r="H2806" t="s">
        <v>17</v>
      </c>
      <c r="I2806" t="s">
        <v>3925</v>
      </c>
    </row>
    <row r="2807" spans="1:9" hidden="1" x14ac:dyDescent="0.3">
      <c r="A2807" t="s">
        <v>1923</v>
      </c>
      <c r="B2807" t="s">
        <v>4685</v>
      </c>
      <c r="C2807" t="s">
        <v>4781</v>
      </c>
      <c r="D2807" t="s">
        <v>13</v>
      </c>
      <c r="E2807" t="s">
        <v>1184</v>
      </c>
      <c r="F2807" t="s">
        <v>4782</v>
      </c>
      <c r="H2807" t="s">
        <v>17</v>
      </c>
      <c r="I2807" t="s">
        <v>3924</v>
      </c>
    </row>
    <row r="2808" spans="1:9" hidden="1" x14ac:dyDescent="0.3">
      <c r="A2808" t="s">
        <v>1925</v>
      </c>
      <c r="B2808" t="s">
        <v>4685</v>
      </c>
      <c r="C2808" t="s">
        <v>4781</v>
      </c>
      <c r="D2808" t="s">
        <v>13</v>
      </c>
      <c r="E2808" t="s">
        <v>1189</v>
      </c>
      <c r="F2808" t="s">
        <v>4782</v>
      </c>
      <c r="H2808" t="s">
        <v>17</v>
      </c>
      <c r="I2808" t="s">
        <v>4723</v>
      </c>
    </row>
    <row r="2809" spans="1:9" hidden="1" x14ac:dyDescent="0.3">
      <c r="A2809" t="s">
        <v>1927</v>
      </c>
      <c r="B2809" t="s">
        <v>4685</v>
      </c>
      <c r="C2809" t="s">
        <v>4781</v>
      </c>
      <c r="D2809" t="s">
        <v>13</v>
      </c>
      <c r="E2809" t="s">
        <v>1193</v>
      </c>
      <c r="F2809" t="s">
        <v>4782</v>
      </c>
      <c r="H2809" t="s">
        <v>17</v>
      </c>
      <c r="I2809" t="s">
        <v>4724</v>
      </c>
    </row>
    <row r="2810" spans="1:9" hidden="1" x14ac:dyDescent="0.3">
      <c r="A2810" t="s">
        <v>3361</v>
      </c>
      <c r="B2810" t="s">
        <v>4685</v>
      </c>
      <c r="C2810" t="s">
        <v>4781</v>
      </c>
      <c r="D2810" t="s">
        <v>13</v>
      </c>
      <c r="E2810" t="s">
        <v>1197</v>
      </c>
      <c r="F2810" t="s">
        <v>4783</v>
      </c>
      <c r="H2810" t="s">
        <v>17</v>
      </c>
    </row>
    <row r="2811" spans="1:9" hidden="1" x14ac:dyDescent="0.3">
      <c r="A2811" t="s">
        <v>4226</v>
      </c>
      <c r="B2811" t="s">
        <v>4685</v>
      </c>
      <c r="C2811" t="s">
        <v>4781</v>
      </c>
      <c r="D2811" t="s">
        <v>1936</v>
      </c>
      <c r="E2811" t="s">
        <v>1743</v>
      </c>
      <c r="F2811" t="s">
        <v>4782</v>
      </c>
      <c r="H2811" t="s">
        <v>17</v>
      </c>
      <c r="I2811" t="s">
        <v>4784</v>
      </c>
    </row>
    <row r="2812" spans="1:9" hidden="1" x14ac:dyDescent="0.3">
      <c r="A2812" t="s">
        <v>3365</v>
      </c>
      <c r="B2812" t="s">
        <v>4685</v>
      </c>
      <c r="C2812" t="s">
        <v>4781</v>
      </c>
      <c r="D2812" t="s">
        <v>1936</v>
      </c>
      <c r="E2812" t="s">
        <v>996</v>
      </c>
      <c r="F2812" t="s">
        <v>4782</v>
      </c>
      <c r="H2812" t="s">
        <v>17</v>
      </c>
      <c r="I2812" t="s">
        <v>4725</v>
      </c>
    </row>
    <row r="2813" spans="1:9" hidden="1" x14ac:dyDescent="0.3">
      <c r="A2813" t="s">
        <v>377</v>
      </c>
      <c r="B2813" t="s">
        <v>4685</v>
      </c>
      <c r="C2813" t="s">
        <v>4781</v>
      </c>
      <c r="D2813" t="s">
        <v>1936</v>
      </c>
      <c r="E2813" t="s">
        <v>1001</v>
      </c>
      <c r="F2813" t="s">
        <v>4782</v>
      </c>
      <c r="H2813" t="s">
        <v>17</v>
      </c>
      <c r="I2813" t="s">
        <v>4774</v>
      </c>
    </row>
    <row r="2814" spans="1:9" hidden="1" x14ac:dyDescent="0.3">
      <c r="A2814" t="s">
        <v>383</v>
      </c>
      <c r="B2814" t="s">
        <v>4685</v>
      </c>
      <c r="C2814" t="s">
        <v>4781</v>
      </c>
      <c r="D2814" t="s">
        <v>1936</v>
      </c>
      <c r="E2814" t="s">
        <v>1942</v>
      </c>
      <c r="F2814" t="s">
        <v>4782</v>
      </c>
      <c r="H2814" t="s">
        <v>17</v>
      </c>
      <c r="I2814" t="s">
        <v>3931</v>
      </c>
    </row>
    <row r="2815" spans="1:9" hidden="1" x14ac:dyDescent="0.3">
      <c r="A2815" t="s">
        <v>1638</v>
      </c>
      <c r="B2815" t="s">
        <v>4685</v>
      </c>
      <c r="C2815" t="s">
        <v>4781</v>
      </c>
      <c r="D2815" t="s">
        <v>1936</v>
      </c>
      <c r="E2815" t="s">
        <v>22</v>
      </c>
      <c r="F2815" t="s">
        <v>4785</v>
      </c>
      <c r="H2815" t="s">
        <v>17</v>
      </c>
      <c r="I2815" t="s">
        <v>4786</v>
      </c>
    </row>
    <row r="2816" spans="1:9" hidden="1" x14ac:dyDescent="0.3">
      <c r="A2816" t="s">
        <v>1640</v>
      </c>
      <c r="B2816" t="s">
        <v>4685</v>
      </c>
      <c r="C2816" t="s">
        <v>4781</v>
      </c>
      <c r="D2816" t="s">
        <v>1936</v>
      </c>
      <c r="E2816" t="s">
        <v>27</v>
      </c>
      <c r="F2816" t="s">
        <v>4787</v>
      </c>
      <c r="H2816" t="s">
        <v>17</v>
      </c>
      <c r="I2816" t="s">
        <v>4466</v>
      </c>
    </row>
    <row r="2817" spans="1:9" hidden="1" x14ac:dyDescent="0.3">
      <c r="A2817" t="s">
        <v>1643</v>
      </c>
      <c r="B2817" t="s">
        <v>4685</v>
      </c>
      <c r="C2817" t="s">
        <v>4781</v>
      </c>
      <c r="D2817" t="s">
        <v>1936</v>
      </c>
      <c r="E2817" t="s">
        <v>1014</v>
      </c>
      <c r="F2817" t="s">
        <v>4788</v>
      </c>
      <c r="H2817" t="s">
        <v>17</v>
      </c>
      <c r="I2817" t="s">
        <v>4789</v>
      </c>
    </row>
    <row r="2818" spans="1:9" hidden="1" x14ac:dyDescent="0.3">
      <c r="A2818" t="s">
        <v>388</v>
      </c>
      <c r="B2818" t="s">
        <v>4685</v>
      </c>
      <c r="C2818" t="s">
        <v>4781</v>
      </c>
      <c r="D2818" t="s">
        <v>1936</v>
      </c>
      <c r="E2818" t="s">
        <v>1017</v>
      </c>
      <c r="F2818" t="s">
        <v>4790</v>
      </c>
      <c r="H2818" t="s">
        <v>17</v>
      </c>
      <c r="I2818" t="s">
        <v>4791</v>
      </c>
    </row>
    <row r="2819" spans="1:9" hidden="1" x14ac:dyDescent="0.3">
      <c r="A2819" t="s">
        <v>1647</v>
      </c>
      <c r="B2819" t="s">
        <v>4685</v>
      </c>
      <c r="C2819" t="s">
        <v>4781</v>
      </c>
      <c r="D2819" t="s">
        <v>1936</v>
      </c>
      <c r="E2819" t="s">
        <v>36</v>
      </c>
      <c r="F2819" t="s">
        <v>4792</v>
      </c>
      <c r="H2819" t="s">
        <v>17</v>
      </c>
      <c r="I2819" t="s">
        <v>4793</v>
      </c>
    </row>
    <row r="2820" spans="1:9" hidden="1" x14ac:dyDescent="0.3">
      <c r="A2820" t="s">
        <v>392</v>
      </c>
      <c r="B2820" t="s">
        <v>4685</v>
      </c>
      <c r="C2820" t="s">
        <v>4781</v>
      </c>
      <c r="D2820" t="s">
        <v>1936</v>
      </c>
      <c r="E2820" t="s">
        <v>41</v>
      </c>
      <c r="F2820" t="s">
        <v>4794</v>
      </c>
      <c r="H2820" t="s">
        <v>17</v>
      </c>
      <c r="I2820" t="s">
        <v>4583</v>
      </c>
    </row>
    <row r="2821" spans="1:9" hidden="1" x14ac:dyDescent="0.3">
      <c r="A2821" t="s">
        <v>1653</v>
      </c>
      <c r="B2821" t="s">
        <v>4685</v>
      </c>
      <c r="C2821" t="s">
        <v>4781</v>
      </c>
      <c r="D2821" t="s">
        <v>1936</v>
      </c>
      <c r="E2821" t="s">
        <v>45</v>
      </c>
      <c r="F2821" t="s">
        <v>4795</v>
      </c>
      <c r="H2821" t="s">
        <v>17</v>
      </c>
      <c r="I2821" t="s">
        <v>4796</v>
      </c>
    </row>
    <row r="2822" spans="1:9" hidden="1" x14ac:dyDescent="0.3">
      <c r="A2822" t="s">
        <v>395</v>
      </c>
      <c r="B2822" t="s">
        <v>4685</v>
      </c>
      <c r="C2822" t="s">
        <v>4781</v>
      </c>
      <c r="D2822" t="s">
        <v>1936</v>
      </c>
      <c r="E2822" t="s">
        <v>50</v>
      </c>
      <c r="F2822" t="s">
        <v>4797</v>
      </c>
      <c r="H2822" t="s">
        <v>17</v>
      </c>
      <c r="I2822" t="s">
        <v>4798</v>
      </c>
    </row>
    <row r="2823" spans="1:9" hidden="1" x14ac:dyDescent="0.3">
      <c r="A2823" t="s">
        <v>1656</v>
      </c>
      <c r="B2823" t="s">
        <v>4685</v>
      </c>
      <c r="C2823" t="s">
        <v>4781</v>
      </c>
      <c r="D2823" t="s">
        <v>1936</v>
      </c>
      <c r="E2823" t="s">
        <v>53</v>
      </c>
      <c r="F2823" t="s">
        <v>4799</v>
      </c>
      <c r="H2823" t="s">
        <v>17</v>
      </c>
      <c r="I2823" t="s">
        <v>4798</v>
      </c>
    </row>
    <row r="2824" spans="1:9" hidden="1" x14ac:dyDescent="0.3">
      <c r="A2824" t="s">
        <v>398</v>
      </c>
      <c r="B2824" t="s">
        <v>4685</v>
      </c>
      <c r="C2824" t="s">
        <v>4781</v>
      </c>
      <c r="D2824" t="s">
        <v>1936</v>
      </c>
      <c r="E2824" t="s">
        <v>56</v>
      </c>
      <c r="F2824" t="s">
        <v>4800</v>
      </c>
      <c r="H2824" t="s">
        <v>17</v>
      </c>
      <c r="I2824" t="s">
        <v>4801</v>
      </c>
    </row>
    <row r="2825" spans="1:9" hidden="1" x14ac:dyDescent="0.3">
      <c r="A2825" t="s">
        <v>3378</v>
      </c>
      <c r="B2825" t="s">
        <v>4685</v>
      </c>
      <c r="C2825" t="s">
        <v>4781</v>
      </c>
      <c r="D2825" t="s">
        <v>1936</v>
      </c>
      <c r="E2825" t="s">
        <v>61</v>
      </c>
      <c r="F2825" t="s">
        <v>4802</v>
      </c>
      <c r="H2825" t="s">
        <v>17</v>
      </c>
      <c r="I2825" t="s">
        <v>4803</v>
      </c>
    </row>
    <row r="2826" spans="1:9" hidden="1" x14ac:dyDescent="0.3">
      <c r="A2826" t="s">
        <v>401</v>
      </c>
      <c r="B2826" t="s">
        <v>4685</v>
      </c>
      <c r="C2826" t="s">
        <v>4781</v>
      </c>
      <c r="D2826" t="s">
        <v>1936</v>
      </c>
      <c r="E2826" t="s">
        <v>66</v>
      </c>
      <c r="F2826" t="s">
        <v>4804</v>
      </c>
      <c r="H2826" t="s">
        <v>17</v>
      </c>
      <c r="I2826" t="s">
        <v>4805</v>
      </c>
    </row>
    <row r="2827" spans="1:9" hidden="1" x14ac:dyDescent="0.3">
      <c r="A2827" t="s">
        <v>1663</v>
      </c>
      <c r="B2827" t="s">
        <v>4685</v>
      </c>
      <c r="C2827" t="s">
        <v>4781</v>
      </c>
      <c r="D2827" t="s">
        <v>1936</v>
      </c>
      <c r="E2827" t="s">
        <v>71</v>
      </c>
      <c r="F2827" t="s">
        <v>4806</v>
      </c>
      <c r="H2827" t="s">
        <v>17</v>
      </c>
      <c r="I2827" t="s">
        <v>4807</v>
      </c>
    </row>
    <row r="2828" spans="1:9" hidden="1" x14ac:dyDescent="0.3">
      <c r="A2828" t="s">
        <v>404</v>
      </c>
      <c r="B2828" t="s">
        <v>4685</v>
      </c>
      <c r="C2828" t="s">
        <v>4781</v>
      </c>
      <c r="D2828" t="s">
        <v>1936</v>
      </c>
      <c r="E2828" t="s">
        <v>76</v>
      </c>
      <c r="F2828" t="s">
        <v>3972</v>
      </c>
      <c r="H2828" t="s">
        <v>17</v>
      </c>
      <c r="I2828" t="s">
        <v>4808</v>
      </c>
    </row>
    <row r="2829" spans="1:9" hidden="1" x14ac:dyDescent="0.3">
      <c r="A2829" t="s">
        <v>3382</v>
      </c>
      <c r="B2829" t="s">
        <v>4685</v>
      </c>
      <c r="C2829" t="s">
        <v>4781</v>
      </c>
      <c r="D2829" t="s">
        <v>1936</v>
      </c>
      <c r="E2829" t="s">
        <v>1792</v>
      </c>
      <c r="F2829" t="s">
        <v>4809</v>
      </c>
      <c r="H2829" t="s">
        <v>17</v>
      </c>
      <c r="I2829" t="s">
        <v>4810</v>
      </c>
    </row>
    <row r="2830" spans="1:9" hidden="1" x14ac:dyDescent="0.3">
      <c r="A2830" t="s">
        <v>407</v>
      </c>
      <c r="B2830" t="s">
        <v>4685</v>
      </c>
      <c r="C2830" t="s">
        <v>4781</v>
      </c>
      <c r="D2830" t="s">
        <v>1936</v>
      </c>
      <c r="E2830" t="s">
        <v>1063</v>
      </c>
      <c r="F2830" t="s">
        <v>4811</v>
      </c>
      <c r="H2830" t="s">
        <v>17</v>
      </c>
      <c r="I2830" t="s">
        <v>4812</v>
      </c>
    </row>
    <row r="2831" spans="1:9" hidden="1" x14ac:dyDescent="0.3">
      <c r="A2831" t="s">
        <v>1670</v>
      </c>
      <c r="B2831" t="s">
        <v>4685</v>
      </c>
      <c r="C2831" t="s">
        <v>4781</v>
      </c>
      <c r="D2831" t="s">
        <v>1936</v>
      </c>
      <c r="E2831" t="s">
        <v>100</v>
      </c>
      <c r="F2831" t="s">
        <v>843</v>
      </c>
      <c r="H2831" t="s">
        <v>17</v>
      </c>
      <c r="I2831" t="s">
        <v>845</v>
      </c>
    </row>
    <row r="2832" spans="1:9" hidden="1" x14ac:dyDescent="0.3">
      <c r="A2832" t="s">
        <v>411</v>
      </c>
      <c r="B2832" t="s">
        <v>4685</v>
      </c>
      <c r="C2832" t="s">
        <v>4781</v>
      </c>
      <c r="D2832" t="s">
        <v>1936</v>
      </c>
      <c r="E2832" t="s">
        <v>106</v>
      </c>
      <c r="F2832" t="s">
        <v>4813</v>
      </c>
      <c r="H2832" t="s">
        <v>17</v>
      </c>
      <c r="I2832" t="s">
        <v>4814</v>
      </c>
    </row>
    <row r="2833" spans="1:9" hidden="1" x14ac:dyDescent="0.3">
      <c r="A2833" t="s">
        <v>416</v>
      </c>
      <c r="B2833" t="s">
        <v>4685</v>
      </c>
      <c r="C2833" t="s">
        <v>4781</v>
      </c>
      <c r="D2833" t="s">
        <v>1936</v>
      </c>
      <c r="E2833" t="s">
        <v>111</v>
      </c>
      <c r="F2833" t="s">
        <v>747</v>
      </c>
      <c r="H2833" t="s">
        <v>17</v>
      </c>
      <c r="I2833" t="s">
        <v>4815</v>
      </c>
    </row>
    <row r="2834" spans="1:9" hidden="1" x14ac:dyDescent="0.3">
      <c r="A2834" t="s">
        <v>421</v>
      </c>
      <c r="B2834" t="s">
        <v>4685</v>
      </c>
      <c r="C2834" t="s">
        <v>4781</v>
      </c>
      <c r="D2834" t="s">
        <v>1936</v>
      </c>
      <c r="E2834" t="s">
        <v>114</v>
      </c>
      <c r="F2834" t="s">
        <v>797</v>
      </c>
      <c r="H2834" t="s">
        <v>17</v>
      </c>
      <c r="I2834" t="s">
        <v>4816</v>
      </c>
    </row>
    <row r="2835" spans="1:9" hidden="1" x14ac:dyDescent="0.3">
      <c r="A2835" t="s">
        <v>424</v>
      </c>
      <c r="B2835" t="s">
        <v>4685</v>
      </c>
      <c r="C2835" t="s">
        <v>4781</v>
      </c>
      <c r="D2835" t="s">
        <v>1936</v>
      </c>
      <c r="E2835" t="s">
        <v>117</v>
      </c>
      <c r="F2835" t="s">
        <v>4817</v>
      </c>
      <c r="H2835" t="s">
        <v>17</v>
      </c>
      <c r="I2835" t="s">
        <v>4818</v>
      </c>
    </row>
    <row r="2836" spans="1:9" hidden="1" x14ac:dyDescent="0.3">
      <c r="A2836" t="s">
        <v>427</v>
      </c>
      <c r="B2836" t="s">
        <v>4685</v>
      </c>
      <c r="C2836" t="s">
        <v>4781</v>
      </c>
      <c r="D2836" t="s">
        <v>1936</v>
      </c>
      <c r="E2836" t="s">
        <v>121</v>
      </c>
      <c r="F2836" t="s">
        <v>4819</v>
      </c>
      <c r="H2836" t="s">
        <v>17</v>
      </c>
      <c r="I2836" t="s">
        <v>4820</v>
      </c>
    </row>
    <row r="2837" spans="1:9" hidden="1" x14ac:dyDescent="0.3">
      <c r="A2837" t="s">
        <v>430</v>
      </c>
      <c r="B2837" t="s">
        <v>4685</v>
      </c>
      <c r="C2837" t="s">
        <v>4781</v>
      </c>
      <c r="D2837" t="s">
        <v>1936</v>
      </c>
      <c r="E2837" t="s">
        <v>126</v>
      </c>
      <c r="F2837" t="s">
        <v>2196</v>
      </c>
      <c r="H2837" t="s">
        <v>17</v>
      </c>
      <c r="I2837" t="s">
        <v>4821</v>
      </c>
    </row>
    <row r="2838" spans="1:9" hidden="1" x14ac:dyDescent="0.3">
      <c r="A2838" t="s">
        <v>433</v>
      </c>
      <c r="B2838" t="s">
        <v>4685</v>
      </c>
      <c r="C2838" t="s">
        <v>4781</v>
      </c>
      <c r="D2838" t="s">
        <v>1936</v>
      </c>
      <c r="E2838" t="s">
        <v>129</v>
      </c>
      <c r="F2838" t="s">
        <v>4822</v>
      </c>
      <c r="H2838" t="s">
        <v>17</v>
      </c>
      <c r="I2838" t="s">
        <v>4823</v>
      </c>
    </row>
    <row r="2839" spans="1:9" hidden="1" x14ac:dyDescent="0.3">
      <c r="A2839" t="s">
        <v>436</v>
      </c>
      <c r="B2839" t="s">
        <v>4685</v>
      </c>
      <c r="C2839" t="s">
        <v>4781</v>
      </c>
      <c r="D2839" t="s">
        <v>1936</v>
      </c>
      <c r="E2839" t="s">
        <v>132</v>
      </c>
      <c r="F2839" t="s">
        <v>4824</v>
      </c>
      <c r="H2839" t="s">
        <v>17</v>
      </c>
      <c r="I2839" t="s">
        <v>4825</v>
      </c>
    </row>
    <row r="2840" spans="1:9" hidden="1" x14ac:dyDescent="0.3">
      <c r="A2840" t="s">
        <v>439</v>
      </c>
      <c r="B2840" t="s">
        <v>4685</v>
      </c>
      <c r="C2840" t="s">
        <v>4781</v>
      </c>
      <c r="D2840" t="s">
        <v>1936</v>
      </c>
      <c r="E2840" t="s">
        <v>135</v>
      </c>
      <c r="F2840" t="s">
        <v>4826</v>
      </c>
      <c r="H2840" t="s">
        <v>17</v>
      </c>
      <c r="I2840" t="s">
        <v>4827</v>
      </c>
    </row>
    <row r="2841" spans="1:9" hidden="1" x14ac:dyDescent="0.3">
      <c r="A2841" t="s">
        <v>442</v>
      </c>
      <c r="B2841" t="s">
        <v>4685</v>
      </c>
      <c r="C2841" t="s">
        <v>4781</v>
      </c>
      <c r="D2841" t="s">
        <v>1936</v>
      </c>
      <c r="E2841" t="s">
        <v>138</v>
      </c>
      <c r="F2841" t="s">
        <v>4828</v>
      </c>
      <c r="H2841" t="s">
        <v>17</v>
      </c>
      <c r="I2841" t="s">
        <v>4829</v>
      </c>
    </row>
    <row r="2842" spans="1:9" hidden="1" x14ac:dyDescent="0.3">
      <c r="A2842" t="s">
        <v>445</v>
      </c>
      <c r="B2842" t="s">
        <v>4685</v>
      </c>
      <c r="C2842" t="s">
        <v>4781</v>
      </c>
      <c r="D2842" t="s">
        <v>1936</v>
      </c>
      <c r="E2842" t="s">
        <v>141</v>
      </c>
      <c r="F2842" t="s">
        <v>4830</v>
      </c>
      <c r="H2842" t="s">
        <v>17</v>
      </c>
      <c r="I2842" t="s">
        <v>4831</v>
      </c>
    </row>
    <row r="2843" spans="1:9" hidden="1" x14ac:dyDescent="0.3">
      <c r="A2843" t="s">
        <v>449</v>
      </c>
      <c r="B2843" t="s">
        <v>4685</v>
      </c>
      <c r="C2843" t="s">
        <v>4781</v>
      </c>
      <c r="D2843" t="s">
        <v>1936</v>
      </c>
      <c r="E2843" t="s">
        <v>144</v>
      </c>
      <c r="F2843" t="s">
        <v>4832</v>
      </c>
      <c r="H2843" t="s">
        <v>17</v>
      </c>
      <c r="I2843" t="s">
        <v>4831</v>
      </c>
    </row>
    <row r="2844" spans="1:9" hidden="1" x14ac:dyDescent="0.3">
      <c r="A2844" t="s">
        <v>454</v>
      </c>
      <c r="B2844" t="s">
        <v>4685</v>
      </c>
      <c r="C2844" t="s">
        <v>4781</v>
      </c>
      <c r="D2844" t="s">
        <v>1936</v>
      </c>
      <c r="E2844" t="s">
        <v>147</v>
      </c>
      <c r="F2844" t="s">
        <v>4833</v>
      </c>
      <c r="H2844" t="s">
        <v>17</v>
      </c>
      <c r="I2844" t="s">
        <v>4834</v>
      </c>
    </row>
    <row r="2845" spans="1:9" hidden="1" x14ac:dyDescent="0.3">
      <c r="A2845" t="s">
        <v>458</v>
      </c>
      <c r="B2845" t="s">
        <v>4685</v>
      </c>
      <c r="C2845" t="s">
        <v>4781</v>
      </c>
      <c r="D2845" t="s">
        <v>1936</v>
      </c>
      <c r="E2845" t="s">
        <v>152</v>
      </c>
      <c r="F2845" t="s">
        <v>2918</v>
      </c>
      <c r="H2845" t="s">
        <v>17</v>
      </c>
      <c r="I2845" t="s">
        <v>4835</v>
      </c>
    </row>
    <row r="2846" spans="1:9" hidden="1" x14ac:dyDescent="0.3">
      <c r="A2846" t="s">
        <v>462</v>
      </c>
      <c r="B2846" t="s">
        <v>4685</v>
      </c>
      <c r="C2846" t="s">
        <v>4781</v>
      </c>
      <c r="D2846" t="s">
        <v>1936</v>
      </c>
      <c r="E2846" t="s">
        <v>157</v>
      </c>
      <c r="F2846" t="s">
        <v>3984</v>
      </c>
      <c r="H2846" t="s">
        <v>17</v>
      </c>
      <c r="I2846" t="s">
        <v>4836</v>
      </c>
    </row>
    <row r="2847" spans="1:9" hidden="1" x14ac:dyDescent="0.3">
      <c r="A2847" t="s">
        <v>465</v>
      </c>
      <c r="B2847" t="s">
        <v>4685</v>
      </c>
      <c r="C2847" t="s">
        <v>4781</v>
      </c>
      <c r="D2847" t="s">
        <v>1936</v>
      </c>
      <c r="E2847" t="s">
        <v>162</v>
      </c>
      <c r="F2847" t="s">
        <v>3986</v>
      </c>
      <c r="H2847" t="s">
        <v>17</v>
      </c>
      <c r="I2847" t="s">
        <v>4837</v>
      </c>
    </row>
    <row r="2848" spans="1:9" hidden="1" x14ac:dyDescent="0.3">
      <c r="A2848" t="s">
        <v>469</v>
      </c>
      <c r="B2848" t="s">
        <v>4685</v>
      </c>
      <c r="C2848" t="s">
        <v>4781</v>
      </c>
      <c r="D2848" t="s">
        <v>1936</v>
      </c>
      <c r="E2848" t="s">
        <v>167</v>
      </c>
      <c r="F2848" t="s">
        <v>1697</v>
      </c>
      <c r="H2848" t="s">
        <v>17</v>
      </c>
      <c r="I2848" t="s">
        <v>4838</v>
      </c>
    </row>
    <row r="2849" spans="1:9" hidden="1" x14ac:dyDescent="0.3">
      <c r="A2849" t="s">
        <v>472</v>
      </c>
      <c r="B2849" t="s">
        <v>4685</v>
      </c>
      <c r="C2849" t="s">
        <v>4781</v>
      </c>
      <c r="D2849" t="s">
        <v>1936</v>
      </c>
      <c r="E2849" t="s">
        <v>172</v>
      </c>
      <c r="F2849" t="s">
        <v>4839</v>
      </c>
      <c r="H2849" t="s">
        <v>17</v>
      </c>
      <c r="I2849" t="s">
        <v>4840</v>
      </c>
    </row>
    <row r="2850" spans="1:9" hidden="1" x14ac:dyDescent="0.3">
      <c r="A2850" t="s">
        <v>476</v>
      </c>
      <c r="B2850" t="s">
        <v>4685</v>
      </c>
      <c r="C2850" t="s">
        <v>4781</v>
      </c>
      <c r="D2850" t="s">
        <v>1936</v>
      </c>
      <c r="E2850" t="s">
        <v>177</v>
      </c>
      <c r="F2850" t="s">
        <v>4841</v>
      </c>
      <c r="H2850" t="s">
        <v>17</v>
      </c>
      <c r="I2850" t="s">
        <v>4842</v>
      </c>
    </row>
    <row r="2851" spans="1:9" hidden="1" x14ac:dyDescent="0.3">
      <c r="A2851" t="s">
        <v>479</v>
      </c>
      <c r="B2851" t="s">
        <v>4685</v>
      </c>
      <c r="C2851" t="s">
        <v>4781</v>
      </c>
      <c r="D2851" t="s">
        <v>1936</v>
      </c>
      <c r="E2851" t="s">
        <v>182</v>
      </c>
      <c r="F2851" t="s">
        <v>2926</v>
      </c>
      <c r="H2851" t="s">
        <v>17</v>
      </c>
      <c r="I2851" t="s">
        <v>4843</v>
      </c>
    </row>
    <row r="2852" spans="1:9" hidden="1" x14ac:dyDescent="0.3">
      <c r="A2852" t="s">
        <v>10</v>
      </c>
      <c r="B2852" t="s">
        <v>4685</v>
      </c>
      <c r="C2852" t="s">
        <v>4781</v>
      </c>
      <c r="D2852" t="s">
        <v>1936</v>
      </c>
      <c r="E2852" t="s">
        <v>1197</v>
      </c>
      <c r="F2852" t="s">
        <v>4783</v>
      </c>
      <c r="H2852" t="s">
        <v>17</v>
      </c>
    </row>
    <row r="2853" spans="1:9" hidden="1" x14ac:dyDescent="0.3">
      <c r="A2853" t="s">
        <v>1742</v>
      </c>
      <c r="B2853" t="s">
        <v>4844</v>
      </c>
      <c r="F2853" t="s">
        <v>4845</v>
      </c>
    </row>
    <row r="2854" spans="1:9" hidden="1" x14ac:dyDescent="0.3">
      <c r="A2854" t="s">
        <v>4654</v>
      </c>
      <c r="B2854" t="s">
        <v>4844</v>
      </c>
      <c r="C2854" t="s">
        <v>4846</v>
      </c>
      <c r="D2854" t="s">
        <v>13</v>
      </c>
      <c r="E2854" t="s">
        <v>14</v>
      </c>
      <c r="F2854" t="s">
        <v>2670</v>
      </c>
      <c r="H2854" t="s">
        <v>17</v>
      </c>
    </row>
    <row r="2855" spans="1:9" hidden="1" x14ac:dyDescent="0.3">
      <c r="A2855" t="s">
        <v>2136</v>
      </c>
      <c r="B2855" t="s">
        <v>4844</v>
      </c>
      <c r="C2855" t="s">
        <v>4846</v>
      </c>
      <c r="D2855" t="s">
        <v>13</v>
      </c>
      <c r="E2855" t="s">
        <v>1743</v>
      </c>
      <c r="F2855" t="s">
        <v>4847</v>
      </c>
      <c r="H2855" t="s">
        <v>17</v>
      </c>
      <c r="I2855" t="s">
        <v>4848</v>
      </c>
    </row>
    <row r="2856" spans="1:9" hidden="1" x14ac:dyDescent="0.3">
      <c r="A2856" t="s">
        <v>2138</v>
      </c>
      <c r="B2856" t="s">
        <v>4844</v>
      </c>
      <c r="C2856" t="s">
        <v>4846</v>
      </c>
      <c r="D2856" t="s">
        <v>13</v>
      </c>
      <c r="E2856" t="s">
        <v>996</v>
      </c>
      <c r="F2856" t="s">
        <v>4849</v>
      </c>
      <c r="H2856" t="s">
        <v>17</v>
      </c>
      <c r="I2856" t="s">
        <v>4850</v>
      </c>
    </row>
    <row r="2857" spans="1:9" hidden="1" x14ac:dyDescent="0.3">
      <c r="A2857" t="s">
        <v>2140</v>
      </c>
      <c r="B2857" t="s">
        <v>4844</v>
      </c>
      <c r="C2857" t="s">
        <v>4846</v>
      </c>
      <c r="D2857" t="s">
        <v>13</v>
      </c>
      <c r="E2857" t="s">
        <v>1001</v>
      </c>
      <c r="F2857" t="s">
        <v>4851</v>
      </c>
      <c r="H2857" t="s">
        <v>17</v>
      </c>
      <c r="I2857" t="s">
        <v>4466</v>
      </c>
    </row>
    <row r="2858" spans="1:9" hidden="1" x14ac:dyDescent="0.3">
      <c r="A2858" t="s">
        <v>629</v>
      </c>
      <c r="B2858" t="s">
        <v>4844</v>
      </c>
      <c r="C2858" t="s">
        <v>4846</v>
      </c>
      <c r="D2858" t="s">
        <v>13</v>
      </c>
      <c r="E2858" t="s">
        <v>1942</v>
      </c>
      <c r="F2858" t="s">
        <v>4852</v>
      </c>
      <c r="H2858" t="s">
        <v>17</v>
      </c>
      <c r="I2858" t="s">
        <v>4466</v>
      </c>
    </row>
    <row r="2859" spans="1:9" hidden="1" x14ac:dyDescent="0.3">
      <c r="A2859" t="s">
        <v>2144</v>
      </c>
      <c r="B2859" t="s">
        <v>4844</v>
      </c>
      <c r="C2859" t="s">
        <v>4846</v>
      </c>
      <c r="D2859" t="s">
        <v>13</v>
      </c>
      <c r="E2859" t="s">
        <v>22</v>
      </c>
      <c r="F2859" t="s">
        <v>4853</v>
      </c>
      <c r="H2859" t="s">
        <v>17</v>
      </c>
      <c r="I2859" t="s">
        <v>4854</v>
      </c>
    </row>
    <row r="2860" spans="1:9" hidden="1" x14ac:dyDescent="0.3">
      <c r="A2860" t="s">
        <v>2147</v>
      </c>
      <c r="B2860" t="s">
        <v>4844</v>
      </c>
      <c r="C2860" t="s">
        <v>4846</v>
      </c>
      <c r="D2860" t="s">
        <v>13</v>
      </c>
      <c r="E2860" t="s">
        <v>27</v>
      </c>
      <c r="F2860" t="s">
        <v>4855</v>
      </c>
      <c r="H2860" t="s">
        <v>17</v>
      </c>
      <c r="I2860" t="s">
        <v>4856</v>
      </c>
    </row>
    <row r="2861" spans="1:9" hidden="1" x14ac:dyDescent="0.3">
      <c r="A2861" t="s">
        <v>633</v>
      </c>
      <c r="B2861" t="s">
        <v>4844</v>
      </c>
      <c r="C2861" t="s">
        <v>4846</v>
      </c>
      <c r="D2861" t="s">
        <v>13</v>
      </c>
      <c r="E2861" t="s">
        <v>1014</v>
      </c>
      <c r="F2861" t="s">
        <v>4857</v>
      </c>
      <c r="H2861" t="s">
        <v>17</v>
      </c>
      <c r="I2861" t="s">
        <v>4858</v>
      </c>
    </row>
    <row r="2862" spans="1:9" hidden="1" x14ac:dyDescent="0.3">
      <c r="A2862" t="s">
        <v>2151</v>
      </c>
      <c r="B2862" t="s">
        <v>4844</v>
      </c>
      <c r="C2862" t="s">
        <v>4846</v>
      </c>
      <c r="D2862" t="s">
        <v>13</v>
      </c>
      <c r="E2862" t="s">
        <v>1017</v>
      </c>
      <c r="F2862" t="s">
        <v>4859</v>
      </c>
      <c r="H2862" t="s">
        <v>17</v>
      </c>
      <c r="I2862" t="s">
        <v>4860</v>
      </c>
    </row>
    <row r="2863" spans="1:9" hidden="1" x14ac:dyDescent="0.3">
      <c r="A2863" t="s">
        <v>2153</v>
      </c>
      <c r="B2863" t="s">
        <v>4844</v>
      </c>
      <c r="C2863" t="s">
        <v>4846</v>
      </c>
      <c r="D2863" t="s">
        <v>13</v>
      </c>
      <c r="E2863" t="s">
        <v>36</v>
      </c>
      <c r="F2863" t="s">
        <v>4861</v>
      </c>
      <c r="H2863" t="s">
        <v>17</v>
      </c>
      <c r="I2863" t="s">
        <v>4862</v>
      </c>
    </row>
    <row r="2864" spans="1:9" hidden="1" x14ac:dyDescent="0.3">
      <c r="A2864" t="s">
        <v>636</v>
      </c>
      <c r="B2864" t="s">
        <v>4844</v>
      </c>
      <c r="C2864" t="s">
        <v>4846</v>
      </c>
      <c r="D2864" t="s">
        <v>13</v>
      </c>
      <c r="E2864" t="s">
        <v>41</v>
      </c>
      <c r="F2864" t="s">
        <v>4863</v>
      </c>
      <c r="H2864" t="s">
        <v>17</v>
      </c>
      <c r="I2864" t="s">
        <v>4862</v>
      </c>
    </row>
    <row r="2865" spans="1:9" hidden="1" x14ac:dyDescent="0.3">
      <c r="A2865" t="s">
        <v>2159</v>
      </c>
      <c r="B2865" t="s">
        <v>4844</v>
      </c>
      <c r="C2865" t="s">
        <v>4846</v>
      </c>
      <c r="D2865" t="s">
        <v>13</v>
      </c>
      <c r="E2865" t="s">
        <v>45</v>
      </c>
      <c r="F2865" t="s">
        <v>4864</v>
      </c>
      <c r="H2865" t="s">
        <v>17</v>
      </c>
      <c r="I2865" t="s">
        <v>4466</v>
      </c>
    </row>
    <row r="2866" spans="1:9" hidden="1" x14ac:dyDescent="0.3">
      <c r="A2866" t="s">
        <v>2162</v>
      </c>
      <c r="B2866" t="s">
        <v>4844</v>
      </c>
      <c r="C2866" t="s">
        <v>4846</v>
      </c>
      <c r="D2866" t="s">
        <v>13</v>
      </c>
      <c r="E2866" t="s">
        <v>50</v>
      </c>
      <c r="F2866" t="s">
        <v>4865</v>
      </c>
      <c r="H2866" t="s">
        <v>17</v>
      </c>
      <c r="I2866" t="s">
        <v>4583</v>
      </c>
    </row>
    <row r="2867" spans="1:9" hidden="1" x14ac:dyDescent="0.3">
      <c r="A2867" t="s">
        <v>639</v>
      </c>
      <c r="B2867" t="s">
        <v>4844</v>
      </c>
      <c r="C2867" t="s">
        <v>4846</v>
      </c>
      <c r="D2867" t="s">
        <v>13</v>
      </c>
      <c r="E2867" t="s">
        <v>4673</v>
      </c>
      <c r="F2867" t="s">
        <v>4866</v>
      </c>
      <c r="H2867" t="s">
        <v>17</v>
      </c>
      <c r="I2867" t="s">
        <v>4867</v>
      </c>
    </row>
    <row r="2868" spans="1:9" hidden="1" x14ac:dyDescent="0.3">
      <c r="A2868" t="s">
        <v>2165</v>
      </c>
      <c r="B2868" t="s">
        <v>4844</v>
      </c>
      <c r="C2868" t="s">
        <v>4846</v>
      </c>
      <c r="D2868" t="s">
        <v>13</v>
      </c>
      <c r="E2868" t="s">
        <v>61</v>
      </c>
      <c r="F2868" t="s">
        <v>4868</v>
      </c>
      <c r="H2868" t="s">
        <v>17</v>
      </c>
      <c r="I2868" t="s">
        <v>4466</v>
      </c>
    </row>
    <row r="2869" spans="1:9" hidden="1" x14ac:dyDescent="0.3">
      <c r="A2869" t="s">
        <v>2169</v>
      </c>
      <c r="B2869" t="s">
        <v>4844</v>
      </c>
      <c r="C2869" t="s">
        <v>4846</v>
      </c>
      <c r="D2869" t="s">
        <v>13</v>
      </c>
      <c r="E2869" t="s">
        <v>1039</v>
      </c>
      <c r="F2869" t="s">
        <v>4869</v>
      </c>
      <c r="H2869" t="s">
        <v>17</v>
      </c>
      <c r="I2869" t="s">
        <v>4583</v>
      </c>
    </row>
    <row r="2870" spans="1:9" hidden="1" x14ac:dyDescent="0.3">
      <c r="A2870" t="s">
        <v>642</v>
      </c>
      <c r="B2870" t="s">
        <v>4844</v>
      </c>
      <c r="C2870" t="s">
        <v>4846</v>
      </c>
      <c r="D2870" t="s">
        <v>13</v>
      </c>
      <c r="E2870" t="s">
        <v>2168</v>
      </c>
      <c r="F2870" t="s">
        <v>4870</v>
      </c>
      <c r="H2870" t="s">
        <v>17</v>
      </c>
      <c r="I2870" t="s">
        <v>4867</v>
      </c>
    </row>
    <row r="2871" spans="1:9" hidden="1" x14ac:dyDescent="0.3">
      <c r="A2871" t="s">
        <v>2174</v>
      </c>
      <c r="B2871" t="s">
        <v>4844</v>
      </c>
      <c r="C2871" t="s">
        <v>4846</v>
      </c>
      <c r="D2871" t="s">
        <v>13</v>
      </c>
      <c r="E2871" t="s">
        <v>1050</v>
      </c>
      <c r="F2871" t="s">
        <v>4871</v>
      </c>
      <c r="H2871" t="s">
        <v>17</v>
      </c>
      <c r="I2871" t="s">
        <v>4466</v>
      </c>
    </row>
    <row r="2872" spans="1:9" hidden="1" x14ac:dyDescent="0.3">
      <c r="A2872" t="s">
        <v>2176</v>
      </c>
      <c r="B2872" t="s">
        <v>4844</v>
      </c>
      <c r="C2872" t="s">
        <v>4846</v>
      </c>
      <c r="D2872" t="s">
        <v>13</v>
      </c>
      <c r="E2872" t="s">
        <v>1055</v>
      </c>
      <c r="F2872" t="s">
        <v>4872</v>
      </c>
      <c r="H2872" t="s">
        <v>17</v>
      </c>
      <c r="I2872" t="s">
        <v>4873</v>
      </c>
    </row>
    <row r="2873" spans="1:9" hidden="1" x14ac:dyDescent="0.3">
      <c r="A2873" t="s">
        <v>645</v>
      </c>
      <c r="B2873" t="s">
        <v>4844</v>
      </c>
      <c r="C2873" t="s">
        <v>4846</v>
      </c>
      <c r="D2873" t="s">
        <v>13</v>
      </c>
      <c r="E2873" t="s">
        <v>80</v>
      </c>
      <c r="F2873" t="s">
        <v>4874</v>
      </c>
      <c r="H2873" t="s">
        <v>17</v>
      </c>
      <c r="I2873" t="s">
        <v>4873</v>
      </c>
    </row>
    <row r="2874" spans="1:9" hidden="1" x14ac:dyDescent="0.3">
      <c r="A2874" t="s">
        <v>2179</v>
      </c>
      <c r="B2874" t="s">
        <v>4844</v>
      </c>
      <c r="C2874" t="s">
        <v>4846</v>
      </c>
      <c r="D2874" t="s">
        <v>13</v>
      </c>
      <c r="E2874" t="s">
        <v>85</v>
      </c>
      <c r="F2874" t="s">
        <v>4875</v>
      </c>
      <c r="H2874" t="s">
        <v>17</v>
      </c>
      <c r="I2874" t="s">
        <v>4876</v>
      </c>
    </row>
    <row r="2875" spans="1:9" hidden="1" x14ac:dyDescent="0.3">
      <c r="A2875" t="s">
        <v>2181</v>
      </c>
      <c r="B2875" t="s">
        <v>4844</v>
      </c>
      <c r="C2875" t="s">
        <v>4846</v>
      </c>
      <c r="D2875" t="s">
        <v>13</v>
      </c>
      <c r="E2875" t="s">
        <v>90</v>
      </c>
      <c r="F2875" t="s">
        <v>4877</v>
      </c>
      <c r="H2875" t="s">
        <v>17</v>
      </c>
      <c r="I2875" t="s">
        <v>4876</v>
      </c>
    </row>
    <row r="2876" spans="1:9" hidden="1" x14ac:dyDescent="0.3">
      <c r="A2876" t="s">
        <v>648</v>
      </c>
      <c r="B2876" t="s">
        <v>4844</v>
      </c>
      <c r="C2876" t="s">
        <v>4846</v>
      </c>
      <c r="D2876" t="s">
        <v>13</v>
      </c>
      <c r="E2876" t="s">
        <v>95</v>
      </c>
      <c r="F2876" t="s">
        <v>4878</v>
      </c>
      <c r="H2876" t="s">
        <v>17</v>
      </c>
      <c r="I2876" t="s">
        <v>4583</v>
      </c>
    </row>
    <row r="2877" spans="1:9" hidden="1" x14ac:dyDescent="0.3">
      <c r="A2877" t="s">
        <v>2182</v>
      </c>
      <c r="B2877" t="s">
        <v>4844</v>
      </c>
      <c r="C2877" t="s">
        <v>4846</v>
      </c>
      <c r="D2877" t="s">
        <v>13</v>
      </c>
      <c r="E2877" t="s">
        <v>100</v>
      </c>
      <c r="F2877" t="s">
        <v>4879</v>
      </c>
      <c r="H2877" t="s">
        <v>17</v>
      </c>
      <c r="I2877" t="s">
        <v>4466</v>
      </c>
    </row>
    <row r="2878" spans="1:9" hidden="1" x14ac:dyDescent="0.3">
      <c r="A2878" t="s">
        <v>2184</v>
      </c>
      <c r="B2878" t="s">
        <v>4844</v>
      </c>
      <c r="C2878" t="s">
        <v>4846</v>
      </c>
      <c r="D2878" t="s">
        <v>13</v>
      </c>
      <c r="E2878" t="s">
        <v>106</v>
      </c>
      <c r="F2878" t="s">
        <v>4880</v>
      </c>
      <c r="H2878" t="s">
        <v>17</v>
      </c>
      <c r="I2878" t="s">
        <v>4466</v>
      </c>
    </row>
    <row r="2879" spans="1:9" hidden="1" x14ac:dyDescent="0.3">
      <c r="A2879" t="s">
        <v>651</v>
      </c>
      <c r="B2879" t="s">
        <v>4844</v>
      </c>
      <c r="C2879" t="s">
        <v>4846</v>
      </c>
      <c r="D2879" t="s">
        <v>13</v>
      </c>
      <c r="E2879" t="s">
        <v>111</v>
      </c>
      <c r="F2879" t="s">
        <v>4881</v>
      </c>
      <c r="H2879" t="s">
        <v>17</v>
      </c>
      <c r="I2879" t="s">
        <v>4466</v>
      </c>
    </row>
    <row r="2880" spans="1:9" hidden="1" x14ac:dyDescent="0.3">
      <c r="A2880" t="s">
        <v>656</v>
      </c>
      <c r="B2880" t="s">
        <v>4844</v>
      </c>
      <c r="C2880" t="s">
        <v>4846</v>
      </c>
      <c r="D2880" t="s">
        <v>13</v>
      </c>
      <c r="E2880" t="s">
        <v>114</v>
      </c>
      <c r="F2880" t="s">
        <v>4882</v>
      </c>
      <c r="H2880" t="s">
        <v>17</v>
      </c>
      <c r="I2880" t="s">
        <v>4466</v>
      </c>
    </row>
    <row r="2881" spans="1:9" hidden="1" x14ac:dyDescent="0.3">
      <c r="A2881" t="s">
        <v>659</v>
      </c>
      <c r="B2881" t="s">
        <v>4844</v>
      </c>
      <c r="C2881" t="s">
        <v>4846</v>
      </c>
      <c r="D2881" t="s">
        <v>13</v>
      </c>
      <c r="E2881" t="s">
        <v>117</v>
      </c>
      <c r="F2881" t="s">
        <v>4883</v>
      </c>
      <c r="H2881" t="s">
        <v>17</v>
      </c>
      <c r="I2881" t="s">
        <v>4884</v>
      </c>
    </row>
    <row r="2882" spans="1:9" hidden="1" x14ac:dyDescent="0.3">
      <c r="A2882" t="s">
        <v>662</v>
      </c>
      <c r="B2882" t="s">
        <v>4844</v>
      </c>
      <c r="C2882" t="s">
        <v>4846</v>
      </c>
      <c r="D2882" t="s">
        <v>13</v>
      </c>
      <c r="E2882" t="s">
        <v>121</v>
      </c>
      <c r="F2882" t="s">
        <v>4885</v>
      </c>
      <c r="H2882" t="s">
        <v>17</v>
      </c>
      <c r="I2882" t="s">
        <v>4886</v>
      </c>
    </row>
    <row r="2883" spans="1:9" hidden="1" x14ac:dyDescent="0.3">
      <c r="A2883" t="s">
        <v>665</v>
      </c>
      <c r="B2883" t="s">
        <v>4844</v>
      </c>
      <c r="C2883" t="s">
        <v>4846</v>
      </c>
      <c r="D2883" t="s">
        <v>13</v>
      </c>
      <c r="E2883" t="s">
        <v>126</v>
      </c>
      <c r="F2883" t="s">
        <v>4887</v>
      </c>
      <c r="H2883" t="s">
        <v>17</v>
      </c>
      <c r="I2883" t="s">
        <v>4888</v>
      </c>
    </row>
    <row r="2884" spans="1:9" hidden="1" x14ac:dyDescent="0.3">
      <c r="A2884" t="s">
        <v>668</v>
      </c>
      <c r="B2884" t="s">
        <v>4844</v>
      </c>
      <c r="C2884" t="s">
        <v>4846</v>
      </c>
      <c r="D2884" t="s">
        <v>13</v>
      </c>
      <c r="E2884" t="s">
        <v>129</v>
      </c>
      <c r="F2884" t="s">
        <v>4889</v>
      </c>
      <c r="H2884" t="s">
        <v>17</v>
      </c>
      <c r="I2884" t="s">
        <v>4466</v>
      </c>
    </row>
    <row r="2885" spans="1:9" hidden="1" x14ac:dyDescent="0.3">
      <c r="A2885" t="s">
        <v>671</v>
      </c>
      <c r="B2885" t="s">
        <v>4844</v>
      </c>
      <c r="C2885" t="s">
        <v>4846</v>
      </c>
      <c r="D2885" t="s">
        <v>13</v>
      </c>
      <c r="E2885" t="s">
        <v>132</v>
      </c>
      <c r="F2885" t="s">
        <v>4890</v>
      </c>
      <c r="H2885" t="s">
        <v>17</v>
      </c>
      <c r="I2885" t="s">
        <v>4891</v>
      </c>
    </row>
    <row r="2886" spans="1:9" hidden="1" x14ac:dyDescent="0.3">
      <c r="A2886" t="s">
        <v>674</v>
      </c>
      <c r="B2886" t="s">
        <v>4844</v>
      </c>
      <c r="C2886" t="s">
        <v>4846</v>
      </c>
      <c r="D2886" t="s">
        <v>13</v>
      </c>
      <c r="E2886" t="s">
        <v>135</v>
      </c>
      <c r="F2886" t="s">
        <v>4892</v>
      </c>
      <c r="H2886" t="s">
        <v>17</v>
      </c>
      <c r="I2886" t="s">
        <v>4891</v>
      </c>
    </row>
    <row r="2887" spans="1:9" hidden="1" x14ac:dyDescent="0.3">
      <c r="A2887" t="s">
        <v>2201</v>
      </c>
      <c r="B2887" t="s">
        <v>4844</v>
      </c>
      <c r="C2887" t="s">
        <v>4846</v>
      </c>
      <c r="D2887" t="s">
        <v>13</v>
      </c>
      <c r="E2887" t="s">
        <v>138</v>
      </c>
      <c r="F2887" t="s">
        <v>4893</v>
      </c>
      <c r="H2887" t="s">
        <v>17</v>
      </c>
      <c r="I2887" t="s">
        <v>4891</v>
      </c>
    </row>
    <row r="2888" spans="1:9" hidden="1" x14ac:dyDescent="0.3">
      <c r="A2888" t="s">
        <v>680</v>
      </c>
      <c r="B2888" t="s">
        <v>4844</v>
      </c>
      <c r="C2888" t="s">
        <v>4846</v>
      </c>
      <c r="D2888" t="s">
        <v>13</v>
      </c>
      <c r="E2888" t="s">
        <v>141</v>
      </c>
      <c r="F2888" t="s">
        <v>4894</v>
      </c>
      <c r="H2888" t="s">
        <v>17</v>
      </c>
      <c r="I2888" t="s">
        <v>4583</v>
      </c>
    </row>
    <row r="2889" spans="1:9" hidden="1" x14ac:dyDescent="0.3">
      <c r="A2889" t="s">
        <v>2203</v>
      </c>
      <c r="B2889" t="s">
        <v>4844</v>
      </c>
      <c r="C2889" t="s">
        <v>4846</v>
      </c>
      <c r="D2889" t="s">
        <v>13</v>
      </c>
      <c r="E2889" t="s">
        <v>144</v>
      </c>
      <c r="F2889" t="s">
        <v>4895</v>
      </c>
      <c r="H2889" t="s">
        <v>17</v>
      </c>
      <c r="I2889" t="s">
        <v>4896</v>
      </c>
    </row>
    <row r="2890" spans="1:9" hidden="1" x14ac:dyDescent="0.3">
      <c r="A2890" t="s">
        <v>685</v>
      </c>
      <c r="B2890" t="s">
        <v>4844</v>
      </c>
      <c r="C2890" t="s">
        <v>4846</v>
      </c>
      <c r="D2890" t="s">
        <v>13</v>
      </c>
      <c r="E2890" t="s">
        <v>147</v>
      </c>
      <c r="F2890" t="s">
        <v>4897</v>
      </c>
      <c r="H2890" t="s">
        <v>17</v>
      </c>
      <c r="I2890" t="s">
        <v>4898</v>
      </c>
    </row>
    <row r="2891" spans="1:9" hidden="1" x14ac:dyDescent="0.3">
      <c r="A2891" t="s">
        <v>2208</v>
      </c>
      <c r="B2891" t="s">
        <v>4844</v>
      </c>
      <c r="C2891" t="s">
        <v>4846</v>
      </c>
      <c r="D2891" t="s">
        <v>13</v>
      </c>
      <c r="E2891" t="s">
        <v>152</v>
      </c>
      <c r="F2891" t="s">
        <v>4899</v>
      </c>
      <c r="H2891" t="s">
        <v>17</v>
      </c>
      <c r="I2891" t="s">
        <v>4900</v>
      </c>
    </row>
    <row r="2892" spans="1:9" hidden="1" x14ac:dyDescent="0.3">
      <c r="A2892" t="s">
        <v>690</v>
      </c>
      <c r="B2892" t="s">
        <v>4844</v>
      </c>
      <c r="C2892" t="s">
        <v>4846</v>
      </c>
      <c r="D2892" t="s">
        <v>13</v>
      </c>
      <c r="E2892" t="s">
        <v>157</v>
      </c>
      <c r="F2892" t="s">
        <v>4901</v>
      </c>
      <c r="H2892" t="s">
        <v>17</v>
      </c>
      <c r="I2892" t="s">
        <v>4466</v>
      </c>
    </row>
    <row r="2893" spans="1:9" hidden="1" x14ac:dyDescent="0.3">
      <c r="A2893" t="s">
        <v>2210</v>
      </c>
      <c r="B2893" t="s">
        <v>4844</v>
      </c>
      <c r="C2893" t="s">
        <v>4846</v>
      </c>
      <c r="D2893" t="s">
        <v>13</v>
      </c>
      <c r="E2893" t="s">
        <v>162</v>
      </c>
      <c r="F2893" t="s">
        <v>4902</v>
      </c>
      <c r="H2893" t="s">
        <v>17</v>
      </c>
      <c r="I2893" t="s">
        <v>4466</v>
      </c>
    </row>
    <row r="2894" spans="1:9" hidden="1" x14ac:dyDescent="0.3">
      <c r="A2894" t="s">
        <v>695</v>
      </c>
      <c r="B2894" t="s">
        <v>4844</v>
      </c>
      <c r="C2894" t="s">
        <v>4846</v>
      </c>
      <c r="D2894" t="s">
        <v>13</v>
      </c>
      <c r="E2894" t="s">
        <v>167</v>
      </c>
      <c r="F2894" t="s">
        <v>4903</v>
      </c>
      <c r="H2894" t="s">
        <v>17</v>
      </c>
      <c r="I2894" t="s">
        <v>4466</v>
      </c>
    </row>
    <row r="2895" spans="1:9" hidden="1" x14ac:dyDescent="0.3">
      <c r="A2895" t="s">
        <v>701</v>
      </c>
      <c r="B2895" t="s">
        <v>4844</v>
      </c>
      <c r="C2895" t="s">
        <v>4846</v>
      </c>
      <c r="D2895" t="s">
        <v>13</v>
      </c>
      <c r="E2895" t="s">
        <v>172</v>
      </c>
      <c r="F2895" t="s">
        <v>4904</v>
      </c>
      <c r="H2895" t="s">
        <v>17</v>
      </c>
      <c r="I2895" t="s">
        <v>4466</v>
      </c>
    </row>
    <row r="2896" spans="1:9" hidden="1" x14ac:dyDescent="0.3">
      <c r="A2896" t="s">
        <v>706</v>
      </c>
      <c r="B2896" t="s">
        <v>4844</v>
      </c>
      <c r="C2896" t="s">
        <v>4846</v>
      </c>
      <c r="D2896" t="s">
        <v>13</v>
      </c>
      <c r="E2896" t="s">
        <v>177</v>
      </c>
      <c r="F2896" t="s">
        <v>4905</v>
      </c>
      <c r="H2896" t="s">
        <v>17</v>
      </c>
      <c r="I2896" t="s">
        <v>4466</v>
      </c>
    </row>
    <row r="2897" spans="1:9" hidden="1" x14ac:dyDescent="0.3">
      <c r="A2897" t="s">
        <v>709</v>
      </c>
      <c r="B2897" t="s">
        <v>4844</v>
      </c>
      <c r="C2897" t="s">
        <v>4846</v>
      </c>
      <c r="D2897" t="s">
        <v>13</v>
      </c>
      <c r="E2897" t="s">
        <v>182</v>
      </c>
      <c r="F2897" t="s">
        <v>4906</v>
      </c>
      <c r="H2897" t="s">
        <v>17</v>
      </c>
      <c r="I2897" t="s">
        <v>4466</v>
      </c>
    </row>
    <row r="2898" spans="1:9" hidden="1" x14ac:dyDescent="0.3">
      <c r="A2898" t="s">
        <v>713</v>
      </c>
      <c r="B2898" t="s">
        <v>4844</v>
      </c>
      <c r="C2898" t="s">
        <v>4846</v>
      </c>
      <c r="D2898" t="s">
        <v>13</v>
      </c>
      <c r="E2898" t="s">
        <v>187</v>
      </c>
      <c r="F2898" t="s">
        <v>4907</v>
      </c>
      <c r="H2898" t="s">
        <v>17</v>
      </c>
      <c r="I2898" t="s">
        <v>4466</v>
      </c>
    </row>
    <row r="2899" spans="1:9" hidden="1" x14ac:dyDescent="0.3">
      <c r="A2899" t="s">
        <v>716</v>
      </c>
      <c r="B2899" t="s">
        <v>4844</v>
      </c>
      <c r="C2899" t="s">
        <v>4846</v>
      </c>
      <c r="D2899" t="s">
        <v>13</v>
      </c>
      <c r="E2899" t="s">
        <v>193</v>
      </c>
      <c r="F2899" t="s">
        <v>4908</v>
      </c>
      <c r="H2899" t="s">
        <v>17</v>
      </c>
      <c r="I2899" t="s">
        <v>4466</v>
      </c>
    </row>
    <row r="2900" spans="1:9" hidden="1" x14ac:dyDescent="0.3">
      <c r="A2900" t="s">
        <v>721</v>
      </c>
      <c r="B2900" t="s">
        <v>4844</v>
      </c>
      <c r="C2900" t="s">
        <v>4846</v>
      </c>
      <c r="D2900" t="s">
        <v>13</v>
      </c>
      <c r="E2900" t="s">
        <v>198</v>
      </c>
      <c r="F2900" t="s">
        <v>4909</v>
      </c>
      <c r="H2900" t="s">
        <v>17</v>
      </c>
      <c r="I2900" t="s">
        <v>4466</v>
      </c>
    </row>
    <row r="2901" spans="1:9" hidden="1" x14ac:dyDescent="0.3">
      <c r="A2901" t="s">
        <v>724</v>
      </c>
      <c r="B2901" t="s">
        <v>4844</v>
      </c>
      <c r="C2901" t="s">
        <v>4846</v>
      </c>
      <c r="D2901" t="s">
        <v>13</v>
      </c>
      <c r="E2901" t="s">
        <v>202</v>
      </c>
      <c r="F2901" t="s">
        <v>4910</v>
      </c>
      <c r="H2901" t="s">
        <v>17</v>
      </c>
      <c r="I2901" t="s">
        <v>4466</v>
      </c>
    </row>
    <row r="2902" spans="1:9" hidden="1" x14ac:dyDescent="0.3">
      <c r="A2902" t="s">
        <v>727</v>
      </c>
      <c r="B2902" t="s">
        <v>4844</v>
      </c>
      <c r="C2902" t="s">
        <v>4846</v>
      </c>
      <c r="D2902" t="s">
        <v>13</v>
      </c>
      <c r="E2902" t="s">
        <v>206</v>
      </c>
      <c r="F2902" t="s">
        <v>4911</v>
      </c>
      <c r="H2902" t="s">
        <v>17</v>
      </c>
      <c r="I2902" t="s">
        <v>4466</v>
      </c>
    </row>
    <row r="2903" spans="1:9" hidden="1" x14ac:dyDescent="0.3">
      <c r="A2903" t="s">
        <v>730</v>
      </c>
      <c r="B2903" t="s">
        <v>4844</v>
      </c>
      <c r="C2903" t="s">
        <v>4846</v>
      </c>
      <c r="D2903" t="s">
        <v>13</v>
      </c>
      <c r="E2903" t="s">
        <v>210</v>
      </c>
      <c r="F2903" t="s">
        <v>4912</v>
      </c>
      <c r="H2903" t="s">
        <v>17</v>
      </c>
      <c r="I2903" t="s">
        <v>4466</v>
      </c>
    </row>
    <row r="2904" spans="1:9" hidden="1" x14ac:dyDescent="0.3">
      <c r="A2904" t="s">
        <v>735</v>
      </c>
      <c r="B2904" t="s">
        <v>4844</v>
      </c>
      <c r="C2904" t="s">
        <v>4846</v>
      </c>
      <c r="D2904" t="s">
        <v>13</v>
      </c>
      <c r="E2904" t="s">
        <v>214</v>
      </c>
      <c r="F2904" t="s">
        <v>4913</v>
      </c>
      <c r="H2904" t="s">
        <v>17</v>
      </c>
      <c r="I2904" t="s">
        <v>4914</v>
      </c>
    </row>
    <row r="2905" spans="1:9" hidden="1" x14ac:dyDescent="0.3">
      <c r="A2905" t="s">
        <v>740</v>
      </c>
      <c r="B2905" t="s">
        <v>4844</v>
      </c>
      <c r="C2905" t="s">
        <v>4846</v>
      </c>
      <c r="D2905" t="s">
        <v>13</v>
      </c>
      <c r="E2905" t="s">
        <v>218</v>
      </c>
      <c r="F2905" t="s">
        <v>4915</v>
      </c>
      <c r="H2905" t="s">
        <v>17</v>
      </c>
      <c r="I2905" t="s">
        <v>4914</v>
      </c>
    </row>
    <row r="2906" spans="1:9" hidden="1" x14ac:dyDescent="0.3">
      <c r="A2906" t="s">
        <v>746</v>
      </c>
      <c r="B2906" t="s">
        <v>4844</v>
      </c>
      <c r="C2906" t="s">
        <v>4846</v>
      </c>
      <c r="D2906" t="s">
        <v>13</v>
      </c>
      <c r="E2906" t="s">
        <v>223</v>
      </c>
      <c r="F2906" t="s">
        <v>4916</v>
      </c>
      <c r="H2906" t="s">
        <v>17</v>
      </c>
      <c r="I2906" t="s">
        <v>4917</v>
      </c>
    </row>
    <row r="2907" spans="1:9" hidden="1" x14ac:dyDescent="0.3">
      <c r="A2907" t="s">
        <v>3621</v>
      </c>
      <c r="B2907" t="s">
        <v>4844</v>
      </c>
      <c r="C2907" t="s">
        <v>4846</v>
      </c>
      <c r="D2907" t="s">
        <v>13</v>
      </c>
      <c r="E2907" t="s">
        <v>228</v>
      </c>
      <c r="F2907" t="s">
        <v>4918</v>
      </c>
      <c r="H2907" t="s">
        <v>17</v>
      </c>
      <c r="I2907" t="s">
        <v>4919</v>
      </c>
    </row>
    <row r="2908" spans="1:9" hidden="1" x14ac:dyDescent="0.3">
      <c r="A2908" t="s">
        <v>750</v>
      </c>
      <c r="B2908" t="s">
        <v>4844</v>
      </c>
      <c r="C2908" t="s">
        <v>4846</v>
      </c>
      <c r="D2908" t="s">
        <v>13</v>
      </c>
      <c r="E2908" t="s">
        <v>233</v>
      </c>
      <c r="F2908" t="s">
        <v>4920</v>
      </c>
      <c r="H2908" t="s">
        <v>17</v>
      </c>
      <c r="I2908" t="s">
        <v>4919</v>
      </c>
    </row>
    <row r="2909" spans="1:9" hidden="1" x14ac:dyDescent="0.3">
      <c r="A2909" t="s">
        <v>755</v>
      </c>
      <c r="B2909" t="s">
        <v>4844</v>
      </c>
      <c r="C2909" t="s">
        <v>4846</v>
      </c>
      <c r="D2909" t="s">
        <v>13</v>
      </c>
      <c r="E2909" t="s">
        <v>236</v>
      </c>
      <c r="F2909" t="s">
        <v>4921</v>
      </c>
      <c r="H2909" t="s">
        <v>17</v>
      </c>
      <c r="I2909" t="s">
        <v>4922</v>
      </c>
    </row>
    <row r="2910" spans="1:9" hidden="1" x14ac:dyDescent="0.3">
      <c r="A2910" t="s">
        <v>2291</v>
      </c>
      <c r="B2910" t="s">
        <v>4844</v>
      </c>
      <c r="C2910" t="s">
        <v>4846</v>
      </c>
      <c r="D2910" t="s">
        <v>13</v>
      </c>
      <c r="E2910" t="s">
        <v>239</v>
      </c>
      <c r="F2910" t="s">
        <v>4923</v>
      </c>
      <c r="H2910" t="s">
        <v>17</v>
      </c>
      <c r="I2910" t="s">
        <v>4922</v>
      </c>
    </row>
    <row r="2911" spans="1:9" hidden="1" x14ac:dyDescent="0.3">
      <c r="A2911" t="s">
        <v>2294</v>
      </c>
      <c r="B2911" t="s">
        <v>4844</v>
      </c>
      <c r="C2911" t="s">
        <v>4846</v>
      </c>
      <c r="D2911" t="s">
        <v>13</v>
      </c>
      <c r="E2911" t="s">
        <v>1881</v>
      </c>
      <c r="F2911" t="s">
        <v>4924</v>
      </c>
      <c r="H2911" t="s">
        <v>17</v>
      </c>
      <c r="I2911" t="s">
        <v>4891</v>
      </c>
    </row>
    <row r="2912" spans="1:9" hidden="1" x14ac:dyDescent="0.3">
      <c r="A2912" t="s">
        <v>759</v>
      </c>
      <c r="B2912" t="s">
        <v>4844</v>
      </c>
      <c r="C2912" t="s">
        <v>4846</v>
      </c>
      <c r="D2912" t="s">
        <v>13</v>
      </c>
      <c r="E2912" t="s">
        <v>3270</v>
      </c>
      <c r="F2912" t="s">
        <v>4925</v>
      </c>
      <c r="H2912" t="s">
        <v>17</v>
      </c>
      <c r="I2912" t="s">
        <v>4926</v>
      </c>
    </row>
    <row r="2913" spans="1:9" hidden="1" x14ac:dyDescent="0.3">
      <c r="A2913" t="s">
        <v>2297</v>
      </c>
      <c r="B2913" t="s">
        <v>4844</v>
      </c>
      <c r="C2913" t="s">
        <v>4846</v>
      </c>
      <c r="D2913" t="s">
        <v>13</v>
      </c>
      <c r="E2913" t="s">
        <v>1892</v>
      </c>
      <c r="F2913" t="s">
        <v>4927</v>
      </c>
      <c r="H2913" t="s">
        <v>17</v>
      </c>
      <c r="I2913" t="s">
        <v>4466</v>
      </c>
    </row>
    <row r="2914" spans="1:9" hidden="1" x14ac:dyDescent="0.3">
      <c r="A2914" t="s">
        <v>763</v>
      </c>
      <c r="B2914" t="s">
        <v>4844</v>
      </c>
      <c r="C2914" t="s">
        <v>4846</v>
      </c>
      <c r="D2914" t="s">
        <v>13</v>
      </c>
      <c r="E2914" t="s">
        <v>1146</v>
      </c>
      <c r="F2914" t="s">
        <v>4928</v>
      </c>
      <c r="H2914" t="s">
        <v>17</v>
      </c>
      <c r="I2914" t="s">
        <v>4929</v>
      </c>
    </row>
    <row r="2915" spans="1:9" hidden="1" x14ac:dyDescent="0.3">
      <c r="A2915" t="s">
        <v>768</v>
      </c>
      <c r="B2915" t="s">
        <v>4844</v>
      </c>
      <c r="C2915" t="s">
        <v>4846</v>
      </c>
      <c r="D2915" t="s">
        <v>13</v>
      </c>
      <c r="E2915" t="s">
        <v>1150</v>
      </c>
      <c r="F2915" t="s">
        <v>4930</v>
      </c>
      <c r="H2915" t="s">
        <v>17</v>
      </c>
      <c r="I2915" t="s">
        <v>4926</v>
      </c>
    </row>
    <row r="2916" spans="1:9" hidden="1" x14ac:dyDescent="0.3">
      <c r="A2916" t="s">
        <v>773</v>
      </c>
      <c r="B2916" t="s">
        <v>4844</v>
      </c>
      <c r="C2916" t="s">
        <v>4846</v>
      </c>
      <c r="D2916" t="s">
        <v>13</v>
      </c>
      <c r="E2916" t="s">
        <v>1158</v>
      </c>
      <c r="F2916" t="s">
        <v>4931</v>
      </c>
      <c r="H2916" t="s">
        <v>17</v>
      </c>
      <c r="I2916" t="s">
        <v>4466</v>
      </c>
    </row>
    <row r="2917" spans="1:9" hidden="1" x14ac:dyDescent="0.3">
      <c r="A2917" t="s">
        <v>2304</v>
      </c>
      <c r="B2917" t="s">
        <v>4844</v>
      </c>
      <c r="C2917" t="s">
        <v>4932</v>
      </c>
      <c r="D2917" t="s">
        <v>13</v>
      </c>
      <c r="E2917" t="s">
        <v>1162</v>
      </c>
      <c r="F2917" t="s">
        <v>4933</v>
      </c>
      <c r="H2917" t="s">
        <v>17</v>
      </c>
      <c r="I2917" t="s">
        <v>4891</v>
      </c>
    </row>
    <row r="2918" spans="1:9" hidden="1" x14ac:dyDescent="0.3">
      <c r="A2918" t="s">
        <v>778</v>
      </c>
      <c r="B2918" t="s">
        <v>4844</v>
      </c>
      <c r="C2918" t="s">
        <v>4932</v>
      </c>
      <c r="D2918" t="s">
        <v>13</v>
      </c>
      <c r="E2918" t="s">
        <v>1165</v>
      </c>
      <c r="F2918" t="s">
        <v>4934</v>
      </c>
      <c r="H2918" t="s">
        <v>17</v>
      </c>
      <c r="I2918" t="s">
        <v>4935</v>
      </c>
    </row>
    <row r="2919" spans="1:9" hidden="1" x14ac:dyDescent="0.3">
      <c r="A2919" t="s">
        <v>4936</v>
      </c>
      <c r="B2919" t="s">
        <v>4844</v>
      </c>
      <c r="C2919" t="s">
        <v>4932</v>
      </c>
      <c r="D2919" t="s">
        <v>13</v>
      </c>
      <c r="E2919" t="s">
        <v>1197</v>
      </c>
      <c r="F2919" t="s">
        <v>4783</v>
      </c>
      <c r="H2919" t="s">
        <v>17</v>
      </c>
    </row>
    <row r="2920" spans="1:9" hidden="1" x14ac:dyDescent="0.3">
      <c r="A2920" t="s">
        <v>4938</v>
      </c>
      <c r="B2920" t="s">
        <v>4844</v>
      </c>
      <c r="C2920" t="s">
        <v>4932</v>
      </c>
      <c r="D2920" t="s">
        <v>1936</v>
      </c>
      <c r="E2920" t="s">
        <v>1743</v>
      </c>
      <c r="F2920" t="s">
        <v>4937</v>
      </c>
      <c r="H2920" t="s">
        <v>17</v>
      </c>
      <c r="I2920" t="s">
        <v>4466</v>
      </c>
    </row>
    <row r="2921" spans="1:9" hidden="1" x14ac:dyDescent="0.3">
      <c r="A2921" t="s">
        <v>4942</v>
      </c>
      <c r="B2921" t="s">
        <v>4844</v>
      </c>
      <c r="C2921" t="s">
        <v>4932</v>
      </c>
      <c r="D2921" t="s">
        <v>1936</v>
      </c>
      <c r="E2921" t="s">
        <v>996</v>
      </c>
      <c r="F2921" t="s">
        <v>4939</v>
      </c>
      <c r="H2921" t="s">
        <v>17</v>
      </c>
      <c r="I2921" t="s">
        <v>4940</v>
      </c>
    </row>
    <row r="2922" spans="1:9" hidden="1" x14ac:dyDescent="0.3">
      <c r="A2922" t="s">
        <v>871</v>
      </c>
      <c r="B2922" t="s">
        <v>4844</v>
      </c>
      <c r="C2922" t="s">
        <v>4932</v>
      </c>
      <c r="D2922" t="s">
        <v>1936</v>
      </c>
      <c r="E2922" t="s">
        <v>4941</v>
      </c>
      <c r="F2922" t="s">
        <v>4943</v>
      </c>
      <c r="H2922" t="s">
        <v>17</v>
      </c>
      <c r="I2922" t="s">
        <v>4926</v>
      </c>
    </row>
    <row r="2923" spans="1:9" hidden="1" x14ac:dyDescent="0.3">
      <c r="A2923" t="s">
        <v>875</v>
      </c>
      <c r="B2923" t="s">
        <v>4844</v>
      </c>
      <c r="C2923" t="s">
        <v>4932</v>
      </c>
      <c r="D2923" t="s">
        <v>1936</v>
      </c>
      <c r="E2923" t="s">
        <v>22</v>
      </c>
      <c r="F2923" t="s">
        <v>4927</v>
      </c>
      <c r="H2923" t="s">
        <v>17</v>
      </c>
      <c r="I2923" t="s">
        <v>4466</v>
      </c>
    </row>
    <row r="2924" spans="1:9" hidden="1" x14ac:dyDescent="0.3">
      <c r="A2924" t="s">
        <v>4945</v>
      </c>
      <c r="B2924" t="s">
        <v>4844</v>
      </c>
      <c r="C2924" t="s">
        <v>4932</v>
      </c>
      <c r="D2924" t="s">
        <v>1936</v>
      </c>
      <c r="E2924" t="s">
        <v>27</v>
      </c>
      <c r="F2924" t="s">
        <v>4944</v>
      </c>
      <c r="H2924" t="s">
        <v>17</v>
      </c>
      <c r="I2924" t="s">
        <v>4466</v>
      </c>
    </row>
    <row r="2925" spans="1:9" hidden="1" x14ac:dyDescent="0.3">
      <c r="A2925" t="s">
        <v>880</v>
      </c>
      <c r="B2925" t="s">
        <v>4844</v>
      </c>
      <c r="C2925" t="s">
        <v>4932</v>
      </c>
      <c r="D2925" t="s">
        <v>1936</v>
      </c>
      <c r="E2925" t="s">
        <v>1014</v>
      </c>
      <c r="F2925" t="s">
        <v>4946</v>
      </c>
      <c r="H2925" t="s">
        <v>17</v>
      </c>
      <c r="I2925" t="s">
        <v>4466</v>
      </c>
    </row>
    <row r="2926" spans="1:9" hidden="1" x14ac:dyDescent="0.3">
      <c r="A2926" t="s">
        <v>4948</v>
      </c>
      <c r="B2926" t="s">
        <v>4844</v>
      </c>
      <c r="C2926" t="s">
        <v>4932</v>
      </c>
      <c r="D2926" t="s">
        <v>1936</v>
      </c>
      <c r="E2926" t="s">
        <v>1017</v>
      </c>
      <c r="F2926" t="s">
        <v>4947</v>
      </c>
      <c r="H2926" t="s">
        <v>17</v>
      </c>
      <c r="I2926" t="s">
        <v>4466</v>
      </c>
    </row>
    <row r="2927" spans="1:9" hidden="1" x14ac:dyDescent="0.3">
      <c r="A2927" t="s">
        <v>884</v>
      </c>
      <c r="B2927" t="s">
        <v>4844</v>
      </c>
      <c r="C2927" t="s">
        <v>4932</v>
      </c>
      <c r="D2927" t="s">
        <v>1936</v>
      </c>
      <c r="E2927" t="s">
        <v>36</v>
      </c>
      <c r="F2927" t="s">
        <v>4949</v>
      </c>
      <c r="H2927" t="s">
        <v>17</v>
      </c>
      <c r="I2927" t="s">
        <v>4466</v>
      </c>
    </row>
    <row r="2928" spans="1:9" hidden="1" x14ac:dyDescent="0.3">
      <c r="A2928" t="s">
        <v>889</v>
      </c>
      <c r="B2928" t="s">
        <v>4844</v>
      </c>
      <c r="C2928" t="s">
        <v>4932</v>
      </c>
      <c r="D2928" t="s">
        <v>1936</v>
      </c>
      <c r="E2928" t="s">
        <v>41</v>
      </c>
      <c r="F2928" t="s">
        <v>4950</v>
      </c>
      <c r="H2928" t="s">
        <v>17</v>
      </c>
      <c r="I2928" t="s">
        <v>4951</v>
      </c>
    </row>
    <row r="2929" spans="1:9" hidden="1" x14ac:dyDescent="0.3">
      <c r="A2929" t="s">
        <v>4954</v>
      </c>
      <c r="B2929" t="s">
        <v>4844</v>
      </c>
      <c r="C2929" t="s">
        <v>4932</v>
      </c>
      <c r="D2929" t="s">
        <v>1936</v>
      </c>
      <c r="E2929" t="s">
        <v>45</v>
      </c>
      <c r="F2929" t="s">
        <v>4952</v>
      </c>
      <c r="H2929" t="s">
        <v>17</v>
      </c>
      <c r="I2929" t="s">
        <v>4953</v>
      </c>
    </row>
    <row r="2930" spans="1:9" hidden="1" x14ac:dyDescent="0.3">
      <c r="A2930" t="s">
        <v>894</v>
      </c>
      <c r="B2930" t="s">
        <v>4844</v>
      </c>
      <c r="C2930" t="s">
        <v>4932</v>
      </c>
      <c r="D2930" t="s">
        <v>1936</v>
      </c>
      <c r="E2930" t="s">
        <v>50</v>
      </c>
      <c r="F2930" t="s">
        <v>4955</v>
      </c>
      <c r="H2930" t="s">
        <v>17</v>
      </c>
      <c r="I2930" t="s">
        <v>4953</v>
      </c>
    </row>
    <row r="2931" spans="1:9" hidden="1" x14ac:dyDescent="0.3">
      <c r="A2931" t="s">
        <v>899</v>
      </c>
      <c r="B2931" t="s">
        <v>4844</v>
      </c>
      <c r="C2931" t="s">
        <v>4932</v>
      </c>
      <c r="D2931" t="s">
        <v>1936</v>
      </c>
      <c r="E2931" t="s">
        <v>53</v>
      </c>
      <c r="F2931" t="s">
        <v>4956</v>
      </c>
      <c r="H2931" t="s">
        <v>17</v>
      </c>
      <c r="I2931" t="s">
        <v>4466</v>
      </c>
    </row>
    <row r="2932" spans="1:9" hidden="1" x14ac:dyDescent="0.3">
      <c r="A2932" t="s">
        <v>904</v>
      </c>
      <c r="B2932" t="s">
        <v>4844</v>
      </c>
      <c r="C2932" t="s">
        <v>4932</v>
      </c>
      <c r="D2932" t="s">
        <v>1936</v>
      </c>
      <c r="E2932" t="s">
        <v>56</v>
      </c>
      <c r="F2932" t="s">
        <v>4957</v>
      </c>
      <c r="H2932" t="s">
        <v>17</v>
      </c>
      <c r="I2932" t="s">
        <v>4466</v>
      </c>
    </row>
    <row r="2933" spans="1:9" hidden="1" x14ac:dyDescent="0.3">
      <c r="A2933" t="s">
        <v>909</v>
      </c>
      <c r="B2933" t="s">
        <v>4844</v>
      </c>
      <c r="C2933" t="s">
        <v>4932</v>
      </c>
      <c r="D2933" t="s">
        <v>1936</v>
      </c>
      <c r="E2933" t="s">
        <v>61</v>
      </c>
      <c r="F2933" t="s">
        <v>4958</v>
      </c>
      <c r="H2933" t="s">
        <v>17</v>
      </c>
      <c r="I2933" t="s">
        <v>4466</v>
      </c>
    </row>
    <row r="2934" spans="1:9" hidden="1" x14ac:dyDescent="0.3">
      <c r="A2934" t="s">
        <v>913</v>
      </c>
      <c r="B2934" t="s">
        <v>4844</v>
      </c>
      <c r="C2934" t="s">
        <v>4932</v>
      </c>
      <c r="D2934" t="s">
        <v>1936</v>
      </c>
      <c r="E2934" t="s">
        <v>1039</v>
      </c>
      <c r="F2934" t="s">
        <v>4959</v>
      </c>
      <c r="H2934" t="s">
        <v>17</v>
      </c>
      <c r="I2934" t="s">
        <v>4466</v>
      </c>
    </row>
    <row r="2935" spans="1:9" hidden="1" x14ac:dyDescent="0.3">
      <c r="A2935" t="s">
        <v>917</v>
      </c>
      <c r="B2935" t="s">
        <v>4844</v>
      </c>
      <c r="C2935" t="s">
        <v>4932</v>
      </c>
      <c r="D2935" t="s">
        <v>1936</v>
      </c>
      <c r="E2935" t="s">
        <v>1043</v>
      </c>
      <c r="F2935" t="s">
        <v>4960</v>
      </c>
      <c r="H2935" t="s">
        <v>17</v>
      </c>
      <c r="I2935" t="s">
        <v>4466</v>
      </c>
    </row>
    <row r="2936" spans="1:9" hidden="1" x14ac:dyDescent="0.3">
      <c r="A2936" t="s">
        <v>921</v>
      </c>
      <c r="B2936" t="s">
        <v>4844</v>
      </c>
      <c r="C2936" t="s">
        <v>4932</v>
      </c>
      <c r="D2936" t="s">
        <v>1936</v>
      </c>
      <c r="E2936" t="s">
        <v>71</v>
      </c>
      <c r="F2936" t="s">
        <v>4961</v>
      </c>
      <c r="H2936" t="s">
        <v>17</v>
      </c>
      <c r="I2936" t="s">
        <v>4466</v>
      </c>
    </row>
    <row r="2937" spans="1:9" hidden="1" x14ac:dyDescent="0.3">
      <c r="A2937" t="s">
        <v>925</v>
      </c>
      <c r="B2937" t="s">
        <v>4844</v>
      </c>
      <c r="C2937" t="s">
        <v>4932</v>
      </c>
      <c r="D2937" t="s">
        <v>1936</v>
      </c>
      <c r="E2937" t="s">
        <v>1050</v>
      </c>
      <c r="F2937" t="s">
        <v>4962</v>
      </c>
      <c r="H2937" t="s">
        <v>17</v>
      </c>
      <c r="I2937" t="s">
        <v>4963</v>
      </c>
    </row>
    <row r="2938" spans="1:9" hidden="1" x14ac:dyDescent="0.3">
      <c r="A2938" t="s">
        <v>929</v>
      </c>
      <c r="B2938" t="s">
        <v>4844</v>
      </c>
      <c r="C2938" t="s">
        <v>4932</v>
      </c>
      <c r="D2938" t="s">
        <v>1936</v>
      </c>
      <c r="E2938" t="s">
        <v>1055</v>
      </c>
      <c r="F2938" t="s">
        <v>4964</v>
      </c>
      <c r="H2938" t="s">
        <v>17</v>
      </c>
      <c r="I2938" t="s">
        <v>4963</v>
      </c>
    </row>
    <row r="2939" spans="1:9" hidden="1" x14ac:dyDescent="0.3">
      <c r="A2939" t="s">
        <v>4967</v>
      </c>
      <c r="B2939" t="s">
        <v>4844</v>
      </c>
      <c r="C2939" t="s">
        <v>4932</v>
      </c>
      <c r="D2939" t="s">
        <v>1936</v>
      </c>
      <c r="E2939" t="s">
        <v>80</v>
      </c>
      <c r="F2939" t="s">
        <v>4965</v>
      </c>
      <c r="H2939" t="s">
        <v>17</v>
      </c>
      <c r="I2939" t="s">
        <v>4966</v>
      </c>
    </row>
    <row r="2940" spans="1:9" hidden="1" x14ac:dyDescent="0.3">
      <c r="A2940" t="s">
        <v>934</v>
      </c>
      <c r="B2940" t="s">
        <v>4844</v>
      </c>
      <c r="C2940" t="s">
        <v>4932</v>
      </c>
      <c r="D2940" t="s">
        <v>1936</v>
      </c>
      <c r="E2940" t="s">
        <v>85</v>
      </c>
      <c r="F2940" t="s">
        <v>4968</v>
      </c>
      <c r="H2940" t="s">
        <v>17</v>
      </c>
      <c r="I2940" t="s">
        <v>4466</v>
      </c>
    </row>
    <row r="2941" spans="1:9" hidden="1" x14ac:dyDescent="0.3">
      <c r="A2941" t="s">
        <v>939</v>
      </c>
      <c r="B2941" t="s">
        <v>4844</v>
      </c>
      <c r="C2941" t="s">
        <v>4932</v>
      </c>
      <c r="D2941" t="s">
        <v>1936</v>
      </c>
      <c r="E2941" t="s">
        <v>90</v>
      </c>
      <c r="F2941" t="s">
        <v>4969</v>
      </c>
      <c r="H2941" t="s">
        <v>17</v>
      </c>
      <c r="I2941" t="s">
        <v>4466</v>
      </c>
    </row>
    <row r="2942" spans="1:9" hidden="1" x14ac:dyDescent="0.3">
      <c r="A2942" t="s">
        <v>943</v>
      </c>
      <c r="B2942" t="s">
        <v>4844</v>
      </c>
      <c r="C2942" t="s">
        <v>4932</v>
      </c>
      <c r="D2942" t="s">
        <v>1936</v>
      </c>
      <c r="E2942" t="s">
        <v>95</v>
      </c>
      <c r="F2942" t="s">
        <v>4970</v>
      </c>
      <c r="H2942" t="s">
        <v>17</v>
      </c>
      <c r="I2942" t="s">
        <v>4466</v>
      </c>
    </row>
    <row r="2943" spans="1:9" hidden="1" x14ac:dyDescent="0.3">
      <c r="A2943" t="s">
        <v>947</v>
      </c>
      <c r="B2943" t="s">
        <v>4844</v>
      </c>
      <c r="C2943" t="s">
        <v>4932</v>
      </c>
      <c r="D2943" t="s">
        <v>1936</v>
      </c>
      <c r="E2943" t="s">
        <v>100</v>
      </c>
      <c r="F2943" t="s">
        <v>4971</v>
      </c>
      <c r="H2943" t="s">
        <v>17</v>
      </c>
      <c r="I2943" t="s">
        <v>4466</v>
      </c>
    </row>
    <row r="2944" spans="1:9" hidden="1" x14ac:dyDescent="0.3">
      <c r="A2944" t="s">
        <v>951</v>
      </c>
      <c r="B2944" t="s">
        <v>4844</v>
      </c>
      <c r="C2944" t="s">
        <v>4932</v>
      </c>
      <c r="D2944" t="s">
        <v>1936</v>
      </c>
      <c r="E2944" t="s">
        <v>106</v>
      </c>
      <c r="F2944" t="s">
        <v>4972</v>
      </c>
      <c r="H2944" t="s">
        <v>17</v>
      </c>
      <c r="I2944" t="s">
        <v>4466</v>
      </c>
    </row>
    <row r="2945" spans="1:9" hidden="1" x14ac:dyDescent="0.3">
      <c r="A2945" t="s">
        <v>955</v>
      </c>
      <c r="B2945" t="s">
        <v>4844</v>
      </c>
      <c r="C2945" t="s">
        <v>4932</v>
      </c>
      <c r="D2945" t="s">
        <v>1936</v>
      </c>
      <c r="E2945" t="s">
        <v>111</v>
      </c>
      <c r="F2945" t="s">
        <v>4973</v>
      </c>
      <c r="H2945" t="s">
        <v>17</v>
      </c>
      <c r="I2945" t="s">
        <v>4466</v>
      </c>
    </row>
    <row r="2946" spans="1:9" hidden="1" x14ac:dyDescent="0.3">
      <c r="A2946" t="s">
        <v>960</v>
      </c>
      <c r="B2946" t="s">
        <v>4844</v>
      </c>
      <c r="C2946" t="s">
        <v>4932</v>
      </c>
      <c r="D2946" t="s">
        <v>1936</v>
      </c>
      <c r="E2946" t="s">
        <v>114</v>
      </c>
      <c r="F2946" t="s">
        <v>4974</v>
      </c>
      <c r="H2946" t="s">
        <v>17</v>
      </c>
      <c r="I2946" t="s">
        <v>4466</v>
      </c>
    </row>
    <row r="2947" spans="1:9" hidden="1" x14ac:dyDescent="0.3">
      <c r="A2947" t="s">
        <v>965</v>
      </c>
      <c r="B2947" t="s">
        <v>4844</v>
      </c>
      <c r="C2947" t="s">
        <v>4932</v>
      </c>
      <c r="D2947" t="s">
        <v>1936</v>
      </c>
      <c r="E2947" t="s">
        <v>117</v>
      </c>
      <c r="F2947" t="s">
        <v>4975</v>
      </c>
      <c r="H2947" t="s">
        <v>17</v>
      </c>
      <c r="I2947" t="s">
        <v>4466</v>
      </c>
    </row>
    <row r="2948" spans="1:9" hidden="1" x14ac:dyDescent="0.3">
      <c r="A2948" t="s">
        <v>970</v>
      </c>
      <c r="B2948" t="s">
        <v>4844</v>
      </c>
      <c r="C2948" t="s">
        <v>4932</v>
      </c>
      <c r="D2948" t="s">
        <v>1936</v>
      </c>
      <c r="E2948" t="s">
        <v>121</v>
      </c>
      <c r="F2948" t="s">
        <v>4976</v>
      </c>
      <c r="H2948" t="s">
        <v>17</v>
      </c>
      <c r="I2948" t="s">
        <v>4466</v>
      </c>
    </row>
    <row r="2949" spans="1:9" hidden="1" x14ac:dyDescent="0.3">
      <c r="A2949" t="s">
        <v>4979</v>
      </c>
      <c r="B2949" t="s">
        <v>4844</v>
      </c>
      <c r="C2949" t="s">
        <v>4932</v>
      </c>
      <c r="D2949" t="s">
        <v>1936</v>
      </c>
      <c r="E2949" t="s">
        <v>126</v>
      </c>
      <c r="F2949" t="s">
        <v>4977</v>
      </c>
      <c r="H2949" t="s">
        <v>17</v>
      </c>
      <c r="I2949" t="s">
        <v>4978</v>
      </c>
    </row>
    <row r="2950" spans="1:9" hidden="1" x14ac:dyDescent="0.3">
      <c r="A2950" t="s">
        <v>973</v>
      </c>
      <c r="B2950" t="s">
        <v>4844</v>
      </c>
      <c r="C2950" t="s">
        <v>4932</v>
      </c>
      <c r="D2950" t="s">
        <v>1936</v>
      </c>
      <c r="E2950" t="s">
        <v>129</v>
      </c>
      <c r="F2950" t="s">
        <v>4980</v>
      </c>
      <c r="H2950" t="s">
        <v>17</v>
      </c>
      <c r="I2950" t="s">
        <v>4786</v>
      </c>
    </row>
    <row r="2951" spans="1:9" hidden="1" x14ac:dyDescent="0.3">
      <c r="A2951" t="s">
        <v>976</v>
      </c>
      <c r="B2951" t="s">
        <v>4844</v>
      </c>
      <c r="C2951" t="s">
        <v>4932</v>
      </c>
      <c r="D2951" t="s">
        <v>1936</v>
      </c>
      <c r="E2951" t="s">
        <v>132</v>
      </c>
      <c r="F2951" t="s">
        <v>4981</v>
      </c>
      <c r="H2951" t="s">
        <v>17</v>
      </c>
      <c r="I2951" t="s">
        <v>4583</v>
      </c>
    </row>
    <row r="2952" spans="1:9" hidden="1" x14ac:dyDescent="0.3">
      <c r="A2952" t="s">
        <v>4984</v>
      </c>
      <c r="B2952" t="s">
        <v>4844</v>
      </c>
      <c r="C2952" t="s">
        <v>4932</v>
      </c>
      <c r="D2952" t="s">
        <v>1936</v>
      </c>
      <c r="E2952" t="s">
        <v>135</v>
      </c>
      <c r="F2952" t="s">
        <v>4982</v>
      </c>
      <c r="H2952" t="s">
        <v>17</v>
      </c>
      <c r="I2952" t="s">
        <v>4983</v>
      </c>
    </row>
    <row r="2953" spans="1:9" hidden="1" x14ac:dyDescent="0.3">
      <c r="A2953" t="s">
        <v>979</v>
      </c>
      <c r="B2953" t="s">
        <v>4844</v>
      </c>
      <c r="C2953" t="s">
        <v>4932</v>
      </c>
      <c r="D2953" t="s">
        <v>1936</v>
      </c>
      <c r="E2953" t="s">
        <v>138</v>
      </c>
      <c r="F2953" t="s">
        <v>4985</v>
      </c>
      <c r="H2953" t="s">
        <v>17</v>
      </c>
      <c r="I2953" t="s">
        <v>4986</v>
      </c>
    </row>
    <row r="2954" spans="1:9" hidden="1" x14ac:dyDescent="0.3">
      <c r="A2954" t="s">
        <v>982</v>
      </c>
      <c r="B2954" t="s">
        <v>4844</v>
      </c>
      <c r="C2954" t="s">
        <v>4932</v>
      </c>
      <c r="D2954" t="s">
        <v>1936</v>
      </c>
      <c r="E2954" t="s">
        <v>141</v>
      </c>
      <c r="F2954" t="s">
        <v>4987</v>
      </c>
      <c r="H2954" t="s">
        <v>17</v>
      </c>
      <c r="I2954" t="s">
        <v>4988</v>
      </c>
    </row>
    <row r="2955" spans="1:9" hidden="1" x14ac:dyDescent="0.3">
      <c r="A2955" t="s">
        <v>985</v>
      </c>
      <c r="B2955" t="s">
        <v>4844</v>
      </c>
      <c r="C2955" t="s">
        <v>4932</v>
      </c>
      <c r="D2955" t="s">
        <v>1936</v>
      </c>
      <c r="E2955" t="s">
        <v>144</v>
      </c>
      <c r="F2955" t="s">
        <v>4989</v>
      </c>
      <c r="H2955" t="s">
        <v>17</v>
      </c>
      <c r="I2955" t="s">
        <v>4990</v>
      </c>
    </row>
    <row r="2956" spans="1:9" hidden="1" x14ac:dyDescent="0.3">
      <c r="A2956" t="s">
        <v>4992</v>
      </c>
      <c r="B2956" t="s">
        <v>4844</v>
      </c>
      <c r="C2956" t="s">
        <v>4932</v>
      </c>
      <c r="D2956" t="s">
        <v>1936</v>
      </c>
      <c r="E2956" t="s">
        <v>147</v>
      </c>
      <c r="F2956" t="s">
        <v>4991</v>
      </c>
      <c r="H2956" t="s">
        <v>17</v>
      </c>
      <c r="I2956" t="s">
        <v>4466</v>
      </c>
    </row>
    <row r="2957" spans="1:9" hidden="1" x14ac:dyDescent="0.3">
      <c r="A2957" t="s">
        <v>987</v>
      </c>
      <c r="B2957" t="s">
        <v>4844</v>
      </c>
      <c r="C2957" t="s">
        <v>4932</v>
      </c>
      <c r="D2957" t="s">
        <v>1936</v>
      </c>
      <c r="E2957" t="s">
        <v>152</v>
      </c>
      <c r="F2957" t="s">
        <v>4993</v>
      </c>
      <c r="H2957" t="s">
        <v>17</v>
      </c>
      <c r="I2957" t="s">
        <v>4994</v>
      </c>
    </row>
    <row r="2958" spans="1:9" hidden="1" x14ac:dyDescent="0.3">
      <c r="A2958" t="s">
        <v>4996</v>
      </c>
      <c r="B2958" t="s">
        <v>4844</v>
      </c>
      <c r="C2958" t="s">
        <v>4932</v>
      </c>
      <c r="D2958" t="s">
        <v>1936</v>
      </c>
      <c r="E2958" t="s">
        <v>157</v>
      </c>
      <c r="F2958" t="s">
        <v>4995</v>
      </c>
      <c r="H2958" t="s">
        <v>17</v>
      </c>
      <c r="I2958" t="s">
        <v>4994</v>
      </c>
    </row>
    <row r="2959" spans="1:9" hidden="1" x14ac:dyDescent="0.3">
      <c r="A2959" t="s">
        <v>4998</v>
      </c>
      <c r="B2959" t="s">
        <v>4844</v>
      </c>
      <c r="C2959" t="s">
        <v>4932</v>
      </c>
      <c r="D2959" t="s">
        <v>1936</v>
      </c>
      <c r="E2959" t="s">
        <v>162</v>
      </c>
      <c r="F2959" t="s">
        <v>4997</v>
      </c>
      <c r="H2959" t="s">
        <v>17</v>
      </c>
      <c r="I2959" t="s">
        <v>4994</v>
      </c>
    </row>
    <row r="2960" spans="1:9" hidden="1" x14ac:dyDescent="0.3">
      <c r="A2960" t="s">
        <v>5001</v>
      </c>
      <c r="B2960" t="s">
        <v>4844</v>
      </c>
      <c r="C2960" t="s">
        <v>4932</v>
      </c>
      <c r="D2960" t="s">
        <v>1936</v>
      </c>
      <c r="E2960" t="s">
        <v>167</v>
      </c>
      <c r="F2960" t="s">
        <v>4999</v>
      </c>
      <c r="H2960" t="s">
        <v>17</v>
      </c>
      <c r="I2960" t="s">
        <v>5000</v>
      </c>
    </row>
    <row r="2961" spans="1:9" hidden="1" x14ac:dyDescent="0.3">
      <c r="A2961" t="s">
        <v>5003</v>
      </c>
      <c r="B2961" t="s">
        <v>4844</v>
      </c>
      <c r="C2961" t="s">
        <v>4932</v>
      </c>
      <c r="D2961" t="s">
        <v>1936</v>
      </c>
      <c r="E2961" t="s">
        <v>172</v>
      </c>
      <c r="F2961" t="s">
        <v>5002</v>
      </c>
      <c r="H2961" t="s">
        <v>17</v>
      </c>
      <c r="I2961" t="s">
        <v>4951</v>
      </c>
    </row>
    <row r="2962" spans="1:9" hidden="1" x14ac:dyDescent="0.3">
      <c r="A2962" t="s">
        <v>5006</v>
      </c>
      <c r="B2962" t="s">
        <v>4844</v>
      </c>
      <c r="C2962" t="s">
        <v>4932</v>
      </c>
      <c r="D2962" t="s">
        <v>1936</v>
      </c>
      <c r="E2962" t="s">
        <v>177</v>
      </c>
      <c r="F2962" t="s">
        <v>5004</v>
      </c>
      <c r="H2962" t="s">
        <v>17</v>
      </c>
      <c r="I2962" t="s">
        <v>5005</v>
      </c>
    </row>
    <row r="2963" spans="1:9" hidden="1" x14ac:dyDescent="0.3">
      <c r="A2963" t="s">
        <v>5009</v>
      </c>
      <c r="B2963" t="s">
        <v>4844</v>
      </c>
      <c r="C2963" t="s">
        <v>4932</v>
      </c>
      <c r="D2963" t="s">
        <v>1936</v>
      </c>
      <c r="E2963" t="s">
        <v>182</v>
      </c>
      <c r="F2963" t="s">
        <v>5007</v>
      </c>
      <c r="H2963" t="s">
        <v>17</v>
      </c>
      <c r="I2963" t="s">
        <v>5008</v>
      </c>
    </row>
    <row r="2964" spans="1:9" hidden="1" x14ac:dyDescent="0.3">
      <c r="A2964" t="s">
        <v>5011</v>
      </c>
      <c r="B2964" t="s">
        <v>4844</v>
      </c>
      <c r="C2964" t="s">
        <v>4932</v>
      </c>
      <c r="D2964" t="s">
        <v>1936</v>
      </c>
      <c r="E2964" t="s">
        <v>187</v>
      </c>
      <c r="F2964" t="s">
        <v>5010</v>
      </c>
      <c r="H2964" t="s">
        <v>17</v>
      </c>
      <c r="I2964" t="s">
        <v>4466</v>
      </c>
    </row>
    <row r="2965" spans="1:9" hidden="1" x14ac:dyDescent="0.3">
      <c r="A2965" t="s">
        <v>5014</v>
      </c>
      <c r="B2965" t="s">
        <v>4844</v>
      </c>
      <c r="C2965" t="s">
        <v>4932</v>
      </c>
      <c r="D2965" t="s">
        <v>1936</v>
      </c>
      <c r="E2965" t="s">
        <v>193</v>
      </c>
      <c r="F2965" t="s">
        <v>5012</v>
      </c>
      <c r="H2965" t="s">
        <v>17</v>
      </c>
      <c r="I2965" t="s">
        <v>5013</v>
      </c>
    </row>
    <row r="2966" spans="1:9" hidden="1" x14ac:dyDescent="0.3">
      <c r="A2966" t="s">
        <v>5017</v>
      </c>
      <c r="B2966" t="s">
        <v>4844</v>
      </c>
      <c r="C2966" t="s">
        <v>4932</v>
      </c>
      <c r="D2966" t="s">
        <v>1936</v>
      </c>
      <c r="E2966" t="s">
        <v>198</v>
      </c>
      <c r="F2966" t="s">
        <v>5015</v>
      </c>
      <c r="H2966" t="s">
        <v>17</v>
      </c>
      <c r="I2966" t="s">
        <v>5016</v>
      </c>
    </row>
    <row r="2967" spans="1:9" hidden="1" x14ac:dyDescent="0.3">
      <c r="A2967" t="s">
        <v>5020</v>
      </c>
      <c r="B2967" t="s">
        <v>4844</v>
      </c>
      <c r="C2967" t="s">
        <v>4932</v>
      </c>
      <c r="D2967" t="s">
        <v>1936</v>
      </c>
      <c r="E2967" t="s">
        <v>202</v>
      </c>
      <c r="F2967" t="s">
        <v>5018</v>
      </c>
      <c r="H2967" t="s">
        <v>17</v>
      </c>
      <c r="I2967" t="s">
        <v>5019</v>
      </c>
    </row>
    <row r="2968" spans="1:9" hidden="1" x14ac:dyDescent="0.3">
      <c r="A2968" t="s">
        <v>5023</v>
      </c>
      <c r="B2968" t="s">
        <v>4844</v>
      </c>
      <c r="C2968" t="s">
        <v>4932</v>
      </c>
      <c r="D2968" t="s">
        <v>1936</v>
      </c>
      <c r="E2968" t="s">
        <v>206</v>
      </c>
      <c r="F2968" t="s">
        <v>5021</v>
      </c>
      <c r="H2968" t="s">
        <v>17</v>
      </c>
      <c r="I2968" t="s">
        <v>5022</v>
      </c>
    </row>
    <row r="2969" spans="1:9" hidden="1" x14ac:dyDescent="0.3">
      <c r="A2969" t="s">
        <v>5026</v>
      </c>
      <c r="B2969" t="s">
        <v>4844</v>
      </c>
      <c r="C2969" t="s">
        <v>4932</v>
      </c>
      <c r="D2969" t="s">
        <v>1936</v>
      </c>
      <c r="E2969" t="s">
        <v>210</v>
      </c>
      <c r="F2969" t="s">
        <v>5024</v>
      </c>
      <c r="H2969" t="s">
        <v>17</v>
      </c>
      <c r="I2969" t="s">
        <v>5025</v>
      </c>
    </row>
    <row r="2970" spans="1:9" hidden="1" x14ac:dyDescent="0.3">
      <c r="A2970" t="s">
        <v>5029</v>
      </c>
      <c r="B2970" t="s">
        <v>4844</v>
      </c>
      <c r="C2970" t="s">
        <v>4932</v>
      </c>
      <c r="D2970" t="s">
        <v>1936</v>
      </c>
      <c r="E2970" t="s">
        <v>214</v>
      </c>
      <c r="F2970" t="s">
        <v>5027</v>
      </c>
      <c r="H2970" t="s">
        <v>17</v>
      </c>
      <c r="I2970" t="s">
        <v>5028</v>
      </c>
    </row>
    <row r="2971" spans="1:9" hidden="1" x14ac:dyDescent="0.3">
      <c r="A2971" t="s">
        <v>5032</v>
      </c>
      <c r="B2971" t="s">
        <v>4844</v>
      </c>
      <c r="C2971" t="s">
        <v>4932</v>
      </c>
      <c r="D2971" t="s">
        <v>1936</v>
      </c>
      <c r="E2971" t="s">
        <v>218</v>
      </c>
      <c r="F2971" t="s">
        <v>5030</v>
      </c>
      <c r="H2971" t="s">
        <v>17</v>
      </c>
      <c r="I2971" t="s">
        <v>5031</v>
      </c>
    </row>
    <row r="2972" spans="1:9" hidden="1" x14ac:dyDescent="0.3">
      <c r="A2972" t="s">
        <v>5035</v>
      </c>
      <c r="B2972" t="s">
        <v>4844</v>
      </c>
      <c r="C2972" t="s">
        <v>4932</v>
      </c>
      <c r="D2972" t="s">
        <v>1936</v>
      </c>
      <c r="E2972" t="s">
        <v>223</v>
      </c>
      <c r="F2972" t="s">
        <v>5033</v>
      </c>
      <c r="H2972" t="s">
        <v>17</v>
      </c>
      <c r="I2972" t="s">
        <v>5034</v>
      </c>
    </row>
    <row r="2973" spans="1:9" hidden="1" x14ac:dyDescent="0.3">
      <c r="A2973" t="s">
        <v>5038</v>
      </c>
      <c r="B2973" t="s">
        <v>4844</v>
      </c>
      <c r="C2973" t="s">
        <v>4932</v>
      </c>
      <c r="D2973" t="s">
        <v>1936</v>
      </c>
      <c r="E2973" t="s">
        <v>1131</v>
      </c>
      <c r="F2973" t="s">
        <v>5036</v>
      </c>
      <c r="H2973" t="s">
        <v>17</v>
      </c>
      <c r="I2973" t="s">
        <v>5037</v>
      </c>
    </row>
    <row r="2974" spans="1:9" hidden="1" x14ac:dyDescent="0.3">
      <c r="A2974" t="s">
        <v>5041</v>
      </c>
      <c r="B2974" t="s">
        <v>4844</v>
      </c>
      <c r="C2974" t="s">
        <v>4932</v>
      </c>
      <c r="D2974" t="s">
        <v>1936</v>
      </c>
      <c r="E2974" t="s">
        <v>1136</v>
      </c>
      <c r="F2974" t="s">
        <v>5039</v>
      </c>
      <c r="H2974" t="s">
        <v>17</v>
      </c>
      <c r="I2974" t="s">
        <v>5040</v>
      </c>
    </row>
    <row r="2975" spans="1:9" hidden="1" x14ac:dyDescent="0.3">
      <c r="A2975" t="s">
        <v>5044</v>
      </c>
      <c r="B2975" t="s">
        <v>4844</v>
      </c>
      <c r="C2975" t="s">
        <v>4932</v>
      </c>
      <c r="D2975" t="s">
        <v>1936</v>
      </c>
      <c r="E2975" t="s">
        <v>245</v>
      </c>
      <c r="F2975" t="s">
        <v>5042</v>
      </c>
      <c r="H2975" t="s">
        <v>17</v>
      </c>
      <c r="I2975" t="s">
        <v>5043</v>
      </c>
    </row>
    <row r="2976" spans="1:9" hidden="1" x14ac:dyDescent="0.3">
      <c r="A2976" t="s">
        <v>5046</v>
      </c>
      <c r="B2976" t="s">
        <v>4844</v>
      </c>
      <c r="C2976" t="s">
        <v>4932</v>
      </c>
      <c r="D2976" t="s">
        <v>1936</v>
      </c>
      <c r="E2976" t="s">
        <v>250</v>
      </c>
      <c r="F2976" t="s">
        <v>5045</v>
      </c>
      <c r="H2976" t="s">
        <v>17</v>
      </c>
      <c r="I2976" t="s">
        <v>5043</v>
      </c>
    </row>
    <row r="2977" spans="1:9" hidden="1" x14ac:dyDescent="0.3">
      <c r="A2977" t="s">
        <v>5048</v>
      </c>
      <c r="B2977" t="s">
        <v>4844</v>
      </c>
      <c r="C2977" t="s">
        <v>4932</v>
      </c>
      <c r="D2977" t="s">
        <v>1936</v>
      </c>
      <c r="E2977" t="s">
        <v>253</v>
      </c>
      <c r="F2977" t="s">
        <v>5047</v>
      </c>
      <c r="H2977" t="s">
        <v>17</v>
      </c>
      <c r="I2977" t="s">
        <v>5043</v>
      </c>
    </row>
    <row r="2978" spans="1:9" hidden="1" x14ac:dyDescent="0.3">
      <c r="A2978" t="s">
        <v>5050</v>
      </c>
      <c r="B2978" t="s">
        <v>4844</v>
      </c>
      <c r="C2978" t="s">
        <v>4932</v>
      </c>
      <c r="D2978" t="s">
        <v>1936</v>
      </c>
      <c r="E2978" t="s">
        <v>256</v>
      </c>
      <c r="F2978" t="s">
        <v>5049</v>
      </c>
      <c r="H2978" t="s">
        <v>17</v>
      </c>
      <c r="I2978" t="s">
        <v>5043</v>
      </c>
    </row>
    <row r="2979" spans="1:9" hidden="1" x14ac:dyDescent="0.3">
      <c r="A2979" t="s">
        <v>5053</v>
      </c>
      <c r="B2979" t="s">
        <v>4844</v>
      </c>
      <c r="C2979" t="s">
        <v>4932</v>
      </c>
      <c r="D2979" t="s">
        <v>1936</v>
      </c>
      <c r="E2979" t="s">
        <v>1197</v>
      </c>
      <c r="F2979" t="s">
        <v>4783</v>
      </c>
      <c r="H2979" t="s">
        <v>17</v>
      </c>
    </row>
    <row r="2980" spans="1:9" hidden="1" x14ac:dyDescent="0.3">
      <c r="A2980" t="s">
        <v>5055</v>
      </c>
      <c r="B2980" t="s">
        <v>4844</v>
      </c>
      <c r="C2980" t="s">
        <v>5051</v>
      </c>
      <c r="D2980" t="s">
        <v>2135</v>
      </c>
      <c r="E2980" t="s">
        <v>5052</v>
      </c>
      <c r="F2980" t="s">
        <v>5054</v>
      </c>
      <c r="H2980" t="s">
        <v>17</v>
      </c>
      <c r="I2980" t="s">
        <v>5043</v>
      </c>
    </row>
    <row r="2981" spans="1:9" hidden="1" x14ac:dyDescent="0.3">
      <c r="A2981" t="s">
        <v>5057</v>
      </c>
      <c r="B2981" t="s">
        <v>4844</v>
      </c>
      <c r="C2981" t="s">
        <v>5051</v>
      </c>
      <c r="D2981" t="s">
        <v>2135</v>
      </c>
      <c r="E2981" t="s">
        <v>4941</v>
      </c>
      <c r="F2981" t="s">
        <v>5056</v>
      </c>
      <c r="H2981" t="s">
        <v>17</v>
      </c>
      <c r="I2981" t="s">
        <v>5043</v>
      </c>
    </row>
    <row r="2982" spans="1:9" hidden="1" x14ac:dyDescent="0.3">
      <c r="A2982" t="s">
        <v>5059</v>
      </c>
      <c r="B2982" t="s">
        <v>4844</v>
      </c>
      <c r="C2982" t="s">
        <v>5051</v>
      </c>
      <c r="D2982" t="s">
        <v>2135</v>
      </c>
      <c r="E2982" t="s">
        <v>4637</v>
      </c>
      <c r="F2982" t="s">
        <v>5058</v>
      </c>
      <c r="H2982" t="s">
        <v>17</v>
      </c>
      <c r="I2982" t="s">
        <v>5043</v>
      </c>
    </row>
    <row r="2983" spans="1:9" hidden="1" x14ac:dyDescent="0.3">
      <c r="A2983" t="s">
        <v>5061</v>
      </c>
      <c r="B2983" t="s">
        <v>4844</v>
      </c>
      <c r="C2983" t="s">
        <v>5051</v>
      </c>
      <c r="D2983" t="s">
        <v>2135</v>
      </c>
      <c r="E2983" t="s">
        <v>32</v>
      </c>
      <c r="F2983" t="s">
        <v>5060</v>
      </c>
      <c r="H2983" t="s">
        <v>17</v>
      </c>
      <c r="I2983" t="s">
        <v>5043</v>
      </c>
    </row>
    <row r="2984" spans="1:9" hidden="1" x14ac:dyDescent="0.3">
      <c r="A2984" t="s">
        <v>5064</v>
      </c>
      <c r="B2984" t="s">
        <v>4844</v>
      </c>
      <c r="C2984" t="s">
        <v>5051</v>
      </c>
      <c r="D2984" t="s">
        <v>2135</v>
      </c>
      <c r="E2984" t="s">
        <v>2684</v>
      </c>
      <c r="F2984" t="s">
        <v>5062</v>
      </c>
      <c r="H2984" t="s">
        <v>17</v>
      </c>
      <c r="I2984" t="s">
        <v>5063</v>
      </c>
    </row>
    <row r="2985" spans="1:9" hidden="1" x14ac:dyDescent="0.3">
      <c r="A2985" t="s">
        <v>5067</v>
      </c>
      <c r="B2985" t="s">
        <v>4844</v>
      </c>
      <c r="C2985" t="s">
        <v>5051</v>
      </c>
      <c r="D2985" t="s">
        <v>2135</v>
      </c>
      <c r="E2985" t="s">
        <v>45</v>
      </c>
      <c r="F2985" t="s">
        <v>5065</v>
      </c>
      <c r="H2985" t="s">
        <v>17</v>
      </c>
      <c r="I2985" t="s">
        <v>5066</v>
      </c>
    </row>
    <row r="2986" spans="1:9" hidden="1" x14ac:dyDescent="0.3">
      <c r="A2986" t="s">
        <v>5069</v>
      </c>
      <c r="B2986" t="s">
        <v>4844</v>
      </c>
      <c r="C2986" t="s">
        <v>5051</v>
      </c>
      <c r="D2986" t="s">
        <v>2135</v>
      </c>
      <c r="E2986" t="s">
        <v>50</v>
      </c>
      <c r="F2986" t="s">
        <v>5068</v>
      </c>
      <c r="H2986" t="s">
        <v>17</v>
      </c>
      <c r="I2986" t="s">
        <v>4466</v>
      </c>
    </row>
    <row r="2987" spans="1:9" hidden="1" x14ac:dyDescent="0.3">
      <c r="A2987" t="s">
        <v>5072</v>
      </c>
      <c r="B2987" t="s">
        <v>4844</v>
      </c>
      <c r="C2987" t="s">
        <v>5051</v>
      </c>
      <c r="D2987" t="s">
        <v>2135</v>
      </c>
      <c r="E2987" t="s">
        <v>53</v>
      </c>
      <c r="F2987" t="s">
        <v>5070</v>
      </c>
      <c r="H2987" t="s">
        <v>17</v>
      </c>
      <c r="I2987" t="s">
        <v>5071</v>
      </c>
    </row>
    <row r="2988" spans="1:9" hidden="1" x14ac:dyDescent="0.3">
      <c r="A2988" t="s">
        <v>5075</v>
      </c>
      <c r="B2988" t="s">
        <v>4844</v>
      </c>
      <c r="C2988" t="s">
        <v>5051</v>
      </c>
      <c r="D2988" t="s">
        <v>2135</v>
      </c>
      <c r="E2988" t="s">
        <v>56</v>
      </c>
      <c r="F2988" t="s">
        <v>5073</v>
      </c>
      <c r="H2988" t="s">
        <v>17</v>
      </c>
      <c r="I2988" t="s">
        <v>5074</v>
      </c>
    </row>
    <row r="2989" spans="1:9" hidden="1" x14ac:dyDescent="0.3">
      <c r="A2989" t="s">
        <v>5078</v>
      </c>
      <c r="B2989" t="s">
        <v>4844</v>
      </c>
      <c r="C2989" t="s">
        <v>5051</v>
      </c>
      <c r="D2989" t="s">
        <v>2135</v>
      </c>
      <c r="E2989" t="s">
        <v>4674</v>
      </c>
      <c r="F2989" t="s">
        <v>5076</v>
      </c>
      <c r="H2989" t="s">
        <v>17</v>
      </c>
      <c r="I2989" t="s">
        <v>5077</v>
      </c>
    </row>
    <row r="2990" spans="1:9" hidden="1" x14ac:dyDescent="0.3">
      <c r="A2990" t="s">
        <v>5080</v>
      </c>
      <c r="B2990" t="s">
        <v>4844</v>
      </c>
      <c r="C2990" t="s">
        <v>5051</v>
      </c>
      <c r="D2990" t="s">
        <v>2135</v>
      </c>
      <c r="E2990" t="s">
        <v>1043</v>
      </c>
      <c r="F2990" t="s">
        <v>5079</v>
      </c>
      <c r="H2990" t="s">
        <v>17</v>
      </c>
      <c r="I2990" t="s">
        <v>4466</v>
      </c>
    </row>
    <row r="2991" spans="1:9" hidden="1" x14ac:dyDescent="0.3">
      <c r="A2991" t="s">
        <v>5082</v>
      </c>
      <c r="B2991" t="s">
        <v>4844</v>
      </c>
      <c r="C2991" t="s">
        <v>5051</v>
      </c>
      <c r="D2991" t="s">
        <v>2135</v>
      </c>
      <c r="E2991" t="s">
        <v>71</v>
      </c>
      <c r="F2991" t="s">
        <v>5081</v>
      </c>
      <c r="H2991" t="s">
        <v>17</v>
      </c>
      <c r="I2991" t="s">
        <v>4986</v>
      </c>
    </row>
    <row r="2992" spans="1:9" hidden="1" x14ac:dyDescent="0.3">
      <c r="A2992" t="s">
        <v>5085</v>
      </c>
      <c r="B2992" t="s">
        <v>4844</v>
      </c>
      <c r="C2992" t="s">
        <v>5051</v>
      </c>
      <c r="D2992" t="s">
        <v>2135</v>
      </c>
      <c r="E2992" t="s">
        <v>1050</v>
      </c>
      <c r="F2992" t="s">
        <v>5083</v>
      </c>
      <c r="H2992" t="s">
        <v>17</v>
      </c>
      <c r="I2992" t="s">
        <v>5084</v>
      </c>
    </row>
    <row r="2993" spans="1:9" hidden="1" x14ac:dyDescent="0.3">
      <c r="A2993" t="s">
        <v>5086</v>
      </c>
      <c r="B2993" t="s">
        <v>4844</v>
      </c>
      <c r="C2993" t="s">
        <v>5051</v>
      </c>
      <c r="D2993" t="s">
        <v>2135</v>
      </c>
      <c r="E2993" t="s">
        <v>1055</v>
      </c>
      <c r="F2993" t="s">
        <v>843</v>
      </c>
      <c r="H2993" t="s">
        <v>17</v>
      </c>
      <c r="I2993" t="s">
        <v>845</v>
      </c>
    </row>
    <row r="2994" spans="1:9" hidden="1" x14ac:dyDescent="0.3">
      <c r="A2994" t="s">
        <v>5087</v>
      </c>
      <c r="B2994" t="s">
        <v>4844</v>
      </c>
      <c r="C2994" t="s">
        <v>5051</v>
      </c>
      <c r="D2994" t="s">
        <v>2135</v>
      </c>
      <c r="E2994" t="s">
        <v>80</v>
      </c>
      <c r="F2994" t="s">
        <v>747</v>
      </c>
      <c r="H2994" t="s">
        <v>17</v>
      </c>
      <c r="I2994" t="s">
        <v>4815</v>
      </c>
    </row>
    <row r="2995" spans="1:9" hidden="1" x14ac:dyDescent="0.3">
      <c r="A2995" t="s">
        <v>5089</v>
      </c>
      <c r="B2995" t="s">
        <v>4844</v>
      </c>
      <c r="C2995" t="s">
        <v>5051</v>
      </c>
      <c r="D2995" t="s">
        <v>2135</v>
      </c>
      <c r="E2995" t="s">
        <v>85</v>
      </c>
      <c r="F2995" t="s">
        <v>2926</v>
      </c>
      <c r="H2995" t="s">
        <v>17</v>
      </c>
      <c r="I2995" t="s">
        <v>5088</v>
      </c>
    </row>
    <row r="2996" spans="1:9" hidden="1" x14ac:dyDescent="0.3">
      <c r="A2996" t="s">
        <v>5092</v>
      </c>
      <c r="B2996" t="s">
        <v>4844</v>
      </c>
      <c r="C2996" t="s">
        <v>5051</v>
      </c>
      <c r="D2996" t="s">
        <v>2135</v>
      </c>
      <c r="E2996" t="s">
        <v>90</v>
      </c>
      <c r="F2996" t="s">
        <v>5090</v>
      </c>
      <c r="H2996" t="s">
        <v>17</v>
      </c>
      <c r="I2996" t="s">
        <v>5091</v>
      </c>
    </row>
    <row r="2997" spans="1:9" hidden="1" x14ac:dyDescent="0.3">
      <c r="A2997" t="s">
        <v>10</v>
      </c>
      <c r="B2997" t="s">
        <v>4844</v>
      </c>
      <c r="C2997" t="s">
        <v>5051</v>
      </c>
      <c r="D2997" t="s">
        <v>2135</v>
      </c>
      <c r="E2997" t="s">
        <v>1197</v>
      </c>
      <c r="F2997" t="s">
        <v>4783</v>
      </c>
      <c r="H2997" t="s">
        <v>17</v>
      </c>
    </row>
    <row r="2998" spans="1:9" hidden="1" x14ac:dyDescent="0.3">
      <c r="A2998" t="s">
        <v>1742</v>
      </c>
      <c r="B2998" t="s">
        <v>5093</v>
      </c>
      <c r="F2998" t="s">
        <v>5094</v>
      </c>
    </row>
    <row r="2999" spans="1:9" hidden="1" x14ac:dyDescent="0.3">
      <c r="A2999" t="s">
        <v>5096</v>
      </c>
      <c r="B2999" t="s">
        <v>5093</v>
      </c>
      <c r="C2999" t="s">
        <v>5095</v>
      </c>
      <c r="D2999" t="s">
        <v>13</v>
      </c>
      <c r="E2999" t="s">
        <v>14</v>
      </c>
      <c r="F2999" t="s">
        <v>3861</v>
      </c>
      <c r="H2999" t="s">
        <v>17</v>
      </c>
    </row>
    <row r="3000" spans="1:9" hidden="1" x14ac:dyDescent="0.3">
      <c r="A3000" t="s">
        <v>5099</v>
      </c>
      <c r="B3000" t="s">
        <v>5093</v>
      </c>
      <c r="C3000" t="s">
        <v>5095</v>
      </c>
      <c r="D3000" t="s">
        <v>13</v>
      </c>
      <c r="E3000" t="s">
        <v>1743</v>
      </c>
      <c r="F3000" t="s">
        <v>5097</v>
      </c>
      <c r="H3000" t="s">
        <v>17</v>
      </c>
      <c r="I3000" t="s">
        <v>5098</v>
      </c>
    </row>
    <row r="3001" spans="1:9" hidden="1" x14ac:dyDescent="0.3">
      <c r="A3001" t="s">
        <v>5101</v>
      </c>
      <c r="B3001" t="s">
        <v>5093</v>
      </c>
      <c r="C3001" t="s">
        <v>5095</v>
      </c>
      <c r="D3001" t="s">
        <v>13</v>
      </c>
      <c r="E3001" t="s">
        <v>996</v>
      </c>
      <c r="F3001" t="s">
        <v>5100</v>
      </c>
      <c r="H3001" t="s">
        <v>17</v>
      </c>
      <c r="I3001" t="s">
        <v>3880</v>
      </c>
    </row>
    <row r="3002" spans="1:9" hidden="1" x14ac:dyDescent="0.3">
      <c r="A3002" t="s">
        <v>5103</v>
      </c>
      <c r="B3002" t="s">
        <v>5093</v>
      </c>
      <c r="C3002" t="s">
        <v>5095</v>
      </c>
      <c r="D3002" t="s">
        <v>13</v>
      </c>
      <c r="E3002" t="s">
        <v>1001</v>
      </c>
      <c r="F3002" t="s">
        <v>5102</v>
      </c>
      <c r="H3002" t="s">
        <v>17</v>
      </c>
      <c r="I3002" t="s">
        <v>3880</v>
      </c>
    </row>
    <row r="3003" spans="1:9" hidden="1" x14ac:dyDescent="0.3">
      <c r="A3003" t="s">
        <v>3636</v>
      </c>
      <c r="B3003" t="s">
        <v>5093</v>
      </c>
      <c r="C3003" t="s">
        <v>5095</v>
      </c>
      <c r="D3003" t="s">
        <v>13</v>
      </c>
      <c r="E3003" t="s">
        <v>1942</v>
      </c>
      <c r="F3003" t="s">
        <v>5104</v>
      </c>
      <c r="H3003" t="s">
        <v>17</v>
      </c>
      <c r="I3003" t="s">
        <v>3880</v>
      </c>
    </row>
    <row r="3004" spans="1:9" hidden="1" x14ac:dyDescent="0.3">
      <c r="A3004" t="s">
        <v>3637</v>
      </c>
      <c r="B3004" t="s">
        <v>5093</v>
      </c>
      <c r="C3004" t="s">
        <v>5095</v>
      </c>
      <c r="D3004" t="s">
        <v>13</v>
      </c>
      <c r="E3004" t="s">
        <v>22</v>
      </c>
      <c r="F3004" t="s">
        <v>5105</v>
      </c>
      <c r="H3004" t="s">
        <v>17</v>
      </c>
      <c r="I3004" t="s">
        <v>3880</v>
      </c>
    </row>
    <row r="3005" spans="1:9" hidden="1" x14ac:dyDescent="0.3">
      <c r="A3005" t="s">
        <v>3638</v>
      </c>
      <c r="B3005" t="s">
        <v>5093</v>
      </c>
      <c r="C3005" t="s">
        <v>5095</v>
      </c>
      <c r="D3005" t="s">
        <v>13</v>
      </c>
      <c r="E3005" t="s">
        <v>27</v>
      </c>
      <c r="F3005" t="s">
        <v>5106</v>
      </c>
      <c r="H3005" t="s">
        <v>17</v>
      </c>
      <c r="I3005" t="s">
        <v>3880</v>
      </c>
    </row>
    <row r="3006" spans="1:9" hidden="1" x14ac:dyDescent="0.3">
      <c r="A3006" t="s">
        <v>3639</v>
      </c>
      <c r="B3006" t="s">
        <v>5093</v>
      </c>
      <c r="C3006" t="s">
        <v>5095</v>
      </c>
      <c r="D3006" t="s">
        <v>13</v>
      </c>
      <c r="E3006" t="s">
        <v>1014</v>
      </c>
      <c r="F3006" t="s">
        <v>5107</v>
      </c>
      <c r="H3006" t="s">
        <v>17</v>
      </c>
      <c r="I3006" t="s">
        <v>3880</v>
      </c>
    </row>
    <row r="3007" spans="1:9" hidden="1" x14ac:dyDescent="0.3">
      <c r="A3007" t="s">
        <v>3640</v>
      </c>
      <c r="B3007" t="s">
        <v>5093</v>
      </c>
      <c r="C3007" t="s">
        <v>5095</v>
      </c>
      <c r="D3007" t="s">
        <v>13</v>
      </c>
      <c r="E3007" t="s">
        <v>1017</v>
      </c>
      <c r="F3007" t="s">
        <v>5108</v>
      </c>
      <c r="H3007" t="s">
        <v>17</v>
      </c>
      <c r="I3007" t="s">
        <v>5109</v>
      </c>
    </row>
    <row r="3008" spans="1:9" hidden="1" x14ac:dyDescent="0.3">
      <c r="A3008" t="s">
        <v>3641</v>
      </c>
      <c r="B3008" t="s">
        <v>5093</v>
      </c>
      <c r="C3008" t="s">
        <v>5095</v>
      </c>
      <c r="D3008" t="s">
        <v>13</v>
      </c>
      <c r="E3008" t="s">
        <v>36</v>
      </c>
      <c r="F3008" t="s">
        <v>5110</v>
      </c>
      <c r="H3008" t="s">
        <v>17</v>
      </c>
      <c r="I3008" t="s">
        <v>3880</v>
      </c>
    </row>
    <row r="3009" spans="1:9" hidden="1" x14ac:dyDescent="0.3">
      <c r="A3009" t="s">
        <v>5113</v>
      </c>
      <c r="B3009" t="s">
        <v>5093</v>
      </c>
      <c r="C3009" t="s">
        <v>5095</v>
      </c>
      <c r="D3009" t="s">
        <v>13</v>
      </c>
      <c r="E3009" t="s">
        <v>50</v>
      </c>
      <c r="F3009" t="s">
        <v>5111</v>
      </c>
      <c r="H3009" t="s">
        <v>17</v>
      </c>
      <c r="I3009" t="s">
        <v>5112</v>
      </c>
    </row>
    <row r="3010" spans="1:9" hidden="1" x14ac:dyDescent="0.3">
      <c r="A3010" t="s">
        <v>3643</v>
      </c>
      <c r="B3010" t="s">
        <v>5093</v>
      </c>
      <c r="C3010" t="s">
        <v>5095</v>
      </c>
      <c r="D3010" t="s">
        <v>13</v>
      </c>
      <c r="E3010" t="s">
        <v>53</v>
      </c>
      <c r="F3010" t="s">
        <v>5114</v>
      </c>
      <c r="H3010" t="s">
        <v>17</v>
      </c>
      <c r="I3010" t="s">
        <v>5115</v>
      </c>
    </row>
    <row r="3011" spans="1:9" hidden="1" x14ac:dyDescent="0.3">
      <c r="A3011" t="s">
        <v>5118</v>
      </c>
      <c r="B3011" t="s">
        <v>5093</v>
      </c>
      <c r="C3011" t="s">
        <v>5095</v>
      </c>
      <c r="D3011" t="s">
        <v>13</v>
      </c>
      <c r="E3011" t="s">
        <v>56</v>
      </c>
      <c r="F3011" t="s">
        <v>5116</v>
      </c>
      <c r="H3011" t="s">
        <v>17</v>
      </c>
      <c r="I3011" t="s">
        <v>5117</v>
      </c>
    </row>
    <row r="3012" spans="1:9" hidden="1" x14ac:dyDescent="0.3">
      <c r="A3012" t="s">
        <v>3645</v>
      </c>
      <c r="B3012" t="s">
        <v>5093</v>
      </c>
      <c r="C3012" t="s">
        <v>5095</v>
      </c>
      <c r="D3012" t="s">
        <v>13</v>
      </c>
      <c r="E3012" t="s">
        <v>1039</v>
      </c>
      <c r="F3012" t="s">
        <v>5119</v>
      </c>
      <c r="H3012" t="s">
        <v>17</v>
      </c>
      <c r="I3012" t="s">
        <v>5109</v>
      </c>
    </row>
    <row r="3013" spans="1:9" hidden="1" x14ac:dyDescent="0.3">
      <c r="A3013" t="s">
        <v>3646</v>
      </c>
      <c r="B3013" t="s">
        <v>5093</v>
      </c>
      <c r="C3013" t="s">
        <v>5095</v>
      </c>
      <c r="D3013" t="s">
        <v>13</v>
      </c>
      <c r="E3013" t="s">
        <v>1043</v>
      </c>
      <c r="F3013" t="s">
        <v>5120</v>
      </c>
      <c r="H3013" t="s">
        <v>17</v>
      </c>
      <c r="I3013" t="s">
        <v>5121</v>
      </c>
    </row>
    <row r="3014" spans="1:9" hidden="1" x14ac:dyDescent="0.3">
      <c r="A3014" t="s">
        <v>3647</v>
      </c>
      <c r="B3014" t="s">
        <v>5093</v>
      </c>
      <c r="C3014" t="s">
        <v>5095</v>
      </c>
      <c r="D3014" t="s">
        <v>13</v>
      </c>
      <c r="E3014" t="s">
        <v>71</v>
      </c>
      <c r="F3014" t="s">
        <v>5122</v>
      </c>
      <c r="H3014" t="s">
        <v>17</v>
      </c>
      <c r="I3014" t="s">
        <v>5123</v>
      </c>
    </row>
    <row r="3015" spans="1:9" hidden="1" x14ac:dyDescent="0.3">
      <c r="A3015" t="s">
        <v>3648</v>
      </c>
      <c r="B3015" t="s">
        <v>5093</v>
      </c>
      <c r="C3015" t="s">
        <v>5095</v>
      </c>
      <c r="D3015" t="s">
        <v>13</v>
      </c>
      <c r="E3015" t="s">
        <v>1050</v>
      </c>
      <c r="F3015" t="s">
        <v>5124</v>
      </c>
      <c r="H3015" t="s">
        <v>17</v>
      </c>
    </row>
    <row r="3016" spans="1:9" hidden="1" x14ac:dyDescent="0.3">
      <c r="A3016" t="s">
        <v>3649</v>
      </c>
      <c r="B3016" t="s">
        <v>5093</v>
      </c>
      <c r="C3016" t="s">
        <v>5095</v>
      </c>
      <c r="D3016" t="s">
        <v>13</v>
      </c>
      <c r="E3016" t="s">
        <v>1055</v>
      </c>
      <c r="F3016" t="s">
        <v>5125</v>
      </c>
      <c r="H3016" t="s">
        <v>17</v>
      </c>
      <c r="I3016" t="s">
        <v>5126</v>
      </c>
    </row>
    <row r="3017" spans="1:9" hidden="1" x14ac:dyDescent="0.3">
      <c r="A3017" t="s">
        <v>3650</v>
      </c>
      <c r="B3017" t="s">
        <v>5093</v>
      </c>
      <c r="C3017" t="s">
        <v>5095</v>
      </c>
      <c r="D3017" t="s">
        <v>13</v>
      </c>
      <c r="E3017" t="s">
        <v>80</v>
      </c>
      <c r="F3017" t="s">
        <v>5127</v>
      </c>
      <c r="H3017" t="s">
        <v>17</v>
      </c>
      <c r="I3017" t="s">
        <v>3880</v>
      </c>
    </row>
    <row r="3018" spans="1:9" hidden="1" x14ac:dyDescent="0.3">
      <c r="A3018" t="s">
        <v>3651</v>
      </c>
      <c r="B3018" t="s">
        <v>5093</v>
      </c>
      <c r="C3018" t="s">
        <v>5095</v>
      </c>
      <c r="D3018" t="s">
        <v>13</v>
      </c>
      <c r="E3018" t="s">
        <v>85</v>
      </c>
      <c r="F3018" t="s">
        <v>5128</v>
      </c>
      <c r="H3018" t="s">
        <v>17</v>
      </c>
      <c r="I3018" t="s">
        <v>3880</v>
      </c>
    </row>
    <row r="3019" spans="1:9" hidden="1" x14ac:dyDescent="0.3">
      <c r="A3019" t="s">
        <v>3652</v>
      </c>
      <c r="B3019" t="s">
        <v>5093</v>
      </c>
      <c r="C3019" t="s">
        <v>5095</v>
      </c>
      <c r="D3019" t="s">
        <v>13</v>
      </c>
      <c r="E3019" t="s">
        <v>90</v>
      </c>
      <c r="F3019" t="s">
        <v>5129</v>
      </c>
      <c r="H3019" t="s">
        <v>17</v>
      </c>
      <c r="I3019" t="s">
        <v>3880</v>
      </c>
    </row>
    <row r="3020" spans="1:9" hidden="1" x14ac:dyDescent="0.3">
      <c r="A3020" t="s">
        <v>3653</v>
      </c>
      <c r="B3020" t="s">
        <v>5093</v>
      </c>
      <c r="C3020" t="s">
        <v>5095</v>
      </c>
      <c r="D3020" t="s">
        <v>13</v>
      </c>
      <c r="E3020" t="s">
        <v>95</v>
      </c>
      <c r="F3020" t="s">
        <v>5130</v>
      </c>
      <c r="H3020" t="s">
        <v>17</v>
      </c>
      <c r="I3020" t="s">
        <v>3880</v>
      </c>
    </row>
    <row r="3021" spans="1:9" hidden="1" x14ac:dyDescent="0.3">
      <c r="A3021" t="s">
        <v>3654</v>
      </c>
      <c r="B3021" t="s">
        <v>5093</v>
      </c>
      <c r="C3021" t="s">
        <v>5095</v>
      </c>
      <c r="D3021" t="s">
        <v>13</v>
      </c>
      <c r="E3021" t="s">
        <v>1068</v>
      </c>
      <c r="F3021" t="s">
        <v>5131</v>
      </c>
      <c r="H3021" t="s">
        <v>17</v>
      </c>
      <c r="I3021" t="s">
        <v>5132</v>
      </c>
    </row>
    <row r="3022" spans="1:9" hidden="1" x14ac:dyDescent="0.3">
      <c r="A3022" t="s">
        <v>3655</v>
      </c>
      <c r="B3022" t="s">
        <v>5093</v>
      </c>
      <c r="C3022" t="s">
        <v>5095</v>
      </c>
      <c r="D3022" t="s">
        <v>13</v>
      </c>
      <c r="E3022" t="s">
        <v>111</v>
      </c>
      <c r="F3022" t="s">
        <v>5133</v>
      </c>
      <c r="H3022" t="s">
        <v>17</v>
      </c>
      <c r="I3022" t="s">
        <v>5134</v>
      </c>
    </row>
    <row r="3023" spans="1:9" hidden="1" x14ac:dyDescent="0.3">
      <c r="A3023" t="s">
        <v>3656</v>
      </c>
      <c r="B3023" t="s">
        <v>5093</v>
      </c>
      <c r="C3023" t="s">
        <v>5095</v>
      </c>
      <c r="D3023" t="s">
        <v>13</v>
      </c>
      <c r="E3023" t="s">
        <v>114</v>
      </c>
      <c r="F3023" t="s">
        <v>5135</v>
      </c>
      <c r="H3023" t="s">
        <v>17</v>
      </c>
      <c r="I3023" t="s">
        <v>5136</v>
      </c>
    </row>
    <row r="3024" spans="1:9" hidden="1" x14ac:dyDescent="0.3">
      <c r="A3024" t="s">
        <v>3657</v>
      </c>
      <c r="B3024" t="s">
        <v>5093</v>
      </c>
      <c r="C3024" t="s">
        <v>5095</v>
      </c>
      <c r="D3024" t="s">
        <v>13</v>
      </c>
      <c r="E3024" t="s">
        <v>117</v>
      </c>
      <c r="F3024" t="s">
        <v>5137</v>
      </c>
      <c r="H3024" t="s">
        <v>17</v>
      </c>
      <c r="I3024" t="s">
        <v>5138</v>
      </c>
    </row>
    <row r="3025" spans="1:9" hidden="1" x14ac:dyDescent="0.3">
      <c r="A3025" t="s">
        <v>3658</v>
      </c>
      <c r="B3025" t="s">
        <v>5093</v>
      </c>
      <c r="C3025" t="s">
        <v>5095</v>
      </c>
      <c r="D3025" t="s">
        <v>13</v>
      </c>
      <c r="E3025" t="s">
        <v>121</v>
      </c>
      <c r="F3025" t="s">
        <v>5139</v>
      </c>
      <c r="H3025" t="s">
        <v>17</v>
      </c>
      <c r="I3025" t="s">
        <v>5140</v>
      </c>
    </row>
    <row r="3026" spans="1:9" hidden="1" x14ac:dyDescent="0.3">
      <c r="A3026" t="s">
        <v>3659</v>
      </c>
      <c r="B3026" t="s">
        <v>5093</v>
      </c>
      <c r="C3026" t="s">
        <v>5095</v>
      </c>
      <c r="D3026" t="s">
        <v>13</v>
      </c>
      <c r="E3026" t="s">
        <v>126</v>
      </c>
      <c r="F3026" t="s">
        <v>4104</v>
      </c>
      <c r="H3026" t="s">
        <v>17</v>
      </c>
      <c r="I3026" t="s">
        <v>5141</v>
      </c>
    </row>
    <row r="3027" spans="1:9" hidden="1" x14ac:dyDescent="0.3">
      <c r="A3027" t="s">
        <v>3660</v>
      </c>
      <c r="B3027" t="s">
        <v>5093</v>
      </c>
      <c r="C3027" t="s">
        <v>5095</v>
      </c>
      <c r="D3027" t="s">
        <v>13</v>
      </c>
      <c r="E3027" t="s">
        <v>129</v>
      </c>
      <c r="F3027" t="s">
        <v>3970</v>
      </c>
      <c r="H3027" t="s">
        <v>17</v>
      </c>
      <c r="I3027" t="s">
        <v>5141</v>
      </c>
    </row>
    <row r="3028" spans="1:9" hidden="1" x14ac:dyDescent="0.3">
      <c r="A3028" t="s">
        <v>3661</v>
      </c>
      <c r="B3028" t="s">
        <v>5093</v>
      </c>
      <c r="C3028" t="s">
        <v>5095</v>
      </c>
      <c r="D3028" t="s">
        <v>13</v>
      </c>
      <c r="E3028" t="s">
        <v>132</v>
      </c>
      <c r="F3028" t="s">
        <v>5142</v>
      </c>
      <c r="H3028" t="s">
        <v>17</v>
      </c>
      <c r="I3028" t="s">
        <v>5141</v>
      </c>
    </row>
    <row r="3029" spans="1:9" hidden="1" x14ac:dyDescent="0.3">
      <c r="A3029" t="s">
        <v>3662</v>
      </c>
      <c r="B3029" t="s">
        <v>5093</v>
      </c>
      <c r="C3029" t="s">
        <v>5095</v>
      </c>
      <c r="D3029" t="s">
        <v>13</v>
      </c>
      <c r="E3029" t="s">
        <v>135</v>
      </c>
      <c r="F3029" t="s">
        <v>5143</v>
      </c>
      <c r="H3029" t="s">
        <v>17</v>
      </c>
      <c r="I3029" t="s">
        <v>5141</v>
      </c>
    </row>
    <row r="3030" spans="1:9" hidden="1" x14ac:dyDescent="0.3">
      <c r="A3030" t="s">
        <v>3663</v>
      </c>
      <c r="B3030" t="s">
        <v>5093</v>
      </c>
      <c r="C3030" t="s">
        <v>5095</v>
      </c>
      <c r="D3030" t="s">
        <v>13</v>
      </c>
      <c r="E3030" t="s">
        <v>138</v>
      </c>
      <c r="F3030" t="s">
        <v>5144</v>
      </c>
      <c r="H3030" t="s">
        <v>17</v>
      </c>
      <c r="I3030" t="s">
        <v>5141</v>
      </c>
    </row>
    <row r="3031" spans="1:9" hidden="1" x14ac:dyDescent="0.3">
      <c r="A3031" t="s">
        <v>3664</v>
      </c>
      <c r="B3031" t="s">
        <v>5093</v>
      </c>
      <c r="C3031" t="s">
        <v>5095</v>
      </c>
      <c r="D3031" t="s">
        <v>13</v>
      </c>
      <c r="E3031" t="s">
        <v>141</v>
      </c>
      <c r="F3031" t="s">
        <v>5145</v>
      </c>
      <c r="H3031" t="s">
        <v>17</v>
      </c>
      <c r="I3031" t="s">
        <v>5141</v>
      </c>
    </row>
    <row r="3032" spans="1:9" hidden="1" x14ac:dyDescent="0.3">
      <c r="A3032" t="s">
        <v>3665</v>
      </c>
      <c r="B3032" t="s">
        <v>5093</v>
      </c>
      <c r="C3032" t="s">
        <v>5095</v>
      </c>
      <c r="D3032" t="s">
        <v>13</v>
      </c>
      <c r="E3032" t="s">
        <v>144</v>
      </c>
      <c r="F3032" t="s">
        <v>5146</v>
      </c>
      <c r="H3032" t="s">
        <v>17</v>
      </c>
      <c r="I3032" t="s">
        <v>5141</v>
      </c>
    </row>
    <row r="3033" spans="1:9" hidden="1" x14ac:dyDescent="0.3">
      <c r="A3033" t="s">
        <v>3666</v>
      </c>
      <c r="B3033" t="s">
        <v>5093</v>
      </c>
      <c r="C3033" t="s">
        <v>5095</v>
      </c>
      <c r="D3033" t="s">
        <v>13</v>
      </c>
      <c r="E3033" t="s">
        <v>147</v>
      </c>
      <c r="F3033" t="s">
        <v>5147</v>
      </c>
      <c r="H3033" t="s">
        <v>17</v>
      </c>
      <c r="I3033" t="s">
        <v>5148</v>
      </c>
    </row>
    <row r="3034" spans="1:9" hidden="1" x14ac:dyDescent="0.3">
      <c r="A3034" t="s">
        <v>3667</v>
      </c>
      <c r="B3034" t="s">
        <v>5093</v>
      </c>
      <c r="C3034" t="s">
        <v>5095</v>
      </c>
      <c r="D3034" t="s">
        <v>13</v>
      </c>
      <c r="E3034" t="s">
        <v>152</v>
      </c>
      <c r="F3034" t="s">
        <v>5149</v>
      </c>
      <c r="H3034" t="s">
        <v>17</v>
      </c>
      <c r="I3034" t="s">
        <v>5148</v>
      </c>
    </row>
    <row r="3035" spans="1:9" hidden="1" x14ac:dyDescent="0.3">
      <c r="A3035" t="s">
        <v>3668</v>
      </c>
      <c r="B3035" t="s">
        <v>5093</v>
      </c>
      <c r="C3035" t="s">
        <v>5095</v>
      </c>
      <c r="D3035" t="s">
        <v>13</v>
      </c>
      <c r="E3035" t="s">
        <v>157</v>
      </c>
      <c r="F3035" t="s">
        <v>5150</v>
      </c>
      <c r="H3035" t="s">
        <v>17</v>
      </c>
      <c r="I3035" t="s">
        <v>5151</v>
      </c>
    </row>
    <row r="3036" spans="1:9" hidden="1" x14ac:dyDescent="0.3">
      <c r="A3036" t="s">
        <v>3669</v>
      </c>
      <c r="B3036" t="s">
        <v>5093</v>
      </c>
      <c r="C3036" t="s">
        <v>5095</v>
      </c>
      <c r="D3036" t="s">
        <v>13</v>
      </c>
      <c r="E3036" t="s">
        <v>162</v>
      </c>
      <c r="F3036" t="s">
        <v>5152</v>
      </c>
      <c r="H3036" t="s">
        <v>17</v>
      </c>
      <c r="I3036" t="s">
        <v>5153</v>
      </c>
    </row>
    <row r="3037" spans="1:9" hidden="1" x14ac:dyDescent="0.3">
      <c r="A3037" t="s">
        <v>3671</v>
      </c>
      <c r="B3037" t="s">
        <v>5093</v>
      </c>
      <c r="C3037" t="s">
        <v>5095</v>
      </c>
      <c r="D3037" t="s">
        <v>13</v>
      </c>
      <c r="E3037" t="s">
        <v>167</v>
      </c>
      <c r="F3037" t="s">
        <v>5154</v>
      </c>
      <c r="H3037" t="s">
        <v>17</v>
      </c>
      <c r="I3037" t="s">
        <v>5155</v>
      </c>
    </row>
    <row r="3038" spans="1:9" hidden="1" x14ac:dyDescent="0.3">
      <c r="A3038" t="s">
        <v>3672</v>
      </c>
      <c r="B3038" t="s">
        <v>5093</v>
      </c>
      <c r="C3038" t="s">
        <v>5095</v>
      </c>
      <c r="D3038" t="s">
        <v>13</v>
      </c>
      <c r="E3038" t="s">
        <v>172</v>
      </c>
      <c r="F3038" t="s">
        <v>5156</v>
      </c>
      <c r="H3038" t="s">
        <v>17</v>
      </c>
      <c r="I3038" t="s">
        <v>5157</v>
      </c>
    </row>
    <row r="3039" spans="1:9" hidden="1" x14ac:dyDescent="0.3">
      <c r="A3039" t="s">
        <v>3673</v>
      </c>
      <c r="B3039" t="s">
        <v>5093</v>
      </c>
      <c r="C3039" t="s">
        <v>5095</v>
      </c>
      <c r="D3039" t="s">
        <v>13</v>
      </c>
      <c r="E3039" t="s">
        <v>177</v>
      </c>
      <c r="F3039" t="s">
        <v>5158</v>
      </c>
      <c r="H3039" t="s">
        <v>17</v>
      </c>
      <c r="I3039" t="s">
        <v>3880</v>
      </c>
    </row>
    <row r="3040" spans="1:9" hidden="1" x14ac:dyDescent="0.3">
      <c r="A3040" t="s">
        <v>3674</v>
      </c>
      <c r="B3040" t="s">
        <v>5093</v>
      </c>
      <c r="C3040" t="s">
        <v>5095</v>
      </c>
      <c r="D3040" t="s">
        <v>13</v>
      </c>
      <c r="E3040" t="s">
        <v>182</v>
      </c>
      <c r="F3040" t="s">
        <v>5159</v>
      </c>
      <c r="H3040" t="s">
        <v>17</v>
      </c>
      <c r="I3040" t="s">
        <v>5160</v>
      </c>
    </row>
    <row r="3041" spans="1:9" hidden="1" x14ac:dyDescent="0.3">
      <c r="A3041" t="s">
        <v>3675</v>
      </c>
      <c r="B3041" t="s">
        <v>5093</v>
      </c>
      <c r="C3041" t="s">
        <v>5095</v>
      </c>
      <c r="D3041" t="s">
        <v>13</v>
      </c>
      <c r="E3041" t="s">
        <v>187</v>
      </c>
      <c r="F3041" t="s">
        <v>5161</v>
      </c>
      <c r="H3041" t="s">
        <v>17</v>
      </c>
      <c r="I3041" t="s">
        <v>5160</v>
      </c>
    </row>
    <row r="3042" spans="1:9" hidden="1" x14ac:dyDescent="0.3">
      <c r="A3042" t="s">
        <v>3676</v>
      </c>
      <c r="B3042" t="s">
        <v>5093</v>
      </c>
      <c r="C3042" t="s">
        <v>5095</v>
      </c>
      <c r="D3042" t="s">
        <v>13</v>
      </c>
      <c r="E3042" t="s">
        <v>193</v>
      </c>
      <c r="F3042" t="s">
        <v>5162</v>
      </c>
      <c r="H3042" t="s">
        <v>17</v>
      </c>
      <c r="I3042" t="s">
        <v>5163</v>
      </c>
    </row>
    <row r="3043" spans="1:9" hidden="1" x14ac:dyDescent="0.3">
      <c r="A3043" t="s">
        <v>3677</v>
      </c>
      <c r="B3043" t="s">
        <v>5093</v>
      </c>
      <c r="C3043" t="s">
        <v>5095</v>
      </c>
      <c r="D3043" t="s">
        <v>13</v>
      </c>
      <c r="E3043" t="s">
        <v>198</v>
      </c>
      <c r="F3043" t="s">
        <v>5164</v>
      </c>
      <c r="H3043" t="s">
        <v>17</v>
      </c>
      <c r="I3043" t="s">
        <v>5165</v>
      </c>
    </row>
    <row r="3044" spans="1:9" hidden="1" x14ac:dyDescent="0.3">
      <c r="A3044" t="s">
        <v>3678</v>
      </c>
      <c r="B3044" t="s">
        <v>5093</v>
      </c>
      <c r="C3044" t="s">
        <v>5095</v>
      </c>
      <c r="D3044" t="s">
        <v>13</v>
      </c>
      <c r="E3044" t="s">
        <v>202</v>
      </c>
      <c r="F3044" t="s">
        <v>5166</v>
      </c>
      <c r="H3044" t="s">
        <v>17</v>
      </c>
      <c r="I3044" t="s">
        <v>3880</v>
      </c>
    </row>
    <row r="3045" spans="1:9" hidden="1" x14ac:dyDescent="0.3">
      <c r="A3045" t="s">
        <v>3679</v>
      </c>
      <c r="B3045" t="s">
        <v>5093</v>
      </c>
      <c r="C3045" t="s">
        <v>5095</v>
      </c>
      <c r="D3045" t="s">
        <v>13</v>
      </c>
      <c r="E3045" t="s">
        <v>206</v>
      </c>
      <c r="F3045" t="s">
        <v>5167</v>
      </c>
      <c r="H3045" t="s">
        <v>17</v>
      </c>
      <c r="I3045" t="s">
        <v>5168</v>
      </c>
    </row>
    <row r="3046" spans="1:9" x14ac:dyDescent="0.3">
      <c r="A3046" t="s">
        <v>3680</v>
      </c>
      <c r="B3046" t="s">
        <v>5093</v>
      </c>
      <c r="C3046" t="s">
        <v>5095</v>
      </c>
      <c r="D3046" t="s">
        <v>13</v>
      </c>
      <c r="E3046" t="s">
        <v>210</v>
      </c>
      <c r="F3046" t="s">
        <v>5169</v>
      </c>
      <c r="H3046" t="s">
        <v>17</v>
      </c>
      <c r="I3046" t="s">
        <v>5170</v>
      </c>
    </row>
    <row r="3047" spans="1:9" hidden="1" x14ac:dyDescent="0.3">
      <c r="A3047" t="s">
        <v>3681</v>
      </c>
      <c r="B3047" t="s">
        <v>5093</v>
      </c>
      <c r="C3047" t="s">
        <v>5095</v>
      </c>
      <c r="D3047" t="s">
        <v>13</v>
      </c>
      <c r="E3047" t="s">
        <v>2922</v>
      </c>
      <c r="F3047" t="s">
        <v>4349</v>
      </c>
      <c r="H3047" t="s">
        <v>17</v>
      </c>
      <c r="I3047" t="s">
        <v>5171</v>
      </c>
    </row>
    <row r="3048" spans="1:9" hidden="1" x14ac:dyDescent="0.3">
      <c r="A3048" t="s">
        <v>3682</v>
      </c>
      <c r="B3048" t="s">
        <v>5093</v>
      </c>
      <c r="C3048" t="s">
        <v>5095</v>
      </c>
      <c r="D3048" t="s">
        <v>13</v>
      </c>
      <c r="E3048" t="s">
        <v>2924</v>
      </c>
      <c r="F3048" t="s">
        <v>5172</v>
      </c>
      <c r="H3048" t="s">
        <v>17</v>
      </c>
      <c r="I3048" t="s">
        <v>5173</v>
      </c>
    </row>
    <row r="3049" spans="1:9" hidden="1" x14ac:dyDescent="0.3">
      <c r="A3049" t="s">
        <v>3683</v>
      </c>
      <c r="B3049" t="s">
        <v>5093</v>
      </c>
      <c r="C3049" t="s">
        <v>5095</v>
      </c>
      <c r="D3049" t="s">
        <v>13</v>
      </c>
      <c r="E3049" t="s">
        <v>2925</v>
      </c>
      <c r="F3049" t="s">
        <v>4385</v>
      </c>
      <c r="H3049" t="s">
        <v>17</v>
      </c>
      <c r="I3049" t="s">
        <v>5174</v>
      </c>
    </row>
    <row r="3050" spans="1:9" hidden="1" x14ac:dyDescent="0.3">
      <c r="A3050" t="s">
        <v>3684</v>
      </c>
      <c r="B3050" t="s">
        <v>5093</v>
      </c>
      <c r="C3050" t="s">
        <v>5095</v>
      </c>
      <c r="D3050" t="s">
        <v>13</v>
      </c>
      <c r="E3050" t="s">
        <v>239</v>
      </c>
      <c r="F3050" t="s">
        <v>843</v>
      </c>
      <c r="H3050" t="s">
        <v>17</v>
      </c>
      <c r="I3050" t="s">
        <v>845</v>
      </c>
    </row>
    <row r="3051" spans="1:9" hidden="1" x14ac:dyDescent="0.3">
      <c r="A3051" t="s">
        <v>3685</v>
      </c>
      <c r="B3051" t="s">
        <v>5093</v>
      </c>
      <c r="C3051" t="s">
        <v>5095</v>
      </c>
      <c r="D3051" t="s">
        <v>13</v>
      </c>
      <c r="E3051" t="s">
        <v>1881</v>
      </c>
      <c r="F3051" t="s">
        <v>797</v>
      </c>
      <c r="H3051" t="s">
        <v>17</v>
      </c>
      <c r="I3051" t="s">
        <v>5175</v>
      </c>
    </row>
    <row r="3052" spans="1:9" hidden="1" x14ac:dyDescent="0.3">
      <c r="A3052" t="s">
        <v>3686</v>
      </c>
      <c r="B3052" t="s">
        <v>5093</v>
      </c>
      <c r="C3052" t="s">
        <v>5095</v>
      </c>
      <c r="D3052" t="s">
        <v>13</v>
      </c>
      <c r="E3052" t="s">
        <v>1885</v>
      </c>
      <c r="F3052" t="s">
        <v>747</v>
      </c>
      <c r="H3052" t="s">
        <v>17</v>
      </c>
      <c r="I3052" t="s">
        <v>4815</v>
      </c>
    </row>
    <row r="3053" spans="1:9" hidden="1" x14ac:dyDescent="0.3">
      <c r="A3053" t="s">
        <v>3687</v>
      </c>
      <c r="B3053" t="s">
        <v>5093</v>
      </c>
      <c r="C3053" t="s">
        <v>5095</v>
      </c>
      <c r="D3053" t="s">
        <v>13</v>
      </c>
      <c r="E3053" t="s">
        <v>1588</v>
      </c>
      <c r="F3053" t="s">
        <v>5176</v>
      </c>
      <c r="H3053" t="s">
        <v>17</v>
      </c>
      <c r="I3053" t="s">
        <v>5177</v>
      </c>
    </row>
    <row r="3054" spans="1:9" hidden="1" x14ac:dyDescent="0.3">
      <c r="A3054" t="s">
        <v>3688</v>
      </c>
      <c r="B3054" t="s">
        <v>5093</v>
      </c>
      <c r="C3054" t="s">
        <v>5095</v>
      </c>
      <c r="D3054" t="s">
        <v>13</v>
      </c>
      <c r="E3054" t="s">
        <v>1892</v>
      </c>
      <c r="F3054" t="s">
        <v>2918</v>
      </c>
      <c r="H3054" t="s">
        <v>17</v>
      </c>
      <c r="I3054" t="s">
        <v>5178</v>
      </c>
    </row>
    <row r="3055" spans="1:9" hidden="1" x14ac:dyDescent="0.3">
      <c r="A3055" t="s">
        <v>3689</v>
      </c>
      <c r="B3055" t="s">
        <v>5093</v>
      </c>
      <c r="C3055" t="s">
        <v>5095</v>
      </c>
      <c r="D3055" t="s">
        <v>13</v>
      </c>
      <c r="E3055" t="s">
        <v>1146</v>
      </c>
      <c r="F3055" t="s">
        <v>4819</v>
      </c>
      <c r="H3055" t="s">
        <v>17</v>
      </c>
      <c r="I3055" t="s">
        <v>5179</v>
      </c>
    </row>
    <row r="3056" spans="1:9" hidden="1" x14ac:dyDescent="0.3">
      <c r="A3056" t="s">
        <v>10</v>
      </c>
      <c r="B3056" t="s">
        <v>5093</v>
      </c>
      <c r="C3056" t="s">
        <v>5095</v>
      </c>
      <c r="D3056" t="s">
        <v>13</v>
      </c>
      <c r="E3056" t="s">
        <v>1150</v>
      </c>
      <c r="F3056" t="s">
        <v>3984</v>
      </c>
      <c r="H3056" t="s">
        <v>17</v>
      </c>
      <c r="I3056" t="s">
        <v>4188</v>
      </c>
    </row>
    <row r="3057" spans="1:9" hidden="1" x14ac:dyDescent="0.3">
      <c r="A3057" t="s">
        <v>1742</v>
      </c>
      <c r="B3057" t="s">
        <v>5180</v>
      </c>
      <c r="F3057" t="s">
        <v>5181</v>
      </c>
    </row>
    <row r="3058" spans="1:9" hidden="1" x14ac:dyDescent="0.3">
      <c r="A3058" t="s">
        <v>5183</v>
      </c>
      <c r="B3058" t="s">
        <v>5180</v>
      </c>
      <c r="C3058" t="s">
        <v>5182</v>
      </c>
      <c r="D3058" t="s">
        <v>13</v>
      </c>
      <c r="E3058" t="s">
        <v>14</v>
      </c>
      <c r="F3058" t="s">
        <v>3861</v>
      </c>
      <c r="H3058" t="s">
        <v>17</v>
      </c>
    </row>
    <row r="3059" spans="1:9" hidden="1" x14ac:dyDescent="0.3">
      <c r="A3059" t="s">
        <v>5185</v>
      </c>
      <c r="B3059" t="s">
        <v>5180</v>
      </c>
      <c r="C3059" t="s">
        <v>5182</v>
      </c>
      <c r="D3059" t="s">
        <v>13</v>
      </c>
      <c r="E3059" t="s">
        <v>1743</v>
      </c>
      <c r="F3059" t="s">
        <v>5184</v>
      </c>
      <c r="H3059" t="s">
        <v>17</v>
      </c>
      <c r="I3059" t="s">
        <v>5160</v>
      </c>
    </row>
    <row r="3060" spans="1:9" hidden="1" x14ac:dyDescent="0.3">
      <c r="A3060" t="s">
        <v>5186</v>
      </c>
      <c r="B3060" t="s">
        <v>5180</v>
      </c>
      <c r="C3060" t="s">
        <v>5182</v>
      </c>
      <c r="D3060" t="s">
        <v>13</v>
      </c>
      <c r="E3060" t="s">
        <v>996</v>
      </c>
      <c r="F3060" t="s">
        <v>4728</v>
      </c>
      <c r="H3060" t="s">
        <v>17</v>
      </c>
      <c r="I3060" t="s">
        <v>5160</v>
      </c>
    </row>
    <row r="3061" spans="1:9" hidden="1" x14ac:dyDescent="0.3">
      <c r="A3061" t="s">
        <v>5189</v>
      </c>
      <c r="B3061" t="s">
        <v>5180</v>
      </c>
      <c r="C3061" t="s">
        <v>5182</v>
      </c>
      <c r="D3061" t="s">
        <v>13</v>
      </c>
      <c r="E3061" t="s">
        <v>1001</v>
      </c>
      <c r="F3061" t="s">
        <v>5187</v>
      </c>
      <c r="H3061" t="s">
        <v>17</v>
      </c>
      <c r="I3061" t="s">
        <v>5188</v>
      </c>
    </row>
    <row r="3062" spans="1:9" hidden="1" x14ac:dyDescent="0.3">
      <c r="A3062" t="s">
        <v>3757</v>
      </c>
      <c r="B3062" t="s">
        <v>5180</v>
      </c>
      <c r="C3062" t="s">
        <v>5182</v>
      </c>
      <c r="D3062" t="s">
        <v>13</v>
      </c>
      <c r="E3062" t="s">
        <v>1942</v>
      </c>
      <c r="F3062" t="s">
        <v>5190</v>
      </c>
      <c r="H3062" t="s">
        <v>17</v>
      </c>
      <c r="I3062" t="s">
        <v>3880</v>
      </c>
    </row>
    <row r="3063" spans="1:9" hidden="1" x14ac:dyDescent="0.3">
      <c r="A3063" t="s">
        <v>3758</v>
      </c>
      <c r="B3063" t="s">
        <v>5180</v>
      </c>
      <c r="C3063" t="s">
        <v>5182</v>
      </c>
      <c r="D3063" t="s">
        <v>13</v>
      </c>
      <c r="E3063" t="s">
        <v>22</v>
      </c>
      <c r="F3063" t="s">
        <v>5191</v>
      </c>
      <c r="H3063" t="s">
        <v>17</v>
      </c>
      <c r="I3063" t="s">
        <v>3880</v>
      </c>
    </row>
    <row r="3064" spans="1:9" hidden="1" x14ac:dyDescent="0.3">
      <c r="A3064" t="s">
        <v>3759</v>
      </c>
      <c r="B3064" t="s">
        <v>5180</v>
      </c>
      <c r="C3064" t="s">
        <v>5182</v>
      </c>
      <c r="D3064" t="s">
        <v>13</v>
      </c>
      <c r="E3064" t="s">
        <v>27</v>
      </c>
      <c r="F3064" t="s">
        <v>5192</v>
      </c>
      <c r="H3064" t="s">
        <v>17</v>
      </c>
      <c r="I3064" t="s">
        <v>3880</v>
      </c>
    </row>
    <row r="3065" spans="1:9" hidden="1" x14ac:dyDescent="0.3">
      <c r="A3065" t="s">
        <v>3760</v>
      </c>
      <c r="B3065" t="s">
        <v>5180</v>
      </c>
      <c r="C3065" t="s">
        <v>5182</v>
      </c>
      <c r="D3065" t="s">
        <v>13</v>
      </c>
      <c r="E3065" t="s">
        <v>1014</v>
      </c>
      <c r="F3065" t="s">
        <v>5193</v>
      </c>
      <c r="H3065" t="s">
        <v>17</v>
      </c>
      <c r="I3065" t="s">
        <v>3880</v>
      </c>
    </row>
    <row r="3066" spans="1:9" hidden="1" x14ac:dyDescent="0.3">
      <c r="A3066" t="s">
        <v>3761</v>
      </c>
      <c r="B3066" t="s">
        <v>5180</v>
      </c>
      <c r="C3066" t="s">
        <v>5182</v>
      </c>
      <c r="D3066" t="s">
        <v>13</v>
      </c>
      <c r="E3066" t="s">
        <v>1017</v>
      </c>
      <c r="F3066" t="s">
        <v>5194</v>
      </c>
      <c r="H3066" t="s">
        <v>17</v>
      </c>
      <c r="I3066" t="s">
        <v>3880</v>
      </c>
    </row>
    <row r="3067" spans="1:9" hidden="1" x14ac:dyDescent="0.3">
      <c r="A3067" t="s">
        <v>3762</v>
      </c>
      <c r="B3067" t="s">
        <v>5180</v>
      </c>
      <c r="C3067" t="s">
        <v>5182</v>
      </c>
      <c r="D3067" t="s">
        <v>13</v>
      </c>
      <c r="E3067" t="s">
        <v>36</v>
      </c>
      <c r="F3067" t="s">
        <v>5195</v>
      </c>
      <c r="H3067" t="s">
        <v>17</v>
      </c>
      <c r="I3067" t="s">
        <v>3880</v>
      </c>
    </row>
    <row r="3068" spans="1:9" hidden="1" x14ac:dyDescent="0.3">
      <c r="A3068" t="s">
        <v>3763</v>
      </c>
      <c r="B3068" t="s">
        <v>5180</v>
      </c>
      <c r="C3068" t="s">
        <v>5182</v>
      </c>
      <c r="D3068" t="s">
        <v>13</v>
      </c>
      <c r="E3068" t="s">
        <v>41</v>
      </c>
      <c r="F3068" t="s">
        <v>5196</v>
      </c>
      <c r="H3068" t="s">
        <v>17</v>
      </c>
      <c r="I3068" t="s">
        <v>3880</v>
      </c>
    </row>
    <row r="3069" spans="1:9" hidden="1" x14ac:dyDescent="0.3">
      <c r="A3069" t="s">
        <v>3764</v>
      </c>
      <c r="B3069" t="s">
        <v>5180</v>
      </c>
      <c r="C3069" t="s">
        <v>5182</v>
      </c>
      <c r="D3069" t="s">
        <v>13</v>
      </c>
      <c r="E3069" t="s">
        <v>45</v>
      </c>
      <c r="F3069" t="s">
        <v>5197</v>
      </c>
      <c r="H3069" t="s">
        <v>17</v>
      </c>
      <c r="I3069" t="s">
        <v>5198</v>
      </c>
    </row>
    <row r="3070" spans="1:9" hidden="1" x14ac:dyDescent="0.3">
      <c r="A3070" t="s">
        <v>3765</v>
      </c>
      <c r="B3070" t="s">
        <v>5180</v>
      </c>
      <c r="C3070" t="s">
        <v>5182</v>
      </c>
      <c r="D3070" t="s">
        <v>13</v>
      </c>
      <c r="E3070" t="s">
        <v>50</v>
      </c>
      <c r="F3070" t="s">
        <v>5199</v>
      </c>
      <c r="H3070" t="s">
        <v>17</v>
      </c>
      <c r="I3070" t="s">
        <v>5200</v>
      </c>
    </row>
    <row r="3071" spans="1:9" hidden="1" x14ac:dyDescent="0.3">
      <c r="A3071" t="s">
        <v>3766</v>
      </c>
      <c r="B3071" t="s">
        <v>5180</v>
      </c>
      <c r="C3071" t="s">
        <v>5182</v>
      </c>
      <c r="D3071" t="s">
        <v>13</v>
      </c>
      <c r="E3071" t="s">
        <v>53</v>
      </c>
      <c r="F3071" t="s">
        <v>5201</v>
      </c>
      <c r="H3071" t="s">
        <v>17</v>
      </c>
      <c r="I3071" t="s">
        <v>5200</v>
      </c>
    </row>
    <row r="3072" spans="1:9" hidden="1" x14ac:dyDescent="0.3">
      <c r="A3072" t="s">
        <v>3767</v>
      </c>
      <c r="B3072" t="s">
        <v>5180</v>
      </c>
      <c r="C3072" t="s">
        <v>5182</v>
      </c>
      <c r="D3072" t="s">
        <v>13</v>
      </c>
      <c r="E3072" t="s">
        <v>56</v>
      </c>
      <c r="F3072" t="s">
        <v>5202</v>
      </c>
      <c r="H3072" t="s">
        <v>17</v>
      </c>
      <c r="I3072" t="s">
        <v>3880</v>
      </c>
    </row>
    <row r="3073" spans="1:9" hidden="1" x14ac:dyDescent="0.3">
      <c r="A3073" t="s">
        <v>3768</v>
      </c>
      <c r="B3073" t="s">
        <v>5180</v>
      </c>
      <c r="C3073" t="s">
        <v>5182</v>
      </c>
      <c r="D3073" t="s">
        <v>13</v>
      </c>
      <c r="E3073" t="s">
        <v>61</v>
      </c>
      <c r="F3073" t="s">
        <v>5203</v>
      </c>
      <c r="H3073" t="s">
        <v>17</v>
      </c>
      <c r="I3073" t="s">
        <v>5200</v>
      </c>
    </row>
    <row r="3074" spans="1:9" hidden="1" x14ac:dyDescent="0.3">
      <c r="A3074" t="s">
        <v>3771</v>
      </c>
      <c r="B3074" t="s">
        <v>5180</v>
      </c>
      <c r="C3074" t="s">
        <v>5182</v>
      </c>
      <c r="D3074" t="s">
        <v>13</v>
      </c>
      <c r="E3074" t="s">
        <v>66</v>
      </c>
      <c r="F3074" t="s">
        <v>5204</v>
      </c>
      <c r="H3074" t="s">
        <v>17</v>
      </c>
      <c r="I3074" t="s">
        <v>5205</v>
      </c>
    </row>
    <row r="3075" spans="1:9" hidden="1" x14ac:dyDescent="0.3">
      <c r="A3075" t="s">
        <v>5207</v>
      </c>
      <c r="B3075" t="s">
        <v>5180</v>
      </c>
      <c r="C3075" t="s">
        <v>5182</v>
      </c>
      <c r="D3075" t="s">
        <v>13</v>
      </c>
      <c r="E3075" t="s">
        <v>71</v>
      </c>
      <c r="F3075" t="s">
        <v>5206</v>
      </c>
      <c r="H3075" t="s">
        <v>17</v>
      </c>
      <c r="I3075" t="s">
        <v>3880</v>
      </c>
    </row>
    <row r="3076" spans="1:9" hidden="1" x14ac:dyDescent="0.3">
      <c r="A3076" t="s">
        <v>3774</v>
      </c>
      <c r="B3076" t="s">
        <v>5180</v>
      </c>
      <c r="C3076" t="s">
        <v>5182</v>
      </c>
      <c r="D3076" t="s">
        <v>13</v>
      </c>
      <c r="E3076" t="s">
        <v>1050</v>
      </c>
      <c r="F3076" t="s">
        <v>5208</v>
      </c>
      <c r="H3076" t="s">
        <v>17</v>
      </c>
      <c r="I3076" t="s">
        <v>5209</v>
      </c>
    </row>
    <row r="3077" spans="1:9" hidden="1" x14ac:dyDescent="0.3">
      <c r="A3077" t="s">
        <v>5212</v>
      </c>
      <c r="B3077" t="s">
        <v>5180</v>
      </c>
      <c r="C3077" t="s">
        <v>5182</v>
      </c>
      <c r="D3077" t="s">
        <v>13</v>
      </c>
      <c r="E3077" t="s">
        <v>3568</v>
      </c>
      <c r="F3077" t="s">
        <v>5210</v>
      </c>
      <c r="H3077" t="s">
        <v>17</v>
      </c>
      <c r="I3077" t="s">
        <v>5211</v>
      </c>
    </row>
    <row r="3078" spans="1:9" hidden="1" x14ac:dyDescent="0.3">
      <c r="A3078" t="s">
        <v>3777</v>
      </c>
      <c r="B3078" t="s">
        <v>5180</v>
      </c>
      <c r="C3078" t="s">
        <v>5182</v>
      </c>
      <c r="D3078" t="s">
        <v>13</v>
      </c>
      <c r="E3078" t="s">
        <v>85</v>
      </c>
      <c r="F3078" t="s">
        <v>5213</v>
      </c>
      <c r="H3078" t="s">
        <v>17</v>
      </c>
      <c r="I3078" t="s">
        <v>3880</v>
      </c>
    </row>
    <row r="3079" spans="1:9" hidden="1" x14ac:dyDescent="0.3">
      <c r="A3079" t="s">
        <v>5216</v>
      </c>
      <c r="B3079" t="s">
        <v>5180</v>
      </c>
      <c r="C3079" t="s">
        <v>5182</v>
      </c>
      <c r="D3079" t="s">
        <v>13</v>
      </c>
      <c r="E3079" t="s">
        <v>90</v>
      </c>
      <c r="F3079" t="s">
        <v>5214</v>
      </c>
      <c r="H3079" t="s">
        <v>17</v>
      </c>
      <c r="I3079" t="s">
        <v>5215</v>
      </c>
    </row>
    <row r="3080" spans="1:9" hidden="1" x14ac:dyDescent="0.3">
      <c r="A3080" t="s">
        <v>3780</v>
      </c>
      <c r="B3080" t="s">
        <v>5180</v>
      </c>
      <c r="C3080" t="s">
        <v>5182</v>
      </c>
      <c r="D3080" t="s">
        <v>13</v>
      </c>
      <c r="E3080" t="s">
        <v>95</v>
      </c>
      <c r="F3080" t="s">
        <v>5217</v>
      </c>
      <c r="H3080" t="s">
        <v>17</v>
      </c>
      <c r="I3080" t="s">
        <v>5218</v>
      </c>
    </row>
    <row r="3081" spans="1:9" hidden="1" x14ac:dyDescent="0.3">
      <c r="A3081" t="s">
        <v>5220</v>
      </c>
      <c r="B3081" t="s">
        <v>5180</v>
      </c>
      <c r="C3081" t="s">
        <v>5182</v>
      </c>
      <c r="D3081" t="s">
        <v>13</v>
      </c>
      <c r="E3081" t="s">
        <v>100</v>
      </c>
      <c r="F3081" t="s">
        <v>5219</v>
      </c>
      <c r="H3081" t="s">
        <v>17</v>
      </c>
      <c r="I3081" t="s">
        <v>3880</v>
      </c>
    </row>
    <row r="3082" spans="1:9" hidden="1" x14ac:dyDescent="0.3">
      <c r="A3082" t="s">
        <v>3783</v>
      </c>
      <c r="B3082" t="s">
        <v>5180</v>
      </c>
      <c r="C3082" t="s">
        <v>5182</v>
      </c>
      <c r="D3082" t="s">
        <v>13</v>
      </c>
      <c r="E3082" t="s">
        <v>106</v>
      </c>
      <c r="F3082" t="s">
        <v>5221</v>
      </c>
      <c r="H3082" t="s">
        <v>17</v>
      </c>
      <c r="I3082" t="s">
        <v>3880</v>
      </c>
    </row>
    <row r="3083" spans="1:9" hidden="1" x14ac:dyDescent="0.3">
      <c r="A3083" t="s">
        <v>5223</v>
      </c>
      <c r="B3083" t="s">
        <v>5180</v>
      </c>
      <c r="C3083" t="s">
        <v>5182</v>
      </c>
      <c r="D3083" t="s">
        <v>13</v>
      </c>
      <c r="E3083" t="s">
        <v>111</v>
      </c>
      <c r="F3083" t="s">
        <v>5222</v>
      </c>
      <c r="H3083" t="s">
        <v>17</v>
      </c>
      <c r="I3083" t="s">
        <v>3880</v>
      </c>
    </row>
    <row r="3084" spans="1:9" hidden="1" x14ac:dyDescent="0.3">
      <c r="A3084" t="s">
        <v>3785</v>
      </c>
      <c r="B3084" t="s">
        <v>5180</v>
      </c>
      <c r="C3084" t="s">
        <v>5182</v>
      </c>
      <c r="D3084" t="s">
        <v>13</v>
      </c>
      <c r="E3084" t="s">
        <v>114</v>
      </c>
      <c r="F3084" t="s">
        <v>5224</v>
      </c>
      <c r="H3084" t="s">
        <v>17</v>
      </c>
      <c r="I3084" t="s">
        <v>5225</v>
      </c>
    </row>
    <row r="3085" spans="1:9" hidden="1" x14ac:dyDescent="0.3">
      <c r="A3085" t="s">
        <v>5227</v>
      </c>
      <c r="B3085" t="s">
        <v>5180</v>
      </c>
      <c r="C3085" t="s">
        <v>5182</v>
      </c>
      <c r="D3085" t="s">
        <v>13</v>
      </c>
      <c r="E3085" t="s">
        <v>117</v>
      </c>
      <c r="F3085" t="s">
        <v>5226</v>
      </c>
      <c r="H3085" t="s">
        <v>17</v>
      </c>
      <c r="I3085" t="s">
        <v>3880</v>
      </c>
    </row>
    <row r="3086" spans="1:9" hidden="1" x14ac:dyDescent="0.3">
      <c r="A3086" t="s">
        <v>3787</v>
      </c>
      <c r="B3086" t="s">
        <v>5180</v>
      </c>
      <c r="C3086" t="s">
        <v>5182</v>
      </c>
      <c r="D3086" t="s">
        <v>13</v>
      </c>
      <c r="E3086" t="s">
        <v>121</v>
      </c>
      <c r="F3086" t="s">
        <v>5228</v>
      </c>
      <c r="H3086" t="s">
        <v>17</v>
      </c>
      <c r="I3086" t="s">
        <v>5229</v>
      </c>
    </row>
    <row r="3087" spans="1:9" hidden="1" x14ac:dyDescent="0.3">
      <c r="A3087" t="s">
        <v>5232</v>
      </c>
      <c r="B3087" t="s">
        <v>5180</v>
      </c>
      <c r="C3087" t="s">
        <v>5182</v>
      </c>
      <c r="D3087" t="s">
        <v>13</v>
      </c>
      <c r="E3087" t="s">
        <v>126</v>
      </c>
      <c r="F3087" t="s">
        <v>5230</v>
      </c>
      <c r="H3087" t="s">
        <v>17</v>
      </c>
      <c r="I3087" t="s">
        <v>5231</v>
      </c>
    </row>
    <row r="3088" spans="1:9" hidden="1" x14ac:dyDescent="0.3">
      <c r="A3088" t="s">
        <v>3790</v>
      </c>
      <c r="B3088" t="s">
        <v>5180</v>
      </c>
      <c r="C3088" t="s">
        <v>5182</v>
      </c>
      <c r="D3088" t="s">
        <v>13</v>
      </c>
      <c r="E3088" t="s">
        <v>129</v>
      </c>
      <c r="F3088" t="s">
        <v>5233</v>
      </c>
      <c r="H3088" t="s">
        <v>17</v>
      </c>
      <c r="I3088" t="s">
        <v>5234</v>
      </c>
    </row>
    <row r="3089" spans="1:9" hidden="1" x14ac:dyDescent="0.3">
      <c r="A3089" t="s">
        <v>5236</v>
      </c>
      <c r="B3089" t="s">
        <v>5180</v>
      </c>
      <c r="C3089" t="s">
        <v>5182</v>
      </c>
      <c r="D3089" t="s">
        <v>13</v>
      </c>
      <c r="E3089" t="s">
        <v>132</v>
      </c>
      <c r="F3089" t="s">
        <v>4702</v>
      </c>
      <c r="H3089" t="s">
        <v>17</v>
      </c>
      <c r="I3089" t="s">
        <v>5235</v>
      </c>
    </row>
    <row r="3090" spans="1:9" hidden="1" x14ac:dyDescent="0.3">
      <c r="A3090" t="s">
        <v>3791</v>
      </c>
      <c r="B3090" t="s">
        <v>5180</v>
      </c>
      <c r="C3090" t="s">
        <v>5182</v>
      </c>
      <c r="D3090" t="s">
        <v>13</v>
      </c>
      <c r="E3090" t="s">
        <v>135</v>
      </c>
      <c r="F3090" t="s">
        <v>5237</v>
      </c>
      <c r="H3090" t="s">
        <v>17</v>
      </c>
      <c r="I3090" t="s">
        <v>3880</v>
      </c>
    </row>
    <row r="3091" spans="1:9" hidden="1" x14ac:dyDescent="0.3">
      <c r="A3091" t="s">
        <v>3792</v>
      </c>
      <c r="B3091" t="s">
        <v>5180</v>
      </c>
      <c r="C3091" t="s">
        <v>5182</v>
      </c>
      <c r="D3091" t="s">
        <v>13</v>
      </c>
      <c r="E3091" t="s">
        <v>138</v>
      </c>
      <c r="F3091" t="s">
        <v>5238</v>
      </c>
      <c r="H3091" t="s">
        <v>17</v>
      </c>
      <c r="I3091" t="s">
        <v>3880</v>
      </c>
    </row>
    <row r="3092" spans="1:9" hidden="1" x14ac:dyDescent="0.3">
      <c r="A3092" t="s">
        <v>5241</v>
      </c>
      <c r="B3092" t="s">
        <v>5180</v>
      </c>
      <c r="C3092" t="s">
        <v>5182</v>
      </c>
      <c r="D3092" t="s">
        <v>13</v>
      </c>
      <c r="E3092" t="s">
        <v>141</v>
      </c>
      <c r="F3092" t="s">
        <v>5239</v>
      </c>
      <c r="H3092" t="s">
        <v>17</v>
      </c>
      <c r="I3092" t="s">
        <v>5240</v>
      </c>
    </row>
    <row r="3093" spans="1:9" hidden="1" x14ac:dyDescent="0.3">
      <c r="A3093" t="s">
        <v>3793</v>
      </c>
      <c r="B3093" t="s">
        <v>5180</v>
      </c>
      <c r="C3093" t="s">
        <v>5182</v>
      </c>
      <c r="D3093" t="s">
        <v>13</v>
      </c>
      <c r="E3093" t="s">
        <v>144</v>
      </c>
      <c r="F3093" t="s">
        <v>5242</v>
      </c>
      <c r="H3093" t="s">
        <v>17</v>
      </c>
      <c r="I3093" t="s">
        <v>3880</v>
      </c>
    </row>
    <row r="3094" spans="1:9" hidden="1" x14ac:dyDescent="0.3">
      <c r="A3094" t="s">
        <v>3795</v>
      </c>
      <c r="B3094" t="s">
        <v>5180</v>
      </c>
      <c r="C3094" t="s">
        <v>5182</v>
      </c>
      <c r="D3094" t="s">
        <v>13</v>
      </c>
      <c r="E3094" t="s">
        <v>147</v>
      </c>
      <c r="F3094" t="s">
        <v>5243</v>
      </c>
      <c r="H3094" t="s">
        <v>17</v>
      </c>
      <c r="I3094" t="s">
        <v>5244</v>
      </c>
    </row>
    <row r="3095" spans="1:9" hidden="1" x14ac:dyDescent="0.3">
      <c r="A3095" t="s">
        <v>5247</v>
      </c>
      <c r="B3095" t="s">
        <v>5180</v>
      </c>
      <c r="C3095" t="s">
        <v>5182</v>
      </c>
      <c r="D3095" t="s">
        <v>13</v>
      </c>
      <c r="E3095" t="s">
        <v>152</v>
      </c>
      <c r="F3095" t="s">
        <v>5245</v>
      </c>
      <c r="H3095" t="s">
        <v>17</v>
      </c>
      <c r="I3095" t="s">
        <v>5246</v>
      </c>
    </row>
    <row r="3096" spans="1:9" hidden="1" x14ac:dyDescent="0.3">
      <c r="A3096" t="s">
        <v>3798</v>
      </c>
      <c r="B3096" t="s">
        <v>5180</v>
      </c>
      <c r="C3096" t="s">
        <v>5182</v>
      </c>
      <c r="D3096" t="s">
        <v>13</v>
      </c>
      <c r="E3096" t="s">
        <v>157</v>
      </c>
      <c r="F3096" t="s">
        <v>5248</v>
      </c>
      <c r="H3096" t="s">
        <v>17</v>
      </c>
      <c r="I3096" t="s">
        <v>5249</v>
      </c>
    </row>
    <row r="3097" spans="1:9" hidden="1" x14ac:dyDescent="0.3">
      <c r="A3097" t="s">
        <v>5252</v>
      </c>
      <c r="B3097" t="s">
        <v>5180</v>
      </c>
      <c r="C3097" t="s">
        <v>5182</v>
      </c>
      <c r="D3097" t="s">
        <v>13</v>
      </c>
      <c r="E3097" t="s">
        <v>162</v>
      </c>
      <c r="F3097" t="s">
        <v>5250</v>
      </c>
      <c r="H3097" t="s">
        <v>17</v>
      </c>
      <c r="I3097" t="s">
        <v>5251</v>
      </c>
    </row>
    <row r="3098" spans="1:9" hidden="1" x14ac:dyDescent="0.3">
      <c r="A3098" t="s">
        <v>3799</v>
      </c>
      <c r="B3098" t="s">
        <v>5180</v>
      </c>
      <c r="C3098" t="s">
        <v>5182</v>
      </c>
      <c r="D3098" t="s">
        <v>13</v>
      </c>
      <c r="E3098" t="s">
        <v>167</v>
      </c>
      <c r="F3098" t="s">
        <v>5253</v>
      </c>
      <c r="H3098" t="s">
        <v>17</v>
      </c>
      <c r="I3098" t="s">
        <v>5254</v>
      </c>
    </row>
    <row r="3099" spans="1:9" hidden="1" x14ac:dyDescent="0.3">
      <c r="A3099" t="s">
        <v>3801</v>
      </c>
      <c r="B3099" t="s">
        <v>5180</v>
      </c>
      <c r="C3099" t="s">
        <v>5182</v>
      </c>
      <c r="D3099" t="s">
        <v>13</v>
      </c>
      <c r="E3099" t="s">
        <v>172</v>
      </c>
      <c r="F3099" t="s">
        <v>5255</v>
      </c>
      <c r="H3099" t="s">
        <v>17</v>
      </c>
      <c r="I3099" t="s">
        <v>5256</v>
      </c>
    </row>
    <row r="3100" spans="1:9" hidden="1" x14ac:dyDescent="0.3">
      <c r="A3100" t="s">
        <v>5259</v>
      </c>
      <c r="B3100" t="s">
        <v>5180</v>
      </c>
      <c r="C3100" t="s">
        <v>5182</v>
      </c>
      <c r="D3100" t="s">
        <v>13</v>
      </c>
      <c r="E3100" t="s">
        <v>177</v>
      </c>
      <c r="F3100" t="s">
        <v>5257</v>
      </c>
      <c r="H3100" t="s">
        <v>17</v>
      </c>
      <c r="I3100" t="s">
        <v>5258</v>
      </c>
    </row>
    <row r="3101" spans="1:9" hidden="1" x14ac:dyDescent="0.3">
      <c r="A3101" t="s">
        <v>3803</v>
      </c>
      <c r="B3101" t="s">
        <v>5180</v>
      </c>
      <c r="C3101" t="s">
        <v>5182</v>
      </c>
      <c r="D3101" t="s">
        <v>13</v>
      </c>
      <c r="E3101" t="s">
        <v>182</v>
      </c>
      <c r="F3101" t="s">
        <v>5260</v>
      </c>
      <c r="H3101" t="s">
        <v>17</v>
      </c>
      <c r="I3101" t="s">
        <v>5261</v>
      </c>
    </row>
    <row r="3102" spans="1:9" hidden="1" x14ac:dyDescent="0.3">
      <c r="A3102" t="s">
        <v>5264</v>
      </c>
      <c r="B3102" t="s">
        <v>5180</v>
      </c>
      <c r="C3102" t="s">
        <v>5182</v>
      </c>
      <c r="D3102" t="s">
        <v>13</v>
      </c>
      <c r="E3102" t="s">
        <v>187</v>
      </c>
      <c r="F3102" t="s">
        <v>5262</v>
      </c>
      <c r="H3102" t="s">
        <v>17</v>
      </c>
      <c r="I3102" t="s">
        <v>5263</v>
      </c>
    </row>
    <row r="3103" spans="1:9" hidden="1" x14ac:dyDescent="0.3">
      <c r="A3103" t="s">
        <v>3804</v>
      </c>
      <c r="B3103" t="s">
        <v>5180</v>
      </c>
      <c r="C3103" t="s">
        <v>5182</v>
      </c>
      <c r="D3103" t="s">
        <v>13</v>
      </c>
      <c r="E3103" t="s">
        <v>193</v>
      </c>
      <c r="F3103" t="s">
        <v>5265</v>
      </c>
      <c r="H3103" t="s">
        <v>17</v>
      </c>
      <c r="I3103" t="s">
        <v>4236</v>
      </c>
    </row>
    <row r="3104" spans="1:9" hidden="1" x14ac:dyDescent="0.3">
      <c r="A3104" t="s">
        <v>3806</v>
      </c>
      <c r="B3104" t="s">
        <v>5180</v>
      </c>
      <c r="C3104" t="s">
        <v>5182</v>
      </c>
      <c r="D3104" t="s">
        <v>13</v>
      </c>
      <c r="E3104" t="s">
        <v>198</v>
      </c>
      <c r="F3104" t="s">
        <v>5266</v>
      </c>
      <c r="H3104" t="s">
        <v>17</v>
      </c>
      <c r="I3104" t="s">
        <v>4236</v>
      </c>
    </row>
    <row r="3105" spans="1:9" hidden="1" x14ac:dyDescent="0.3">
      <c r="A3105" t="s">
        <v>5269</v>
      </c>
      <c r="B3105" t="s">
        <v>5180</v>
      </c>
      <c r="C3105" t="s">
        <v>5182</v>
      </c>
      <c r="D3105" t="s">
        <v>13</v>
      </c>
      <c r="E3105" t="s">
        <v>202</v>
      </c>
      <c r="F3105" t="s">
        <v>5267</v>
      </c>
      <c r="H3105" t="s">
        <v>17</v>
      </c>
      <c r="I3105" t="s">
        <v>5268</v>
      </c>
    </row>
    <row r="3106" spans="1:9" hidden="1" x14ac:dyDescent="0.3">
      <c r="A3106" t="s">
        <v>3808</v>
      </c>
      <c r="B3106" t="s">
        <v>5180</v>
      </c>
      <c r="C3106" t="s">
        <v>5182</v>
      </c>
      <c r="D3106" t="s">
        <v>13</v>
      </c>
      <c r="E3106" t="s">
        <v>206</v>
      </c>
      <c r="F3106" t="s">
        <v>5270</v>
      </c>
      <c r="H3106" t="s">
        <v>17</v>
      </c>
      <c r="I3106" t="s">
        <v>5268</v>
      </c>
    </row>
    <row r="3107" spans="1:9" hidden="1" x14ac:dyDescent="0.3">
      <c r="A3107" t="s">
        <v>5273</v>
      </c>
      <c r="B3107" t="s">
        <v>5180</v>
      </c>
      <c r="C3107" t="s">
        <v>5182</v>
      </c>
      <c r="D3107" t="s">
        <v>13</v>
      </c>
      <c r="E3107" t="s">
        <v>210</v>
      </c>
      <c r="F3107" t="s">
        <v>5271</v>
      </c>
      <c r="H3107" t="s">
        <v>17</v>
      </c>
      <c r="I3107" t="s">
        <v>5272</v>
      </c>
    </row>
    <row r="3108" spans="1:9" hidden="1" x14ac:dyDescent="0.3">
      <c r="A3108" t="s">
        <v>3809</v>
      </c>
      <c r="B3108" t="s">
        <v>5180</v>
      </c>
      <c r="C3108" t="s">
        <v>5182</v>
      </c>
      <c r="D3108" t="s">
        <v>13</v>
      </c>
      <c r="E3108" t="s">
        <v>214</v>
      </c>
      <c r="F3108" t="s">
        <v>5274</v>
      </c>
      <c r="H3108" t="s">
        <v>17</v>
      </c>
      <c r="I3108" t="s">
        <v>3880</v>
      </c>
    </row>
    <row r="3109" spans="1:9" hidden="1" x14ac:dyDescent="0.3">
      <c r="A3109" t="s">
        <v>3811</v>
      </c>
      <c r="B3109" t="s">
        <v>5180</v>
      </c>
      <c r="C3109" t="s">
        <v>5182</v>
      </c>
      <c r="D3109" t="s">
        <v>13</v>
      </c>
      <c r="E3109" t="s">
        <v>218</v>
      </c>
      <c r="F3109" t="s">
        <v>5275</v>
      </c>
      <c r="H3109" t="s">
        <v>17</v>
      </c>
      <c r="I3109" t="s">
        <v>5276</v>
      </c>
    </row>
    <row r="3110" spans="1:9" hidden="1" x14ac:dyDescent="0.3">
      <c r="A3110" t="s">
        <v>5278</v>
      </c>
      <c r="B3110" t="s">
        <v>5180</v>
      </c>
      <c r="C3110" t="s">
        <v>5182</v>
      </c>
      <c r="D3110" t="s">
        <v>13</v>
      </c>
      <c r="E3110" t="s">
        <v>223</v>
      </c>
      <c r="F3110" t="s">
        <v>5277</v>
      </c>
      <c r="H3110" t="s">
        <v>17</v>
      </c>
      <c r="I3110" t="s">
        <v>5170</v>
      </c>
    </row>
    <row r="3111" spans="1:9" hidden="1" x14ac:dyDescent="0.3">
      <c r="A3111" t="s">
        <v>3813</v>
      </c>
      <c r="B3111" t="s">
        <v>5180</v>
      </c>
      <c r="C3111" t="s">
        <v>5182</v>
      </c>
      <c r="D3111" t="s">
        <v>13</v>
      </c>
      <c r="E3111" t="s">
        <v>228</v>
      </c>
      <c r="F3111" t="s">
        <v>5279</v>
      </c>
      <c r="H3111" t="s">
        <v>17</v>
      </c>
      <c r="I3111" t="s">
        <v>5280</v>
      </c>
    </row>
    <row r="3112" spans="1:9" hidden="1" x14ac:dyDescent="0.3">
      <c r="A3112" t="s">
        <v>5283</v>
      </c>
      <c r="B3112" t="s">
        <v>5180</v>
      </c>
      <c r="C3112" t="s">
        <v>5182</v>
      </c>
      <c r="D3112" t="s">
        <v>13</v>
      </c>
      <c r="E3112" t="s">
        <v>2925</v>
      </c>
      <c r="F3112" t="s">
        <v>5281</v>
      </c>
      <c r="H3112" t="s">
        <v>17</v>
      </c>
      <c r="I3112" t="s">
        <v>5282</v>
      </c>
    </row>
    <row r="3113" spans="1:9" hidden="1" x14ac:dyDescent="0.3">
      <c r="A3113" t="s">
        <v>3814</v>
      </c>
      <c r="B3113" t="s">
        <v>5180</v>
      </c>
      <c r="C3113" t="s">
        <v>5182</v>
      </c>
      <c r="D3113" t="s">
        <v>13</v>
      </c>
      <c r="E3113" t="s">
        <v>3267</v>
      </c>
      <c r="F3113" t="s">
        <v>5284</v>
      </c>
      <c r="H3113" t="s">
        <v>17</v>
      </c>
      <c r="I3113" t="s">
        <v>5285</v>
      </c>
    </row>
    <row r="3114" spans="1:9" hidden="1" x14ac:dyDescent="0.3">
      <c r="A3114" t="s">
        <v>3816</v>
      </c>
      <c r="B3114" t="s">
        <v>5180</v>
      </c>
      <c r="C3114" t="s">
        <v>5182</v>
      </c>
      <c r="D3114" t="s">
        <v>13</v>
      </c>
      <c r="E3114" t="s">
        <v>3270</v>
      </c>
      <c r="F3114" t="s">
        <v>4385</v>
      </c>
      <c r="H3114" t="s">
        <v>17</v>
      </c>
      <c r="I3114" t="s">
        <v>5286</v>
      </c>
    </row>
    <row r="3115" spans="1:9" hidden="1" x14ac:dyDescent="0.3">
      <c r="A3115" t="s">
        <v>5289</v>
      </c>
      <c r="B3115" t="s">
        <v>5180</v>
      </c>
      <c r="C3115" t="s">
        <v>5182</v>
      </c>
      <c r="D3115" t="s">
        <v>13</v>
      </c>
      <c r="E3115" t="s">
        <v>1892</v>
      </c>
      <c r="F3115" t="s">
        <v>5287</v>
      </c>
      <c r="H3115" t="s">
        <v>17</v>
      </c>
      <c r="I3115" t="s">
        <v>5288</v>
      </c>
    </row>
    <row r="3116" spans="1:9" hidden="1" x14ac:dyDescent="0.3">
      <c r="A3116" t="s">
        <v>3817</v>
      </c>
      <c r="B3116" t="s">
        <v>5180</v>
      </c>
      <c r="C3116" t="s">
        <v>5182</v>
      </c>
      <c r="D3116" t="s">
        <v>13</v>
      </c>
      <c r="E3116" t="s">
        <v>1146</v>
      </c>
      <c r="F3116" t="s">
        <v>843</v>
      </c>
      <c r="H3116" t="s">
        <v>17</v>
      </c>
      <c r="I3116" t="s">
        <v>845</v>
      </c>
    </row>
    <row r="3117" spans="1:9" hidden="1" x14ac:dyDescent="0.3">
      <c r="A3117" t="s">
        <v>5292</v>
      </c>
      <c r="B3117" t="s">
        <v>5180</v>
      </c>
      <c r="C3117" t="s">
        <v>5182</v>
      </c>
      <c r="D3117" t="s">
        <v>13</v>
      </c>
      <c r="E3117" t="s">
        <v>1150</v>
      </c>
      <c r="F3117" t="s">
        <v>5290</v>
      </c>
      <c r="H3117" t="s">
        <v>17</v>
      </c>
      <c r="I3117" t="s">
        <v>5291</v>
      </c>
    </row>
    <row r="3118" spans="1:9" hidden="1" x14ac:dyDescent="0.3">
      <c r="A3118" t="s">
        <v>3818</v>
      </c>
      <c r="B3118" t="s">
        <v>5180</v>
      </c>
      <c r="C3118" t="s">
        <v>5182</v>
      </c>
      <c r="D3118" t="s">
        <v>13</v>
      </c>
      <c r="E3118" t="s">
        <v>1154</v>
      </c>
      <c r="F3118" t="s">
        <v>797</v>
      </c>
      <c r="H3118" t="s">
        <v>17</v>
      </c>
      <c r="I3118" t="s">
        <v>4647</v>
      </c>
    </row>
    <row r="3119" spans="1:9" hidden="1" x14ac:dyDescent="0.3">
      <c r="A3119" t="s">
        <v>3819</v>
      </c>
      <c r="B3119" t="s">
        <v>5180</v>
      </c>
      <c r="C3119" t="s">
        <v>5182</v>
      </c>
      <c r="D3119" t="s">
        <v>13</v>
      </c>
      <c r="E3119" t="s">
        <v>1158</v>
      </c>
      <c r="F3119" t="s">
        <v>747</v>
      </c>
      <c r="H3119" t="s">
        <v>17</v>
      </c>
      <c r="I3119" t="s">
        <v>4815</v>
      </c>
    </row>
    <row r="3120" spans="1:9" hidden="1" x14ac:dyDescent="0.3">
      <c r="A3120" t="s">
        <v>3820</v>
      </c>
      <c r="B3120" t="s">
        <v>5180</v>
      </c>
      <c r="C3120" t="s">
        <v>5182</v>
      </c>
      <c r="D3120" t="s">
        <v>13</v>
      </c>
      <c r="E3120" t="s">
        <v>1162</v>
      </c>
      <c r="F3120" t="s">
        <v>5293</v>
      </c>
      <c r="H3120" t="s">
        <v>17</v>
      </c>
      <c r="I3120" t="s">
        <v>5294</v>
      </c>
    </row>
    <row r="3121" spans="1:9" hidden="1" x14ac:dyDescent="0.3">
      <c r="A3121" t="s">
        <v>3821</v>
      </c>
      <c r="B3121" t="s">
        <v>5180</v>
      </c>
      <c r="C3121" t="s">
        <v>5182</v>
      </c>
      <c r="D3121" t="s">
        <v>13</v>
      </c>
      <c r="E3121" t="s">
        <v>1165</v>
      </c>
      <c r="F3121" t="s">
        <v>2918</v>
      </c>
      <c r="H3121" t="s">
        <v>17</v>
      </c>
      <c r="I3121" t="s">
        <v>5178</v>
      </c>
    </row>
    <row r="3122" spans="1:9" hidden="1" x14ac:dyDescent="0.3">
      <c r="A3122" t="s">
        <v>3822</v>
      </c>
      <c r="B3122" t="s">
        <v>5180</v>
      </c>
      <c r="C3122" t="s">
        <v>5182</v>
      </c>
      <c r="D3122" t="s">
        <v>13</v>
      </c>
      <c r="E3122" t="s">
        <v>1168</v>
      </c>
      <c r="F3122" t="s">
        <v>4819</v>
      </c>
      <c r="H3122" t="s">
        <v>17</v>
      </c>
      <c r="I3122" t="s">
        <v>5295</v>
      </c>
    </row>
    <row r="3123" spans="1:9" hidden="1" x14ac:dyDescent="0.3">
      <c r="A3123" t="s">
        <v>3823</v>
      </c>
      <c r="B3123" t="s">
        <v>5180</v>
      </c>
      <c r="C3123" t="s">
        <v>5182</v>
      </c>
      <c r="D3123" t="s">
        <v>13</v>
      </c>
      <c r="E3123" t="s">
        <v>1172</v>
      </c>
      <c r="F3123" t="s">
        <v>3984</v>
      </c>
      <c r="H3123" t="s">
        <v>17</v>
      </c>
      <c r="I3123" t="s">
        <v>4188</v>
      </c>
    </row>
    <row r="3124" spans="1:9" hidden="1" x14ac:dyDescent="0.3">
      <c r="A3124" t="s">
        <v>3824</v>
      </c>
      <c r="B3124" t="s">
        <v>5180</v>
      </c>
      <c r="C3124" t="s">
        <v>5182</v>
      </c>
      <c r="D3124" t="s">
        <v>13</v>
      </c>
      <c r="E3124" t="s">
        <v>1176</v>
      </c>
      <c r="F3124" t="s">
        <v>4453</v>
      </c>
      <c r="H3124" t="s">
        <v>17</v>
      </c>
      <c r="I3124" t="s">
        <v>5296</v>
      </c>
    </row>
    <row r="3125" spans="1:9" hidden="1" x14ac:dyDescent="0.3">
      <c r="A3125" t="s">
        <v>10</v>
      </c>
      <c r="B3125" t="s">
        <v>5180</v>
      </c>
      <c r="C3125" t="s">
        <v>5182</v>
      </c>
      <c r="D3125" t="s">
        <v>13</v>
      </c>
      <c r="E3125" t="s">
        <v>1179</v>
      </c>
      <c r="F3125" t="s">
        <v>1706</v>
      </c>
      <c r="H3125" t="s">
        <v>17</v>
      </c>
      <c r="I3125" t="s">
        <v>5297</v>
      </c>
    </row>
    <row r="3126" spans="1:9" hidden="1" x14ac:dyDescent="0.3">
      <c r="A3126" t="s">
        <v>1742</v>
      </c>
      <c r="B3126" t="s">
        <v>5298</v>
      </c>
      <c r="F3126" t="s">
        <v>5299</v>
      </c>
    </row>
    <row r="3127" spans="1:9" hidden="1" x14ac:dyDescent="0.3">
      <c r="A3127" t="s">
        <v>5302</v>
      </c>
      <c r="B3127" t="s">
        <v>5298</v>
      </c>
      <c r="C3127" t="s">
        <v>5300</v>
      </c>
      <c r="D3127" t="s">
        <v>13</v>
      </c>
      <c r="E3127" t="s">
        <v>14</v>
      </c>
      <c r="F3127" t="s">
        <v>3861</v>
      </c>
      <c r="H3127" t="s">
        <v>17</v>
      </c>
    </row>
    <row r="3128" spans="1:9" hidden="1" x14ac:dyDescent="0.3">
      <c r="A3128" t="s">
        <v>5305</v>
      </c>
      <c r="B3128" t="s">
        <v>5298</v>
      </c>
      <c r="C3128" t="s">
        <v>5301</v>
      </c>
      <c r="D3128" t="s">
        <v>13</v>
      </c>
      <c r="E3128" t="s">
        <v>1743</v>
      </c>
      <c r="F3128" t="s">
        <v>5303</v>
      </c>
      <c r="H3128" t="s">
        <v>17</v>
      </c>
      <c r="I3128" t="s">
        <v>5304</v>
      </c>
    </row>
    <row r="3129" spans="1:9" hidden="1" x14ac:dyDescent="0.3">
      <c r="A3129" t="s">
        <v>5307</v>
      </c>
      <c r="B3129" t="s">
        <v>5298</v>
      </c>
      <c r="C3129" t="s">
        <v>5301</v>
      </c>
      <c r="D3129" t="s">
        <v>13</v>
      </c>
      <c r="E3129" t="s">
        <v>996</v>
      </c>
      <c r="F3129" t="s">
        <v>5306</v>
      </c>
      <c r="H3129" t="s">
        <v>17</v>
      </c>
      <c r="I3129" t="s">
        <v>5304</v>
      </c>
    </row>
    <row r="3130" spans="1:9" hidden="1" x14ac:dyDescent="0.3">
      <c r="A3130" t="s">
        <v>5309</v>
      </c>
      <c r="B3130" t="s">
        <v>5298</v>
      </c>
      <c r="C3130" t="s">
        <v>5301</v>
      </c>
      <c r="D3130" t="s">
        <v>13</v>
      </c>
      <c r="E3130" t="s">
        <v>1001</v>
      </c>
      <c r="F3130" t="s">
        <v>5308</v>
      </c>
      <c r="H3130" t="s">
        <v>17</v>
      </c>
      <c r="I3130" t="s">
        <v>5304</v>
      </c>
    </row>
    <row r="3131" spans="1:9" hidden="1" x14ac:dyDescent="0.3">
      <c r="A3131" t="s">
        <v>5311</v>
      </c>
      <c r="B3131" t="s">
        <v>5298</v>
      </c>
      <c r="C3131" t="s">
        <v>5301</v>
      </c>
      <c r="D3131" t="s">
        <v>13</v>
      </c>
      <c r="E3131" t="s">
        <v>1942</v>
      </c>
      <c r="F3131" t="s">
        <v>5310</v>
      </c>
      <c r="H3131" t="s">
        <v>17</v>
      </c>
      <c r="I3131" t="s">
        <v>5304</v>
      </c>
    </row>
    <row r="3132" spans="1:9" hidden="1" x14ac:dyDescent="0.3">
      <c r="A3132" t="s">
        <v>5313</v>
      </c>
      <c r="B3132" t="s">
        <v>5298</v>
      </c>
      <c r="C3132" t="s">
        <v>5301</v>
      </c>
      <c r="D3132" t="s">
        <v>13</v>
      </c>
      <c r="E3132" t="s">
        <v>22</v>
      </c>
      <c r="F3132" t="s">
        <v>5312</v>
      </c>
      <c r="H3132" t="s">
        <v>17</v>
      </c>
      <c r="I3132" t="s">
        <v>5304</v>
      </c>
    </row>
    <row r="3133" spans="1:9" hidden="1" x14ac:dyDescent="0.3">
      <c r="A3133" t="s">
        <v>5315</v>
      </c>
      <c r="B3133" t="s">
        <v>5298</v>
      </c>
      <c r="C3133" t="s">
        <v>5301</v>
      </c>
      <c r="D3133" t="s">
        <v>13</v>
      </c>
      <c r="E3133" t="s">
        <v>27</v>
      </c>
      <c r="F3133" t="s">
        <v>5314</v>
      </c>
      <c r="H3133" t="s">
        <v>17</v>
      </c>
      <c r="I3133" t="s">
        <v>5304</v>
      </c>
    </row>
    <row r="3134" spans="1:9" hidden="1" x14ac:dyDescent="0.3">
      <c r="A3134" t="s">
        <v>5317</v>
      </c>
      <c r="B3134" t="s">
        <v>5298</v>
      </c>
      <c r="C3134" t="s">
        <v>5301</v>
      </c>
      <c r="D3134" t="s">
        <v>13</v>
      </c>
      <c r="E3134" t="s">
        <v>1014</v>
      </c>
      <c r="F3134" t="s">
        <v>5316</v>
      </c>
      <c r="H3134" t="s">
        <v>17</v>
      </c>
      <c r="I3134" t="s">
        <v>5304</v>
      </c>
    </row>
    <row r="3135" spans="1:9" hidden="1" x14ac:dyDescent="0.3">
      <c r="A3135" t="s">
        <v>5320</v>
      </c>
      <c r="B3135" t="s">
        <v>5298</v>
      </c>
      <c r="C3135" t="s">
        <v>5301</v>
      </c>
      <c r="D3135" t="s">
        <v>13</v>
      </c>
      <c r="E3135" t="s">
        <v>1017</v>
      </c>
      <c r="F3135" t="s">
        <v>5318</v>
      </c>
      <c r="H3135" t="s">
        <v>17</v>
      </c>
      <c r="I3135" t="s">
        <v>5304</v>
      </c>
    </row>
    <row r="3136" spans="1:9" hidden="1" x14ac:dyDescent="0.3">
      <c r="A3136" t="s">
        <v>5321</v>
      </c>
      <c r="B3136" t="s">
        <v>5298</v>
      </c>
      <c r="C3136" t="s">
        <v>5319</v>
      </c>
      <c r="D3136" t="s">
        <v>13</v>
      </c>
      <c r="E3136" t="s">
        <v>36</v>
      </c>
      <c r="F3136" t="s">
        <v>4073</v>
      </c>
      <c r="H3136" t="s">
        <v>17</v>
      </c>
      <c r="I3136" t="s">
        <v>5304</v>
      </c>
    </row>
    <row r="3137" spans="1:9" hidden="1" x14ac:dyDescent="0.3">
      <c r="A3137" t="s">
        <v>5322</v>
      </c>
      <c r="B3137" t="s">
        <v>5298</v>
      </c>
      <c r="C3137" t="s">
        <v>5319</v>
      </c>
      <c r="D3137" t="s">
        <v>13</v>
      </c>
      <c r="E3137" t="s">
        <v>41</v>
      </c>
      <c r="F3137" t="s">
        <v>4079</v>
      </c>
      <c r="H3137" t="s">
        <v>17</v>
      </c>
      <c r="I3137" t="s">
        <v>5304</v>
      </c>
    </row>
    <row r="3138" spans="1:9" hidden="1" x14ac:dyDescent="0.3">
      <c r="A3138" t="s">
        <v>5324</v>
      </c>
      <c r="B3138" t="s">
        <v>5298</v>
      </c>
      <c r="C3138" t="s">
        <v>5319</v>
      </c>
      <c r="D3138" t="s">
        <v>13</v>
      </c>
      <c r="E3138" t="s">
        <v>45</v>
      </c>
      <c r="F3138" t="s">
        <v>5323</v>
      </c>
      <c r="H3138" t="s">
        <v>17</v>
      </c>
      <c r="I3138" t="s">
        <v>5304</v>
      </c>
    </row>
    <row r="3139" spans="1:9" hidden="1" x14ac:dyDescent="0.3">
      <c r="A3139" t="s">
        <v>5326</v>
      </c>
      <c r="B3139" t="s">
        <v>5298</v>
      </c>
      <c r="C3139" t="s">
        <v>5319</v>
      </c>
      <c r="D3139" t="s">
        <v>13</v>
      </c>
      <c r="E3139" t="s">
        <v>50</v>
      </c>
      <c r="F3139" t="s">
        <v>5325</v>
      </c>
      <c r="H3139" t="s">
        <v>17</v>
      </c>
      <c r="I3139" t="s">
        <v>5304</v>
      </c>
    </row>
    <row r="3140" spans="1:9" hidden="1" x14ac:dyDescent="0.3">
      <c r="A3140" t="s">
        <v>5328</v>
      </c>
      <c r="B3140" t="s">
        <v>5298</v>
      </c>
      <c r="C3140" t="s">
        <v>5319</v>
      </c>
      <c r="D3140" t="s">
        <v>13</v>
      </c>
      <c r="E3140" t="s">
        <v>53</v>
      </c>
      <c r="F3140" t="s">
        <v>5327</v>
      </c>
      <c r="H3140" t="s">
        <v>17</v>
      </c>
      <c r="I3140" t="s">
        <v>5304</v>
      </c>
    </row>
    <row r="3141" spans="1:9" hidden="1" x14ac:dyDescent="0.3">
      <c r="A3141" t="s">
        <v>5330</v>
      </c>
      <c r="B3141" t="s">
        <v>5298</v>
      </c>
      <c r="C3141" t="s">
        <v>5319</v>
      </c>
      <c r="D3141" t="s">
        <v>13</v>
      </c>
      <c r="E3141" t="s">
        <v>56</v>
      </c>
      <c r="F3141" t="s">
        <v>5329</v>
      </c>
      <c r="H3141" t="s">
        <v>17</v>
      </c>
      <c r="I3141" t="s">
        <v>5304</v>
      </c>
    </row>
    <row r="3142" spans="1:9" hidden="1" x14ac:dyDescent="0.3">
      <c r="A3142" t="s">
        <v>5333</v>
      </c>
      <c r="B3142" t="s">
        <v>5298</v>
      </c>
      <c r="C3142" t="s">
        <v>5319</v>
      </c>
      <c r="D3142" t="s">
        <v>13</v>
      </c>
      <c r="E3142" t="s">
        <v>61</v>
      </c>
      <c r="F3142" t="s">
        <v>5331</v>
      </c>
      <c r="H3142" t="s">
        <v>17</v>
      </c>
      <c r="I3142" t="s">
        <v>5304</v>
      </c>
    </row>
    <row r="3143" spans="1:9" hidden="1" x14ac:dyDescent="0.3">
      <c r="A3143" t="s">
        <v>5335</v>
      </c>
      <c r="B3143" t="s">
        <v>5298</v>
      </c>
      <c r="C3143" t="s">
        <v>5332</v>
      </c>
      <c r="D3143" t="s">
        <v>13</v>
      </c>
      <c r="E3143" t="s">
        <v>1039</v>
      </c>
      <c r="F3143" t="s">
        <v>5139</v>
      </c>
      <c r="H3143" t="s">
        <v>17</v>
      </c>
      <c r="I3143" t="s">
        <v>5334</v>
      </c>
    </row>
    <row r="3144" spans="1:9" hidden="1" x14ac:dyDescent="0.3">
      <c r="A3144" t="s">
        <v>5336</v>
      </c>
      <c r="B3144" t="s">
        <v>5298</v>
      </c>
      <c r="C3144" t="s">
        <v>5332</v>
      </c>
      <c r="D3144" t="s">
        <v>13</v>
      </c>
      <c r="E3144" t="s">
        <v>1043</v>
      </c>
      <c r="F3144" t="s">
        <v>3970</v>
      </c>
      <c r="H3144" t="s">
        <v>17</v>
      </c>
      <c r="I3144" t="s">
        <v>5334</v>
      </c>
    </row>
    <row r="3145" spans="1:9" hidden="1" x14ac:dyDescent="0.3">
      <c r="A3145" t="s">
        <v>5337</v>
      </c>
      <c r="B3145" t="s">
        <v>5298</v>
      </c>
      <c r="C3145" t="s">
        <v>5332</v>
      </c>
      <c r="D3145" t="s">
        <v>13</v>
      </c>
      <c r="E3145" t="s">
        <v>71</v>
      </c>
      <c r="F3145" t="s">
        <v>4104</v>
      </c>
      <c r="H3145" t="s">
        <v>17</v>
      </c>
      <c r="I3145" t="s">
        <v>5334</v>
      </c>
    </row>
    <row r="3146" spans="1:9" hidden="1" x14ac:dyDescent="0.3">
      <c r="A3146" t="s">
        <v>5338</v>
      </c>
      <c r="B3146" t="s">
        <v>5298</v>
      </c>
      <c r="C3146" t="s">
        <v>5332</v>
      </c>
      <c r="D3146" t="s">
        <v>13</v>
      </c>
      <c r="E3146" t="s">
        <v>1050</v>
      </c>
      <c r="F3146" t="s">
        <v>5142</v>
      </c>
      <c r="H3146" t="s">
        <v>17</v>
      </c>
      <c r="I3146" t="s">
        <v>5334</v>
      </c>
    </row>
    <row r="3147" spans="1:9" hidden="1" x14ac:dyDescent="0.3">
      <c r="A3147" t="s">
        <v>5339</v>
      </c>
      <c r="B3147" t="s">
        <v>5298</v>
      </c>
      <c r="C3147" t="s">
        <v>5332</v>
      </c>
      <c r="D3147" t="s">
        <v>13</v>
      </c>
      <c r="E3147" t="s">
        <v>1055</v>
      </c>
      <c r="F3147" t="s">
        <v>5143</v>
      </c>
      <c r="H3147" t="s">
        <v>17</v>
      </c>
      <c r="I3147" t="s">
        <v>5334</v>
      </c>
    </row>
    <row r="3148" spans="1:9" hidden="1" x14ac:dyDescent="0.3">
      <c r="A3148" t="s">
        <v>5341</v>
      </c>
      <c r="B3148" t="s">
        <v>5298</v>
      </c>
      <c r="C3148" t="s">
        <v>5332</v>
      </c>
      <c r="D3148" t="s">
        <v>13</v>
      </c>
      <c r="E3148" t="s">
        <v>80</v>
      </c>
      <c r="F3148" t="s">
        <v>5340</v>
      </c>
      <c r="H3148" t="s">
        <v>17</v>
      </c>
      <c r="I3148" t="s">
        <v>5334</v>
      </c>
    </row>
    <row r="3149" spans="1:9" hidden="1" x14ac:dyDescent="0.3">
      <c r="A3149" t="s">
        <v>5344</v>
      </c>
      <c r="B3149" t="s">
        <v>5298</v>
      </c>
      <c r="C3149" t="s">
        <v>5332</v>
      </c>
      <c r="D3149" t="s">
        <v>13</v>
      </c>
      <c r="E3149" t="s">
        <v>85</v>
      </c>
      <c r="F3149" t="s">
        <v>5342</v>
      </c>
      <c r="H3149" t="s">
        <v>17</v>
      </c>
      <c r="I3149" t="s">
        <v>5343</v>
      </c>
    </row>
    <row r="3150" spans="1:9" hidden="1" x14ac:dyDescent="0.3">
      <c r="A3150" t="s">
        <v>5347</v>
      </c>
      <c r="B3150" t="s">
        <v>5298</v>
      </c>
      <c r="C3150" t="s">
        <v>5332</v>
      </c>
      <c r="D3150" t="s">
        <v>13</v>
      </c>
      <c r="E3150" t="s">
        <v>90</v>
      </c>
      <c r="F3150" t="s">
        <v>5345</v>
      </c>
      <c r="H3150" t="s">
        <v>17</v>
      </c>
      <c r="I3150" t="s">
        <v>5346</v>
      </c>
    </row>
    <row r="3151" spans="1:9" hidden="1" x14ac:dyDescent="0.3">
      <c r="A3151" t="s">
        <v>5350</v>
      </c>
      <c r="B3151" t="s">
        <v>5298</v>
      </c>
      <c r="C3151" t="s">
        <v>5332</v>
      </c>
      <c r="D3151" t="s">
        <v>13</v>
      </c>
      <c r="E3151" t="s">
        <v>95</v>
      </c>
      <c r="F3151" t="s">
        <v>5348</v>
      </c>
      <c r="H3151" t="s">
        <v>17</v>
      </c>
      <c r="I3151" t="s">
        <v>5349</v>
      </c>
    </row>
    <row r="3152" spans="1:9" hidden="1" x14ac:dyDescent="0.3">
      <c r="A3152" t="s">
        <v>5353</v>
      </c>
      <c r="B3152" t="s">
        <v>5298</v>
      </c>
      <c r="C3152" t="s">
        <v>5332</v>
      </c>
      <c r="D3152" t="s">
        <v>13</v>
      </c>
      <c r="E3152" t="s">
        <v>100</v>
      </c>
      <c r="F3152" t="s">
        <v>5351</v>
      </c>
      <c r="H3152" t="s">
        <v>17</v>
      </c>
      <c r="I3152" t="s">
        <v>5352</v>
      </c>
    </row>
    <row r="3153" spans="1:9" hidden="1" x14ac:dyDescent="0.3">
      <c r="A3153" t="s">
        <v>5356</v>
      </c>
      <c r="B3153" t="s">
        <v>5298</v>
      </c>
      <c r="C3153" t="s">
        <v>5332</v>
      </c>
      <c r="D3153" t="s">
        <v>13</v>
      </c>
      <c r="E3153" t="s">
        <v>106</v>
      </c>
      <c r="F3153" t="s">
        <v>5354</v>
      </c>
      <c r="H3153" t="s">
        <v>17</v>
      </c>
      <c r="I3153" t="s">
        <v>5355</v>
      </c>
    </row>
    <row r="3154" spans="1:9" hidden="1" x14ac:dyDescent="0.3">
      <c r="A3154" t="s">
        <v>5358</v>
      </c>
      <c r="B3154" t="s">
        <v>5298</v>
      </c>
      <c r="C3154" t="s">
        <v>5332</v>
      </c>
      <c r="D3154" t="s">
        <v>13</v>
      </c>
      <c r="E3154" t="s">
        <v>111</v>
      </c>
      <c r="F3154" t="s">
        <v>5357</v>
      </c>
      <c r="H3154" t="s">
        <v>17</v>
      </c>
      <c r="I3154" t="s">
        <v>3880</v>
      </c>
    </row>
    <row r="3155" spans="1:9" hidden="1" x14ac:dyDescent="0.3">
      <c r="A3155" t="s">
        <v>5360</v>
      </c>
      <c r="B3155" t="s">
        <v>5298</v>
      </c>
      <c r="C3155" t="s">
        <v>5332</v>
      </c>
      <c r="D3155" t="s">
        <v>13</v>
      </c>
      <c r="E3155" t="s">
        <v>114</v>
      </c>
      <c r="F3155" t="s">
        <v>4707</v>
      </c>
      <c r="H3155" t="s">
        <v>17</v>
      </c>
      <c r="I3155" t="s">
        <v>5359</v>
      </c>
    </row>
    <row r="3156" spans="1:9" hidden="1" x14ac:dyDescent="0.3">
      <c r="A3156" t="s">
        <v>5363</v>
      </c>
      <c r="B3156" t="s">
        <v>5298</v>
      </c>
      <c r="C3156" t="s">
        <v>5332</v>
      </c>
      <c r="D3156" t="s">
        <v>13</v>
      </c>
      <c r="E3156" t="s">
        <v>117</v>
      </c>
      <c r="F3156" t="s">
        <v>5361</v>
      </c>
      <c r="H3156" t="s">
        <v>17</v>
      </c>
      <c r="I3156" t="s">
        <v>5362</v>
      </c>
    </row>
    <row r="3157" spans="1:9" hidden="1" x14ac:dyDescent="0.3">
      <c r="A3157" t="s">
        <v>5366</v>
      </c>
      <c r="B3157" t="s">
        <v>5298</v>
      </c>
      <c r="C3157" t="s">
        <v>5332</v>
      </c>
      <c r="D3157" t="s">
        <v>13</v>
      </c>
      <c r="E3157" t="s">
        <v>121</v>
      </c>
      <c r="F3157" t="s">
        <v>5364</v>
      </c>
      <c r="H3157" t="s">
        <v>17</v>
      </c>
      <c r="I3157" t="s">
        <v>5365</v>
      </c>
    </row>
    <row r="3158" spans="1:9" hidden="1" x14ac:dyDescent="0.3">
      <c r="A3158" t="s">
        <v>5369</v>
      </c>
      <c r="B3158" t="s">
        <v>5298</v>
      </c>
      <c r="C3158" t="s">
        <v>5332</v>
      </c>
      <c r="D3158" t="s">
        <v>13</v>
      </c>
      <c r="E3158" t="s">
        <v>126</v>
      </c>
      <c r="F3158" t="s">
        <v>5367</v>
      </c>
      <c r="H3158" t="s">
        <v>17</v>
      </c>
      <c r="I3158" t="s">
        <v>5368</v>
      </c>
    </row>
    <row r="3159" spans="1:9" hidden="1" x14ac:dyDescent="0.3">
      <c r="A3159" t="s">
        <v>5372</v>
      </c>
      <c r="B3159" t="s">
        <v>5298</v>
      </c>
      <c r="C3159" t="s">
        <v>5332</v>
      </c>
      <c r="D3159" t="s">
        <v>13</v>
      </c>
      <c r="E3159" t="s">
        <v>129</v>
      </c>
      <c r="F3159" t="s">
        <v>5370</v>
      </c>
      <c r="H3159" t="s">
        <v>17</v>
      </c>
      <c r="I3159" t="s">
        <v>5371</v>
      </c>
    </row>
    <row r="3160" spans="1:9" hidden="1" x14ac:dyDescent="0.3">
      <c r="A3160" t="s">
        <v>5374</v>
      </c>
      <c r="B3160" t="s">
        <v>5298</v>
      </c>
      <c r="C3160" t="s">
        <v>5332</v>
      </c>
      <c r="D3160" t="s">
        <v>13</v>
      </c>
      <c r="E3160" t="s">
        <v>132</v>
      </c>
      <c r="F3160" t="s">
        <v>5373</v>
      </c>
      <c r="H3160" t="s">
        <v>17</v>
      </c>
      <c r="I3160" t="s">
        <v>3880</v>
      </c>
    </row>
    <row r="3161" spans="1:9" hidden="1" x14ac:dyDescent="0.3">
      <c r="A3161" t="s">
        <v>5377</v>
      </c>
      <c r="B3161" t="s">
        <v>5298</v>
      </c>
      <c r="C3161" t="s">
        <v>5332</v>
      </c>
      <c r="D3161" t="s">
        <v>13</v>
      </c>
      <c r="E3161" t="s">
        <v>135</v>
      </c>
      <c r="F3161" t="s">
        <v>5375</v>
      </c>
      <c r="H3161" t="s">
        <v>17</v>
      </c>
      <c r="I3161" t="s">
        <v>5376</v>
      </c>
    </row>
    <row r="3162" spans="1:9" hidden="1" x14ac:dyDescent="0.3">
      <c r="A3162" t="s">
        <v>5379</v>
      </c>
      <c r="B3162" t="s">
        <v>5298</v>
      </c>
      <c r="C3162" t="s">
        <v>5332</v>
      </c>
      <c r="D3162" t="s">
        <v>13</v>
      </c>
      <c r="E3162" t="s">
        <v>138</v>
      </c>
      <c r="F3162" t="s">
        <v>5378</v>
      </c>
      <c r="H3162" t="s">
        <v>17</v>
      </c>
      <c r="I3162" t="s">
        <v>3880</v>
      </c>
    </row>
    <row r="3163" spans="1:9" hidden="1" x14ac:dyDescent="0.3">
      <c r="A3163" t="s">
        <v>5381</v>
      </c>
      <c r="B3163" t="s">
        <v>5298</v>
      </c>
      <c r="C3163" t="s">
        <v>5332</v>
      </c>
      <c r="D3163" t="s">
        <v>13</v>
      </c>
      <c r="E3163" t="s">
        <v>141</v>
      </c>
      <c r="F3163" t="s">
        <v>5380</v>
      </c>
      <c r="H3163" t="s">
        <v>17</v>
      </c>
      <c r="I3163" t="s">
        <v>3880</v>
      </c>
    </row>
    <row r="3164" spans="1:9" hidden="1" x14ac:dyDescent="0.3">
      <c r="A3164" t="s">
        <v>5383</v>
      </c>
      <c r="B3164" t="s">
        <v>5298</v>
      </c>
      <c r="C3164" t="s">
        <v>5332</v>
      </c>
      <c r="D3164" t="s">
        <v>13</v>
      </c>
      <c r="E3164" t="s">
        <v>144</v>
      </c>
      <c r="F3164" t="s">
        <v>5382</v>
      </c>
      <c r="H3164" t="s">
        <v>17</v>
      </c>
      <c r="I3164" t="s">
        <v>3880</v>
      </c>
    </row>
    <row r="3165" spans="1:9" hidden="1" x14ac:dyDescent="0.3">
      <c r="A3165" t="s">
        <v>5385</v>
      </c>
      <c r="B3165" t="s">
        <v>5298</v>
      </c>
      <c r="C3165" t="s">
        <v>5332</v>
      </c>
      <c r="D3165" t="s">
        <v>13</v>
      </c>
      <c r="E3165" t="s">
        <v>147</v>
      </c>
      <c r="F3165" t="s">
        <v>5384</v>
      </c>
      <c r="H3165" t="s">
        <v>17</v>
      </c>
      <c r="I3165" t="s">
        <v>3880</v>
      </c>
    </row>
    <row r="3166" spans="1:9" hidden="1" x14ac:dyDescent="0.3">
      <c r="A3166" t="s">
        <v>5387</v>
      </c>
      <c r="B3166" t="s">
        <v>5298</v>
      </c>
      <c r="C3166" t="s">
        <v>5332</v>
      </c>
      <c r="D3166" t="s">
        <v>13</v>
      </c>
      <c r="E3166" t="s">
        <v>152</v>
      </c>
      <c r="F3166" t="s">
        <v>5386</v>
      </c>
      <c r="H3166" t="s">
        <v>17</v>
      </c>
      <c r="I3166" t="s">
        <v>3880</v>
      </c>
    </row>
    <row r="3167" spans="1:9" hidden="1" x14ac:dyDescent="0.3">
      <c r="A3167" t="s">
        <v>5389</v>
      </c>
      <c r="B3167" t="s">
        <v>5298</v>
      </c>
      <c r="C3167" t="s">
        <v>5332</v>
      </c>
      <c r="D3167" t="s">
        <v>13</v>
      </c>
      <c r="E3167" t="s">
        <v>157</v>
      </c>
      <c r="F3167" t="s">
        <v>5214</v>
      </c>
      <c r="H3167" t="s">
        <v>17</v>
      </c>
      <c r="I3167" t="s">
        <v>5388</v>
      </c>
    </row>
    <row r="3168" spans="1:9" hidden="1" x14ac:dyDescent="0.3">
      <c r="A3168" t="s">
        <v>5391</v>
      </c>
      <c r="B3168" t="s">
        <v>5298</v>
      </c>
      <c r="C3168" t="s">
        <v>5332</v>
      </c>
      <c r="D3168" t="s">
        <v>13</v>
      </c>
      <c r="E3168" t="s">
        <v>162</v>
      </c>
      <c r="F3168" t="s">
        <v>5217</v>
      </c>
      <c r="H3168" t="s">
        <v>17</v>
      </c>
      <c r="I3168" t="s">
        <v>5390</v>
      </c>
    </row>
    <row r="3169" spans="1:9" hidden="1" x14ac:dyDescent="0.3">
      <c r="A3169" t="s">
        <v>5394</v>
      </c>
      <c r="B3169" t="s">
        <v>5298</v>
      </c>
      <c r="C3169" t="s">
        <v>5332</v>
      </c>
      <c r="D3169" t="s">
        <v>13</v>
      </c>
      <c r="E3169" t="s">
        <v>167</v>
      </c>
      <c r="F3169" t="s">
        <v>5392</v>
      </c>
      <c r="H3169" t="s">
        <v>17</v>
      </c>
      <c r="I3169" t="s">
        <v>5393</v>
      </c>
    </row>
    <row r="3170" spans="1:9" hidden="1" x14ac:dyDescent="0.3">
      <c r="A3170" t="s">
        <v>5396</v>
      </c>
      <c r="B3170" t="s">
        <v>5298</v>
      </c>
      <c r="C3170" t="s">
        <v>5332</v>
      </c>
      <c r="D3170" t="s">
        <v>13</v>
      </c>
      <c r="E3170" t="s">
        <v>172</v>
      </c>
      <c r="F3170" t="s">
        <v>5395</v>
      </c>
      <c r="H3170" t="s">
        <v>17</v>
      </c>
      <c r="I3170" t="s">
        <v>3880</v>
      </c>
    </row>
    <row r="3171" spans="1:9" hidden="1" x14ac:dyDescent="0.3">
      <c r="A3171" t="s">
        <v>5398</v>
      </c>
      <c r="B3171" t="s">
        <v>5298</v>
      </c>
      <c r="C3171" t="s">
        <v>5332</v>
      </c>
      <c r="D3171" t="s">
        <v>13</v>
      </c>
      <c r="E3171" t="s">
        <v>177</v>
      </c>
      <c r="F3171" t="s">
        <v>5397</v>
      </c>
      <c r="H3171" t="s">
        <v>17</v>
      </c>
      <c r="I3171" t="s">
        <v>3880</v>
      </c>
    </row>
    <row r="3172" spans="1:9" hidden="1" x14ac:dyDescent="0.3">
      <c r="A3172" t="s">
        <v>5401</v>
      </c>
      <c r="B3172" t="s">
        <v>5298</v>
      </c>
      <c r="C3172" t="s">
        <v>5332</v>
      </c>
      <c r="D3172" t="s">
        <v>13</v>
      </c>
      <c r="E3172" t="s">
        <v>182</v>
      </c>
      <c r="F3172" t="s">
        <v>5399</v>
      </c>
      <c r="H3172" t="s">
        <v>17</v>
      </c>
      <c r="I3172" t="s">
        <v>5400</v>
      </c>
    </row>
    <row r="3173" spans="1:9" hidden="1" x14ac:dyDescent="0.3">
      <c r="A3173" t="s">
        <v>5403</v>
      </c>
      <c r="B3173" t="s">
        <v>5298</v>
      </c>
      <c r="C3173" t="s">
        <v>5332</v>
      </c>
      <c r="D3173" t="s">
        <v>13</v>
      </c>
      <c r="E3173" t="s">
        <v>187</v>
      </c>
      <c r="F3173" t="s">
        <v>5402</v>
      </c>
      <c r="H3173" t="s">
        <v>17</v>
      </c>
      <c r="I3173" t="s">
        <v>3880</v>
      </c>
    </row>
    <row r="3174" spans="1:9" hidden="1" x14ac:dyDescent="0.3">
      <c r="A3174" t="s">
        <v>5405</v>
      </c>
      <c r="B3174" t="s">
        <v>5298</v>
      </c>
      <c r="C3174" t="s">
        <v>5332</v>
      </c>
      <c r="D3174" t="s">
        <v>13</v>
      </c>
      <c r="E3174" t="s">
        <v>193</v>
      </c>
      <c r="F3174" t="s">
        <v>5404</v>
      </c>
      <c r="H3174" t="s">
        <v>17</v>
      </c>
      <c r="I3174" t="s">
        <v>3880</v>
      </c>
    </row>
    <row r="3175" spans="1:9" hidden="1" x14ac:dyDescent="0.3">
      <c r="A3175" t="s">
        <v>5407</v>
      </c>
      <c r="B3175" t="s">
        <v>5298</v>
      </c>
      <c r="C3175" t="s">
        <v>5332</v>
      </c>
      <c r="D3175" t="s">
        <v>13</v>
      </c>
      <c r="E3175" t="s">
        <v>198</v>
      </c>
      <c r="F3175" t="s">
        <v>5406</v>
      </c>
      <c r="H3175" t="s">
        <v>17</v>
      </c>
      <c r="I3175" t="s">
        <v>5276</v>
      </c>
    </row>
    <row r="3176" spans="1:9" hidden="1" x14ac:dyDescent="0.3">
      <c r="A3176" t="s">
        <v>5409</v>
      </c>
      <c r="B3176" t="s">
        <v>5298</v>
      </c>
      <c r="C3176" t="s">
        <v>5332</v>
      </c>
      <c r="D3176" t="s">
        <v>13</v>
      </c>
      <c r="E3176" t="s">
        <v>1118</v>
      </c>
      <c r="F3176" t="s">
        <v>5408</v>
      </c>
      <c r="H3176" t="s">
        <v>17</v>
      </c>
      <c r="I3176" t="s">
        <v>5171</v>
      </c>
    </row>
    <row r="3177" spans="1:9" hidden="1" x14ac:dyDescent="0.3">
      <c r="A3177" t="s">
        <v>5412</v>
      </c>
      <c r="B3177" t="s">
        <v>5298</v>
      </c>
      <c r="C3177" t="s">
        <v>5332</v>
      </c>
      <c r="D3177" t="s">
        <v>13</v>
      </c>
      <c r="E3177" t="s">
        <v>1123</v>
      </c>
      <c r="F3177" t="s">
        <v>5410</v>
      </c>
      <c r="H3177" t="s">
        <v>17</v>
      </c>
      <c r="I3177" t="s">
        <v>5411</v>
      </c>
    </row>
    <row r="3178" spans="1:9" hidden="1" x14ac:dyDescent="0.3">
      <c r="A3178" t="s">
        <v>5415</v>
      </c>
      <c r="B3178" t="s">
        <v>5298</v>
      </c>
      <c r="C3178" t="s">
        <v>5332</v>
      </c>
      <c r="D3178" t="s">
        <v>13</v>
      </c>
      <c r="E3178" t="s">
        <v>218</v>
      </c>
      <c r="F3178" t="s">
        <v>5413</v>
      </c>
      <c r="H3178" t="s">
        <v>17</v>
      </c>
      <c r="I3178" t="s">
        <v>5414</v>
      </c>
    </row>
    <row r="3179" spans="1:9" hidden="1" x14ac:dyDescent="0.3">
      <c r="A3179" t="s">
        <v>5418</v>
      </c>
      <c r="B3179" t="s">
        <v>5298</v>
      </c>
      <c r="C3179" t="s">
        <v>5332</v>
      </c>
      <c r="D3179" t="s">
        <v>13</v>
      </c>
      <c r="E3179" t="s">
        <v>2924</v>
      </c>
      <c r="F3179" t="s">
        <v>5416</v>
      </c>
      <c r="H3179" t="s">
        <v>17</v>
      </c>
      <c r="I3179" t="s">
        <v>5417</v>
      </c>
    </row>
    <row r="3180" spans="1:9" hidden="1" x14ac:dyDescent="0.3">
      <c r="A3180" t="s">
        <v>5419</v>
      </c>
      <c r="B3180" t="s">
        <v>5298</v>
      </c>
      <c r="C3180" t="s">
        <v>5332</v>
      </c>
      <c r="D3180" t="s">
        <v>13</v>
      </c>
      <c r="E3180" t="s">
        <v>239</v>
      </c>
      <c r="F3180" t="s">
        <v>843</v>
      </c>
      <c r="H3180" t="s">
        <v>17</v>
      </c>
      <c r="I3180" t="s">
        <v>845</v>
      </c>
    </row>
    <row r="3181" spans="1:9" hidden="1" x14ac:dyDescent="0.3">
      <c r="A3181" t="s">
        <v>5422</v>
      </c>
      <c r="B3181" t="s">
        <v>5298</v>
      </c>
      <c r="C3181" t="s">
        <v>5332</v>
      </c>
      <c r="D3181" t="s">
        <v>13</v>
      </c>
      <c r="E3181" t="s">
        <v>1881</v>
      </c>
      <c r="F3181" t="s">
        <v>5420</v>
      </c>
      <c r="H3181" t="s">
        <v>17</v>
      </c>
      <c r="I3181" t="s">
        <v>5421</v>
      </c>
    </row>
    <row r="3182" spans="1:9" hidden="1" x14ac:dyDescent="0.3">
      <c r="A3182" t="s">
        <v>5423</v>
      </c>
      <c r="B3182" t="s">
        <v>5298</v>
      </c>
      <c r="C3182" t="s">
        <v>5332</v>
      </c>
      <c r="D3182" t="s">
        <v>13</v>
      </c>
      <c r="E3182" t="s">
        <v>1885</v>
      </c>
      <c r="F3182" t="s">
        <v>797</v>
      </c>
      <c r="H3182" t="s">
        <v>17</v>
      </c>
      <c r="I3182" t="s">
        <v>4586</v>
      </c>
    </row>
    <row r="3183" spans="1:9" hidden="1" x14ac:dyDescent="0.3">
      <c r="A3183" t="s">
        <v>5425</v>
      </c>
      <c r="B3183" t="s">
        <v>5298</v>
      </c>
      <c r="C3183" t="s">
        <v>5332</v>
      </c>
      <c r="D3183" t="s">
        <v>13</v>
      </c>
      <c r="E3183" t="s">
        <v>1588</v>
      </c>
      <c r="F3183" t="s">
        <v>747</v>
      </c>
      <c r="H3183" t="s">
        <v>17</v>
      </c>
      <c r="I3183" t="s">
        <v>5424</v>
      </c>
    </row>
    <row r="3184" spans="1:9" hidden="1" x14ac:dyDescent="0.3">
      <c r="A3184" t="s">
        <v>5427</v>
      </c>
      <c r="B3184" t="s">
        <v>5298</v>
      </c>
      <c r="C3184" t="s">
        <v>5332</v>
      </c>
      <c r="D3184" t="s">
        <v>13</v>
      </c>
      <c r="E3184" t="s">
        <v>1892</v>
      </c>
      <c r="F3184" t="s">
        <v>5426</v>
      </c>
      <c r="H3184" t="s">
        <v>17</v>
      </c>
      <c r="I3184" t="s">
        <v>5177</v>
      </c>
    </row>
    <row r="3185" spans="1:9" hidden="1" x14ac:dyDescent="0.3">
      <c r="A3185" t="s">
        <v>5428</v>
      </c>
      <c r="B3185" t="s">
        <v>5298</v>
      </c>
      <c r="C3185" t="s">
        <v>5332</v>
      </c>
      <c r="D3185" t="s">
        <v>13</v>
      </c>
      <c r="E3185" t="s">
        <v>1146</v>
      </c>
      <c r="F3185" t="s">
        <v>2918</v>
      </c>
      <c r="H3185" t="s">
        <v>17</v>
      </c>
      <c r="I3185" t="s">
        <v>5178</v>
      </c>
    </row>
    <row r="3186" spans="1:9" hidden="1" x14ac:dyDescent="0.3">
      <c r="A3186" t="s">
        <v>5430</v>
      </c>
      <c r="B3186" t="s">
        <v>5298</v>
      </c>
      <c r="C3186" t="s">
        <v>5332</v>
      </c>
      <c r="D3186" t="s">
        <v>13</v>
      </c>
      <c r="E3186" t="s">
        <v>1150</v>
      </c>
      <c r="F3186" t="s">
        <v>4819</v>
      </c>
      <c r="H3186" t="s">
        <v>17</v>
      </c>
      <c r="I3186" t="s">
        <v>5429</v>
      </c>
    </row>
    <row r="3187" spans="1:9" hidden="1" x14ac:dyDescent="0.3">
      <c r="A3187" t="s">
        <v>5432</v>
      </c>
      <c r="B3187" t="s">
        <v>5298</v>
      </c>
      <c r="C3187" t="s">
        <v>5332</v>
      </c>
      <c r="D3187" t="s">
        <v>13</v>
      </c>
      <c r="E3187" t="s">
        <v>1154</v>
      </c>
      <c r="F3187" t="s">
        <v>3984</v>
      </c>
      <c r="H3187" t="s">
        <v>17</v>
      </c>
      <c r="I3187" t="s">
        <v>5431</v>
      </c>
    </row>
    <row r="3188" spans="1:9" hidden="1" x14ac:dyDescent="0.3">
      <c r="A3188" t="s">
        <v>5434</v>
      </c>
      <c r="B3188" t="s">
        <v>5298</v>
      </c>
      <c r="C3188" t="s">
        <v>5332</v>
      </c>
      <c r="D3188" t="s">
        <v>13</v>
      </c>
      <c r="E3188" t="s">
        <v>1158</v>
      </c>
      <c r="F3188" t="s">
        <v>4453</v>
      </c>
      <c r="H3188" t="s">
        <v>17</v>
      </c>
      <c r="I3188" t="s">
        <v>5433</v>
      </c>
    </row>
    <row r="3189" spans="1:9" hidden="1" x14ac:dyDescent="0.3">
      <c r="A3189" t="s">
        <v>10</v>
      </c>
      <c r="B3189" t="s">
        <v>5298</v>
      </c>
      <c r="C3189" t="s">
        <v>5332</v>
      </c>
      <c r="D3189" t="s">
        <v>13</v>
      </c>
      <c r="E3189" t="s">
        <v>1162</v>
      </c>
      <c r="F3189" t="s">
        <v>1706</v>
      </c>
      <c r="H3189" t="s">
        <v>17</v>
      </c>
      <c r="I3189" t="s">
        <v>5435</v>
      </c>
    </row>
    <row r="3190" spans="1:9" hidden="1" x14ac:dyDescent="0.3">
      <c r="A3190" t="s">
        <v>1518</v>
      </c>
      <c r="B3190" t="s">
        <v>5436</v>
      </c>
      <c r="F3190" t="s">
        <v>5437</v>
      </c>
    </row>
    <row r="3191" spans="1:9" hidden="1" x14ac:dyDescent="0.3">
      <c r="A3191" t="s">
        <v>2671</v>
      </c>
      <c r="B3191" t="s">
        <v>5436</v>
      </c>
      <c r="D3191" t="s">
        <v>13</v>
      </c>
      <c r="E3191" t="s">
        <v>14</v>
      </c>
      <c r="F3191" t="s">
        <v>4688</v>
      </c>
      <c r="H3191" t="s">
        <v>17</v>
      </c>
    </row>
    <row r="3192" spans="1:9" hidden="1" x14ac:dyDescent="0.3">
      <c r="A3192" t="s">
        <v>2674</v>
      </c>
      <c r="B3192" t="s">
        <v>5436</v>
      </c>
      <c r="D3192" t="s">
        <v>13</v>
      </c>
      <c r="E3192" t="s">
        <v>1743</v>
      </c>
      <c r="F3192" t="s">
        <v>5438</v>
      </c>
      <c r="H3192" t="s">
        <v>17</v>
      </c>
      <c r="I3192" t="s">
        <v>5439</v>
      </c>
    </row>
    <row r="3193" spans="1:9" hidden="1" x14ac:dyDescent="0.3">
      <c r="A3193" t="s">
        <v>2679</v>
      </c>
      <c r="B3193" t="s">
        <v>5436</v>
      </c>
      <c r="D3193" t="s">
        <v>13</v>
      </c>
      <c r="E3193" t="s">
        <v>996</v>
      </c>
      <c r="F3193" t="s">
        <v>5440</v>
      </c>
      <c r="H3193" t="s">
        <v>17</v>
      </c>
      <c r="I3193" t="s">
        <v>5439</v>
      </c>
    </row>
    <row r="3194" spans="1:9" hidden="1" x14ac:dyDescent="0.3">
      <c r="A3194" t="s">
        <v>23</v>
      </c>
      <c r="B3194" t="s">
        <v>5436</v>
      </c>
      <c r="D3194" t="s">
        <v>13</v>
      </c>
      <c r="E3194" t="s">
        <v>1001</v>
      </c>
      <c r="F3194" t="s">
        <v>5441</v>
      </c>
      <c r="H3194" t="s">
        <v>17</v>
      </c>
      <c r="I3194" t="s">
        <v>5439</v>
      </c>
    </row>
    <row r="3195" spans="1:9" hidden="1" x14ac:dyDescent="0.3">
      <c r="A3195" t="s">
        <v>28</v>
      </c>
      <c r="B3195" t="s">
        <v>5436</v>
      </c>
      <c r="D3195" t="s">
        <v>13</v>
      </c>
      <c r="E3195" t="s">
        <v>1942</v>
      </c>
      <c r="F3195" t="s">
        <v>5442</v>
      </c>
      <c r="H3195" t="s">
        <v>17</v>
      </c>
      <c r="I3195" t="s">
        <v>5439</v>
      </c>
    </row>
    <row r="3196" spans="1:9" hidden="1" x14ac:dyDescent="0.3">
      <c r="A3196" t="s">
        <v>2687</v>
      </c>
      <c r="B3196" t="s">
        <v>5436</v>
      </c>
      <c r="D3196" t="s">
        <v>13</v>
      </c>
      <c r="E3196" t="s">
        <v>22</v>
      </c>
      <c r="F3196" t="s">
        <v>5443</v>
      </c>
      <c r="H3196" t="s">
        <v>17</v>
      </c>
      <c r="I3196" t="s">
        <v>5444</v>
      </c>
    </row>
    <row r="3197" spans="1:9" hidden="1" x14ac:dyDescent="0.3">
      <c r="A3197" t="s">
        <v>37</v>
      </c>
      <c r="B3197" t="s">
        <v>5436</v>
      </c>
      <c r="D3197" t="s">
        <v>13</v>
      </c>
      <c r="E3197" t="s">
        <v>27</v>
      </c>
      <c r="F3197" t="s">
        <v>1644</v>
      </c>
      <c r="H3197" t="s">
        <v>17</v>
      </c>
      <c r="I3197" t="s">
        <v>5445</v>
      </c>
    </row>
    <row r="3198" spans="1:9" hidden="1" x14ac:dyDescent="0.3">
      <c r="A3198" t="s">
        <v>46</v>
      </c>
      <c r="B3198" t="s">
        <v>5436</v>
      </c>
      <c r="D3198" t="s">
        <v>13</v>
      </c>
      <c r="E3198" t="s">
        <v>1014</v>
      </c>
      <c r="F3198" t="s">
        <v>5446</v>
      </c>
      <c r="H3198" t="s">
        <v>17</v>
      </c>
      <c r="I3198" t="s">
        <v>5447</v>
      </c>
    </row>
    <row r="3199" spans="1:9" hidden="1" x14ac:dyDescent="0.3">
      <c r="A3199" t="s">
        <v>51</v>
      </c>
      <c r="B3199" t="s">
        <v>5436</v>
      </c>
      <c r="D3199" t="s">
        <v>13</v>
      </c>
      <c r="E3199" t="s">
        <v>1017</v>
      </c>
      <c r="F3199" t="s">
        <v>5448</v>
      </c>
      <c r="H3199" t="s">
        <v>17</v>
      </c>
      <c r="I3199" t="s">
        <v>5447</v>
      </c>
    </row>
    <row r="3200" spans="1:9" hidden="1" x14ac:dyDescent="0.3">
      <c r="A3200" t="s">
        <v>54</v>
      </c>
      <c r="B3200" t="s">
        <v>5436</v>
      </c>
      <c r="D3200" t="s">
        <v>13</v>
      </c>
      <c r="E3200" t="s">
        <v>36</v>
      </c>
      <c r="F3200" t="s">
        <v>5449</v>
      </c>
      <c r="H3200" t="s">
        <v>17</v>
      </c>
      <c r="I3200" t="s">
        <v>5450</v>
      </c>
    </row>
    <row r="3201" spans="1:9" hidden="1" x14ac:dyDescent="0.3">
      <c r="A3201" t="s">
        <v>67</v>
      </c>
      <c r="B3201" t="s">
        <v>5436</v>
      </c>
      <c r="D3201" t="s">
        <v>13</v>
      </c>
      <c r="E3201" t="s">
        <v>41</v>
      </c>
      <c r="F3201" t="s">
        <v>5451</v>
      </c>
      <c r="H3201" t="s">
        <v>17</v>
      </c>
      <c r="I3201" t="s">
        <v>5452</v>
      </c>
    </row>
    <row r="3202" spans="1:9" hidden="1" x14ac:dyDescent="0.3">
      <c r="A3202" t="s">
        <v>72</v>
      </c>
      <c r="B3202" t="s">
        <v>5436</v>
      </c>
      <c r="C3202" t="s">
        <v>5453</v>
      </c>
      <c r="D3202" t="s">
        <v>13</v>
      </c>
      <c r="E3202" t="s">
        <v>45</v>
      </c>
      <c r="F3202" t="s">
        <v>5454</v>
      </c>
      <c r="H3202" t="s">
        <v>17</v>
      </c>
      <c r="I3202" t="s">
        <v>5455</v>
      </c>
    </row>
    <row r="3203" spans="1:9" hidden="1" x14ac:dyDescent="0.3">
      <c r="A3203" t="s">
        <v>77</v>
      </c>
      <c r="B3203" t="s">
        <v>5436</v>
      </c>
      <c r="C3203" t="s">
        <v>5453</v>
      </c>
      <c r="D3203" t="s">
        <v>13</v>
      </c>
      <c r="E3203" t="s">
        <v>50</v>
      </c>
      <c r="F3203" t="s">
        <v>5456</v>
      </c>
      <c r="H3203" t="s">
        <v>17</v>
      </c>
      <c r="I3203" t="s">
        <v>5455</v>
      </c>
    </row>
    <row r="3204" spans="1:9" hidden="1" x14ac:dyDescent="0.3">
      <c r="A3204" t="s">
        <v>81</v>
      </c>
      <c r="B3204" t="s">
        <v>5436</v>
      </c>
      <c r="C3204" t="s">
        <v>5453</v>
      </c>
      <c r="D3204" t="s">
        <v>13</v>
      </c>
      <c r="E3204" t="s">
        <v>53</v>
      </c>
      <c r="F3204" t="s">
        <v>5457</v>
      </c>
      <c r="H3204" t="s">
        <v>17</v>
      </c>
      <c r="I3204" t="s">
        <v>5455</v>
      </c>
    </row>
    <row r="3205" spans="1:9" hidden="1" x14ac:dyDescent="0.3">
      <c r="A3205" t="s">
        <v>86</v>
      </c>
      <c r="B3205" t="s">
        <v>5436</v>
      </c>
      <c r="C3205" t="s">
        <v>5453</v>
      </c>
      <c r="D3205" t="s">
        <v>13</v>
      </c>
      <c r="E3205" t="s">
        <v>56</v>
      </c>
      <c r="F3205" t="s">
        <v>5458</v>
      </c>
      <c r="H3205" t="s">
        <v>17</v>
      </c>
      <c r="I3205" t="s">
        <v>5455</v>
      </c>
    </row>
    <row r="3206" spans="1:9" hidden="1" x14ac:dyDescent="0.3">
      <c r="A3206" t="s">
        <v>91</v>
      </c>
      <c r="B3206" t="s">
        <v>5436</v>
      </c>
      <c r="C3206" t="s">
        <v>5453</v>
      </c>
      <c r="D3206" t="s">
        <v>13</v>
      </c>
      <c r="E3206" t="s">
        <v>61</v>
      </c>
      <c r="F3206" t="s">
        <v>5459</v>
      </c>
      <c r="H3206" t="s">
        <v>17</v>
      </c>
      <c r="I3206" t="s">
        <v>5455</v>
      </c>
    </row>
    <row r="3207" spans="1:9" hidden="1" x14ac:dyDescent="0.3">
      <c r="A3207" t="s">
        <v>96</v>
      </c>
      <c r="B3207" t="s">
        <v>5436</v>
      </c>
      <c r="C3207" t="s">
        <v>5453</v>
      </c>
      <c r="D3207" t="s">
        <v>13</v>
      </c>
      <c r="E3207" t="s">
        <v>1039</v>
      </c>
      <c r="F3207" t="s">
        <v>5460</v>
      </c>
      <c r="H3207" t="s">
        <v>17</v>
      </c>
      <c r="I3207" t="s">
        <v>5455</v>
      </c>
    </row>
    <row r="3208" spans="1:9" hidden="1" x14ac:dyDescent="0.3">
      <c r="A3208" t="s">
        <v>101</v>
      </c>
      <c r="B3208" t="s">
        <v>5436</v>
      </c>
      <c r="C3208" t="s">
        <v>5453</v>
      </c>
      <c r="D3208" t="s">
        <v>13</v>
      </c>
      <c r="E3208" t="s">
        <v>1043</v>
      </c>
      <c r="F3208" t="s">
        <v>5461</v>
      </c>
      <c r="H3208" t="s">
        <v>17</v>
      </c>
      <c r="I3208" t="s">
        <v>5455</v>
      </c>
    </row>
    <row r="3209" spans="1:9" hidden="1" x14ac:dyDescent="0.3">
      <c r="A3209" t="s">
        <v>107</v>
      </c>
      <c r="B3209" t="s">
        <v>5436</v>
      </c>
      <c r="C3209" t="s">
        <v>5453</v>
      </c>
      <c r="D3209" t="s">
        <v>13</v>
      </c>
      <c r="E3209" t="s">
        <v>71</v>
      </c>
      <c r="F3209" t="s">
        <v>5462</v>
      </c>
      <c r="H3209" t="s">
        <v>17</v>
      </c>
      <c r="I3209" t="s">
        <v>5455</v>
      </c>
    </row>
    <row r="3210" spans="1:9" hidden="1" x14ac:dyDescent="0.3">
      <c r="A3210" t="s">
        <v>112</v>
      </c>
      <c r="B3210" t="s">
        <v>5436</v>
      </c>
      <c r="C3210" t="s">
        <v>5453</v>
      </c>
      <c r="D3210" t="s">
        <v>13</v>
      </c>
      <c r="E3210" t="s">
        <v>1050</v>
      </c>
      <c r="F3210" t="s">
        <v>5463</v>
      </c>
      <c r="H3210" t="s">
        <v>17</v>
      </c>
      <c r="I3210" t="s">
        <v>5455</v>
      </c>
    </row>
    <row r="3211" spans="1:9" hidden="1" x14ac:dyDescent="0.3">
      <c r="A3211" t="s">
        <v>115</v>
      </c>
      <c r="B3211" t="s">
        <v>5436</v>
      </c>
      <c r="C3211" t="s">
        <v>5453</v>
      </c>
      <c r="D3211" t="s">
        <v>13</v>
      </c>
      <c r="E3211" t="s">
        <v>1055</v>
      </c>
      <c r="F3211" t="s">
        <v>5464</v>
      </c>
      <c r="H3211" t="s">
        <v>17</v>
      </c>
      <c r="I3211" t="s">
        <v>5455</v>
      </c>
    </row>
    <row r="3212" spans="1:9" hidden="1" x14ac:dyDescent="0.3">
      <c r="A3212" t="s">
        <v>118</v>
      </c>
      <c r="B3212" t="s">
        <v>5436</v>
      </c>
      <c r="C3212" t="s">
        <v>5453</v>
      </c>
      <c r="D3212" t="s">
        <v>13</v>
      </c>
      <c r="E3212" t="s">
        <v>80</v>
      </c>
      <c r="F3212" t="s">
        <v>5465</v>
      </c>
      <c r="H3212" t="s">
        <v>17</v>
      </c>
      <c r="I3212" t="s">
        <v>5455</v>
      </c>
    </row>
    <row r="3213" spans="1:9" hidden="1" x14ac:dyDescent="0.3">
      <c r="A3213" t="s">
        <v>122</v>
      </c>
      <c r="B3213" t="s">
        <v>5436</v>
      </c>
      <c r="C3213" t="s">
        <v>5453</v>
      </c>
      <c r="D3213" t="s">
        <v>13</v>
      </c>
      <c r="E3213" t="s">
        <v>85</v>
      </c>
      <c r="F3213" t="s">
        <v>5466</v>
      </c>
      <c r="H3213" t="s">
        <v>17</v>
      </c>
      <c r="I3213" t="s">
        <v>5455</v>
      </c>
    </row>
    <row r="3214" spans="1:9" hidden="1" x14ac:dyDescent="0.3">
      <c r="A3214" t="s">
        <v>130</v>
      </c>
      <c r="B3214" t="s">
        <v>5436</v>
      </c>
      <c r="C3214" t="s">
        <v>5453</v>
      </c>
      <c r="D3214" t="s">
        <v>13</v>
      </c>
      <c r="E3214" t="s">
        <v>90</v>
      </c>
      <c r="F3214" t="s">
        <v>5467</v>
      </c>
      <c r="H3214" t="s">
        <v>17</v>
      </c>
      <c r="I3214" t="s">
        <v>5455</v>
      </c>
    </row>
    <row r="3215" spans="1:9" hidden="1" x14ac:dyDescent="0.3">
      <c r="A3215" t="s">
        <v>133</v>
      </c>
      <c r="B3215" t="s">
        <v>5436</v>
      </c>
      <c r="C3215" t="s">
        <v>5453</v>
      </c>
      <c r="D3215" t="s">
        <v>13</v>
      </c>
      <c r="E3215" t="s">
        <v>95</v>
      </c>
      <c r="F3215" t="s">
        <v>5468</v>
      </c>
      <c r="H3215" t="s">
        <v>17</v>
      </c>
      <c r="I3215" t="s">
        <v>5469</v>
      </c>
    </row>
    <row r="3216" spans="1:9" hidden="1" x14ac:dyDescent="0.3">
      <c r="A3216" t="s">
        <v>139</v>
      </c>
      <c r="B3216" t="s">
        <v>5436</v>
      </c>
      <c r="C3216" t="s">
        <v>5453</v>
      </c>
      <c r="D3216" t="s">
        <v>13</v>
      </c>
      <c r="E3216" t="s">
        <v>100</v>
      </c>
      <c r="F3216" t="s">
        <v>5470</v>
      </c>
      <c r="H3216" t="s">
        <v>17</v>
      </c>
      <c r="I3216" t="s">
        <v>5471</v>
      </c>
    </row>
    <row r="3217" spans="1:9" hidden="1" x14ac:dyDescent="0.3">
      <c r="A3217" t="s">
        <v>142</v>
      </c>
      <c r="B3217" t="s">
        <v>5436</v>
      </c>
      <c r="C3217" t="s">
        <v>5453</v>
      </c>
      <c r="D3217" t="s">
        <v>13</v>
      </c>
      <c r="E3217" t="s">
        <v>106</v>
      </c>
      <c r="F3217" t="s">
        <v>5472</v>
      </c>
      <c r="H3217" t="s">
        <v>17</v>
      </c>
      <c r="I3217" t="s">
        <v>5473</v>
      </c>
    </row>
    <row r="3218" spans="1:9" hidden="1" x14ac:dyDescent="0.3">
      <c r="A3218" t="s">
        <v>145</v>
      </c>
      <c r="B3218" t="s">
        <v>5436</v>
      </c>
      <c r="C3218" t="s">
        <v>5453</v>
      </c>
      <c r="D3218" t="s">
        <v>13</v>
      </c>
      <c r="E3218" t="s">
        <v>111</v>
      </c>
      <c r="F3218" t="s">
        <v>5474</v>
      </c>
      <c r="H3218" t="s">
        <v>17</v>
      </c>
      <c r="I3218" t="s">
        <v>5473</v>
      </c>
    </row>
    <row r="3219" spans="1:9" hidden="1" x14ac:dyDescent="0.3">
      <c r="A3219" t="s">
        <v>153</v>
      </c>
      <c r="B3219" t="s">
        <v>5436</v>
      </c>
      <c r="C3219" t="s">
        <v>5453</v>
      </c>
      <c r="D3219" t="s">
        <v>13</v>
      </c>
      <c r="E3219" t="s">
        <v>114</v>
      </c>
      <c r="F3219" t="s">
        <v>5475</v>
      </c>
      <c r="H3219" t="s">
        <v>17</v>
      </c>
      <c r="I3219" t="s">
        <v>5473</v>
      </c>
    </row>
    <row r="3220" spans="1:9" hidden="1" x14ac:dyDescent="0.3">
      <c r="A3220" t="s">
        <v>158</v>
      </c>
      <c r="B3220" t="s">
        <v>5436</v>
      </c>
      <c r="C3220" t="s">
        <v>5453</v>
      </c>
      <c r="D3220" t="s">
        <v>13</v>
      </c>
      <c r="E3220" t="s">
        <v>117</v>
      </c>
      <c r="F3220" t="s">
        <v>5476</v>
      </c>
      <c r="H3220" t="s">
        <v>17</v>
      </c>
      <c r="I3220" t="s">
        <v>5477</v>
      </c>
    </row>
    <row r="3221" spans="1:9" hidden="1" x14ac:dyDescent="0.3">
      <c r="A3221" t="s">
        <v>163</v>
      </c>
      <c r="B3221" t="s">
        <v>5436</v>
      </c>
      <c r="C3221" t="s">
        <v>5453</v>
      </c>
      <c r="D3221" t="s">
        <v>13</v>
      </c>
      <c r="E3221" t="s">
        <v>121</v>
      </c>
      <c r="F3221" t="s">
        <v>5478</v>
      </c>
      <c r="H3221" t="s">
        <v>17</v>
      </c>
      <c r="I3221" t="s">
        <v>5479</v>
      </c>
    </row>
    <row r="3222" spans="1:9" hidden="1" x14ac:dyDescent="0.3">
      <c r="A3222" t="s">
        <v>168</v>
      </c>
      <c r="B3222" t="s">
        <v>5436</v>
      </c>
      <c r="C3222" t="s">
        <v>5453</v>
      </c>
      <c r="D3222" t="s">
        <v>13</v>
      </c>
      <c r="E3222" t="s">
        <v>126</v>
      </c>
      <c r="F3222" t="s">
        <v>5480</v>
      </c>
      <c r="H3222" t="s">
        <v>17</v>
      </c>
      <c r="I3222" t="s">
        <v>5473</v>
      </c>
    </row>
    <row r="3223" spans="1:9" hidden="1" x14ac:dyDescent="0.3">
      <c r="A3223" t="s">
        <v>173</v>
      </c>
      <c r="B3223" t="s">
        <v>5436</v>
      </c>
      <c r="C3223" t="s">
        <v>5453</v>
      </c>
      <c r="D3223" t="s">
        <v>13</v>
      </c>
      <c r="E3223" t="s">
        <v>129</v>
      </c>
      <c r="F3223" t="s">
        <v>5481</v>
      </c>
      <c r="H3223" t="s">
        <v>17</v>
      </c>
      <c r="I3223" t="s">
        <v>5473</v>
      </c>
    </row>
    <row r="3224" spans="1:9" hidden="1" x14ac:dyDescent="0.3">
      <c r="A3224" t="s">
        <v>183</v>
      </c>
      <c r="B3224" t="s">
        <v>5436</v>
      </c>
      <c r="C3224" t="s">
        <v>5453</v>
      </c>
      <c r="D3224" t="s">
        <v>13</v>
      </c>
      <c r="E3224" t="s">
        <v>132</v>
      </c>
      <c r="F3224" t="s">
        <v>5482</v>
      </c>
      <c r="H3224" t="s">
        <v>17</v>
      </c>
      <c r="I3224" t="s">
        <v>5473</v>
      </c>
    </row>
    <row r="3225" spans="1:9" hidden="1" x14ac:dyDescent="0.3">
      <c r="A3225" t="s">
        <v>188</v>
      </c>
      <c r="B3225" t="s">
        <v>5436</v>
      </c>
      <c r="C3225" t="s">
        <v>5453</v>
      </c>
      <c r="D3225" t="s">
        <v>13</v>
      </c>
      <c r="E3225" t="s">
        <v>135</v>
      </c>
      <c r="F3225" t="s">
        <v>5476</v>
      </c>
      <c r="H3225" t="s">
        <v>17</v>
      </c>
      <c r="I3225" t="s">
        <v>5477</v>
      </c>
    </row>
    <row r="3226" spans="1:9" hidden="1" x14ac:dyDescent="0.3">
      <c r="A3226" t="s">
        <v>199</v>
      </c>
      <c r="B3226" t="s">
        <v>5436</v>
      </c>
      <c r="C3226" t="s">
        <v>5453</v>
      </c>
      <c r="D3226" t="s">
        <v>13</v>
      </c>
      <c r="E3226" t="s">
        <v>138</v>
      </c>
      <c r="F3226" t="s">
        <v>5478</v>
      </c>
      <c r="H3226" t="s">
        <v>17</v>
      </c>
      <c r="I3226" t="s">
        <v>5479</v>
      </c>
    </row>
    <row r="3227" spans="1:9" hidden="1" x14ac:dyDescent="0.3">
      <c r="A3227" t="s">
        <v>203</v>
      </c>
      <c r="B3227" t="s">
        <v>5436</v>
      </c>
      <c r="C3227" t="s">
        <v>5453</v>
      </c>
      <c r="D3227" t="s">
        <v>13</v>
      </c>
      <c r="E3227" t="s">
        <v>141</v>
      </c>
      <c r="F3227" t="s">
        <v>5483</v>
      </c>
      <c r="H3227" t="s">
        <v>17</v>
      </c>
      <c r="I3227" t="s">
        <v>5473</v>
      </c>
    </row>
    <row r="3228" spans="1:9" hidden="1" x14ac:dyDescent="0.3">
      <c r="A3228" t="s">
        <v>207</v>
      </c>
      <c r="B3228" t="s">
        <v>5436</v>
      </c>
      <c r="C3228" t="s">
        <v>5453</v>
      </c>
      <c r="D3228" t="s">
        <v>13</v>
      </c>
      <c r="E3228" t="s">
        <v>144</v>
      </c>
      <c r="F3228" t="s">
        <v>5484</v>
      </c>
      <c r="H3228" t="s">
        <v>17</v>
      </c>
      <c r="I3228" t="s">
        <v>5473</v>
      </c>
    </row>
    <row r="3229" spans="1:9" hidden="1" x14ac:dyDescent="0.3">
      <c r="A3229" t="s">
        <v>215</v>
      </c>
      <c r="B3229" t="s">
        <v>5436</v>
      </c>
      <c r="C3229" t="s">
        <v>5453</v>
      </c>
      <c r="D3229" t="s">
        <v>13</v>
      </c>
      <c r="E3229" t="s">
        <v>147</v>
      </c>
      <c r="F3229" t="s">
        <v>5485</v>
      </c>
      <c r="H3229" t="s">
        <v>17</v>
      </c>
      <c r="I3229" t="s">
        <v>5473</v>
      </c>
    </row>
    <row r="3230" spans="1:9" hidden="1" x14ac:dyDescent="0.3">
      <c r="A3230" t="s">
        <v>1584</v>
      </c>
      <c r="B3230" t="s">
        <v>5436</v>
      </c>
      <c r="C3230" t="s">
        <v>5453</v>
      </c>
      <c r="D3230" t="s">
        <v>13</v>
      </c>
      <c r="E3230" t="s">
        <v>152</v>
      </c>
      <c r="F3230" t="s">
        <v>5476</v>
      </c>
      <c r="H3230" t="s">
        <v>17</v>
      </c>
      <c r="I3230" t="s">
        <v>5477</v>
      </c>
    </row>
    <row r="3231" spans="1:9" hidden="1" x14ac:dyDescent="0.3">
      <c r="A3231" t="s">
        <v>224</v>
      </c>
      <c r="B3231" t="s">
        <v>5436</v>
      </c>
      <c r="C3231" t="s">
        <v>5453</v>
      </c>
      <c r="D3231" t="s">
        <v>13</v>
      </c>
      <c r="E3231" t="s">
        <v>157</v>
      </c>
      <c r="F3231" t="s">
        <v>5478</v>
      </c>
      <c r="H3231" t="s">
        <v>17</v>
      </c>
      <c r="I3231" t="s">
        <v>5479</v>
      </c>
    </row>
    <row r="3232" spans="1:9" hidden="1" x14ac:dyDescent="0.3">
      <c r="A3232" t="s">
        <v>229</v>
      </c>
      <c r="B3232" t="s">
        <v>5436</v>
      </c>
      <c r="C3232" t="s">
        <v>5453</v>
      </c>
      <c r="D3232" t="s">
        <v>13</v>
      </c>
      <c r="E3232" t="s">
        <v>162</v>
      </c>
      <c r="F3232" t="s">
        <v>5486</v>
      </c>
      <c r="H3232" t="s">
        <v>17</v>
      </c>
      <c r="I3232" t="s">
        <v>5473</v>
      </c>
    </row>
    <row r="3233" spans="1:9" hidden="1" x14ac:dyDescent="0.3">
      <c r="A3233" t="s">
        <v>234</v>
      </c>
      <c r="B3233" t="s">
        <v>5436</v>
      </c>
      <c r="C3233" t="s">
        <v>5453</v>
      </c>
      <c r="D3233" t="s">
        <v>13</v>
      </c>
      <c r="E3233" t="s">
        <v>167</v>
      </c>
      <c r="F3233" t="s">
        <v>5487</v>
      </c>
      <c r="H3233" t="s">
        <v>17</v>
      </c>
      <c r="I3233" t="s">
        <v>5473</v>
      </c>
    </row>
    <row r="3234" spans="1:9" hidden="1" x14ac:dyDescent="0.3">
      <c r="A3234" t="s">
        <v>240</v>
      </c>
      <c r="B3234" t="s">
        <v>5436</v>
      </c>
      <c r="C3234" t="s">
        <v>5453</v>
      </c>
      <c r="D3234" t="s">
        <v>13</v>
      </c>
      <c r="E3234" t="s">
        <v>172</v>
      </c>
      <c r="F3234" t="s">
        <v>5488</v>
      </c>
      <c r="H3234" t="s">
        <v>17</v>
      </c>
      <c r="I3234" t="s">
        <v>5473</v>
      </c>
    </row>
    <row r="3235" spans="1:9" hidden="1" x14ac:dyDescent="0.3">
      <c r="A3235" t="s">
        <v>246</v>
      </c>
      <c r="B3235" t="s">
        <v>5436</v>
      </c>
      <c r="C3235" t="s">
        <v>5453</v>
      </c>
      <c r="D3235" t="s">
        <v>13</v>
      </c>
      <c r="E3235" t="s">
        <v>177</v>
      </c>
      <c r="F3235" t="s">
        <v>5476</v>
      </c>
      <c r="H3235" t="s">
        <v>17</v>
      </c>
      <c r="I3235" t="s">
        <v>5477</v>
      </c>
    </row>
    <row r="3236" spans="1:9" hidden="1" x14ac:dyDescent="0.3">
      <c r="A3236" t="s">
        <v>254</v>
      </c>
      <c r="B3236" t="s">
        <v>5436</v>
      </c>
      <c r="C3236" t="s">
        <v>5453</v>
      </c>
      <c r="D3236" t="s">
        <v>13</v>
      </c>
      <c r="E3236" t="s">
        <v>182</v>
      </c>
      <c r="F3236" t="s">
        <v>5478</v>
      </c>
      <c r="H3236" t="s">
        <v>17</v>
      </c>
      <c r="I3236" t="s">
        <v>5489</v>
      </c>
    </row>
    <row r="3237" spans="1:9" hidden="1" x14ac:dyDescent="0.3">
      <c r="A3237" t="s">
        <v>257</v>
      </c>
      <c r="B3237" t="s">
        <v>5436</v>
      </c>
      <c r="C3237" t="s">
        <v>5453</v>
      </c>
      <c r="D3237" t="s">
        <v>13</v>
      </c>
      <c r="E3237" t="s">
        <v>187</v>
      </c>
      <c r="F3237" t="s">
        <v>5490</v>
      </c>
      <c r="H3237" t="s">
        <v>17</v>
      </c>
      <c r="I3237" t="s">
        <v>5491</v>
      </c>
    </row>
    <row r="3238" spans="1:9" hidden="1" x14ac:dyDescent="0.3">
      <c r="A3238" t="s">
        <v>263</v>
      </c>
      <c r="B3238" t="s">
        <v>5436</v>
      </c>
      <c r="C3238" t="s">
        <v>5453</v>
      </c>
      <c r="D3238" t="s">
        <v>13</v>
      </c>
      <c r="E3238" t="s">
        <v>193</v>
      </c>
      <c r="F3238" t="s">
        <v>5492</v>
      </c>
      <c r="H3238" t="s">
        <v>17</v>
      </c>
      <c r="I3238" t="s">
        <v>5493</v>
      </c>
    </row>
    <row r="3239" spans="1:9" hidden="1" x14ac:dyDescent="0.3">
      <c r="A3239" t="s">
        <v>266</v>
      </c>
      <c r="B3239" t="s">
        <v>5436</v>
      </c>
      <c r="C3239" t="s">
        <v>5453</v>
      </c>
      <c r="D3239" t="s">
        <v>13</v>
      </c>
      <c r="E3239" t="s">
        <v>198</v>
      </c>
      <c r="F3239" t="s">
        <v>5494</v>
      </c>
      <c r="H3239" t="s">
        <v>17</v>
      </c>
      <c r="I3239" t="s">
        <v>5491</v>
      </c>
    </row>
    <row r="3240" spans="1:9" hidden="1" x14ac:dyDescent="0.3">
      <c r="A3240" t="s">
        <v>1610</v>
      </c>
      <c r="B3240" t="s">
        <v>5436</v>
      </c>
      <c r="C3240" t="s">
        <v>5453</v>
      </c>
      <c r="D3240" t="s">
        <v>13</v>
      </c>
      <c r="E3240" t="s">
        <v>202</v>
      </c>
      <c r="F3240" t="s">
        <v>5495</v>
      </c>
      <c r="H3240" t="s">
        <v>17</v>
      </c>
      <c r="I3240" t="s">
        <v>5493</v>
      </c>
    </row>
    <row r="3241" spans="1:9" hidden="1" x14ac:dyDescent="0.3">
      <c r="A3241" t="s">
        <v>274</v>
      </c>
      <c r="B3241" t="s">
        <v>5436</v>
      </c>
      <c r="C3241" t="s">
        <v>5453</v>
      </c>
      <c r="D3241" t="s">
        <v>13</v>
      </c>
      <c r="E3241" t="s">
        <v>206</v>
      </c>
      <c r="F3241" t="s">
        <v>5496</v>
      </c>
      <c r="H3241" t="s">
        <v>17</v>
      </c>
      <c r="I3241" t="s">
        <v>5491</v>
      </c>
    </row>
    <row r="3242" spans="1:9" hidden="1" x14ac:dyDescent="0.3">
      <c r="A3242" t="s">
        <v>280</v>
      </c>
      <c r="B3242" t="s">
        <v>5436</v>
      </c>
      <c r="C3242" t="s">
        <v>5453</v>
      </c>
      <c r="D3242" t="s">
        <v>13</v>
      </c>
      <c r="E3242" t="s">
        <v>210</v>
      </c>
      <c r="F3242" t="s">
        <v>5497</v>
      </c>
      <c r="H3242" t="s">
        <v>17</v>
      </c>
      <c r="I3242" t="s">
        <v>5493</v>
      </c>
    </row>
    <row r="3243" spans="1:9" hidden="1" x14ac:dyDescent="0.3">
      <c r="A3243" t="s">
        <v>283</v>
      </c>
      <c r="B3243" t="s">
        <v>5436</v>
      </c>
      <c r="C3243" t="s">
        <v>5453</v>
      </c>
      <c r="D3243" t="s">
        <v>13</v>
      </c>
      <c r="E3243" t="s">
        <v>214</v>
      </c>
      <c r="F3243" t="s">
        <v>5498</v>
      </c>
      <c r="H3243" t="s">
        <v>17</v>
      </c>
      <c r="I3243" t="s">
        <v>5491</v>
      </c>
    </row>
    <row r="3244" spans="1:9" hidden="1" x14ac:dyDescent="0.3">
      <c r="A3244" t="s">
        <v>289</v>
      </c>
      <c r="B3244" t="s">
        <v>5436</v>
      </c>
      <c r="C3244" t="s">
        <v>5453</v>
      </c>
      <c r="D3244" t="s">
        <v>13</v>
      </c>
      <c r="E3244" t="s">
        <v>218</v>
      </c>
      <c r="F3244" t="s">
        <v>5499</v>
      </c>
      <c r="H3244" t="s">
        <v>17</v>
      </c>
      <c r="I3244" t="s">
        <v>5493</v>
      </c>
    </row>
    <row r="3245" spans="1:9" hidden="1" x14ac:dyDescent="0.3">
      <c r="A3245" t="s">
        <v>298</v>
      </c>
      <c r="B3245" t="s">
        <v>5436</v>
      </c>
      <c r="C3245" t="s">
        <v>5453</v>
      </c>
      <c r="D3245" t="s">
        <v>13</v>
      </c>
      <c r="E3245" t="s">
        <v>223</v>
      </c>
      <c r="F3245" t="s">
        <v>5500</v>
      </c>
      <c r="H3245" t="s">
        <v>17</v>
      </c>
      <c r="I3245" t="s">
        <v>5501</v>
      </c>
    </row>
    <row r="3246" spans="1:9" hidden="1" x14ac:dyDescent="0.3">
      <c r="A3246" t="s">
        <v>301</v>
      </c>
      <c r="B3246" t="s">
        <v>5436</v>
      </c>
      <c r="C3246" t="s">
        <v>5502</v>
      </c>
      <c r="D3246" t="s">
        <v>13</v>
      </c>
      <c r="E3246" t="s">
        <v>228</v>
      </c>
      <c r="F3246" t="s">
        <v>5503</v>
      </c>
      <c r="H3246" t="s">
        <v>17</v>
      </c>
      <c r="I3246" t="s">
        <v>5504</v>
      </c>
    </row>
    <row r="3247" spans="1:9" hidden="1" x14ac:dyDescent="0.3">
      <c r="A3247" t="s">
        <v>304</v>
      </c>
      <c r="B3247" t="s">
        <v>5436</v>
      </c>
      <c r="C3247" t="s">
        <v>5502</v>
      </c>
      <c r="D3247" t="s">
        <v>13</v>
      </c>
      <c r="E3247" t="s">
        <v>233</v>
      </c>
      <c r="F3247" t="s">
        <v>5505</v>
      </c>
      <c r="H3247" t="s">
        <v>17</v>
      </c>
      <c r="I3247" t="s">
        <v>5504</v>
      </c>
    </row>
    <row r="3248" spans="1:9" hidden="1" x14ac:dyDescent="0.3">
      <c r="A3248" t="s">
        <v>309</v>
      </c>
      <c r="B3248" t="s">
        <v>5436</v>
      </c>
      <c r="C3248" t="s">
        <v>5502</v>
      </c>
      <c r="D3248" t="s">
        <v>13</v>
      </c>
      <c r="E3248" t="s">
        <v>236</v>
      </c>
      <c r="F3248" t="s">
        <v>5506</v>
      </c>
      <c r="H3248" t="s">
        <v>17</v>
      </c>
      <c r="I3248" t="s">
        <v>5504</v>
      </c>
    </row>
    <row r="3249" spans="1:9" hidden="1" x14ac:dyDescent="0.3">
      <c r="A3249" t="s">
        <v>317</v>
      </c>
      <c r="B3249" t="s">
        <v>5436</v>
      </c>
      <c r="C3249" t="s">
        <v>5502</v>
      </c>
      <c r="D3249" t="s">
        <v>13</v>
      </c>
      <c r="E3249" t="s">
        <v>239</v>
      </c>
      <c r="F3249" t="s">
        <v>5507</v>
      </c>
      <c r="H3249" t="s">
        <v>17</v>
      </c>
      <c r="I3249" t="s">
        <v>5508</v>
      </c>
    </row>
    <row r="3250" spans="1:9" hidden="1" x14ac:dyDescent="0.3">
      <c r="A3250" t="s">
        <v>324</v>
      </c>
      <c r="B3250" t="s">
        <v>5436</v>
      </c>
      <c r="C3250" t="s">
        <v>5502</v>
      </c>
      <c r="D3250" t="s">
        <v>13</v>
      </c>
      <c r="E3250" t="s">
        <v>1881</v>
      </c>
      <c r="F3250" t="s">
        <v>5509</v>
      </c>
      <c r="H3250" t="s">
        <v>17</v>
      </c>
      <c r="I3250" t="s">
        <v>5508</v>
      </c>
    </row>
    <row r="3251" spans="1:9" hidden="1" x14ac:dyDescent="0.3">
      <c r="A3251" t="s">
        <v>328</v>
      </c>
      <c r="B3251" t="s">
        <v>5436</v>
      </c>
      <c r="C3251" t="s">
        <v>5502</v>
      </c>
      <c r="D3251" t="s">
        <v>13</v>
      </c>
      <c r="E3251" t="s">
        <v>1885</v>
      </c>
      <c r="F3251" t="s">
        <v>5510</v>
      </c>
      <c r="H3251" t="s">
        <v>17</v>
      </c>
      <c r="I3251" t="s">
        <v>5511</v>
      </c>
    </row>
    <row r="3252" spans="1:9" hidden="1" x14ac:dyDescent="0.3">
      <c r="A3252" t="s">
        <v>336</v>
      </c>
      <c r="B3252" t="s">
        <v>5436</v>
      </c>
      <c r="C3252" t="s">
        <v>5502</v>
      </c>
      <c r="D3252" t="s">
        <v>13</v>
      </c>
      <c r="E3252" t="s">
        <v>1588</v>
      </c>
      <c r="F3252" t="s">
        <v>5512</v>
      </c>
      <c r="H3252" t="s">
        <v>17</v>
      </c>
      <c r="I3252" t="s">
        <v>5513</v>
      </c>
    </row>
    <row r="3253" spans="1:9" hidden="1" x14ac:dyDescent="0.3">
      <c r="A3253" t="s">
        <v>339</v>
      </c>
      <c r="B3253" t="s">
        <v>5436</v>
      </c>
      <c r="C3253" t="s">
        <v>5502</v>
      </c>
      <c r="D3253" t="s">
        <v>13</v>
      </c>
      <c r="E3253" t="s">
        <v>1892</v>
      </c>
      <c r="F3253" t="s">
        <v>5514</v>
      </c>
      <c r="H3253" t="s">
        <v>17</v>
      </c>
      <c r="I3253" t="s">
        <v>5511</v>
      </c>
    </row>
    <row r="3254" spans="1:9" hidden="1" x14ac:dyDescent="0.3">
      <c r="A3254" t="s">
        <v>342</v>
      </c>
      <c r="B3254" t="s">
        <v>5436</v>
      </c>
      <c r="C3254" t="s">
        <v>5502</v>
      </c>
      <c r="D3254" t="s">
        <v>13</v>
      </c>
      <c r="E3254" t="s">
        <v>1146</v>
      </c>
      <c r="F3254" t="s">
        <v>5515</v>
      </c>
      <c r="H3254" t="s">
        <v>17</v>
      </c>
      <c r="I3254" t="s">
        <v>5513</v>
      </c>
    </row>
    <row r="3255" spans="1:9" hidden="1" x14ac:dyDescent="0.3">
      <c r="A3255" t="s">
        <v>345</v>
      </c>
      <c r="B3255" t="s">
        <v>5436</v>
      </c>
      <c r="C3255" t="s">
        <v>5502</v>
      </c>
      <c r="D3255" t="s">
        <v>13</v>
      </c>
      <c r="E3255" t="s">
        <v>1150</v>
      </c>
      <c r="F3255" t="s">
        <v>5516</v>
      </c>
      <c r="H3255" t="s">
        <v>17</v>
      </c>
      <c r="I3255" t="s">
        <v>5517</v>
      </c>
    </row>
    <row r="3256" spans="1:9" hidden="1" x14ac:dyDescent="0.3">
      <c r="A3256" t="s">
        <v>354</v>
      </c>
      <c r="B3256" t="s">
        <v>5436</v>
      </c>
      <c r="C3256" t="s">
        <v>5502</v>
      </c>
      <c r="D3256" t="s">
        <v>13</v>
      </c>
      <c r="E3256" t="s">
        <v>1154</v>
      </c>
      <c r="F3256" t="s">
        <v>5518</v>
      </c>
      <c r="H3256" t="s">
        <v>17</v>
      </c>
      <c r="I3256" t="s">
        <v>5517</v>
      </c>
    </row>
    <row r="3257" spans="1:9" hidden="1" x14ac:dyDescent="0.3">
      <c r="A3257" t="s">
        <v>362</v>
      </c>
      <c r="B3257" t="s">
        <v>5436</v>
      </c>
      <c r="C3257" t="s">
        <v>5502</v>
      </c>
      <c r="D3257" t="s">
        <v>13</v>
      </c>
      <c r="E3257" t="s">
        <v>1158</v>
      </c>
      <c r="F3257" t="s">
        <v>5519</v>
      </c>
      <c r="H3257" t="s">
        <v>17</v>
      </c>
      <c r="I3257" t="s">
        <v>5517</v>
      </c>
    </row>
    <row r="3258" spans="1:9" hidden="1" x14ac:dyDescent="0.3">
      <c r="A3258" t="s">
        <v>365</v>
      </c>
      <c r="B3258" t="s">
        <v>5436</v>
      </c>
      <c r="C3258" t="s">
        <v>5502</v>
      </c>
      <c r="D3258" t="s">
        <v>13</v>
      </c>
      <c r="E3258" t="s">
        <v>1189</v>
      </c>
      <c r="F3258" t="s">
        <v>5520</v>
      </c>
      <c r="H3258" t="s">
        <v>17</v>
      </c>
    </row>
    <row r="3259" spans="1:9" hidden="1" x14ac:dyDescent="0.3">
      <c r="A3259" t="s">
        <v>3361</v>
      </c>
      <c r="B3259" t="s">
        <v>5436</v>
      </c>
      <c r="C3259" t="s">
        <v>5502</v>
      </c>
      <c r="D3259" t="s">
        <v>13</v>
      </c>
      <c r="E3259" t="s">
        <v>273</v>
      </c>
      <c r="F3259" t="s">
        <v>5521</v>
      </c>
      <c r="H3259" t="s">
        <v>17</v>
      </c>
      <c r="I3259" t="s">
        <v>5522</v>
      </c>
    </row>
    <row r="3260" spans="1:9" hidden="1" x14ac:dyDescent="0.3">
      <c r="A3260" t="s">
        <v>4226</v>
      </c>
      <c r="B3260" t="s">
        <v>5436</v>
      </c>
      <c r="C3260" t="s">
        <v>5502</v>
      </c>
      <c r="D3260" t="s">
        <v>1936</v>
      </c>
      <c r="E3260" t="s">
        <v>1743</v>
      </c>
      <c r="F3260" t="s">
        <v>5523</v>
      </c>
      <c r="H3260" t="s">
        <v>17</v>
      </c>
      <c r="I3260" t="s">
        <v>5524</v>
      </c>
    </row>
    <row r="3261" spans="1:9" hidden="1" x14ac:dyDescent="0.3">
      <c r="A3261" t="s">
        <v>377</v>
      </c>
      <c r="B3261" t="s">
        <v>5436</v>
      </c>
      <c r="C3261" t="s">
        <v>5502</v>
      </c>
      <c r="D3261" t="s">
        <v>1936</v>
      </c>
      <c r="E3261" t="s">
        <v>996</v>
      </c>
      <c r="F3261" t="s">
        <v>5525</v>
      </c>
      <c r="H3261" t="s">
        <v>17</v>
      </c>
      <c r="I3261" t="s">
        <v>5526</v>
      </c>
    </row>
    <row r="3262" spans="1:9" hidden="1" x14ac:dyDescent="0.3">
      <c r="A3262" t="s">
        <v>383</v>
      </c>
      <c r="B3262" t="s">
        <v>5436</v>
      </c>
      <c r="C3262" t="s">
        <v>5502</v>
      </c>
      <c r="D3262" t="s">
        <v>1936</v>
      </c>
      <c r="E3262" t="s">
        <v>1001</v>
      </c>
      <c r="F3262" t="s">
        <v>5527</v>
      </c>
      <c r="H3262" t="s">
        <v>17</v>
      </c>
      <c r="I3262" t="s">
        <v>5528</v>
      </c>
    </row>
    <row r="3263" spans="1:9" hidden="1" x14ac:dyDescent="0.3">
      <c r="A3263" t="s">
        <v>1640</v>
      </c>
      <c r="B3263" t="s">
        <v>5436</v>
      </c>
      <c r="C3263" t="s">
        <v>5502</v>
      </c>
      <c r="D3263" t="s">
        <v>1936</v>
      </c>
      <c r="E3263" t="s">
        <v>1942</v>
      </c>
      <c r="F3263" t="s">
        <v>5529</v>
      </c>
      <c r="H3263" t="s">
        <v>17</v>
      </c>
      <c r="I3263" t="s">
        <v>5530</v>
      </c>
    </row>
    <row r="3264" spans="1:9" hidden="1" x14ac:dyDescent="0.3">
      <c r="A3264" t="s">
        <v>1643</v>
      </c>
      <c r="B3264" t="s">
        <v>5436</v>
      </c>
      <c r="C3264" t="s">
        <v>5502</v>
      </c>
      <c r="D3264" t="s">
        <v>1936</v>
      </c>
      <c r="E3264" t="s">
        <v>22</v>
      </c>
      <c r="F3264" t="s">
        <v>5531</v>
      </c>
      <c r="H3264" t="s">
        <v>17</v>
      </c>
      <c r="I3264" t="s">
        <v>5532</v>
      </c>
    </row>
    <row r="3265" spans="1:9" hidden="1" x14ac:dyDescent="0.3">
      <c r="A3265" t="s">
        <v>1647</v>
      </c>
      <c r="B3265" t="s">
        <v>5436</v>
      </c>
      <c r="C3265" t="s">
        <v>5502</v>
      </c>
      <c r="D3265" t="s">
        <v>1936</v>
      </c>
      <c r="E3265" t="s">
        <v>27</v>
      </c>
      <c r="F3265" t="s">
        <v>5533</v>
      </c>
      <c r="H3265" t="s">
        <v>17</v>
      </c>
      <c r="I3265" t="s">
        <v>5526</v>
      </c>
    </row>
    <row r="3266" spans="1:9" hidden="1" x14ac:dyDescent="0.3">
      <c r="A3266" t="s">
        <v>392</v>
      </c>
      <c r="B3266" t="s">
        <v>5436</v>
      </c>
      <c r="C3266" t="s">
        <v>5502</v>
      </c>
      <c r="D3266" t="s">
        <v>1936</v>
      </c>
      <c r="E3266" t="s">
        <v>1014</v>
      </c>
      <c r="F3266" t="s">
        <v>5534</v>
      </c>
      <c r="H3266" t="s">
        <v>17</v>
      </c>
      <c r="I3266" t="s">
        <v>5535</v>
      </c>
    </row>
    <row r="3267" spans="1:9" hidden="1" x14ac:dyDescent="0.3">
      <c r="A3267" t="s">
        <v>1653</v>
      </c>
      <c r="B3267" t="s">
        <v>5436</v>
      </c>
      <c r="C3267" t="s">
        <v>5502</v>
      </c>
      <c r="D3267" t="s">
        <v>1936</v>
      </c>
      <c r="E3267" t="s">
        <v>1017</v>
      </c>
      <c r="F3267" t="s">
        <v>5536</v>
      </c>
      <c r="H3267" t="s">
        <v>17</v>
      </c>
      <c r="I3267" t="s">
        <v>5537</v>
      </c>
    </row>
    <row r="3268" spans="1:9" hidden="1" x14ac:dyDescent="0.3">
      <c r="A3268" t="s">
        <v>1656</v>
      </c>
      <c r="B3268" t="s">
        <v>5436</v>
      </c>
      <c r="C3268" t="s">
        <v>5502</v>
      </c>
      <c r="D3268" t="s">
        <v>1936</v>
      </c>
      <c r="E3268" t="s">
        <v>36</v>
      </c>
      <c r="F3268" t="s">
        <v>5538</v>
      </c>
      <c r="H3268" t="s">
        <v>17</v>
      </c>
      <c r="I3268" t="s">
        <v>5539</v>
      </c>
    </row>
    <row r="3269" spans="1:9" hidden="1" x14ac:dyDescent="0.3">
      <c r="A3269" t="s">
        <v>398</v>
      </c>
      <c r="B3269" t="s">
        <v>5436</v>
      </c>
      <c r="C3269" t="s">
        <v>5502</v>
      </c>
      <c r="D3269" t="s">
        <v>1936</v>
      </c>
      <c r="E3269" t="s">
        <v>41</v>
      </c>
      <c r="F3269" t="s">
        <v>5540</v>
      </c>
      <c r="H3269" t="s">
        <v>17</v>
      </c>
      <c r="I3269" t="s">
        <v>5541</v>
      </c>
    </row>
    <row r="3270" spans="1:9" hidden="1" x14ac:dyDescent="0.3">
      <c r="A3270" t="s">
        <v>1663</v>
      </c>
      <c r="B3270" t="s">
        <v>5436</v>
      </c>
      <c r="C3270" t="s">
        <v>5502</v>
      </c>
      <c r="D3270" t="s">
        <v>1936</v>
      </c>
      <c r="E3270" t="s">
        <v>45</v>
      </c>
      <c r="F3270" t="s">
        <v>5542</v>
      </c>
      <c r="H3270" t="s">
        <v>17</v>
      </c>
      <c r="I3270" t="s">
        <v>5543</v>
      </c>
    </row>
    <row r="3271" spans="1:9" hidden="1" x14ac:dyDescent="0.3">
      <c r="A3271" t="s">
        <v>404</v>
      </c>
      <c r="B3271" t="s">
        <v>5436</v>
      </c>
      <c r="C3271" t="s">
        <v>5544</v>
      </c>
      <c r="D3271" t="s">
        <v>1936</v>
      </c>
      <c r="E3271" t="s">
        <v>50</v>
      </c>
      <c r="F3271" t="s">
        <v>5545</v>
      </c>
      <c r="H3271" t="s">
        <v>17</v>
      </c>
      <c r="I3271" t="s">
        <v>5546</v>
      </c>
    </row>
    <row r="3272" spans="1:9" hidden="1" x14ac:dyDescent="0.3">
      <c r="A3272" t="s">
        <v>3382</v>
      </c>
      <c r="B3272" t="s">
        <v>5436</v>
      </c>
      <c r="C3272" t="s">
        <v>5544</v>
      </c>
      <c r="D3272" t="s">
        <v>1936</v>
      </c>
      <c r="E3272" t="s">
        <v>53</v>
      </c>
      <c r="F3272" t="s">
        <v>5547</v>
      </c>
      <c r="H3272" t="s">
        <v>17</v>
      </c>
      <c r="I3272" t="s">
        <v>5546</v>
      </c>
    </row>
    <row r="3273" spans="1:9" hidden="1" x14ac:dyDescent="0.3">
      <c r="A3273" t="s">
        <v>407</v>
      </c>
      <c r="B3273" t="s">
        <v>5436</v>
      </c>
      <c r="C3273" t="s">
        <v>5544</v>
      </c>
      <c r="D3273" t="s">
        <v>1936</v>
      </c>
      <c r="E3273" t="s">
        <v>56</v>
      </c>
      <c r="F3273" t="s">
        <v>5548</v>
      </c>
      <c r="H3273" t="s">
        <v>17</v>
      </c>
      <c r="I3273" t="s">
        <v>5546</v>
      </c>
    </row>
    <row r="3274" spans="1:9" hidden="1" x14ac:dyDescent="0.3">
      <c r="A3274" t="s">
        <v>1670</v>
      </c>
      <c r="B3274" t="s">
        <v>5436</v>
      </c>
      <c r="C3274" t="s">
        <v>5544</v>
      </c>
      <c r="D3274" t="s">
        <v>1936</v>
      </c>
      <c r="E3274" t="s">
        <v>61</v>
      </c>
      <c r="F3274" t="s">
        <v>5549</v>
      </c>
      <c r="H3274" t="s">
        <v>17</v>
      </c>
      <c r="I3274" t="s">
        <v>5546</v>
      </c>
    </row>
    <row r="3275" spans="1:9" hidden="1" x14ac:dyDescent="0.3">
      <c r="A3275" t="s">
        <v>411</v>
      </c>
      <c r="B3275" t="s">
        <v>5436</v>
      </c>
      <c r="C3275" t="s">
        <v>5544</v>
      </c>
      <c r="D3275" t="s">
        <v>1936</v>
      </c>
      <c r="E3275" t="s">
        <v>1039</v>
      </c>
      <c r="F3275" t="s">
        <v>5550</v>
      </c>
      <c r="H3275" t="s">
        <v>17</v>
      </c>
      <c r="I3275" t="s">
        <v>5546</v>
      </c>
    </row>
    <row r="3276" spans="1:9" hidden="1" x14ac:dyDescent="0.3">
      <c r="A3276" t="s">
        <v>416</v>
      </c>
      <c r="B3276" t="s">
        <v>5436</v>
      </c>
      <c r="C3276" t="s">
        <v>5544</v>
      </c>
      <c r="D3276" t="s">
        <v>1936</v>
      </c>
      <c r="E3276" t="s">
        <v>1043</v>
      </c>
      <c r="F3276" t="s">
        <v>5551</v>
      </c>
      <c r="H3276" t="s">
        <v>17</v>
      </c>
      <c r="I3276" t="s">
        <v>5546</v>
      </c>
    </row>
    <row r="3277" spans="1:9" hidden="1" x14ac:dyDescent="0.3">
      <c r="A3277" t="s">
        <v>424</v>
      </c>
      <c r="B3277" t="s">
        <v>5436</v>
      </c>
      <c r="C3277" t="s">
        <v>5544</v>
      </c>
      <c r="D3277" t="s">
        <v>1936</v>
      </c>
      <c r="E3277" t="s">
        <v>71</v>
      </c>
      <c r="F3277" t="s">
        <v>5552</v>
      </c>
      <c r="H3277" t="s">
        <v>17</v>
      </c>
      <c r="I3277" t="s">
        <v>5546</v>
      </c>
    </row>
    <row r="3278" spans="1:9" hidden="1" x14ac:dyDescent="0.3">
      <c r="A3278" t="s">
        <v>427</v>
      </c>
      <c r="B3278" t="s">
        <v>5436</v>
      </c>
      <c r="C3278" t="s">
        <v>5544</v>
      </c>
      <c r="D3278" t="s">
        <v>1936</v>
      </c>
      <c r="E3278" t="s">
        <v>1050</v>
      </c>
      <c r="F3278" t="s">
        <v>5553</v>
      </c>
      <c r="H3278" t="s">
        <v>17</v>
      </c>
      <c r="I3278" t="s">
        <v>5554</v>
      </c>
    </row>
    <row r="3279" spans="1:9" hidden="1" x14ac:dyDescent="0.3">
      <c r="A3279" t="s">
        <v>433</v>
      </c>
      <c r="B3279" t="s">
        <v>5436</v>
      </c>
      <c r="C3279" t="s">
        <v>5544</v>
      </c>
      <c r="D3279" t="s">
        <v>1936</v>
      </c>
      <c r="E3279" t="s">
        <v>3568</v>
      </c>
      <c r="F3279" t="s">
        <v>5555</v>
      </c>
      <c r="H3279" t="s">
        <v>17</v>
      </c>
      <c r="I3279" t="s">
        <v>5556</v>
      </c>
    </row>
    <row r="3280" spans="1:9" hidden="1" x14ac:dyDescent="0.3">
      <c r="A3280" t="s">
        <v>436</v>
      </c>
      <c r="B3280" t="s">
        <v>5436</v>
      </c>
      <c r="C3280" t="s">
        <v>5544</v>
      </c>
      <c r="D3280" t="s">
        <v>1936</v>
      </c>
      <c r="E3280" t="s">
        <v>3572</v>
      </c>
      <c r="F3280" t="s">
        <v>5557</v>
      </c>
      <c r="H3280" t="s">
        <v>17</v>
      </c>
      <c r="I3280" t="s">
        <v>5558</v>
      </c>
    </row>
    <row r="3281" spans="1:9" hidden="1" x14ac:dyDescent="0.3">
      <c r="A3281" t="s">
        <v>442</v>
      </c>
      <c r="B3281" t="s">
        <v>5436</v>
      </c>
      <c r="C3281" t="s">
        <v>5544</v>
      </c>
      <c r="D3281" t="s">
        <v>1936</v>
      </c>
      <c r="E3281" t="s">
        <v>3574</v>
      </c>
      <c r="F3281" t="s">
        <v>5559</v>
      </c>
      <c r="H3281" t="s">
        <v>17</v>
      </c>
      <c r="I3281" t="s">
        <v>5560</v>
      </c>
    </row>
    <row r="3282" spans="1:9" hidden="1" x14ac:dyDescent="0.3">
      <c r="A3282" t="s">
        <v>449</v>
      </c>
      <c r="B3282" t="s">
        <v>5436</v>
      </c>
      <c r="C3282" t="s">
        <v>5544</v>
      </c>
      <c r="D3282" t="s">
        <v>1936</v>
      </c>
      <c r="E3282" t="s">
        <v>1556</v>
      </c>
      <c r="F3282" t="s">
        <v>5561</v>
      </c>
      <c r="H3282" t="s">
        <v>17</v>
      </c>
      <c r="I3282" t="s">
        <v>5562</v>
      </c>
    </row>
    <row r="3283" spans="1:9" hidden="1" x14ac:dyDescent="0.3">
      <c r="A3283" t="s">
        <v>454</v>
      </c>
      <c r="B3283" t="s">
        <v>5436</v>
      </c>
      <c r="C3283" t="s">
        <v>5544</v>
      </c>
      <c r="D3283" t="s">
        <v>1936</v>
      </c>
      <c r="E3283" t="s">
        <v>114</v>
      </c>
      <c r="F3283" t="s">
        <v>5563</v>
      </c>
      <c r="H3283" t="s">
        <v>17</v>
      </c>
      <c r="I3283" t="s">
        <v>5564</v>
      </c>
    </row>
    <row r="3284" spans="1:9" hidden="1" x14ac:dyDescent="0.3">
      <c r="A3284" t="s">
        <v>458</v>
      </c>
      <c r="B3284" t="s">
        <v>5436</v>
      </c>
      <c r="C3284" t="s">
        <v>5544</v>
      </c>
      <c r="D3284" t="s">
        <v>1936</v>
      </c>
      <c r="E3284" t="s">
        <v>117</v>
      </c>
      <c r="F3284" t="s">
        <v>5565</v>
      </c>
      <c r="H3284" t="s">
        <v>17</v>
      </c>
      <c r="I3284" t="s">
        <v>5564</v>
      </c>
    </row>
    <row r="3285" spans="1:9" hidden="1" x14ac:dyDescent="0.3">
      <c r="A3285" t="s">
        <v>465</v>
      </c>
      <c r="B3285" t="s">
        <v>5436</v>
      </c>
      <c r="C3285" t="s">
        <v>5544</v>
      </c>
      <c r="D3285" t="s">
        <v>1936</v>
      </c>
      <c r="E3285" t="s">
        <v>121</v>
      </c>
      <c r="F3285" t="s">
        <v>5566</v>
      </c>
      <c r="H3285" t="s">
        <v>17</v>
      </c>
      <c r="I3285" t="s">
        <v>5564</v>
      </c>
    </row>
    <row r="3286" spans="1:9" hidden="1" x14ac:dyDescent="0.3">
      <c r="A3286" t="s">
        <v>472</v>
      </c>
      <c r="B3286" t="s">
        <v>5436</v>
      </c>
      <c r="C3286" t="s">
        <v>5544</v>
      </c>
      <c r="D3286" t="s">
        <v>1936</v>
      </c>
      <c r="E3286" t="s">
        <v>1080</v>
      </c>
      <c r="F3286" t="s">
        <v>5567</v>
      </c>
      <c r="H3286" t="s">
        <v>17</v>
      </c>
      <c r="I3286" t="s">
        <v>5568</v>
      </c>
    </row>
    <row r="3287" spans="1:9" hidden="1" x14ac:dyDescent="0.3">
      <c r="A3287" t="s">
        <v>479</v>
      </c>
      <c r="B3287" t="s">
        <v>5436</v>
      </c>
      <c r="C3287" t="s">
        <v>5544</v>
      </c>
      <c r="D3287" t="s">
        <v>1936</v>
      </c>
      <c r="E3287" t="s">
        <v>132</v>
      </c>
      <c r="F3287" t="s">
        <v>5569</v>
      </c>
      <c r="H3287" t="s">
        <v>17</v>
      </c>
      <c r="I3287" t="s">
        <v>5570</v>
      </c>
    </row>
    <row r="3288" spans="1:9" hidden="1" x14ac:dyDescent="0.3">
      <c r="A3288" t="s">
        <v>483</v>
      </c>
      <c r="B3288" t="s">
        <v>5436</v>
      </c>
      <c r="C3288" t="s">
        <v>5544</v>
      </c>
      <c r="D3288" t="s">
        <v>1936</v>
      </c>
      <c r="E3288" t="s">
        <v>3583</v>
      </c>
      <c r="F3288" t="s">
        <v>5571</v>
      </c>
      <c r="H3288" t="s">
        <v>17</v>
      </c>
      <c r="I3288" t="s">
        <v>5572</v>
      </c>
    </row>
    <row r="3289" spans="1:9" hidden="1" x14ac:dyDescent="0.3">
      <c r="A3289" t="s">
        <v>490</v>
      </c>
      <c r="B3289" t="s">
        <v>5436</v>
      </c>
      <c r="C3289" t="s">
        <v>5544</v>
      </c>
      <c r="D3289" t="s">
        <v>1936</v>
      </c>
      <c r="E3289" t="s">
        <v>3586</v>
      </c>
      <c r="F3289" t="s">
        <v>5573</v>
      </c>
      <c r="H3289" t="s">
        <v>17</v>
      </c>
      <c r="I3289" t="s">
        <v>5574</v>
      </c>
    </row>
    <row r="3290" spans="1:9" hidden="1" x14ac:dyDescent="0.3">
      <c r="A3290" t="s">
        <v>493</v>
      </c>
      <c r="B3290" t="s">
        <v>5436</v>
      </c>
      <c r="C3290" t="s">
        <v>5544</v>
      </c>
      <c r="D3290" t="s">
        <v>1936</v>
      </c>
      <c r="E3290" t="s">
        <v>147</v>
      </c>
      <c r="F3290" t="s">
        <v>5575</v>
      </c>
      <c r="H3290" t="s">
        <v>17</v>
      </c>
      <c r="I3290" t="s">
        <v>5576</v>
      </c>
    </row>
    <row r="3291" spans="1:9" hidden="1" x14ac:dyDescent="0.3">
      <c r="A3291" t="s">
        <v>500</v>
      </c>
      <c r="B3291" t="s">
        <v>5436</v>
      </c>
      <c r="C3291" t="s">
        <v>5544</v>
      </c>
      <c r="D3291" t="s">
        <v>1936</v>
      </c>
      <c r="E3291" t="s">
        <v>152</v>
      </c>
      <c r="F3291" t="s">
        <v>5577</v>
      </c>
      <c r="H3291" t="s">
        <v>17</v>
      </c>
      <c r="I3291" t="s">
        <v>5578</v>
      </c>
    </row>
    <row r="3292" spans="1:9" hidden="1" x14ac:dyDescent="0.3">
      <c r="A3292" t="s">
        <v>505</v>
      </c>
      <c r="B3292" t="s">
        <v>5436</v>
      </c>
      <c r="C3292" t="s">
        <v>5544</v>
      </c>
      <c r="D3292" t="s">
        <v>1936</v>
      </c>
      <c r="E3292" t="s">
        <v>157</v>
      </c>
      <c r="F3292" t="s">
        <v>5579</v>
      </c>
      <c r="H3292" t="s">
        <v>17</v>
      </c>
      <c r="I3292" t="s">
        <v>5580</v>
      </c>
    </row>
    <row r="3293" spans="1:9" hidden="1" x14ac:dyDescent="0.3">
      <c r="A3293" t="s">
        <v>512</v>
      </c>
      <c r="B3293" t="s">
        <v>5436</v>
      </c>
      <c r="C3293" t="s">
        <v>5544</v>
      </c>
      <c r="D3293" t="s">
        <v>1936</v>
      </c>
      <c r="E3293" t="s">
        <v>162</v>
      </c>
      <c r="F3293" t="s">
        <v>5581</v>
      </c>
      <c r="H3293" t="s">
        <v>17</v>
      </c>
      <c r="I3293" t="s">
        <v>5582</v>
      </c>
    </row>
    <row r="3294" spans="1:9" hidden="1" x14ac:dyDescent="0.3">
      <c r="A3294" t="s">
        <v>515</v>
      </c>
      <c r="B3294" t="s">
        <v>5436</v>
      </c>
      <c r="C3294" t="s">
        <v>5544</v>
      </c>
      <c r="D3294" t="s">
        <v>1936</v>
      </c>
      <c r="E3294" t="s">
        <v>167</v>
      </c>
      <c r="F3294" t="s">
        <v>5583</v>
      </c>
      <c r="H3294" t="s">
        <v>17</v>
      </c>
      <c r="I3294" t="s">
        <v>5584</v>
      </c>
    </row>
    <row r="3295" spans="1:9" hidden="1" x14ac:dyDescent="0.3">
      <c r="A3295" t="s">
        <v>522</v>
      </c>
      <c r="B3295" t="s">
        <v>5436</v>
      </c>
      <c r="C3295" t="s">
        <v>5544</v>
      </c>
      <c r="D3295" t="s">
        <v>1936</v>
      </c>
      <c r="E3295" t="s">
        <v>172</v>
      </c>
      <c r="F3295" t="s">
        <v>5585</v>
      </c>
      <c r="H3295" t="s">
        <v>17</v>
      </c>
      <c r="I3295" t="s">
        <v>5586</v>
      </c>
    </row>
    <row r="3296" spans="1:9" hidden="1" x14ac:dyDescent="0.3">
      <c r="A3296" t="s">
        <v>526</v>
      </c>
      <c r="B3296" t="s">
        <v>5436</v>
      </c>
      <c r="C3296" t="s">
        <v>5544</v>
      </c>
      <c r="D3296" t="s">
        <v>1936</v>
      </c>
      <c r="E3296" t="s">
        <v>177</v>
      </c>
      <c r="F3296" t="s">
        <v>5587</v>
      </c>
      <c r="H3296" t="s">
        <v>17</v>
      </c>
      <c r="I3296" t="s">
        <v>5588</v>
      </c>
    </row>
    <row r="3297" spans="1:9" hidden="1" x14ac:dyDescent="0.3">
      <c r="A3297" t="s">
        <v>533</v>
      </c>
      <c r="B3297" t="s">
        <v>5436</v>
      </c>
      <c r="C3297" t="s">
        <v>5544</v>
      </c>
      <c r="D3297" t="s">
        <v>1936</v>
      </c>
      <c r="E3297" t="s">
        <v>1109</v>
      </c>
      <c r="F3297" t="s">
        <v>5589</v>
      </c>
      <c r="H3297" t="s">
        <v>17</v>
      </c>
      <c r="I3297" t="s">
        <v>5590</v>
      </c>
    </row>
    <row r="3298" spans="1:9" hidden="1" x14ac:dyDescent="0.3">
      <c r="A3298" t="s">
        <v>536</v>
      </c>
      <c r="B3298" t="s">
        <v>5436</v>
      </c>
      <c r="C3298" t="s">
        <v>5544</v>
      </c>
      <c r="D3298" t="s">
        <v>1936</v>
      </c>
      <c r="E3298" t="s">
        <v>193</v>
      </c>
      <c r="F3298" t="s">
        <v>5591</v>
      </c>
      <c r="H3298" t="s">
        <v>17</v>
      </c>
      <c r="I3298" t="s">
        <v>5576</v>
      </c>
    </row>
    <row r="3299" spans="1:9" hidden="1" x14ac:dyDescent="0.3">
      <c r="A3299" t="s">
        <v>541</v>
      </c>
      <c r="B3299" t="s">
        <v>5436</v>
      </c>
      <c r="C3299" t="s">
        <v>5544</v>
      </c>
      <c r="D3299" t="s">
        <v>1936</v>
      </c>
      <c r="E3299" t="s">
        <v>198</v>
      </c>
      <c r="F3299" t="s">
        <v>5592</v>
      </c>
      <c r="H3299" t="s">
        <v>17</v>
      </c>
      <c r="I3299" t="s">
        <v>5593</v>
      </c>
    </row>
    <row r="3300" spans="1:9" hidden="1" x14ac:dyDescent="0.3">
      <c r="A3300" t="s">
        <v>551</v>
      </c>
      <c r="B3300" t="s">
        <v>5436</v>
      </c>
      <c r="C3300" t="s">
        <v>5544</v>
      </c>
      <c r="D3300" t="s">
        <v>1936</v>
      </c>
      <c r="E3300" t="s">
        <v>1118</v>
      </c>
      <c r="F3300" t="s">
        <v>5594</v>
      </c>
      <c r="H3300" t="s">
        <v>17</v>
      </c>
      <c r="I3300" t="s">
        <v>5595</v>
      </c>
    </row>
    <row r="3301" spans="1:9" hidden="1" x14ac:dyDescent="0.3">
      <c r="A3301" t="s">
        <v>556</v>
      </c>
      <c r="B3301" t="s">
        <v>5436</v>
      </c>
      <c r="C3301" t="s">
        <v>5544</v>
      </c>
      <c r="D3301" t="s">
        <v>1936</v>
      </c>
      <c r="E3301" t="s">
        <v>1123</v>
      </c>
      <c r="F3301" t="s">
        <v>5596</v>
      </c>
      <c r="H3301" t="s">
        <v>17</v>
      </c>
      <c r="I3301" t="s">
        <v>5597</v>
      </c>
    </row>
    <row r="3302" spans="1:9" hidden="1" x14ac:dyDescent="0.3">
      <c r="A3302" t="s">
        <v>1712</v>
      </c>
      <c r="B3302" t="s">
        <v>5436</v>
      </c>
      <c r="C3302" t="s">
        <v>5544</v>
      </c>
      <c r="D3302" t="s">
        <v>1936</v>
      </c>
      <c r="E3302" t="s">
        <v>1127</v>
      </c>
      <c r="F3302" t="s">
        <v>5598</v>
      </c>
      <c r="H3302" t="s">
        <v>17</v>
      </c>
      <c r="I3302" t="s">
        <v>5599</v>
      </c>
    </row>
    <row r="3303" spans="1:9" hidden="1" x14ac:dyDescent="0.3">
      <c r="A3303" t="s">
        <v>565</v>
      </c>
      <c r="B3303" t="s">
        <v>5436</v>
      </c>
      <c r="C3303" t="s">
        <v>5544</v>
      </c>
      <c r="D3303" t="s">
        <v>1936</v>
      </c>
      <c r="E3303" t="s">
        <v>1131</v>
      </c>
      <c r="F3303" t="s">
        <v>5600</v>
      </c>
      <c r="H3303" t="s">
        <v>17</v>
      </c>
      <c r="I3303" t="s">
        <v>5599</v>
      </c>
    </row>
    <row r="3304" spans="1:9" hidden="1" x14ac:dyDescent="0.3">
      <c r="A3304" t="s">
        <v>1717</v>
      </c>
      <c r="B3304" t="s">
        <v>5436</v>
      </c>
      <c r="C3304" t="s">
        <v>5544</v>
      </c>
      <c r="D3304" t="s">
        <v>1936</v>
      </c>
      <c r="E3304" t="s">
        <v>1136</v>
      </c>
      <c r="F3304" t="s">
        <v>5601</v>
      </c>
      <c r="H3304" t="s">
        <v>17</v>
      </c>
      <c r="I3304" t="s">
        <v>5602</v>
      </c>
    </row>
    <row r="3305" spans="1:9" hidden="1" x14ac:dyDescent="0.3">
      <c r="A3305" t="s">
        <v>575</v>
      </c>
      <c r="B3305" t="s">
        <v>5436</v>
      </c>
      <c r="C3305" t="s">
        <v>5544</v>
      </c>
      <c r="D3305" t="s">
        <v>1936</v>
      </c>
      <c r="E3305" t="s">
        <v>245</v>
      </c>
      <c r="F3305" t="s">
        <v>5603</v>
      </c>
      <c r="H3305" t="s">
        <v>17</v>
      </c>
      <c r="I3305" t="s">
        <v>5604</v>
      </c>
    </row>
    <row r="3306" spans="1:9" hidden="1" x14ac:dyDescent="0.3">
      <c r="A3306" t="s">
        <v>580</v>
      </c>
      <c r="B3306" t="s">
        <v>5436</v>
      </c>
      <c r="C3306" t="s">
        <v>5544</v>
      </c>
      <c r="D3306" t="s">
        <v>1936</v>
      </c>
      <c r="E3306" t="s">
        <v>1588</v>
      </c>
      <c r="F3306" t="s">
        <v>5605</v>
      </c>
      <c r="H3306" t="s">
        <v>17</v>
      </c>
      <c r="I3306" t="s">
        <v>5606</v>
      </c>
    </row>
    <row r="3307" spans="1:9" hidden="1" x14ac:dyDescent="0.3">
      <c r="A3307" t="s">
        <v>586</v>
      </c>
      <c r="B3307" t="s">
        <v>5436</v>
      </c>
      <c r="C3307" t="s">
        <v>5544</v>
      </c>
      <c r="D3307" t="s">
        <v>1936</v>
      </c>
      <c r="E3307" t="s">
        <v>1892</v>
      </c>
      <c r="F3307" t="s">
        <v>5607</v>
      </c>
      <c r="H3307" t="s">
        <v>17</v>
      </c>
      <c r="I3307" t="s">
        <v>5606</v>
      </c>
    </row>
    <row r="3308" spans="1:9" hidden="1" x14ac:dyDescent="0.3">
      <c r="A3308" t="s">
        <v>1724</v>
      </c>
      <c r="B3308" t="s">
        <v>5436</v>
      </c>
      <c r="C3308" t="s">
        <v>5544</v>
      </c>
      <c r="D3308" t="s">
        <v>1936</v>
      </c>
      <c r="E3308" t="s">
        <v>1146</v>
      </c>
      <c r="F3308" t="s">
        <v>5608</v>
      </c>
      <c r="H3308" t="s">
        <v>17</v>
      </c>
      <c r="I3308" t="s">
        <v>5606</v>
      </c>
    </row>
    <row r="3309" spans="1:9" hidden="1" x14ac:dyDescent="0.3">
      <c r="A3309" t="s">
        <v>1727</v>
      </c>
      <c r="B3309" t="s">
        <v>5436</v>
      </c>
      <c r="C3309" t="s">
        <v>5544</v>
      </c>
      <c r="D3309" t="s">
        <v>1936</v>
      </c>
      <c r="E3309" t="s">
        <v>1189</v>
      </c>
      <c r="F3309" t="s">
        <v>5520</v>
      </c>
      <c r="H3309" t="s">
        <v>17</v>
      </c>
    </row>
    <row r="3310" spans="1:9" hidden="1" x14ac:dyDescent="0.3">
      <c r="A3310" t="s">
        <v>2136</v>
      </c>
      <c r="B3310" t="s">
        <v>5436</v>
      </c>
      <c r="C3310" t="s">
        <v>5544</v>
      </c>
      <c r="D3310" t="s">
        <v>1936</v>
      </c>
      <c r="E3310" t="s">
        <v>273</v>
      </c>
      <c r="F3310" t="s">
        <v>5521</v>
      </c>
      <c r="H3310" t="s">
        <v>17</v>
      </c>
      <c r="I3310" t="s">
        <v>5522</v>
      </c>
    </row>
    <row r="3311" spans="1:9" hidden="1" x14ac:dyDescent="0.3">
      <c r="A3311" t="s">
        <v>2138</v>
      </c>
      <c r="B3311" t="s">
        <v>5436</v>
      </c>
      <c r="C3311" t="s">
        <v>5544</v>
      </c>
      <c r="D3311" t="s">
        <v>2135</v>
      </c>
      <c r="E3311" t="s">
        <v>1743</v>
      </c>
      <c r="F3311" t="s">
        <v>5609</v>
      </c>
      <c r="H3311" t="s">
        <v>17</v>
      </c>
      <c r="I3311" t="s">
        <v>5610</v>
      </c>
    </row>
    <row r="3312" spans="1:9" hidden="1" x14ac:dyDescent="0.3">
      <c r="A3312" t="s">
        <v>2140</v>
      </c>
      <c r="B3312" t="s">
        <v>5436</v>
      </c>
      <c r="C3312" t="s">
        <v>5544</v>
      </c>
      <c r="D3312" t="s">
        <v>2135</v>
      </c>
      <c r="E3312" t="s">
        <v>996</v>
      </c>
      <c r="F3312" t="s">
        <v>5611</v>
      </c>
      <c r="H3312" t="s">
        <v>17</v>
      </c>
      <c r="I3312" t="s">
        <v>5612</v>
      </c>
    </row>
    <row r="3313" spans="1:9" hidden="1" x14ac:dyDescent="0.3">
      <c r="A3313" t="s">
        <v>2144</v>
      </c>
      <c r="B3313" t="s">
        <v>5436</v>
      </c>
      <c r="C3313" t="s">
        <v>5544</v>
      </c>
      <c r="D3313" t="s">
        <v>2135</v>
      </c>
      <c r="E3313" t="s">
        <v>1001</v>
      </c>
      <c r="F3313" t="s">
        <v>5613</v>
      </c>
      <c r="H3313" t="s">
        <v>17</v>
      </c>
      <c r="I3313" t="s">
        <v>5614</v>
      </c>
    </row>
    <row r="3314" spans="1:9" hidden="1" x14ac:dyDescent="0.3">
      <c r="A3314" t="s">
        <v>2147</v>
      </c>
      <c r="B3314" t="s">
        <v>5436</v>
      </c>
      <c r="C3314" t="s">
        <v>5544</v>
      </c>
      <c r="D3314" t="s">
        <v>2135</v>
      </c>
      <c r="E3314" t="s">
        <v>1942</v>
      </c>
      <c r="F3314" t="s">
        <v>5615</v>
      </c>
      <c r="H3314" t="s">
        <v>17</v>
      </c>
      <c r="I3314" t="s">
        <v>5616</v>
      </c>
    </row>
    <row r="3315" spans="1:9" hidden="1" x14ac:dyDescent="0.3">
      <c r="A3315" t="s">
        <v>633</v>
      </c>
      <c r="B3315" t="s">
        <v>5436</v>
      </c>
      <c r="C3315" t="s">
        <v>5544</v>
      </c>
      <c r="D3315" t="s">
        <v>2135</v>
      </c>
      <c r="E3315" t="s">
        <v>22</v>
      </c>
      <c r="F3315" t="s">
        <v>5617</v>
      </c>
      <c r="H3315" t="s">
        <v>17</v>
      </c>
      <c r="I3315" t="s">
        <v>5612</v>
      </c>
    </row>
    <row r="3316" spans="1:9" hidden="1" x14ac:dyDescent="0.3">
      <c r="A3316" t="s">
        <v>2153</v>
      </c>
      <c r="B3316" t="s">
        <v>5436</v>
      </c>
      <c r="C3316" t="s">
        <v>5544</v>
      </c>
      <c r="D3316" t="s">
        <v>2135</v>
      </c>
      <c r="E3316" t="s">
        <v>27</v>
      </c>
      <c r="F3316" t="s">
        <v>5618</v>
      </c>
      <c r="H3316" t="s">
        <v>17</v>
      </c>
      <c r="I3316" t="s">
        <v>5619</v>
      </c>
    </row>
    <row r="3317" spans="1:9" hidden="1" x14ac:dyDescent="0.3">
      <c r="A3317" t="s">
        <v>636</v>
      </c>
      <c r="B3317" t="s">
        <v>5436</v>
      </c>
      <c r="C3317" t="s">
        <v>5544</v>
      </c>
      <c r="D3317" t="s">
        <v>2135</v>
      </c>
      <c r="E3317" t="s">
        <v>1014</v>
      </c>
      <c r="F3317" t="s">
        <v>5620</v>
      </c>
      <c r="H3317" t="s">
        <v>17</v>
      </c>
      <c r="I3317" t="s">
        <v>5616</v>
      </c>
    </row>
    <row r="3318" spans="1:9" hidden="1" x14ac:dyDescent="0.3">
      <c r="A3318" t="s">
        <v>2159</v>
      </c>
      <c r="B3318" t="s">
        <v>5436</v>
      </c>
      <c r="C3318" t="s">
        <v>5544</v>
      </c>
      <c r="D3318" t="s">
        <v>2135</v>
      </c>
      <c r="E3318" t="s">
        <v>1017</v>
      </c>
      <c r="F3318" t="s">
        <v>5621</v>
      </c>
      <c r="H3318" t="s">
        <v>17</v>
      </c>
      <c r="I3318" t="s">
        <v>5612</v>
      </c>
    </row>
    <row r="3319" spans="1:9" hidden="1" x14ac:dyDescent="0.3">
      <c r="A3319" t="s">
        <v>639</v>
      </c>
      <c r="B3319" t="s">
        <v>5436</v>
      </c>
      <c r="C3319" t="s">
        <v>5544</v>
      </c>
      <c r="D3319" t="s">
        <v>2135</v>
      </c>
      <c r="E3319" t="s">
        <v>36</v>
      </c>
      <c r="F3319" t="s">
        <v>5622</v>
      </c>
      <c r="H3319" t="s">
        <v>17</v>
      </c>
      <c r="I3319" t="s">
        <v>5614</v>
      </c>
    </row>
    <row r="3320" spans="1:9" hidden="1" x14ac:dyDescent="0.3">
      <c r="A3320" t="s">
        <v>2165</v>
      </c>
      <c r="B3320" t="s">
        <v>5436</v>
      </c>
      <c r="C3320" t="s">
        <v>5544</v>
      </c>
      <c r="D3320" t="s">
        <v>2135</v>
      </c>
      <c r="E3320" t="s">
        <v>41</v>
      </c>
      <c r="F3320" t="s">
        <v>5623</v>
      </c>
      <c r="H3320" t="s">
        <v>17</v>
      </c>
      <c r="I3320" t="s">
        <v>4884</v>
      </c>
    </row>
    <row r="3321" spans="1:9" hidden="1" x14ac:dyDescent="0.3">
      <c r="A3321" t="s">
        <v>642</v>
      </c>
      <c r="B3321" t="s">
        <v>5436</v>
      </c>
      <c r="C3321" t="s">
        <v>5544</v>
      </c>
      <c r="D3321" t="s">
        <v>2135</v>
      </c>
      <c r="E3321" t="s">
        <v>45</v>
      </c>
      <c r="F3321" t="s">
        <v>5624</v>
      </c>
      <c r="H3321" t="s">
        <v>17</v>
      </c>
      <c r="I3321" t="s">
        <v>4884</v>
      </c>
    </row>
    <row r="3322" spans="1:9" hidden="1" x14ac:dyDescent="0.3">
      <c r="A3322" t="s">
        <v>2174</v>
      </c>
      <c r="B3322" t="s">
        <v>5436</v>
      </c>
      <c r="C3322" t="s">
        <v>5544</v>
      </c>
      <c r="D3322" t="s">
        <v>2135</v>
      </c>
      <c r="E3322" t="s">
        <v>50</v>
      </c>
      <c r="F3322" t="s">
        <v>5625</v>
      </c>
      <c r="H3322" t="s">
        <v>17</v>
      </c>
      <c r="I3322" t="s">
        <v>5626</v>
      </c>
    </row>
    <row r="3323" spans="1:9" hidden="1" x14ac:dyDescent="0.3">
      <c r="A3323" t="s">
        <v>645</v>
      </c>
      <c r="B3323" t="s">
        <v>5436</v>
      </c>
      <c r="C3323" t="s">
        <v>5544</v>
      </c>
      <c r="D3323" t="s">
        <v>2135</v>
      </c>
      <c r="E3323" t="s">
        <v>53</v>
      </c>
      <c r="F3323" t="s">
        <v>5627</v>
      </c>
      <c r="H3323" t="s">
        <v>17</v>
      </c>
      <c r="I3323" t="s">
        <v>4884</v>
      </c>
    </row>
    <row r="3324" spans="1:9" hidden="1" x14ac:dyDescent="0.3">
      <c r="A3324" t="s">
        <v>2179</v>
      </c>
      <c r="B3324" t="s">
        <v>5436</v>
      </c>
      <c r="C3324" t="s">
        <v>5544</v>
      </c>
      <c r="D3324" t="s">
        <v>2135</v>
      </c>
      <c r="E3324" t="s">
        <v>56</v>
      </c>
      <c r="F3324" t="s">
        <v>5628</v>
      </c>
      <c r="H3324" t="s">
        <v>17</v>
      </c>
      <c r="I3324" t="s">
        <v>4884</v>
      </c>
    </row>
    <row r="3325" spans="1:9" hidden="1" x14ac:dyDescent="0.3">
      <c r="A3325" t="s">
        <v>2181</v>
      </c>
      <c r="B3325" t="s">
        <v>5436</v>
      </c>
      <c r="C3325" t="s">
        <v>5544</v>
      </c>
      <c r="D3325" t="s">
        <v>2135</v>
      </c>
      <c r="E3325" t="s">
        <v>61</v>
      </c>
      <c r="F3325" t="s">
        <v>5629</v>
      </c>
      <c r="H3325" t="s">
        <v>17</v>
      </c>
      <c r="I3325" t="s">
        <v>5630</v>
      </c>
    </row>
    <row r="3326" spans="1:9" hidden="1" x14ac:dyDescent="0.3">
      <c r="A3326" t="s">
        <v>2182</v>
      </c>
      <c r="B3326" t="s">
        <v>5436</v>
      </c>
      <c r="C3326" t="s">
        <v>5544</v>
      </c>
      <c r="D3326" t="s">
        <v>2135</v>
      </c>
      <c r="E3326" t="s">
        <v>1039</v>
      </c>
      <c r="F3326" t="s">
        <v>5631</v>
      </c>
      <c r="H3326" t="s">
        <v>17</v>
      </c>
      <c r="I3326" t="s">
        <v>4884</v>
      </c>
    </row>
    <row r="3327" spans="1:9" hidden="1" x14ac:dyDescent="0.3">
      <c r="A3327" t="s">
        <v>2184</v>
      </c>
      <c r="B3327" t="s">
        <v>5436</v>
      </c>
      <c r="C3327" t="s">
        <v>5544</v>
      </c>
      <c r="D3327" t="s">
        <v>2135</v>
      </c>
      <c r="E3327" t="s">
        <v>1043</v>
      </c>
      <c r="F3327" t="s">
        <v>5632</v>
      </c>
      <c r="H3327" t="s">
        <v>17</v>
      </c>
      <c r="I3327" t="s">
        <v>5633</v>
      </c>
    </row>
    <row r="3328" spans="1:9" hidden="1" x14ac:dyDescent="0.3">
      <c r="A3328" t="s">
        <v>651</v>
      </c>
      <c r="B3328" t="s">
        <v>5436</v>
      </c>
      <c r="C3328" t="s">
        <v>5544</v>
      </c>
      <c r="D3328" t="s">
        <v>2135</v>
      </c>
      <c r="E3328" t="s">
        <v>71</v>
      </c>
      <c r="F3328" t="s">
        <v>5634</v>
      </c>
      <c r="H3328" t="s">
        <v>17</v>
      </c>
      <c r="I3328" t="s">
        <v>4884</v>
      </c>
    </row>
    <row r="3329" spans="1:9" hidden="1" x14ac:dyDescent="0.3">
      <c r="A3329" t="s">
        <v>659</v>
      </c>
      <c r="B3329" t="s">
        <v>5436</v>
      </c>
      <c r="C3329" t="s">
        <v>5544</v>
      </c>
      <c r="D3329" t="s">
        <v>2135</v>
      </c>
      <c r="E3329" t="s">
        <v>1050</v>
      </c>
      <c r="F3329" t="s">
        <v>5635</v>
      </c>
      <c r="H3329" t="s">
        <v>17</v>
      </c>
      <c r="I3329" t="s">
        <v>5636</v>
      </c>
    </row>
    <row r="3330" spans="1:9" hidden="1" x14ac:dyDescent="0.3">
      <c r="A3330" t="s">
        <v>662</v>
      </c>
      <c r="B3330" t="s">
        <v>5436</v>
      </c>
      <c r="C3330" t="s">
        <v>5544</v>
      </c>
      <c r="D3330" t="s">
        <v>2135</v>
      </c>
      <c r="E3330" t="s">
        <v>1055</v>
      </c>
      <c r="F3330" t="s">
        <v>5637</v>
      </c>
      <c r="H3330" t="s">
        <v>17</v>
      </c>
      <c r="I3330" t="s">
        <v>5636</v>
      </c>
    </row>
    <row r="3331" spans="1:9" hidden="1" x14ac:dyDescent="0.3">
      <c r="A3331" t="s">
        <v>668</v>
      </c>
      <c r="B3331" t="s">
        <v>5436</v>
      </c>
      <c r="C3331" t="s">
        <v>5544</v>
      </c>
      <c r="D3331" t="s">
        <v>2135</v>
      </c>
      <c r="E3331" t="s">
        <v>80</v>
      </c>
      <c r="F3331" t="s">
        <v>5638</v>
      </c>
      <c r="H3331" t="s">
        <v>17</v>
      </c>
      <c r="I3331" t="s">
        <v>4583</v>
      </c>
    </row>
    <row r="3332" spans="1:9" hidden="1" x14ac:dyDescent="0.3">
      <c r="A3332" t="s">
        <v>671</v>
      </c>
      <c r="B3332" t="s">
        <v>5436</v>
      </c>
      <c r="C3332" t="s">
        <v>5544</v>
      </c>
      <c r="D3332" t="s">
        <v>2135</v>
      </c>
      <c r="E3332" t="s">
        <v>85</v>
      </c>
      <c r="F3332" t="s">
        <v>5639</v>
      </c>
      <c r="H3332" t="s">
        <v>17</v>
      </c>
      <c r="I3332" t="s">
        <v>5636</v>
      </c>
    </row>
    <row r="3333" spans="1:9" hidden="1" x14ac:dyDescent="0.3">
      <c r="A3333" t="s">
        <v>2201</v>
      </c>
      <c r="B3333" t="s">
        <v>5436</v>
      </c>
      <c r="C3333" t="s">
        <v>5544</v>
      </c>
      <c r="D3333" t="s">
        <v>2135</v>
      </c>
      <c r="E3333" t="s">
        <v>90</v>
      </c>
      <c r="F3333" t="s">
        <v>5640</v>
      </c>
      <c r="H3333" t="s">
        <v>17</v>
      </c>
      <c r="I3333" t="s">
        <v>5636</v>
      </c>
    </row>
    <row r="3334" spans="1:9" hidden="1" x14ac:dyDescent="0.3">
      <c r="A3334" t="s">
        <v>680</v>
      </c>
      <c r="B3334" t="s">
        <v>5436</v>
      </c>
      <c r="C3334" t="s">
        <v>5544</v>
      </c>
      <c r="D3334" t="s">
        <v>2135</v>
      </c>
      <c r="E3334" t="s">
        <v>95</v>
      </c>
      <c r="F3334" t="s">
        <v>5641</v>
      </c>
      <c r="H3334" t="s">
        <v>17</v>
      </c>
      <c r="I3334" t="s">
        <v>5636</v>
      </c>
    </row>
    <row r="3335" spans="1:9" hidden="1" x14ac:dyDescent="0.3">
      <c r="A3335" t="s">
        <v>685</v>
      </c>
      <c r="B3335" t="s">
        <v>5436</v>
      </c>
      <c r="C3335" t="s">
        <v>5544</v>
      </c>
      <c r="D3335" t="s">
        <v>2135</v>
      </c>
      <c r="E3335" t="s">
        <v>100</v>
      </c>
      <c r="F3335" t="s">
        <v>5642</v>
      </c>
      <c r="H3335" t="s">
        <v>17</v>
      </c>
      <c r="I3335" t="s">
        <v>4884</v>
      </c>
    </row>
    <row r="3336" spans="1:9" hidden="1" x14ac:dyDescent="0.3">
      <c r="A3336" t="s">
        <v>2208</v>
      </c>
      <c r="B3336" t="s">
        <v>5436</v>
      </c>
      <c r="C3336" t="s">
        <v>5544</v>
      </c>
      <c r="D3336" t="s">
        <v>2135</v>
      </c>
      <c r="E3336" t="s">
        <v>106</v>
      </c>
      <c r="F3336" t="s">
        <v>5643</v>
      </c>
      <c r="H3336" t="s">
        <v>17</v>
      </c>
      <c r="I3336" t="s">
        <v>5644</v>
      </c>
    </row>
    <row r="3337" spans="1:9" hidden="1" x14ac:dyDescent="0.3">
      <c r="A3337" t="s">
        <v>2210</v>
      </c>
      <c r="B3337" t="s">
        <v>5436</v>
      </c>
      <c r="C3337" t="s">
        <v>5544</v>
      </c>
      <c r="D3337" t="s">
        <v>2135</v>
      </c>
      <c r="E3337" t="s">
        <v>111</v>
      </c>
      <c r="F3337" t="s">
        <v>5643</v>
      </c>
      <c r="H3337" t="s">
        <v>17</v>
      </c>
      <c r="I3337" t="s">
        <v>5645</v>
      </c>
    </row>
    <row r="3338" spans="1:9" hidden="1" x14ac:dyDescent="0.3">
      <c r="A3338" t="s">
        <v>695</v>
      </c>
      <c r="B3338" t="s">
        <v>5436</v>
      </c>
      <c r="C3338" t="s">
        <v>5544</v>
      </c>
      <c r="D3338" t="s">
        <v>2135</v>
      </c>
      <c r="E3338" t="s">
        <v>114</v>
      </c>
      <c r="F3338" t="s">
        <v>5646</v>
      </c>
      <c r="H3338" t="s">
        <v>17</v>
      </c>
      <c r="I3338" t="s">
        <v>5647</v>
      </c>
    </row>
    <row r="3339" spans="1:9" hidden="1" x14ac:dyDescent="0.3">
      <c r="A3339" t="s">
        <v>701</v>
      </c>
      <c r="B3339" t="s">
        <v>5436</v>
      </c>
      <c r="C3339" t="s">
        <v>5544</v>
      </c>
      <c r="D3339" t="s">
        <v>2135</v>
      </c>
      <c r="E3339" t="s">
        <v>117</v>
      </c>
      <c r="F3339" t="s">
        <v>5648</v>
      </c>
      <c r="H3339" t="s">
        <v>17</v>
      </c>
      <c r="I3339" t="s">
        <v>5649</v>
      </c>
    </row>
    <row r="3340" spans="1:9" hidden="1" x14ac:dyDescent="0.3">
      <c r="A3340" t="s">
        <v>709</v>
      </c>
      <c r="B3340" t="s">
        <v>5436</v>
      </c>
      <c r="C3340" t="s">
        <v>5544</v>
      </c>
      <c r="D3340" t="s">
        <v>2135</v>
      </c>
      <c r="E3340" t="s">
        <v>121</v>
      </c>
      <c r="F3340" t="s">
        <v>5650</v>
      </c>
      <c r="H3340" t="s">
        <v>17</v>
      </c>
      <c r="I3340" t="s">
        <v>5651</v>
      </c>
    </row>
    <row r="3341" spans="1:9" hidden="1" x14ac:dyDescent="0.3">
      <c r="A3341" t="s">
        <v>713</v>
      </c>
      <c r="B3341" t="s">
        <v>5436</v>
      </c>
      <c r="C3341" t="s">
        <v>5544</v>
      </c>
      <c r="D3341" t="s">
        <v>2135</v>
      </c>
      <c r="E3341" t="s">
        <v>126</v>
      </c>
      <c r="F3341" t="s">
        <v>5652</v>
      </c>
      <c r="H3341" t="s">
        <v>17</v>
      </c>
      <c r="I3341" t="s">
        <v>5653</v>
      </c>
    </row>
    <row r="3342" spans="1:9" hidden="1" x14ac:dyDescent="0.3">
      <c r="A3342" t="s">
        <v>721</v>
      </c>
      <c r="B3342" t="s">
        <v>5436</v>
      </c>
      <c r="C3342" t="s">
        <v>5544</v>
      </c>
      <c r="D3342" t="s">
        <v>2135</v>
      </c>
      <c r="E3342" t="s">
        <v>129</v>
      </c>
      <c r="F3342" t="s">
        <v>5654</v>
      </c>
      <c r="H3342" t="s">
        <v>17</v>
      </c>
      <c r="I3342" t="s">
        <v>5651</v>
      </c>
    </row>
    <row r="3343" spans="1:9" hidden="1" x14ac:dyDescent="0.3">
      <c r="A3343" t="s">
        <v>724</v>
      </c>
      <c r="B3343" t="s">
        <v>5436</v>
      </c>
      <c r="C3343" t="s">
        <v>5544</v>
      </c>
      <c r="D3343" t="s">
        <v>2135</v>
      </c>
      <c r="E3343" t="s">
        <v>132</v>
      </c>
      <c r="F3343" t="s">
        <v>3616</v>
      </c>
      <c r="H3343" t="s">
        <v>17</v>
      </c>
      <c r="I3343" t="s">
        <v>5655</v>
      </c>
    </row>
    <row r="3344" spans="1:9" hidden="1" x14ac:dyDescent="0.3">
      <c r="A3344" t="s">
        <v>730</v>
      </c>
      <c r="B3344" t="s">
        <v>5436</v>
      </c>
      <c r="C3344" t="s">
        <v>5544</v>
      </c>
      <c r="D3344" t="s">
        <v>2135</v>
      </c>
      <c r="E3344" t="s">
        <v>135</v>
      </c>
      <c r="F3344" t="s">
        <v>5656</v>
      </c>
      <c r="H3344" t="s">
        <v>17</v>
      </c>
      <c r="I3344" t="s">
        <v>5657</v>
      </c>
    </row>
    <row r="3345" spans="1:9" hidden="1" x14ac:dyDescent="0.3">
      <c r="A3345" t="s">
        <v>735</v>
      </c>
      <c r="B3345" t="s">
        <v>5436</v>
      </c>
      <c r="C3345" t="s">
        <v>5544</v>
      </c>
      <c r="D3345" t="s">
        <v>2135</v>
      </c>
      <c r="E3345" t="s">
        <v>138</v>
      </c>
      <c r="F3345" t="s">
        <v>5658</v>
      </c>
      <c r="H3345" t="s">
        <v>17</v>
      </c>
      <c r="I3345" t="s">
        <v>4583</v>
      </c>
    </row>
    <row r="3346" spans="1:9" hidden="1" x14ac:dyDescent="0.3">
      <c r="A3346" t="s">
        <v>746</v>
      </c>
      <c r="B3346" t="s">
        <v>5436</v>
      </c>
      <c r="C3346" t="s">
        <v>5544</v>
      </c>
      <c r="D3346" t="s">
        <v>2135</v>
      </c>
      <c r="E3346" t="s">
        <v>141</v>
      </c>
      <c r="F3346" t="s">
        <v>5659</v>
      </c>
      <c r="H3346" t="s">
        <v>17</v>
      </c>
      <c r="I3346" t="s">
        <v>4583</v>
      </c>
    </row>
    <row r="3347" spans="1:9" hidden="1" x14ac:dyDescent="0.3">
      <c r="A3347" t="s">
        <v>3621</v>
      </c>
      <c r="B3347" t="s">
        <v>5436</v>
      </c>
      <c r="C3347" t="s">
        <v>5544</v>
      </c>
      <c r="D3347" t="s">
        <v>2135</v>
      </c>
      <c r="E3347" t="s">
        <v>144</v>
      </c>
      <c r="F3347" t="s">
        <v>5660</v>
      </c>
      <c r="H3347" t="s">
        <v>17</v>
      </c>
      <c r="I3347" t="s">
        <v>4583</v>
      </c>
    </row>
    <row r="3348" spans="1:9" hidden="1" x14ac:dyDescent="0.3">
      <c r="A3348" t="s">
        <v>750</v>
      </c>
      <c r="B3348" t="s">
        <v>5436</v>
      </c>
      <c r="C3348" t="s">
        <v>5544</v>
      </c>
      <c r="D3348" t="s">
        <v>2135</v>
      </c>
      <c r="E3348" t="s">
        <v>147</v>
      </c>
      <c r="F3348" t="s">
        <v>5661</v>
      </c>
      <c r="H3348" t="s">
        <v>17</v>
      </c>
      <c r="I3348" t="s">
        <v>4583</v>
      </c>
    </row>
    <row r="3349" spans="1:9" hidden="1" x14ac:dyDescent="0.3">
      <c r="A3349" t="s">
        <v>2291</v>
      </c>
      <c r="B3349" t="s">
        <v>5436</v>
      </c>
      <c r="C3349" t="s">
        <v>5544</v>
      </c>
      <c r="D3349" t="s">
        <v>2135</v>
      </c>
      <c r="E3349" t="s">
        <v>152</v>
      </c>
      <c r="F3349" t="s">
        <v>4841</v>
      </c>
      <c r="H3349" t="s">
        <v>17</v>
      </c>
      <c r="I3349" t="s">
        <v>5662</v>
      </c>
    </row>
    <row r="3350" spans="1:9" hidden="1" x14ac:dyDescent="0.3">
      <c r="A3350" t="s">
        <v>2294</v>
      </c>
      <c r="B3350" t="s">
        <v>5436</v>
      </c>
      <c r="C3350" t="s">
        <v>5544</v>
      </c>
      <c r="D3350" t="s">
        <v>2135</v>
      </c>
      <c r="E3350" t="s">
        <v>157</v>
      </c>
      <c r="F3350" t="s">
        <v>5663</v>
      </c>
      <c r="H3350" t="s">
        <v>17</v>
      </c>
      <c r="I3350" t="s">
        <v>5664</v>
      </c>
    </row>
    <row r="3351" spans="1:9" hidden="1" x14ac:dyDescent="0.3">
      <c r="A3351" t="s">
        <v>2297</v>
      </c>
      <c r="B3351" t="s">
        <v>5436</v>
      </c>
      <c r="C3351" t="s">
        <v>5544</v>
      </c>
      <c r="D3351" t="s">
        <v>2135</v>
      </c>
      <c r="E3351" t="s">
        <v>162</v>
      </c>
      <c r="F3351" t="s">
        <v>5665</v>
      </c>
      <c r="H3351" t="s">
        <v>17</v>
      </c>
      <c r="I3351" t="s">
        <v>4583</v>
      </c>
    </row>
    <row r="3352" spans="1:9" hidden="1" x14ac:dyDescent="0.3">
      <c r="A3352" t="s">
        <v>763</v>
      </c>
      <c r="B3352" t="s">
        <v>5436</v>
      </c>
      <c r="C3352" t="s">
        <v>5544</v>
      </c>
      <c r="D3352" t="s">
        <v>2135</v>
      </c>
      <c r="E3352" t="s">
        <v>167</v>
      </c>
      <c r="F3352" t="s">
        <v>5666</v>
      </c>
      <c r="H3352" t="s">
        <v>17</v>
      </c>
      <c r="I3352" t="s">
        <v>5667</v>
      </c>
    </row>
    <row r="3353" spans="1:9" hidden="1" x14ac:dyDescent="0.3">
      <c r="A3353" t="s">
        <v>2301</v>
      </c>
      <c r="B3353" t="s">
        <v>5436</v>
      </c>
      <c r="C3353" t="s">
        <v>5544</v>
      </c>
      <c r="D3353" t="s">
        <v>2135</v>
      </c>
      <c r="E3353" t="s">
        <v>1104</v>
      </c>
      <c r="F3353" t="s">
        <v>5668</v>
      </c>
      <c r="H3353" t="s">
        <v>17</v>
      </c>
      <c r="I3353" t="s">
        <v>5669</v>
      </c>
    </row>
    <row r="3354" spans="1:9" hidden="1" x14ac:dyDescent="0.3">
      <c r="A3354" t="s">
        <v>773</v>
      </c>
      <c r="B3354" t="s">
        <v>5436</v>
      </c>
      <c r="C3354" t="s">
        <v>5544</v>
      </c>
      <c r="D3354" t="s">
        <v>2135</v>
      </c>
      <c r="E3354" t="s">
        <v>182</v>
      </c>
      <c r="F3354" t="s">
        <v>5670</v>
      </c>
      <c r="H3354" t="s">
        <v>17</v>
      </c>
      <c r="I3354" t="s">
        <v>5671</v>
      </c>
    </row>
    <row r="3355" spans="1:9" hidden="1" x14ac:dyDescent="0.3">
      <c r="A3355" t="s">
        <v>778</v>
      </c>
      <c r="B3355" t="s">
        <v>5436</v>
      </c>
      <c r="C3355" t="s">
        <v>5544</v>
      </c>
      <c r="D3355" t="s">
        <v>2135</v>
      </c>
      <c r="E3355" t="s">
        <v>187</v>
      </c>
      <c r="F3355" t="s">
        <v>5672</v>
      </c>
      <c r="H3355" t="s">
        <v>17</v>
      </c>
      <c r="I3355" t="s">
        <v>5673</v>
      </c>
    </row>
    <row r="3356" spans="1:9" hidden="1" x14ac:dyDescent="0.3">
      <c r="A3356" t="s">
        <v>783</v>
      </c>
      <c r="B3356" t="s">
        <v>5436</v>
      </c>
      <c r="C3356" t="s">
        <v>5544</v>
      </c>
      <c r="D3356" t="s">
        <v>2135</v>
      </c>
      <c r="E3356" t="s">
        <v>193</v>
      </c>
      <c r="F3356" t="s">
        <v>5674</v>
      </c>
      <c r="H3356" t="s">
        <v>17</v>
      </c>
      <c r="I3356" t="s">
        <v>5675</v>
      </c>
    </row>
    <row r="3357" spans="1:9" hidden="1" x14ac:dyDescent="0.3">
      <c r="A3357" t="s">
        <v>2309</v>
      </c>
      <c r="B3357" t="s">
        <v>5436</v>
      </c>
      <c r="C3357" t="s">
        <v>5544</v>
      </c>
      <c r="D3357" t="s">
        <v>2135</v>
      </c>
      <c r="E3357" t="s">
        <v>198</v>
      </c>
      <c r="F3357" t="s">
        <v>5676</v>
      </c>
      <c r="H3357" t="s">
        <v>17</v>
      </c>
      <c r="I3357" t="s">
        <v>4583</v>
      </c>
    </row>
    <row r="3358" spans="1:9" hidden="1" x14ac:dyDescent="0.3">
      <c r="A3358" t="s">
        <v>2312</v>
      </c>
      <c r="B3358" t="s">
        <v>5436</v>
      </c>
      <c r="C3358" t="s">
        <v>5544</v>
      </c>
      <c r="D3358" t="s">
        <v>2135</v>
      </c>
      <c r="E3358" t="s">
        <v>202</v>
      </c>
      <c r="F3358" t="s">
        <v>5677</v>
      </c>
      <c r="H3358" t="s">
        <v>17</v>
      </c>
      <c r="I3358" t="s">
        <v>5678</v>
      </c>
    </row>
    <row r="3359" spans="1:9" hidden="1" x14ac:dyDescent="0.3">
      <c r="A3359" t="s">
        <v>2318</v>
      </c>
      <c r="B3359" t="s">
        <v>5436</v>
      </c>
      <c r="C3359" t="s">
        <v>5544</v>
      </c>
      <c r="D3359" t="s">
        <v>2135</v>
      </c>
      <c r="E3359" t="s">
        <v>206</v>
      </c>
      <c r="F3359" t="s">
        <v>843</v>
      </c>
      <c r="H3359" t="s">
        <v>17</v>
      </c>
      <c r="I3359" t="s">
        <v>5679</v>
      </c>
    </row>
    <row r="3360" spans="1:9" hidden="1" x14ac:dyDescent="0.3">
      <c r="A3360" t="s">
        <v>2321</v>
      </c>
      <c r="B3360" t="s">
        <v>5436</v>
      </c>
      <c r="C3360" t="s">
        <v>5544</v>
      </c>
      <c r="D3360" t="s">
        <v>2135</v>
      </c>
      <c r="E3360" t="s">
        <v>210</v>
      </c>
      <c r="F3360" t="s">
        <v>756</v>
      </c>
      <c r="H3360" t="s">
        <v>17</v>
      </c>
      <c r="I3360" t="s">
        <v>5680</v>
      </c>
    </row>
    <row r="3361" spans="1:9" hidden="1" x14ac:dyDescent="0.3">
      <c r="A3361" t="s">
        <v>2324</v>
      </c>
      <c r="B3361" t="s">
        <v>5436</v>
      </c>
      <c r="C3361" t="s">
        <v>5544</v>
      </c>
      <c r="D3361" t="s">
        <v>2135</v>
      </c>
      <c r="E3361" t="s">
        <v>214</v>
      </c>
      <c r="F3361" t="s">
        <v>5681</v>
      </c>
      <c r="H3361" t="s">
        <v>17</v>
      </c>
      <c r="I3361" t="s">
        <v>5680</v>
      </c>
    </row>
    <row r="3362" spans="1:9" hidden="1" x14ac:dyDescent="0.3">
      <c r="A3362" t="s">
        <v>800</v>
      </c>
      <c r="B3362" t="s">
        <v>5436</v>
      </c>
      <c r="C3362" t="s">
        <v>5544</v>
      </c>
      <c r="D3362" t="s">
        <v>2135</v>
      </c>
      <c r="E3362" t="s">
        <v>218</v>
      </c>
      <c r="F3362" t="s">
        <v>5682</v>
      </c>
      <c r="H3362" t="s">
        <v>17</v>
      </c>
      <c r="I3362" t="s">
        <v>5683</v>
      </c>
    </row>
    <row r="3363" spans="1:9" hidden="1" x14ac:dyDescent="0.3">
      <c r="A3363" t="s">
        <v>5686</v>
      </c>
      <c r="B3363" t="s">
        <v>5436</v>
      </c>
      <c r="C3363" t="s">
        <v>5544</v>
      </c>
      <c r="D3363" t="s">
        <v>2135</v>
      </c>
      <c r="E3363" t="s">
        <v>223</v>
      </c>
      <c r="F3363" t="s">
        <v>5684</v>
      </c>
      <c r="H3363" t="s">
        <v>17</v>
      </c>
      <c r="I3363" t="s">
        <v>5685</v>
      </c>
    </row>
    <row r="3364" spans="1:9" hidden="1" x14ac:dyDescent="0.3">
      <c r="A3364" t="s">
        <v>814</v>
      </c>
      <c r="B3364" t="s">
        <v>5436</v>
      </c>
      <c r="C3364" t="s">
        <v>5544</v>
      </c>
      <c r="D3364" t="s">
        <v>2135</v>
      </c>
      <c r="E3364" t="s">
        <v>228</v>
      </c>
      <c r="F3364" t="s">
        <v>747</v>
      </c>
      <c r="H3364" t="s">
        <v>17</v>
      </c>
      <c r="I3364" t="s">
        <v>5687</v>
      </c>
    </row>
    <row r="3365" spans="1:9" hidden="1" x14ac:dyDescent="0.3">
      <c r="A3365" t="s">
        <v>819</v>
      </c>
      <c r="B3365" t="s">
        <v>5436</v>
      </c>
      <c r="C3365" t="s">
        <v>5544</v>
      </c>
      <c r="D3365" t="s">
        <v>2135</v>
      </c>
      <c r="E3365" t="s">
        <v>233</v>
      </c>
      <c r="F3365" t="s">
        <v>2926</v>
      </c>
      <c r="H3365" t="s">
        <v>17</v>
      </c>
      <c r="I3365" t="s">
        <v>5688</v>
      </c>
    </row>
    <row r="3366" spans="1:9" hidden="1" x14ac:dyDescent="0.3">
      <c r="A3366" t="s">
        <v>823</v>
      </c>
      <c r="B3366" t="s">
        <v>5436</v>
      </c>
      <c r="C3366" t="s">
        <v>5544</v>
      </c>
      <c r="D3366" t="s">
        <v>2135</v>
      </c>
      <c r="E3366" t="s">
        <v>1136</v>
      </c>
      <c r="F3366" t="s">
        <v>5689</v>
      </c>
      <c r="H3366" t="s">
        <v>17</v>
      </c>
      <c r="I3366" t="s">
        <v>5690</v>
      </c>
    </row>
    <row r="3367" spans="1:9" hidden="1" x14ac:dyDescent="0.3">
      <c r="A3367" t="s">
        <v>5693</v>
      </c>
      <c r="B3367" t="s">
        <v>5436</v>
      </c>
      <c r="C3367" t="s">
        <v>5544</v>
      </c>
      <c r="D3367" t="s">
        <v>2135</v>
      </c>
      <c r="E3367" t="s">
        <v>1881</v>
      </c>
      <c r="F3367" t="s">
        <v>5691</v>
      </c>
      <c r="H3367" t="s">
        <v>17</v>
      </c>
      <c r="I3367" t="s">
        <v>5692</v>
      </c>
    </row>
    <row r="3368" spans="1:9" hidden="1" x14ac:dyDescent="0.3">
      <c r="A3368" t="s">
        <v>832</v>
      </c>
      <c r="B3368" t="s">
        <v>5436</v>
      </c>
      <c r="C3368" t="s">
        <v>5544</v>
      </c>
      <c r="D3368" t="s">
        <v>2135</v>
      </c>
      <c r="E3368" t="s">
        <v>1885</v>
      </c>
      <c r="F3368" t="s">
        <v>2775</v>
      </c>
      <c r="H3368" t="s">
        <v>17</v>
      </c>
      <c r="I3368" t="s">
        <v>5694</v>
      </c>
    </row>
    <row r="3369" spans="1:9" hidden="1" x14ac:dyDescent="0.3">
      <c r="A3369" t="s">
        <v>837</v>
      </c>
      <c r="B3369" t="s">
        <v>5436</v>
      </c>
      <c r="C3369" t="s">
        <v>5544</v>
      </c>
      <c r="D3369" t="s">
        <v>2135</v>
      </c>
      <c r="E3369" t="s">
        <v>1588</v>
      </c>
      <c r="F3369" t="s">
        <v>5695</v>
      </c>
      <c r="H3369" t="s">
        <v>17</v>
      </c>
      <c r="I3369" t="s">
        <v>5696</v>
      </c>
    </row>
    <row r="3370" spans="1:9" hidden="1" x14ac:dyDescent="0.3">
      <c r="A3370" t="s">
        <v>847</v>
      </c>
      <c r="B3370" t="s">
        <v>5436</v>
      </c>
      <c r="C3370" t="s">
        <v>5544</v>
      </c>
      <c r="D3370" t="s">
        <v>2135</v>
      </c>
      <c r="E3370" t="s">
        <v>1892</v>
      </c>
      <c r="F3370" t="s">
        <v>5697</v>
      </c>
      <c r="H3370" t="s">
        <v>17</v>
      </c>
      <c r="I3370" t="s">
        <v>5698</v>
      </c>
    </row>
    <row r="3371" spans="1:9" hidden="1" x14ac:dyDescent="0.3">
      <c r="A3371" t="s">
        <v>5700</v>
      </c>
      <c r="B3371" t="s">
        <v>5436</v>
      </c>
      <c r="C3371" t="s">
        <v>5544</v>
      </c>
      <c r="D3371" t="s">
        <v>2135</v>
      </c>
      <c r="E3371" t="s">
        <v>1146</v>
      </c>
      <c r="F3371" t="s">
        <v>5699</v>
      </c>
      <c r="H3371" t="s">
        <v>17</v>
      </c>
      <c r="I3371" t="s">
        <v>5694</v>
      </c>
    </row>
    <row r="3372" spans="1:9" hidden="1" x14ac:dyDescent="0.3">
      <c r="A3372" t="s">
        <v>851</v>
      </c>
      <c r="B3372" t="s">
        <v>5436</v>
      </c>
      <c r="C3372" t="s">
        <v>5544</v>
      </c>
      <c r="D3372" t="s">
        <v>2135</v>
      </c>
      <c r="E3372" t="s">
        <v>1150</v>
      </c>
      <c r="F3372" t="s">
        <v>5701</v>
      </c>
      <c r="H3372" t="s">
        <v>17</v>
      </c>
      <c r="I3372" t="s">
        <v>5702</v>
      </c>
    </row>
    <row r="3373" spans="1:9" hidden="1" x14ac:dyDescent="0.3">
      <c r="A3373" t="s">
        <v>5703</v>
      </c>
      <c r="B3373" t="s">
        <v>5436</v>
      </c>
      <c r="C3373" t="s">
        <v>5544</v>
      </c>
      <c r="D3373" t="s">
        <v>2135</v>
      </c>
      <c r="E3373" t="s">
        <v>1189</v>
      </c>
      <c r="F3373" t="s">
        <v>5520</v>
      </c>
      <c r="H3373" t="s">
        <v>17</v>
      </c>
    </row>
    <row r="3374" spans="1:9" hidden="1" x14ac:dyDescent="0.3">
      <c r="A3374" t="s">
        <v>10</v>
      </c>
      <c r="B3374" t="s">
        <v>5436</v>
      </c>
      <c r="C3374" t="s">
        <v>5544</v>
      </c>
      <c r="D3374" t="s">
        <v>2135</v>
      </c>
      <c r="E3374" t="s">
        <v>273</v>
      </c>
      <c r="F3374" t="s">
        <v>5521</v>
      </c>
      <c r="H3374" t="s">
        <v>17</v>
      </c>
      <c r="I3374" t="s">
        <v>5522</v>
      </c>
    </row>
    <row r="3375" spans="1:9" hidden="1" x14ac:dyDescent="0.3">
      <c r="A3375" t="s">
        <v>1518</v>
      </c>
      <c r="B3375" t="s">
        <v>5704</v>
      </c>
      <c r="F3375" t="s">
        <v>5705</v>
      </c>
    </row>
    <row r="3376" spans="1:9" hidden="1" x14ac:dyDescent="0.3">
      <c r="A3376" t="s">
        <v>2671</v>
      </c>
      <c r="B3376" t="s">
        <v>5704</v>
      </c>
      <c r="D3376" t="s">
        <v>13</v>
      </c>
      <c r="E3376" t="s">
        <v>13</v>
      </c>
      <c r="F3376" t="s">
        <v>5520</v>
      </c>
      <c r="H3376" t="s">
        <v>17</v>
      </c>
    </row>
    <row r="3377" spans="1:9" hidden="1" x14ac:dyDescent="0.3">
      <c r="A3377" t="s">
        <v>2676</v>
      </c>
      <c r="B3377" t="s">
        <v>5704</v>
      </c>
      <c r="D3377" t="s">
        <v>13</v>
      </c>
      <c r="E3377" t="s">
        <v>2948</v>
      </c>
      <c r="F3377" t="s">
        <v>5706</v>
      </c>
      <c r="H3377" t="s">
        <v>17</v>
      </c>
    </row>
    <row r="3378" spans="1:9" hidden="1" x14ac:dyDescent="0.3">
      <c r="A3378" t="s">
        <v>2679</v>
      </c>
      <c r="B3378" t="s">
        <v>5704</v>
      </c>
      <c r="D3378" t="s">
        <v>13</v>
      </c>
      <c r="E3378" t="s">
        <v>996</v>
      </c>
      <c r="F3378" t="s">
        <v>5440</v>
      </c>
      <c r="H3378" t="s">
        <v>17</v>
      </c>
      <c r="I3378" t="s">
        <v>5439</v>
      </c>
    </row>
    <row r="3379" spans="1:9" hidden="1" x14ac:dyDescent="0.3">
      <c r="A3379" t="s">
        <v>23</v>
      </c>
      <c r="B3379" t="s">
        <v>5704</v>
      </c>
      <c r="D3379" t="s">
        <v>13</v>
      </c>
      <c r="E3379" t="s">
        <v>1001</v>
      </c>
      <c r="F3379" t="s">
        <v>5443</v>
      </c>
      <c r="H3379" t="s">
        <v>17</v>
      </c>
      <c r="I3379" t="s">
        <v>5444</v>
      </c>
    </row>
    <row r="3380" spans="1:9" hidden="1" x14ac:dyDescent="0.3">
      <c r="A3380" t="s">
        <v>33</v>
      </c>
      <c r="B3380" t="s">
        <v>5704</v>
      </c>
      <c r="D3380" t="s">
        <v>13</v>
      </c>
      <c r="E3380" t="s">
        <v>1942</v>
      </c>
      <c r="F3380" t="s">
        <v>1644</v>
      </c>
      <c r="H3380" t="s">
        <v>17</v>
      </c>
      <c r="I3380" t="s">
        <v>5445</v>
      </c>
    </row>
    <row r="3381" spans="1:9" hidden="1" x14ac:dyDescent="0.3">
      <c r="A3381" t="s">
        <v>2687</v>
      </c>
      <c r="B3381" t="s">
        <v>5704</v>
      </c>
      <c r="D3381" t="s">
        <v>13</v>
      </c>
      <c r="E3381" t="s">
        <v>22</v>
      </c>
      <c r="F3381" t="s">
        <v>5707</v>
      </c>
      <c r="H3381" t="s">
        <v>17</v>
      </c>
      <c r="I3381" t="s">
        <v>5708</v>
      </c>
    </row>
    <row r="3382" spans="1:9" hidden="1" x14ac:dyDescent="0.3">
      <c r="A3382" t="s">
        <v>42</v>
      </c>
      <c r="B3382" t="s">
        <v>5704</v>
      </c>
      <c r="D3382" t="s">
        <v>13</v>
      </c>
      <c r="E3382" t="s">
        <v>27</v>
      </c>
      <c r="F3382" t="s">
        <v>5709</v>
      </c>
      <c r="H3382" t="s">
        <v>17</v>
      </c>
      <c r="I3382" t="s">
        <v>5710</v>
      </c>
    </row>
    <row r="3383" spans="1:9" hidden="1" x14ac:dyDescent="0.3">
      <c r="A3383" t="s">
        <v>46</v>
      </c>
      <c r="B3383" t="s">
        <v>5704</v>
      </c>
      <c r="D3383" t="s">
        <v>13</v>
      </c>
      <c r="E3383" t="s">
        <v>1014</v>
      </c>
      <c r="F3383" t="s">
        <v>5711</v>
      </c>
      <c r="H3383" t="s">
        <v>17</v>
      </c>
      <c r="I3383" t="s">
        <v>5473</v>
      </c>
    </row>
    <row r="3384" spans="1:9" hidden="1" x14ac:dyDescent="0.3">
      <c r="A3384" t="s">
        <v>51</v>
      </c>
      <c r="B3384" t="s">
        <v>5704</v>
      </c>
      <c r="D3384" t="s">
        <v>13</v>
      </c>
      <c r="E3384" t="s">
        <v>1017</v>
      </c>
      <c r="F3384" t="s">
        <v>5474</v>
      </c>
      <c r="H3384" t="s">
        <v>17</v>
      </c>
      <c r="I3384" t="s">
        <v>5473</v>
      </c>
    </row>
    <row r="3385" spans="1:9" hidden="1" x14ac:dyDescent="0.3">
      <c r="A3385" t="s">
        <v>57</v>
      </c>
      <c r="B3385" t="s">
        <v>5704</v>
      </c>
      <c r="D3385" t="s">
        <v>13</v>
      </c>
      <c r="E3385" t="s">
        <v>36</v>
      </c>
      <c r="F3385" t="s">
        <v>5475</v>
      </c>
      <c r="H3385" t="s">
        <v>17</v>
      </c>
      <c r="I3385" t="s">
        <v>5473</v>
      </c>
    </row>
    <row r="3386" spans="1:9" hidden="1" x14ac:dyDescent="0.3">
      <c r="A3386" t="s">
        <v>62</v>
      </c>
      <c r="B3386" t="s">
        <v>5704</v>
      </c>
      <c r="D3386" t="s">
        <v>13</v>
      </c>
      <c r="E3386" t="s">
        <v>41</v>
      </c>
      <c r="F3386" t="s">
        <v>5476</v>
      </c>
      <c r="H3386" t="s">
        <v>17</v>
      </c>
      <c r="I3386" t="s">
        <v>5477</v>
      </c>
    </row>
    <row r="3387" spans="1:9" hidden="1" x14ac:dyDescent="0.3">
      <c r="A3387" t="s">
        <v>72</v>
      </c>
      <c r="B3387" t="s">
        <v>5704</v>
      </c>
      <c r="D3387" t="s">
        <v>13</v>
      </c>
      <c r="E3387" t="s">
        <v>45</v>
      </c>
      <c r="F3387" t="s">
        <v>5478</v>
      </c>
      <c r="H3387" t="s">
        <v>17</v>
      </c>
      <c r="I3387" t="s">
        <v>5712</v>
      </c>
    </row>
    <row r="3388" spans="1:9" hidden="1" x14ac:dyDescent="0.3">
      <c r="A3388" t="s">
        <v>5714</v>
      </c>
      <c r="B3388" t="s">
        <v>5704</v>
      </c>
      <c r="D3388" t="s">
        <v>13</v>
      </c>
      <c r="E3388" t="s">
        <v>2238</v>
      </c>
      <c r="F3388" t="s">
        <v>5521</v>
      </c>
      <c r="H3388" t="s">
        <v>17</v>
      </c>
      <c r="I3388" t="s">
        <v>5713</v>
      </c>
    </row>
    <row r="3389" spans="1:9" hidden="1" x14ac:dyDescent="0.3">
      <c r="A3389" t="s">
        <v>4226</v>
      </c>
      <c r="B3389" t="s">
        <v>5704</v>
      </c>
      <c r="D3389" t="s">
        <v>1936</v>
      </c>
      <c r="E3389" t="s">
        <v>13</v>
      </c>
      <c r="F3389" t="s">
        <v>5520</v>
      </c>
      <c r="H3389" t="s">
        <v>17</v>
      </c>
    </row>
    <row r="3390" spans="1:9" hidden="1" x14ac:dyDescent="0.3">
      <c r="A3390" t="s">
        <v>3365</v>
      </c>
      <c r="B3390" t="s">
        <v>5704</v>
      </c>
      <c r="D3390" t="s">
        <v>1936</v>
      </c>
      <c r="E3390" t="s">
        <v>996</v>
      </c>
      <c r="F3390" t="s">
        <v>5483</v>
      </c>
      <c r="H3390" t="s">
        <v>17</v>
      </c>
      <c r="I3390" t="s">
        <v>5473</v>
      </c>
    </row>
    <row r="3391" spans="1:9" hidden="1" x14ac:dyDescent="0.3">
      <c r="A3391" t="s">
        <v>377</v>
      </c>
      <c r="B3391" t="s">
        <v>5704</v>
      </c>
      <c r="D3391" t="s">
        <v>1936</v>
      </c>
      <c r="E3391" t="s">
        <v>1001</v>
      </c>
      <c r="F3391" t="s">
        <v>5484</v>
      </c>
      <c r="H3391" t="s">
        <v>17</v>
      </c>
      <c r="I3391" t="s">
        <v>5473</v>
      </c>
    </row>
    <row r="3392" spans="1:9" hidden="1" x14ac:dyDescent="0.3">
      <c r="A3392" t="s">
        <v>1638</v>
      </c>
      <c r="B3392" t="s">
        <v>5704</v>
      </c>
      <c r="D3392" t="s">
        <v>1936</v>
      </c>
      <c r="E3392" t="s">
        <v>1942</v>
      </c>
      <c r="F3392" t="s">
        <v>5485</v>
      </c>
      <c r="H3392" t="s">
        <v>17</v>
      </c>
      <c r="I3392" t="s">
        <v>5473</v>
      </c>
    </row>
    <row r="3393" spans="1:9" hidden="1" x14ac:dyDescent="0.3">
      <c r="A3393" t="s">
        <v>1640</v>
      </c>
      <c r="B3393" t="s">
        <v>5704</v>
      </c>
      <c r="D3393" t="s">
        <v>1936</v>
      </c>
      <c r="E3393" t="s">
        <v>22</v>
      </c>
      <c r="F3393" t="s">
        <v>5476</v>
      </c>
      <c r="H3393" t="s">
        <v>17</v>
      </c>
      <c r="I3393" t="s">
        <v>5715</v>
      </c>
    </row>
    <row r="3394" spans="1:9" hidden="1" x14ac:dyDescent="0.3">
      <c r="A3394" t="s">
        <v>388</v>
      </c>
      <c r="B3394" t="s">
        <v>5704</v>
      </c>
      <c r="D3394" t="s">
        <v>1936</v>
      </c>
      <c r="E3394" t="s">
        <v>27</v>
      </c>
      <c r="F3394" t="s">
        <v>5478</v>
      </c>
      <c r="H3394" t="s">
        <v>17</v>
      </c>
      <c r="I3394" t="s">
        <v>5712</v>
      </c>
    </row>
    <row r="3395" spans="1:9" hidden="1" x14ac:dyDescent="0.3">
      <c r="A3395" t="s">
        <v>1647</v>
      </c>
      <c r="B3395" t="s">
        <v>5704</v>
      </c>
      <c r="D3395" t="s">
        <v>1936</v>
      </c>
      <c r="E3395" t="s">
        <v>1014</v>
      </c>
      <c r="F3395" t="s">
        <v>5494</v>
      </c>
      <c r="H3395" t="s">
        <v>17</v>
      </c>
      <c r="I3395" t="s">
        <v>5491</v>
      </c>
    </row>
    <row r="3396" spans="1:9" hidden="1" x14ac:dyDescent="0.3">
      <c r="A3396" t="s">
        <v>1653</v>
      </c>
      <c r="B3396" t="s">
        <v>5704</v>
      </c>
      <c r="D3396" t="s">
        <v>1936</v>
      </c>
      <c r="E3396" t="s">
        <v>1017</v>
      </c>
      <c r="F3396" t="s">
        <v>5716</v>
      </c>
      <c r="H3396" t="s">
        <v>17</v>
      </c>
      <c r="I3396" t="s">
        <v>5717</v>
      </c>
    </row>
    <row r="3397" spans="1:9" hidden="1" x14ac:dyDescent="0.3">
      <c r="A3397" t="s">
        <v>1656</v>
      </c>
      <c r="B3397" t="s">
        <v>5704</v>
      </c>
      <c r="D3397" t="s">
        <v>1936</v>
      </c>
      <c r="E3397" t="s">
        <v>36</v>
      </c>
      <c r="F3397" t="s">
        <v>5500</v>
      </c>
      <c r="H3397" t="s">
        <v>17</v>
      </c>
      <c r="I3397" t="s">
        <v>5718</v>
      </c>
    </row>
    <row r="3398" spans="1:9" hidden="1" x14ac:dyDescent="0.3">
      <c r="A3398" t="s">
        <v>398</v>
      </c>
      <c r="B3398" t="s">
        <v>5704</v>
      </c>
      <c r="D3398" t="s">
        <v>1936</v>
      </c>
      <c r="E3398" t="s">
        <v>41</v>
      </c>
      <c r="F3398" t="s">
        <v>5719</v>
      </c>
      <c r="H3398" t="s">
        <v>17</v>
      </c>
      <c r="I3398" t="s">
        <v>5532</v>
      </c>
    </row>
    <row r="3399" spans="1:9" hidden="1" x14ac:dyDescent="0.3">
      <c r="A3399" t="s">
        <v>401</v>
      </c>
      <c r="B3399" t="s">
        <v>5704</v>
      </c>
      <c r="D3399" t="s">
        <v>1936</v>
      </c>
      <c r="E3399" t="s">
        <v>45</v>
      </c>
      <c r="F3399" t="s">
        <v>5720</v>
      </c>
      <c r="H3399" t="s">
        <v>17</v>
      </c>
      <c r="I3399" t="s">
        <v>5539</v>
      </c>
    </row>
    <row r="3400" spans="1:9" hidden="1" x14ac:dyDescent="0.3">
      <c r="A3400" t="s">
        <v>1663</v>
      </c>
      <c r="B3400" t="s">
        <v>5704</v>
      </c>
      <c r="D3400" t="s">
        <v>1936</v>
      </c>
      <c r="E3400" t="s">
        <v>50</v>
      </c>
      <c r="F3400" t="s">
        <v>5540</v>
      </c>
      <c r="H3400" t="s">
        <v>17</v>
      </c>
      <c r="I3400" t="s">
        <v>5541</v>
      </c>
    </row>
    <row r="3401" spans="1:9" hidden="1" x14ac:dyDescent="0.3">
      <c r="A3401" t="s">
        <v>3382</v>
      </c>
      <c r="B3401" t="s">
        <v>5704</v>
      </c>
      <c r="D3401" t="s">
        <v>1936</v>
      </c>
      <c r="E3401" t="s">
        <v>53</v>
      </c>
      <c r="F3401" t="s">
        <v>5721</v>
      </c>
      <c r="H3401" t="s">
        <v>17</v>
      </c>
      <c r="I3401" t="s">
        <v>5543</v>
      </c>
    </row>
    <row r="3402" spans="1:9" hidden="1" x14ac:dyDescent="0.3">
      <c r="A3402" t="s">
        <v>407</v>
      </c>
      <c r="B3402" t="s">
        <v>5704</v>
      </c>
      <c r="D3402" t="s">
        <v>1936</v>
      </c>
      <c r="E3402" t="s">
        <v>56</v>
      </c>
      <c r="F3402" t="s">
        <v>5553</v>
      </c>
      <c r="H3402" t="s">
        <v>17</v>
      </c>
      <c r="I3402" t="s">
        <v>5554</v>
      </c>
    </row>
    <row r="3403" spans="1:9" hidden="1" x14ac:dyDescent="0.3">
      <c r="A3403" t="s">
        <v>1670</v>
      </c>
      <c r="B3403" t="s">
        <v>5704</v>
      </c>
      <c r="D3403" t="s">
        <v>1936</v>
      </c>
      <c r="E3403" t="s">
        <v>4674</v>
      </c>
      <c r="F3403" t="s">
        <v>5555</v>
      </c>
      <c r="H3403" t="s">
        <v>17</v>
      </c>
      <c r="I3403" t="s">
        <v>5722</v>
      </c>
    </row>
    <row r="3404" spans="1:9" hidden="1" x14ac:dyDescent="0.3">
      <c r="A3404" t="s">
        <v>411</v>
      </c>
      <c r="B3404" t="s">
        <v>5704</v>
      </c>
      <c r="D3404" t="s">
        <v>1936</v>
      </c>
      <c r="E3404" t="s">
        <v>2168</v>
      </c>
      <c r="F3404" t="s">
        <v>5557</v>
      </c>
      <c r="H3404" t="s">
        <v>17</v>
      </c>
      <c r="I3404" t="s">
        <v>5723</v>
      </c>
    </row>
    <row r="3405" spans="1:9" hidden="1" x14ac:dyDescent="0.3">
      <c r="A3405" t="s">
        <v>421</v>
      </c>
      <c r="B3405" t="s">
        <v>5704</v>
      </c>
      <c r="D3405" t="s">
        <v>1936</v>
      </c>
      <c r="E3405" t="s">
        <v>76</v>
      </c>
      <c r="F3405" t="s">
        <v>5559</v>
      </c>
      <c r="H3405" t="s">
        <v>17</v>
      </c>
      <c r="I3405" t="s">
        <v>5724</v>
      </c>
    </row>
    <row r="3406" spans="1:9" hidden="1" x14ac:dyDescent="0.3">
      <c r="A3406" t="s">
        <v>427</v>
      </c>
      <c r="B3406" t="s">
        <v>5704</v>
      </c>
      <c r="D3406" t="s">
        <v>1936</v>
      </c>
      <c r="E3406" t="s">
        <v>1792</v>
      </c>
      <c r="F3406" t="s">
        <v>5725</v>
      </c>
      <c r="H3406" t="s">
        <v>17</v>
      </c>
      <c r="I3406" t="s">
        <v>5726</v>
      </c>
    </row>
    <row r="3407" spans="1:9" hidden="1" x14ac:dyDescent="0.3">
      <c r="A3407" t="s">
        <v>430</v>
      </c>
      <c r="B3407" t="s">
        <v>5704</v>
      </c>
      <c r="D3407" t="s">
        <v>1936</v>
      </c>
      <c r="E3407" t="s">
        <v>90</v>
      </c>
      <c r="F3407" t="s">
        <v>5727</v>
      </c>
      <c r="H3407" t="s">
        <v>17</v>
      </c>
      <c r="I3407" t="s">
        <v>5564</v>
      </c>
    </row>
    <row r="3408" spans="1:9" hidden="1" x14ac:dyDescent="0.3">
      <c r="A3408" t="s">
        <v>433</v>
      </c>
      <c r="B3408" t="s">
        <v>5704</v>
      </c>
      <c r="D3408" t="s">
        <v>1936</v>
      </c>
      <c r="E3408" t="s">
        <v>95</v>
      </c>
      <c r="F3408" t="s">
        <v>5565</v>
      </c>
      <c r="H3408" t="s">
        <v>17</v>
      </c>
      <c r="I3408" t="s">
        <v>5564</v>
      </c>
    </row>
    <row r="3409" spans="1:9" hidden="1" x14ac:dyDescent="0.3">
      <c r="A3409" t="s">
        <v>439</v>
      </c>
      <c r="B3409" t="s">
        <v>5704</v>
      </c>
      <c r="D3409" t="s">
        <v>1936</v>
      </c>
      <c r="E3409" t="s">
        <v>100</v>
      </c>
      <c r="F3409" t="s">
        <v>5566</v>
      </c>
      <c r="H3409" t="s">
        <v>17</v>
      </c>
      <c r="I3409" t="s">
        <v>5728</v>
      </c>
    </row>
    <row r="3410" spans="1:9" hidden="1" x14ac:dyDescent="0.3">
      <c r="A3410" t="s">
        <v>445</v>
      </c>
      <c r="B3410" t="s">
        <v>5704</v>
      </c>
      <c r="D3410" t="s">
        <v>1936</v>
      </c>
      <c r="E3410" t="s">
        <v>1556</v>
      </c>
      <c r="F3410" t="s">
        <v>5729</v>
      </c>
      <c r="H3410" t="s">
        <v>17</v>
      </c>
      <c r="I3410" t="s">
        <v>5730</v>
      </c>
    </row>
    <row r="3411" spans="1:9" hidden="1" x14ac:dyDescent="0.3">
      <c r="A3411" t="s">
        <v>454</v>
      </c>
      <c r="B3411" t="s">
        <v>5704</v>
      </c>
      <c r="D3411" t="s">
        <v>1936</v>
      </c>
      <c r="E3411" t="s">
        <v>114</v>
      </c>
      <c r="F3411" t="s">
        <v>5731</v>
      </c>
      <c r="H3411" t="s">
        <v>17</v>
      </c>
      <c r="I3411" t="s">
        <v>5732</v>
      </c>
    </row>
    <row r="3412" spans="1:9" hidden="1" x14ac:dyDescent="0.3">
      <c r="A3412" t="s">
        <v>458</v>
      </c>
      <c r="B3412" t="s">
        <v>5704</v>
      </c>
      <c r="D3412" t="s">
        <v>1936</v>
      </c>
      <c r="E3412" t="s">
        <v>117</v>
      </c>
      <c r="F3412" t="s">
        <v>5569</v>
      </c>
      <c r="H3412" t="s">
        <v>17</v>
      </c>
      <c r="I3412" t="s">
        <v>5733</v>
      </c>
    </row>
    <row r="3413" spans="1:9" hidden="1" x14ac:dyDescent="0.3">
      <c r="A3413" t="s">
        <v>465</v>
      </c>
      <c r="B3413" t="s">
        <v>5704</v>
      </c>
      <c r="D3413" t="s">
        <v>1936</v>
      </c>
      <c r="E3413" t="s">
        <v>2188</v>
      </c>
      <c r="F3413" t="s">
        <v>5571</v>
      </c>
      <c r="H3413" t="s">
        <v>17</v>
      </c>
      <c r="I3413" t="s">
        <v>5734</v>
      </c>
    </row>
    <row r="3414" spans="1:9" hidden="1" x14ac:dyDescent="0.3">
      <c r="A3414" t="s">
        <v>469</v>
      </c>
      <c r="B3414" t="s">
        <v>5704</v>
      </c>
      <c r="D3414" t="s">
        <v>1936</v>
      </c>
      <c r="E3414" t="s">
        <v>2189</v>
      </c>
      <c r="F3414" t="s">
        <v>5573</v>
      </c>
      <c r="H3414" t="s">
        <v>17</v>
      </c>
      <c r="I3414" t="s">
        <v>5735</v>
      </c>
    </row>
    <row r="3415" spans="1:9" hidden="1" x14ac:dyDescent="0.3">
      <c r="A3415" t="s">
        <v>476</v>
      </c>
      <c r="B3415" t="s">
        <v>5704</v>
      </c>
      <c r="D3415" t="s">
        <v>1936</v>
      </c>
      <c r="E3415" t="s">
        <v>135</v>
      </c>
      <c r="F3415" t="s">
        <v>5736</v>
      </c>
      <c r="H3415" t="s">
        <v>17</v>
      </c>
      <c r="I3415" t="s">
        <v>5737</v>
      </c>
    </row>
    <row r="3416" spans="1:9" hidden="1" x14ac:dyDescent="0.3">
      <c r="A3416" t="s">
        <v>479</v>
      </c>
      <c r="B3416" t="s">
        <v>5704</v>
      </c>
      <c r="D3416" t="s">
        <v>1936</v>
      </c>
      <c r="E3416" t="s">
        <v>138</v>
      </c>
      <c r="F3416" t="s">
        <v>5577</v>
      </c>
      <c r="H3416" t="s">
        <v>17</v>
      </c>
      <c r="I3416" t="s">
        <v>5738</v>
      </c>
    </row>
    <row r="3417" spans="1:9" hidden="1" x14ac:dyDescent="0.3">
      <c r="A3417" t="s">
        <v>486</v>
      </c>
      <c r="B3417" t="s">
        <v>5704</v>
      </c>
      <c r="D3417" t="s">
        <v>1936</v>
      </c>
      <c r="E3417" t="s">
        <v>141</v>
      </c>
      <c r="F3417" t="s">
        <v>5739</v>
      </c>
      <c r="H3417" t="s">
        <v>17</v>
      </c>
      <c r="I3417" t="s">
        <v>5580</v>
      </c>
    </row>
    <row r="3418" spans="1:9" hidden="1" x14ac:dyDescent="0.3">
      <c r="A3418" t="s">
        <v>490</v>
      </c>
      <c r="B3418" t="s">
        <v>5704</v>
      </c>
      <c r="D3418" t="s">
        <v>1936</v>
      </c>
      <c r="E3418" t="s">
        <v>144</v>
      </c>
      <c r="F3418" t="s">
        <v>5740</v>
      </c>
      <c r="H3418" t="s">
        <v>17</v>
      </c>
      <c r="I3418" t="s">
        <v>5741</v>
      </c>
    </row>
    <row r="3419" spans="1:9" hidden="1" x14ac:dyDescent="0.3">
      <c r="A3419" t="s">
        <v>497</v>
      </c>
      <c r="B3419" t="s">
        <v>5704</v>
      </c>
      <c r="D3419" t="s">
        <v>1936</v>
      </c>
      <c r="E3419" t="s">
        <v>147</v>
      </c>
      <c r="F3419" t="s">
        <v>5742</v>
      </c>
      <c r="H3419" t="s">
        <v>17</v>
      </c>
      <c r="I3419" t="s">
        <v>5584</v>
      </c>
    </row>
    <row r="3420" spans="1:9" hidden="1" x14ac:dyDescent="0.3">
      <c r="A3420" t="s">
        <v>500</v>
      </c>
      <c r="B3420" t="s">
        <v>5704</v>
      </c>
      <c r="D3420" t="s">
        <v>1936</v>
      </c>
      <c r="E3420" t="s">
        <v>152</v>
      </c>
      <c r="F3420" t="s">
        <v>5585</v>
      </c>
      <c r="H3420" t="s">
        <v>17</v>
      </c>
      <c r="I3420" t="s">
        <v>5586</v>
      </c>
    </row>
    <row r="3421" spans="1:9" hidden="1" x14ac:dyDescent="0.3">
      <c r="A3421" t="s">
        <v>508</v>
      </c>
      <c r="B3421" t="s">
        <v>5704</v>
      </c>
      <c r="D3421" t="s">
        <v>1936</v>
      </c>
      <c r="E3421" t="s">
        <v>157</v>
      </c>
      <c r="F3421" t="s">
        <v>5743</v>
      </c>
      <c r="H3421" t="s">
        <v>17</v>
      </c>
      <c r="I3421" t="s">
        <v>5588</v>
      </c>
    </row>
    <row r="3422" spans="1:9" hidden="1" x14ac:dyDescent="0.3">
      <c r="A3422" t="s">
        <v>512</v>
      </c>
      <c r="B3422" t="s">
        <v>5704</v>
      </c>
      <c r="D3422" t="s">
        <v>1936</v>
      </c>
      <c r="E3422" t="s">
        <v>1100</v>
      </c>
      <c r="F3422" t="s">
        <v>5589</v>
      </c>
      <c r="H3422" t="s">
        <v>17</v>
      </c>
      <c r="I3422" t="s">
        <v>5744</v>
      </c>
    </row>
    <row r="3423" spans="1:9" hidden="1" x14ac:dyDescent="0.3">
      <c r="A3423" t="s">
        <v>515</v>
      </c>
      <c r="B3423" t="s">
        <v>5704</v>
      </c>
      <c r="D3423" t="s">
        <v>1936</v>
      </c>
      <c r="E3423" t="s">
        <v>172</v>
      </c>
      <c r="F3423" t="s">
        <v>5736</v>
      </c>
      <c r="H3423" t="s">
        <v>17</v>
      </c>
      <c r="I3423" t="s">
        <v>5576</v>
      </c>
    </row>
    <row r="3424" spans="1:9" hidden="1" x14ac:dyDescent="0.3">
      <c r="A3424" t="s">
        <v>522</v>
      </c>
      <c r="B3424" t="s">
        <v>5704</v>
      </c>
      <c r="D3424" t="s">
        <v>1936</v>
      </c>
      <c r="E3424" t="s">
        <v>177</v>
      </c>
      <c r="F3424" t="s">
        <v>5592</v>
      </c>
      <c r="H3424" t="s">
        <v>17</v>
      </c>
      <c r="I3424" t="s">
        <v>5745</v>
      </c>
    </row>
    <row r="3425" spans="1:9" hidden="1" x14ac:dyDescent="0.3">
      <c r="A3425" t="s">
        <v>526</v>
      </c>
      <c r="B3425" t="s">
        <v>5704</v>
      </c>
      <c r="D3425" t="s">
        <v>1936</v>
      </c>
      <c r="E3425" t="s">
        <v>1109</v>
      </c>
      <c r="F3425" t="s">
        <v>5594</v>
      </c>
      <c r="H3425" t="s">
        <v>17</v>
      </c>
      <c r="I3425" t="s">
        <v>5746</v>
      </c>
    </row>
    <row r="3426" spans="1:9" hidden="1" x14ac:dyDescent="0.3">
      <c r="A3426" t="s">
        <v>533</v>
      </c>
      <c r="B3426" t="s">
        <v>5704</v>
      </c>
      <c r="D3426" t="s">
        <v>1936</v>
      </c>
      <c r="E3426" t="s">
        <v>1114</v>
      </c>
      <c r="F3426" t="s">
        <v>5596</v>
      </c>
      <c r="H3426" t="s">
        <v>17</v>
      </c>
      <c r="I3426" t="s">
        <v>5747</v>
      </c>
    </row>
    <row r="3427" spans="1:9" hidden="1" x14ac:dyDescent="0.3">
      <c r="A3427" t="s">
        <v>536</v>
      </c>
      <c r="B3427" t="s">
        <v>5704</v>
      </c>
      <c r="D3427" t="s">
        <v>1936</v>
      </c>
      <c r="E3427" t="s">
        <v>1118</v>
      </c>
      <c r="F3427" t="s">
        <v>5598</v>
      </c>
      <c r="H3427" t="s">
        <v>17</v>
      </c>
      <c r="I3427" t="s">
        <v>5748</v>
      </c>
    </row>
    <row r="3428" spans="1:9" hidden="1" x14ac:dyDescent="0.3">
      <c r="A3428" t="s">
        <v>546</v>
      </c>
      <c r="B3428" t="s">
        <v>5704</v>
      </c>
      <c r="D3428" t="s">
        <v>1936</v>
      </c>
      <c r="E3428" t="s">
        <v>1123</v>
      </c>
      <c r="F3428" t="s">
        <v>5600</v>
      </c>
      <c r="H3428" t="s">
        <v>17</v>
      </c>
      <c r="I3428" t="s">
        <v>5749</v>
      </c>
    </row>
    <row r="3429" spans="1:9" hidden="1" x14ac:dyDescent="0.3">
      <c r="A3429" t="s">
        <v>551</v>
      </c>
      <c r="B3429" t="s">
        <v>5704</v>
      </c>
      <c r="D3429" t="s">
        <v>1936</v>
      </c>
      <c r="E3429" t="s">
        <v>1127</v>
      </c>
      <c r="F3429" t="s">
        <v>5601</v>
      </c>
      <c r="H3429" t="s">
        <v>17</v>
      </c>
      <c r="I3429" t="s">
        <v>5750</v>
      </c>
    </row>
    <row r="3430" spans="1:9" hidden="1" x14ac:dyDescent="0.3">
      <c r="A3430" t="s">
        <v>1712</v>
      </c>
      <c r="B3430" t="s">
        <v>5704</v>
      </c>
      <c r="D3430" t="s">
        <v>1936</v>
      </c>
      <c r="E3430" t="s">
        <v>1131</v>
      </c>
      <c r="F3430" t="s">
        <v>5603</v>
      </c>
      <c r="H3430" t="s">
        <v>17</v>
      </c>
      <c r="I3430" t="s">
        <v>5751</v>
      </c>
    </row>
    <row r="3431" spans="1:9" hidden="1" x14ac:dyDescent="0.3">
      <c r="A3431" t="s">
        <v>560</v>
      </c>
      <c r="B3431" t="s">
        <v>5704</v>
      </c>
      <c r="D3431" t="s">
        <v>1936</v>
      </c>
      <c r="E3431" t="s">
        <v>236</v>
      </c>
      <c r="F3431" t="s">
        <v>5605</v>
      </c>
      <c r="H3431" t="s">
        <v>17</v>
      </c>
      <c r="I3431" t="s">
        <v>5752</v>
      </c>
    </row>
    <row r="3432" spans="1:9" hidden="1" x14ac:dyDescent="0.3">
      <c r="A3432" t="s">
        <v>1717</v>
      </c>
      <c r="B3432" t="s">
        <v>5704</v>
      </c>
      <c r="D3432" t="s">
        <v>1936</v>
      </c>
      <c r="E3432" t="s">
        <v>239</v>
      </c>
      <c r="F3432" t="s">
        <v>5753</v>
      </c>
      <c r="H3432" t="s">
        <v>17</v>
      </c>
      <c r="I3432" t="s">
        <v>5752</v>
      </c>
    </row>
    <row r="3433" spans="1:9" hidden="1" x14ac:dyDescent="0.3">
      <c r="A3433" t="s">
        <v>575</v>
      </c>
      <c r="B3433" t="s">
        <v>5704</v>
      </c>
      <c r="D3433" t="s">
        <v>1936</v>
      </c>
      <c r="E3433" t="s">
        <v>1881</v>
      </c>
      <c r="F3433" t="s">
        <v>5608</v>
      </c>
      <c r="H3433" t="s">
        <v>17</v>
      </c>
      <c r="I3433" t="s">
        <v>5752</v>
      </c>
    </row>
    <row r="3434" spans="1:9" hidden="1" x14ac:dyDescent="0.3">
      <c r="A3434" t="s">
        <v>580</v>
      </c>
      <c r="B3434" t="s">
        <v>5704</v>
      </c>
      <c r="D3434" t="s">
        <v>1936</v>
      </c>
      <c r="E3434" t="s">
        <v>1885</v>
      </c>
      <c r="F3434" t="s">
        <v>5609</v>
      </c>
      <c r="H3434" t="s">
        <v>17</v>
      </c>
      <c r="I3434" t="s">
        <v>5754</v>
      </c>
    </row>
    <row r="3435" spans="1:9" hidden="1" x14ac:dyDescent="0.3">
      <c r="A3435" t="s">
        <v>586</v>
      </c>
      <c r="B3435" t="s">
        <v>5704</v>
      </c>
      <c r="D3435" t="s">
        <v>1936</v>
      </c>
      <c r="E3435" t="s">
        <v>1588</v>
      </c>
      <c r="F3435" t="s">
        <v>5611</v>
      </c>
      <c r="H3435" t="s">
        <v>17</v>
      </c>
      <c r="I3435" t="s">
        <v>5755</v>
      </c>
    </row>
    <row r="3436" spans="1:9" hidden="1" x14ac:dyDescent="0.3">
      <c r="A3436" t="s">
        <v>1724</v>
      </c>
      <c r="B3436" t="s">
        <v>5704</v>
      </c>
      <c r="D3436" t="s">
        <v>1936</v>
      </c>
      <c r="E3436" t="s">
        <v>1892</v>
      </c>
      <c r="F3436" t="s">
        <v>5613</v>
      </c>
      <c r="H3436" t="s">
        <v>17</v>
      </c>
      <c r="I3436" t="s">
        <v>5756</v>
      </c>
    </row>
    <row r="3437" spans="1:9" hidden="1" x14ac:dyDescent="0.3">
      <c r="A3437" t="s">
        <v>596</v>
      </c>
      <c r="B3437" t="s">
        <v>5704</v>
      </c>
      <c r="D3437" t="s">
        <v>1936</v>
      </c>
      <c r="E3437" t="s">
        <v>1146</v>
      </c>
      <c r="F3437" t="s">
        <v>5615</v>
      </c>
      <c r="H3437" t="s">
        <v>17</v>
      </c>
      <c r="I3437" t="s">
        <v>5757</v>
      </c>
    </row>
    <row r="3438" spans="1:9" hidden="1" x14ac:dyDescent="0.3">
      <c r="A3438" t="s">
        <v>1727</v>
      </c>
      <c r="B3438" t="s">
        <v>5704</v>
      </c>
      <c r="D3438" t="s">
        <v>1936</v>
      </c>
      <c r="E3438" t="s">
        <v>1150</v>
      </c>
      <c r="F3438" t="s">
        <v>5617</v>
      </c>
      <c r="H3438" t="s">
        <v>17</v>
      </c>
      <c r="I3438" t="s">
        <v>5755</v>
      </c>
    </row>
    <row r="3439" spans="1:9" hidden="1" x14ac:dyDescent="0.3">
      <c r="A3439" t="s">
        <v>600</v>
      </c>
      <c r="B3439" t="s">
        <v>5704</v>
      </c>
      <c r="D3439" t="s">
        <v>1936</v>
      </c>
      <c r="E3439" t="s">
        <v>1154</v>
      </c>
      <c r="F3439" t="s">
        <v>5618</v>
      </c>
      <c r="H3439" t="s">
        <v>17</v>
      </c>
      <c r="I3439" t="s">
        <v>5758</v>
      </c>
    </row>
    <row r="3440" spans="1:9" hidden="1" x14ac:dyDescent="0.3">
      <c r="A3440" t="s">
        <v>1731</v>
      </c>
      <c r="B3440" t="s">
        <v>5704</v>
      </c>
      <c r="D3440" t="s">
        <v>1936</v>
      </c>
      <c r="E3440" t="s">
        <v>1158</v>
      </c>
      <c r="F3440" t="s">
        <v>5620</v>
      </c>
      <c r="H3440" t="s">
        <v>17</v>
      </c>
      <c r="I3440" t="s">
        <v>5757</v>
      </c>
    </row>
    <row r="3441" spans="1:9" hidden="1" x14ac:dyDescent="0.3">
      <c r="A3441" t="s">
        <v>3461</v>
      </c>
      <c r="B3441" t="s">
        <v>5704</v>
      </c>
      <c r="D3441" t="s">
        <v>1936</v>
      </c>
      <c r="E3441" t="s">
        <v>1162</v>
      </c>
      <c r="F3441" t="s">
        <v>5621</v>
      </c>
      <c r="H3441" t="s">
        <v>17</v>
      </c>
      <c r="I3441" t="s">
        <v>5755</v>
      </c>
    </row>
    <row r="3442" spans="1:9" hidden="1" x14ac:dyDescent="0.3">
      <c r="A3442" t="s">
        <v>3465</v>
      </c>
      <c r="B3442" t="s">
        <v>5704</v>
      </c>
      <c r="D3442" t="s">
        <v>1936</v>
      </c>
      <c r="E3442" t="s">
        <v>1165</v>
      </c>
      <c r="F3442" t="s">
        <v>5622</v>
      </c>
      <c r="H3442" t="s">
        <v>17</v>
      </c>
      <c r="I3442" t="s">
        <v>5756</v>
      </c>
    </row>
    <row r="3443" spans="1:9" hidden="1" x14ac:dyDescent="0.3">
      <c r="A3443" t="s">
        <v>1734</v>
      </c>
      <c r="B3443" t="s">
        <v>5704</v>
      </c>
      <c r="D3443" t="s">
        <v>1936</v>
      </c>
      <c r="E3443" t="s">
        <v>1168</v>
      </c>
      <c r="F3443" t="s">
        <v>5759</v>
      </c>
      <c r="H3443" t="s">
        <v>17</v>
      </c>
      <c r="I3443" t="s">
        <v>5760</v>
      </c>
    </row>
    <row r="3444" spans="1:9" hidden="1" x14ac:dyDescent="0.3">
      <c r="A3444" t="s">
        <v>608</v>
      </c>
      <c r="B3444" t="s">
        <v>5704</v>
      </c>
      <c r="D3444" t="s">
        <v>1936</v>
      </c>
      <c r="E3444" t="s">
        <v>1172</v>
      </c>
      <c r="F3444" t="s">
        <v>5761</v>
      </c>
      <c r="H3444" t="s">
        <v>17</v>
      </c>
      <c r="I3444" t="s">
        <v>5762</v>
      </c>
    </row>
    <row r="3445" spans="1:9" hidden="1" x14ac:dyDescent="0.3">
      <c r="A3445" t="s">
        <v>3471</v>
      </c>
      <c r="B3445" t="s">
        <v>5704</v>
      </c>
      <c r="D3445" t="s">
        <v>1936</v>
      </c>
      <c r="E3445" t="s">
        <v>1176</v>
      </c>
      <c r="F3445" t="s">
        <v>5763</v>
      </c>
      <c r="H3445" t="s">
        <v>17</v>
      </c>
      <c r="I3445" t="s">
        <v>5764</v>
      </c>
    </row>
    <row r="3446" spans="1:9" hidden="1" x14ac:dyDescent="0.3">
      <c r="A3446" t="s">
        <v>612</v>
      </c>
      <c r="B3446" t="s">
        <v>5704</v>
      </c>
      <c r="D3446" t="s">
        <v>1936</v>
      </c>
      <c r="E3446" t="s">
        <v>1179</v>
      </c>
      <c r="F3446" t="s">
        <v>5765</v>
      </c>
      <c r="H3446" t="s">
        <v>17</v>
      </c>
      <c r="I3446" t="s">
        <v>5766</v>
      </c>
    </row>
    <row r="3447" spans="1:9" hidden="1" x14ac:dyDescent="0.3">
      <c r="A3447" t="s">
        <v>5767</v>
      </c>
      <c r="B3447" t="s">
        <v>5704</v>
      </c>
      <c r="D3447" t="s">
        <v>1936</v>
      </c>
      <c r="E3447" t="s">
        <v>268</v>
      </c>
      <c r="F3447" t="s">
        <v>5521</v>
      </c>
      <c r="H3447" t="s">
        <v>17</v>
      </c>
      <c r="I3447" t="s">
        <v>5713</v>
      </c>
    </row>
    <row r="3448" spans="1:9" hidden="1" x14ac:dyDescent="0.3">
      <c r="A3448" t="s">
        <v>2138</v>
      </c>
      <c r="B3448" t="s">
        <v>5704</v>
      </c>
      <c r="D3448" t="s">
        <v>2135</v>
      </c>
      <c r="E3448" t="s">
        <v>13</v>
      </c>
      <c r="F3448" t="s">
        <v>5520</v>
      </c>
      <c r="H3448" t="s">
        <v>17</v>
      </c>
    </row>
    <row r="3449" spans="1:9" hidden="1" x14ac:dyDescent="0.3">
      <c r="A3449" t="s">
        <v>2140</v>
      </c>
      <c r="B3449" t="s">
        <v>5704</v>
      </c>
      <c r="D3449" t="s">
        <v>2135</v>
      </c>
      <c r="E3449" t="s">
        <v>996</v>
      </c>
      <c r="F3449" t="s">
        <v>5768</v>
      </c>
      <c r="H3449" t="s">
        <v>17</v>
      </c>
      <c r="I3449" t="s">
        <v>5769</v>
      </c>
    </row>
    <row r="3450" spans="1:9" hidden="1" x14ac:dyDescent="0.3">
      <c r="A3450" t="s">
        <v>2144</v>
      </c>
      <c r="B3450" t="s">
        <v>5704</v>
      </c>
      <c r="D3450" t="s">
        <v>2135</v>
      </c>
      <c r="E3450" t="s">
        <v>1001</v>
      </c>
      <c r="F3450" t="s">
        <v>5770</v>
      </c>
      <c r="H3450" t="s">
        <v>17</v>
      </c>
      <c r="I3450" t="s">
        <v>5771</v>
      </c>
    </row>
    <row r="3451" spans="1:9" hidden="1" x14ac:dyDescent="0.3">
      <c r="A3451" t="s">
        <v>2147</v>
      </c>
      <c r="B3451" t="s">
        <v>5704</v>
      </c>
      <c r="D3451" t="s">
        <v>2135</v>
      </c>
      <c r="E3451" t="s">
        <v>1942</v>
      </c>
      <c r="F3451" t="s">
        <v>5772</v>
      </c>
      <c r="H3451" t="s">
        <v>17</v>
      </c>
      <c r="I3451" t="s">
        <v>5771</v>
      </c>
    </row>
    <row r="3452" spans="1:9" hidden="1" x14ac:dyDescent="0.3">
      <c r="A3452" t="s">
        <v>633</v>
      </c>
      <c r="B3452" t="s">
        <v>5704</v>
      </c>
      <c r="D3452" t="s">
        <v>2135</v>
      </c>
      <c r="E3452" t="s">
        <v>22</v>
      </c>
      <c r="F3452" t="s">
        <v>5773</v>
      </c>
      <c r="H3452" t="s">
        <v>17</v>
      </c>
      <c r="I3452" t="s">
        <v>5774</v>
      </c>
    </row>
    <row r="3453" spans="1:9" hidden="1" x14ac:dyDescent="0.3">
      <c r="A3453" t="s">
        <v>2153</v>
      </c>
      <c r="B3453" t="s">
        <v>5704</v>
      </c>
      <c r="D3453" t="s">
        <v>2135</v>
      </c>
      <c r="E3453" t="s">
        <v>27</v>
      </c>
      <c r="F3453" t="s">
        <v>5775</v>
      </c>
      <c r="H3453" t="s">
        <v>17</v>
      </c>
      <c r="I3453" t="s">
        <v>5776</v>
      </c>
    </row>
    <row r="3454" spans="1:9" hidden="1" x14ac:dyDescent="0.3">
      <c r="A3454" t="s">
        <v>636</v>
      </c>
      <c r="B3454" t="s">
        <v>5704</v>
      </c>
      <c r="D3454" t="s">
        <v>2135</v>
      </c>
      <c r="E3454" t="s">
        <v>1014</v>
      </c>
      <c r="F3454" t="s">
        <v>5777</v>
      </c>
      <c r="H3454" t="s">
        <v>17</v>
      </c>
      <c r="I3454" t="s">
        <v>5776</v>
      </c>
    </row>
    <row r="3455" spans="1:9" hidden="1" x14ac:dyDescent="0.3">
      <c r="A3455" t="s">
        <v>2162</v>
      </c>
      <c r="B3455" t="s">
        <v>5704</v>
      </c>
      <c r="D3455" t="s">
        <v>2135</v>
      </c>
      <c r="E3455" t="s">
        <v>1017</v>
      </c>
      <c r="F3455" t="s">
        <v>5778</v>
      </c>
      <c r="H3455" t="s">
        <v>17</v>
      </c>
      <c r="I3455" t="s">
        <v>5776</v>
      </c>
    </row>
    <row r="3456" spans="1:9" hidden="1" x14ac:dyDescent="0.3">
      <c r="A3456" t="s">
        <v>639</v>
      </c>
      <c r="B3456" t="s">
        <v>5704</v>
      </c>
      <c r="D3456" t="s">
        <v>2135</v>
      </c>
      <c r="E3456" t="s">
        <v>36</v>
      </c>
      <c r="F3456" t="s">
        <v>5779</v>
      </c>
      <c r="H3456" t="s">
        <v>17</v>
      </c>
      <c r="I3456" t="s">
        <v>5776</v>
      </c>
    </row>
    <row r="3457" spans="1:9" hidden="1" x14ac:dyDescent="0.3">
      <c r="A3457" t="s">
        <v>2169</v>
      </c>
      <c r="B3457" t="s">
        <v>5704</v>
      </c>
      <c r="D3457" t="s">
        <v>2135</v>
      </c>
      <c r="E3457" t="s">
        <v>41</v>
      </c>
      <c r="F3457" t="s">
        <v>5780</v>
      </c>
      <c r="H3457" t="s">
        <v>17</v>
      </c>
      <c r="I3457" t="s">
        <v>5776</v>
      </c>
    </row>
    <row r="3458" spans="1:9" hidden="1" x14ac:dyDescent="0.3">
      <c r="A3458" t="s">
        <v>642</v>
      </c>
      <c r="B3458" t="s">
        <v>5704</v>
      </c>
      <c r="D3458" t="s">
        <v>2135</v>
      </c>
      <c r="E3458" t="s">
        <v>45</v>
      </c>
      <c r="F3458" t="s">
        <v>5781</v>
      </c>
      <c r="H3458" t="s">
        <v>17</v>
      </c>
      <c r="I3458" t="s">
        <v>5782</v>
      </c>
    </row>
    <row r="3459" spans="1:9" hidden="1" x14ac:dyDescent="0.3">
      <c r="A3459" t="s">
        <v>645</v>
      </c>
      <c r="B3459" t="s">
        <v>5704</v>
      </c>
      <c r="D3459" t="s">
        <v>2135</v>
      </c>
      <c r="E3459" t="s">
        <v>50</v>
      </c>
      <c r="F3459" t="s">
        <v>5783</v>
      </c>
      <c r="H3459" t="s">
        <v>17</v>
      </c>
      <c r="I3459" t="s">
        <v>5776</v>
      </c>
    </row>
    <row r="3460" spans="1:9" hidden="1" x14ac:dyDescent="0.3">
      <c r="A3460" t="s">
        <v>2179</v>
      </c>
      <c r="B3460" t="s">
        <v>5704</v>
      </c>
      <c r="C3460" t="s">
        <v>5784</v>
      </c>
      <c r="D3460" t="s">
        <v>2135</v>
      </c>
      <c r="E3460" t="s">
        <v>53</v>
      </c>
      <c r="F3460" t="s">
        <v>5785</v>
      </c>
      <c r="H3460" t="s">
        <v>17</v>
      </c>
      <c r="I3460" t="s">
        <v>5786</v>
      </c>
    </row>
    <row r="3461" spans="1:9" hidden="1" x14ac:dyDescent="0.3">
      <c r="A3461" t="s">
        <v>2181</v>
      </c>
      <c r="B3461" t="s">
        <v>5704</v>
      </c>
      <c r="C3461" t="s">
        <v>5784</v>
      </c>
      <c r="D3461" t="s">
        <v>2135</v>
      </c>
      <c r="E3461" t="s">
        <v>56</v>
      </c>
      <c r="F3461" t="s">
        <v>5787</v>
      </c>
      <c r="H3461" t="s">
        <v>17</v>
      </c>
      <c r="I3461" t="s">
        <v>5788</v>
      </c>
    </row>
    <row r="3462" spans="1:9" hidden="1" x14ac:dyDescent="0.3">
      <c r="A3462" t="s">
        <v>2182</v>
      </c>
      <c r="B3462" t="s">
        <v>5704</v>
      </c>
      <c r="C3462" t="s">
        <v>5784</v>
      </c>
      <c r="D3462" t="s">
        <v>2135</v>
      </c>
      <c r="E3462" t="s">
        <v>61</v>
      </c>
      <c r="F3462" t="s">
        <v>5789</v>
      </c>
      <c r="H3462" t="s">
        <v>17</v>
      </c>
      <c r="I3462" t="s">
        <v>5790</v>
      </c>
    </row>
    <row r="3463" spans="1:9" hidden="1" x14ac:dyDescent="0.3">
      <c r="A3463" t="s">
        <v>2184</v>
      </c>
      <c r="B3463" t="s">
        <v>5704</v>
      </c>
      <c r="C3463" t="s">
        <v>5784</v>
      </c>
      <c r="D3463" t="s">
        <v>2135</v>
      </c>
      <c r="E3463" t="s">
        <v>1039</v>
      </c>
      <c r="F3463" t="s">
        <v>5791</v>
      </c>
      <c r="H3463" t="s">
        <v>17</v>
      </c>
      <c r="I3463" t="s">
        <v>5792</v>
      </c>
    </row>
    <row r="3464" spans="1:9" hidden="1" x14ac:dyDescent="0.3">
      <c r="A3464" t="s">
        <v>651</v>
      </c>
      <c r="B3464" t="s">
        <v>5704</v>
      </c>
      <c r="C3464" t="s">
        <v>5784</v>
      </c>
      <c r="D3464" t="s">
        <v>2135</v>
      </c>
      <c r="E3464" t="s">
        <v>1043</v>
      </c>
      <c r="F3464" t="s">
        <v>5793</v>
      </c>
      <c r="H3464" t="s">
        <v>17</v>
      </c>
      <c r="I3464" t="s">
        <v>5794</v>
      </c>
    </row>
    <row r="3465" spans="1:9" hidden="1" x14ac:dyDescent="0.3">
      <c r="A3465" t="s">
        <v>659</v>
      </c>
      <c r="B3465" t="s">
        <v>5704</v>
      </c>
      <c r="C3465" t="s">
        <v>5784</v>
      </c>
      <c r="D3465" t="s">
        <v>2135</v>
      </c>
      <c r="E3465" t="s">
        <v>71</v>
      </c>
      <c r="F3465" t="s">
        <v>5795</v>
      </c>
      <c r="H3465" t="s">
        <v>17</v>
      </c>
      <c r="I3465" t="s">
        <v>5796</v>
      </c>
    </row>
    <row r="3466" spans="1:9" hidden="1" x14ac:dyDescent="0.3">
      <c r="A3466" t="s">
        <v>662</v>
      </c>
      <c r="B3466" t="s">
        <v>5704</v>
      </c>
      <c r="C3466" t="s">
        <v>5784</v>
      </c>
      <c r="D3466" t="s">
        <v>2135</v>
      </c>
      <c r="E3466" t="s">
        <v>1050</v>
      </c>
      <c r="F3466" t="s">
        <v>5797</v>
      </c>
      <c r="H3466" t="s">
        <v>17</v>
      </c>
      <c r="I3466" t="s">
        <v>5798</v>
      </c>
    </row>
    <row r="3467" spans="1:9" hidden="1" x14ac:dyDescent="0.3">
      <c r="A3467" t="s">
        <v>668</v>
      </c>
      <c r="B3467" t="s">
        <v>5704</v>
      </c>
      <c r="C3467" t="s">
        <v>5784</v>
      </c>
      <c r="D3467" t="s">
        <v>2135</v>
      </c>
      <c r="E3467" t="s">
        <v>1055</v>
      </c>
      <c r="F3467" t="s">
        <v>5656</v>
      </c>
      <c r="H3467" t="s">
        <v>17</v>
      </c>
      <c r="I3467" t="s">
        <v>5799</v>
      </c>
    </row>
    <row r="3468" spans="1:9" hidden="1" x14ac:dyDescent="0.3">
      <c r="A3468" t="s">
        <v>671</v>
      </c>
      <c r="B3468" t="s">
        <v>5704</v>
      </c>
      <c r="C3468" t="s">
        <v>5784</v>
      </c>
      <c r="D3468" t="s">
        <v>2135</v>
      </c>
      <c r="E3468" t="s">
        <v>80</v>
      </c>
      <c r="F3468" t="s">
        <v>5800</v>
      </c>
      <c r="H3468" t="s">
        <v>17</v>
      </c>
      <c r="I3468" t="s">
        <v>5801</v>
      </c>
    </row>
    <row r="3469" spans="1:9" hidden="1" x14ac:dyDescent="0.3">
      <c r="A3469" t="s">
        <v>674</v>
      </c>
      <c r="B3469" t="s">
        <v>5704</v>
      </c>
      <c r="C3469" t="s">
        <v>5784</v>
      </c>
      <c r="D3469" t="s">
        <v>2135</v>
      </c>
      <c r="E3469" t="s">
        <v>85</v>
      </c>
      <c r="F3469" t="s">
        <v>5802</v>
      </c>
      <c r="H3469" t="s">
        <v>17</v>
      </c>
      <c r="I3469" t="s">
        <v>5803</v>
      </c>
    </row>
    <row r="3470" spans="1:9" hidden="1" x14ac:dyDescent="0.3">
      <c r="A3470" t="s">
        <v>680</v>
      </c>
      <c r="B3470" t="s">
        <v>5704</v>
      </c>
      <c r="C3470" t="s">
        <v>5784</v>
      </c>
      <c r="D3470" t="s">
        <v>2135</v>
      </c>
      <c r="E3470" t="s">
        <v>90</v>
      </c>
      <c r="F3470" t="s">
        <v>5804</v>
      </c>
      <c r="H3470" t="s">
        <v>17</v>
      </c>
      <c r="I3470" t="s">
        <v>5805</v>
      </c>
    </row>
    <row r="3471" spans="1:9" hidden="1" x14ac:dyDescent="0.3">
      <c r="A3471" t="s">
        <v>2203</v>
      </c>
      <c r="B3471" t="s">
        <v>5704</v>
      </c>
      <c r="C3471" t="s">
        <v>5784</v>
      </c>
      <c r="D3471" t="s">
        <v>2135</v>
      </c>
      <c r="E3471" t="s">
        <v>95</v>
      </c>
      <c r="F3471" t="s">
        <v>5806</v>
      </c>
      <c r="H3471" t="s">
        <v>17</v>
      </c>
      <c r="I3471" t="s">
        <v>5807</v>
      </c>
    </row>
    <row r="3472" spans="1:9" hidden="1" x14ac:dyDescent="0.3">
      <c r="A3472" t="s">
        <v>2208</v>
      </c>
      <c r="B3472" t="s">
        <v>5704</v>
      </c>
      <c r="C3472" t="s">
        <v>5784</v>
      </c>
      <c r="D3472" t="s">
        <v>2135</v>
      </c>
      <c r="E3472" t="s">
        <v>100</v>
      </c>
      <c r="F3472" t="s">
        <v>5808</v>
      </c>
      <c r="H3472" t="s">
        <v>17</v>
      </c>
      <c r="I3472" t="s">
        <v>5809</v>
      </c>
    </row>
    <row r="3473" spans="1:9" hidden="1" x14ac:dyDescent="0.3">
      <c r="A3473" t="s">
        <v>690</v>
      </c>
      <c r="B3473" t="s">
        <v>5704</v>
      </c>
      <c r="C3473" t="s">
        <v>5784</v>
      </c>
      <c r="D3473" t="s">
        <v>2135</v>
      </c>
      <c r="E3473" t="s">
        <v>106</v>
      </c>
      <c r="F3473" t="s">
        <v>5810</v>
      </c>
      <c r="H3473" t="s">
        <v>17</v>
      </c>
      <c r="I3473" t="s">
        <v>5811</v>
      </c>
    </row>
    <row r="3474" spans="1:9" hidden="1" x14ac:dyDescent="0.3">
      <c r="A3474" t="s">
        <v>695</v>
      </c>
      <c r="B3474" t="s">
        <v>5704</v>
      </c>
      <c r="C3474" t="s">
        <v>5784</v>
      </c>
      <c r="D3474" t="s">
        <v>2135</v>
      </c>
      <c r="E3474" t="s">
        <v>111</v>
      </c>
      <c r="F3474" t="s">
        <v>3616</v>
      </c>
      <c r="H3474" t="s">
        <v>17</v>
      </c>
      <c r="I3474" t="s">
        <v>5812</v>
      </c>
    </row>
    <row r="3475" spans="1:9" hidden="1" x14ac:dyDescent="0.3">
      <c r="A3475" t="s">
        <v>706</v>
      </c>
      <c r="B3475" t="s">
        <v>5704</v>
      </c>
      <c r="C3475" t="s">
        <v>5784</v>
      </c>
      <c r="D3475" t="s">
        <v>2135</v>
      </c>
      <c r="E3475" t="s">
        <v>114</v>
      </c>
      <c r="F3475" t="s">
        <v>5663</v>
      </c>
      <c r="H3475" t="s">
        <v>17</v>
      </c>
      <c r="I3475" t="s">
        <v>5813</v>
      </c>
    </row>
    <row r="3476" spans="1:9" hidden="1" x14ac:dyDescent="0.3">
      <c r="A3476" t="s">
        <v>709</v>
      </c>
      <c r="B3476" t="s">
        <v>5704</v>
      </c>
      <c r="C3476" t="s">
        <v>5784</v>
      </c>
      <c r="D3476" t="s">
        <v>2135</v>
      </c>
      <c r="E3476" t="s">
        <v>117</v>
      </c>
      <c r="F3476" t="s">
        <v>5665</v>
      </c>
      <c r="H3476" t="s">
        <v>17</v>
      </c>
      <c r="I3476" t="s">
        <v>4583</v>
      </c>
    </row>
    <row r="3477" spans="1:9" hidden="1" x14ac:dyDescent="0.3">
      <c r="A3477" t="s">
        <v>5814</v>
      </c>
      <c r="B3477" t="s">
        <v>5704</v>
      </c>
      <c r="C3477" t="s">
        <v>5784</v>
      </c>
      <c r="D3477" t="s">
        <v>2135</v>
      </c>
      <c r="E3477" t="s">
        <v>2188</v>
      </c>
      <c r="F3477" t="s">
        <v>5521</v>
      </c>
      <c r="H3477" t="s">
        <v>17</v>
      </c>
      <c r="I3477" t="s">
        <v>5713</v>
      </c>
    </row>
    <row r="3478" spans="1:9" hidden="1" x14ac:dyDescent="0.3">
      <c r="A3478" t="s">
        <v>4942</v>
      </c>
      <c r="B3478" t="s">
        <v>5704</v>
      </c>
      <c r="C3478" t="s">
        <v>5784</v>
      </c>
      <c r="D3478" t="s">
        <v>3546</v>
      </c>
      <c r="E3478" t="s">
        <v>13</v>
      </c>
      <c r="F3478" t="s">
        <v>5520</v>
      </c>
      <c r="H3478" t="s">
        <v>17</v>
      </c>
    </row>
    <row r="3479" spans="1:9" hidden="1" x14ac:dyDescent="0.3">
      <c r="A3479" t="s">
        <v>871</v>
      </c>
      <c r="B3479" t="s">
        <v>5704</v>
      </c>
      <c r="C3479" t="s">
        <v>5784</v>
      </c>
      <c r="D3479" t="s">
        <v>3546</v>
      </c>
      <c r="E3479" t="s">
        <v>996</v>
      </c>
      <c r="F3479" t="s">
        <v>843</v>
      </c>
      <c r="H3479" t="s">
        <v>17</v>
      </c>
      <c r="I3479" t="s">
        <v>5679</v>
      </c>
    </row>
    <row r="3480" spans="1:9" hidden="1" x14ac:dyDescent="0.3">
      <c r="A3480" t="s">
        <v>4945</v>
      </c>
      <c r="B3480" t="s">
        <v>5704</v>
      </c>
      <c r="C3480" t="s">
        <v>5784</v>
      </c>
      <c r="D3480" t="s">
        <v>3546</v>
      </c>
      <c r="E3480" t="s">
        <v>1001</v>
      </c>
      <c r="F3480" t="s">
        <v>756</v>
      </c>
      <c r="H3480" t="s">
        <v>17</v>
      </c>
      <c r="I3480" t="s">
        <v>5680</v>
      </c>
    </row>
    <row r="3481" spans="1:9" hidden="1" x14ac:dyDescent="0.3">
      <c r="A3481" t="s">
        <v>880</v>
      </c>
      <c r="B3481" t="s">
        <v>5704</v>
      </c>
      <c r="C3481" t="s">
        <v>5784</v>
      </c>
      <c r="D3481" t="s">
        <v>3546</v>
      </c>
      <c r="E3481" t="s">
        <v>1942</v>
      </c>
      <c r="F3481" t="s">
        <v>5681</v>
      </c>
      <c r="H3481" t="s">
        <v>17</v>
      </c>
      <c r="I3481" t="s">
        <v>5680</v>
      </c>
    </row>
    <row r="3482" spans="1:9" hidden="1" x14ac:dyDescent="0.3">
      <c r="A3482" t="s">
        <v>884</v>
      </c>
      <c r="B3482" t="s">
        <v>5704</v>
      </c>
      <c r="C3482" t="s">
        <v>5784</v>
      </c>
      <c r="D3482" t="s">
        <v>3546</v>
      </c>
      <c r="E3482" t="s">
        <v>22</v>
      </c>
      <c r="F3482" t="s">
        <v>5682</v>
      </c>
      <c r="H3482" t="s">
        <v>17</v>
      </c>
      <c r="I3482" t="s">
        <v>5815</v>
      </c>
    </row>
    <row r="3483" spans="1:9" hidden="1" x14ac:dyDescent="0.3">
      <c r="A3483" t="s">
        <v>889</v>
      </c>
      <c r="B3483" t="s">
        <v>5704</v>
      </c>
      <c r="C3483" t="s">
        <v>5784</v>
      </c>
      <c r="D3483" t="s">
        <v>3546</v>
      </c>
      <c r="E3483" t="s">
        <v>27</v>
      </c>
      <c r="F3483" t="s">
        <v>5684</v>
      </c>
      <c r="H3483" t="s">
        <v>17</v>
      </c>
      <c r="I3483" t="s">
        <v>5685</v>
      </c>
    </row>
    <row r="3484" spans="1:9" hidden="1" x14ac:dyDescent="0.3">
      <c r="A3484" t="s">
        <v>894</v>
      </c>
      <c r="B3484" t="s">
        <v>5704</v>
      </c>
      <c r="C3484" t="s">
        <v>5784</v>
      </c>
      <c r="D3484" t="s">
        <v>3546</v>
      </c>
      <c r="E3484" t="s">
        <v>1014</v>
      </c>
      <c r="F3484" t="s">
        <v>747</v>
      </c>
      <c r="H3484" t="s">
        <v>17</v>
      </c>
      <c r="I3484" t="s">
        <v>5816</v>
      </c>
    </row>
    <row r="3485" spans="1:9" hidden="1" x14ac:dyDescent="0.3">
      <c r="A3485" t="s">
        <v>899</v>
      </c>
      <c r="B3485" t="s">
        <v>5704</v>
      </c>
      <c r="C3485" t="s">
        <v>5784</v>
      </c>
      <c r="D3485" t="s">
        <v>3546</v>
      </c>
      <c r="E3485" t="s">
        <v>1017</v>
      </c>
      <c r="F3485" t="s">
        <v>2926</v>
      </c>
      <c r="H3485" t="s">
        <v>17</v>
      </c>
      <c r="I3485" t="s">
        <v>5817</v>
      </c>
    </row>
    <row r="3486" spans="1:9" hidden="1" x14ac:dyDescent="0.3">
      <c r="A3486" t="s">
        <v>904</v>
      </c>
      <c r="B3486" t="s">
        <v>5704</v>
      </c>
      <c r="C3486" t="s">
        <v>5784</v>
      </c>
      <c r="D3486" t="s">
        <v>3546</v>
      </c>
      <c r="E3486" t="s">
        <v>2684</v>
      </c>
      <c r="F3486" t="s">
        <v>5689</v>
      </c>
      <c r="H3486" t="s">
        <v>17</v>
      </c>
      <c r="I3486" t="s">
        <v>5690</v>
      </c>
    </row>
    <row r="3487" spans="1:9" hidden="1" x14ac:dyDescent="0.3">
      <c r="A3487" t="s">
        <v>909</v>
      </c>
      <c r="B3487" t="s">
        <v>5704</v>
      </c>
      <c r="C3487" t="s">
        <v>5784</v>
      </c>
      <c r="D3487" t="s">
        <v>3546</v>
      </c>
      <c r="E3487" t="s">
        <v>45</v>
      </c>
      <c r="F3487" t="s">
        <v>5691</v>
      </c>
      <c r="H3487" t="s">
        <v>17</v>
      </c>
      <c r="I3487" t="s">
        <v>5818</v>
      </c>
    </row>
    <row r="3488" spans="1:9" hidden="1" x14ac:dyDescent="0.3">
      <c r="A3488" t="s">
        <v>917</v>
      </c>
      <c r="B3488" t="s">
        <v>5704</v>
      </c>
      <c r="C3488" t="s">
        <v>5784</v>
      </c>
      <c r="D3488" t="s">
        <v>3546</v>
      </c>
      <c r="E3488" t="s">
        <v>50</v>
      </c>
      <c r="F3488" t="s">
        <v>2775</v>
      </c>
      <c r="H3488" t="s">
        <v>17</v>
      </c>
      <c r="I3488" t="s">
        <v>5819</v>
      </c>
    </row>
    <row r="3489" spans="1:9" hidden="1" x14ac:dyDescent="0.3">
      <c r="A3489" t="s">
        <v>921</v>
      </c>
      <c r="B3489" t="s">
        <v>5704</v>
      </c>
      <c r="C3489" t="s">
        <v>5784</v>
      </c>
      <c r="D3489" t="s">
        <v>3546</v>
      </c>
      <c r="E3489" t="s">
        <v>53</v>
      </c>
      <c r="F3489" t="s">
        <v>5695</v>
      </c>
      <c r="H3489" t="s">
        <v>17</v>
      </c>
      <c r="I3489" t="s">
        <v>5820</v>
      </c>
    </row>
    <row r="3490" spans="1:9" hidden="1" x14ac:dyDescent="0.3">
      <c r="A3490" t="s">
        <v>929</v>
      </c>
      <c r="B3490" t="s">
        <v>5704</v>
      </c>
      <c r="C3490" t="s">
        <v>5784</v>
      </c>
      <c r="D3490" t="s">
        <v>3546</v>
      </c>
      <c r="E3490" t="s">
        <v>56</v>
      </c>
      <c r="F3490" t="s">
        <v>5697</v>
      </c>
      <c r="H3490" t="s">
        <v>17</v>
      </c>
      <c r="I3490" t="s">
        <v>5821</v>
      </c>
    </row>
    <row r="3491" spans="1:9" hidden="1" x14ac:dyDescent="0.3">
      <c r="A3491" t="s">
        <v>934</v>
      </c>
      <c r="B3491" t="s">
        <v>5704</v>
      </c>
      <c r="C3491" t="s">
        <v>5784</v>
      </c>
      <c r="D3491" t="s">
        <v>3546</v>
      </c>
      <c r="E3491" t="s">
        <v>61</v>
      </c>
      <c r="F3491" t="s">
        <v>5699</v>
      </c>
      <c r="H3491" t="s">
        <v>17</v>
      </c>
      <c r="I3491" t="s">
        <v>5819</v>
      </c>
    </row>
    <row r="3492" spans="1:9" hidden="1" x14ac:dyDescent="0.3">
      <c r="A3492" t="s">
        <v>939</v>
      </c>
      <c r="B3492" t="s">
        <v>5704</v>
      </c>
      <c r="C3492" t="s">
        <v>5784</v>
      </c>
      <c r="D3492" t="s">
        <v>3546</v>
      </c>
      <c r="E3492" t="s">
        <v>1039</v>
      </c>
      <c r="F3492" t="s">
        <v>5701</v>
      </c>
      <c r="H3492" t="s">
        <v>17</v>
      </c>
      <c r="I3492" t="s">
        <v>5822</v>
      </c>
    </row>
    <row r="3493" spans="1:9" hidden="1" x14ac:dyDescent="0.3">
      <c r="A3493" t="s">
        <v>947</v>
      </c>
      <c r="B3493" t="s">
        <v>5704</v>
      </c>
      <c r="C3493" t="s">
        <v>5784</v>
      </c>
      <c r="D3493" t="s">
        <v>3546</v>
      </c>
      <c r="E3493" t="s">
        <v>1043</v>
      </c>
      <c r="F3493" t="s">
        <v>4819</v>
      </c>
      <c r="H3493" t="s">
        <v>17</v>
      </c>
      <c r="I3493" t="s">
        <v>5823</v>
      </c>
    </row>
    <row r="3494" spans="1:9" hidden="1" x14ac:dyDescent="0.3">
      <c r="A3494" t="s">
        <v>951</v>
      </c>
      <c r="B3494" t="s">
        <v>5704</v>
      </c>
      <c r="C3494" t="s">
        <v>5784</v>
      </c>
      <c r="D3494" t="s">
        <v>3546</v>
      </c>
      <c r="E3494" t="s">
        <v>71</v>
      </c>
      <c r="F3494" t="s">
        <v>4841</v>
      </c>
      <c r="H3494" t="s">
        <v>17</v>
      </c>
      <c r="I3494" t="s">
        <v>5824</v>
      </c>
    </row>
    <row r="3495" spans="1:9" hidden="1" x14ac:dyDescent="0.3">
      <c r="A3495" t="s">
        <v>960</v>
      </c>
      <c r="B3495" t="s">
        <v>5704</v>
      </c>
      <c r="C3495" t="s">
        <v>5784</v>
      </c>
      <c r="D3495" t="s">
        <v>3546</v>
      </c>
      <c r="E3495" t="s">
        <v>1050</v>
      </c>
      <c r="F3495" t="s">
        <v>5674</v>
      </c>
      <c r="H3495" t="s">
        <v>17</v>
      </c>
      <c r="I3495" t="s">
        <v>5675</v>
      </c>
    </row>
    <row r="3496" spans="1:9" hidden="1" x14ac:dyDescent="0.3">
      <c r="A3496" t="s">
        <v>965</v>
      </c>
      <c r="B3496" t="s">
        <v>5704</v>
      </c>
      <c r="C3496" t="s">
        <v>5784</v>
      </c>
      <c r="D3496" t="s">
        <v>3546</v>
      </c>
      <c r="E3496" t="s">
        <v>1055</v>
      </c>
      <c r="F3496" t="s">
        <v>4453</v>
      </c>
      <c r="H3496" t="s">
        <v>17</v>
      </c>
      <c r="I3496" t="s">
        <v>5825</v>
      </c>
    </row>
    <row r="3497" spans="1:9" hidden="1" x14ac:dyDescent="0.3">
      <c r="A3497" t="s">
        <v>4979</v>
      </c>
      <c r="B3497" t="s">
        <v>5704</v>
      </c>
      <c r="C3497" t="s">
        <v>5784</v>
      </c>
      <c r="D3497" t="s">
        <v>3546</v>
      </c>
      <c r="E3497" t="s">
        <v>80</v>
      </c>
      <c r="F3497" t="s">
        <v>5826</v>
      </c>
      <c r="H3497" t="s">
        <v>17</v>
      </c>
      <c r="I3497" t="s">
        <v>5827</v>
      </c>
    </row>
    <row r="3498" spans="1:9" hidden="1" x14ac:dyDescent="0.3">
      <c r="A3498" t="s">
        <v>976</v>
      </c>
      <c r="B3498" t="s">
        <v>5704</v>
      </c>
      <c r="C3498" t="s">
        <v>5784</v>
      </c>
      <c r="D3498" t="s">
        <v>3546</v>
      </c>
      <c r="E3498" t="s">
        <v>85</v>
      </c>
      <c r="F3498" t="s">
        <v>861</v>
      </c>
      <c r="H3498" t="s">
        <v>17</v>
      </c>
      <c r="I3498" t="s">
        <v>5828</v>
      </c>
    </row>
    <row r="3499" spans="1:9" hidden="1" x14ac:dyDescent="0.3">
      <c r="A3499" t="s">
        <v>4984</v>
      </c>
      <c r="B3499" t="s">
        <v>5704</v>
      </c>
      <c r="C3499" t="s">
        <v>5784</v>
      </c>
      <c r="D3499" t="s">
        <v>3546</v>
      </c>
      <c r="E3499" t="s">
        <v>90</v>
      </c>
      <c r="F3499" t="s">
        <v>5829</v>
      </c>
      <c r="H3499" t="s">
        <v>17</v>
      </c>
      <c r="I3499" t="s">
        <v>5830</v>
      </c>
    </row>
    <row r="3500" spans="1:9" hidden="1" x14ac:dyDescent="0.3">
      <c r="A3500" t="s">
        <v>982</v>
      </c>
      <c r="B3500" t="s">
        <v>5704</v>
      </c>
      <c r="C3500" t="s">
        <v>5784</v>
      </c>
      <c r="D3500" t="s">
        <v>3546</v>
      </c>
      <c r="E3500" t="s">
        <v>95</v>
      </c>
      <c r="F3500" t="s">
        <v>5831</v>
      </c>
      <c r="H3500" t="s">
        <v>17</v>
      </c>
      <c r="I3500" t="s">
        <v>5832</v>
      </c>
    </row>
    <row r="3501" spans="1:9" hidden="1" x14ac:dyDescent="0.3">
      <c r="A3501" t="s">
        <v>4992</v>
      </c>
      <c r="B3501" t="s">
        <v>5704</v>
      </c>
      <c r="C3501" t="s">
        <v>5784</v>
      </c>
      <c r="D3501" t="s">
        <v>3546</v>
      </c>
      <c r="E3501" t="s">
        <v>100</v>
      </c>
      <c r="F3501" t="s">
        <v>5833</v>
      </c>
      <c r="H3501" t="s">
        <v>17</v>
      </c>
      <c r="I3501" t="s">
        <v>5834</v>
      </c>
    </row>
    <row r="3502" spans="1:9" hidden="1" x14ac:dyDescent="0.3">
      <c r="B3502" t="s">
        <v>5704</v>
      </c>
      <c r="C3502" t="s">
        <v>5784</v>
      </c>
      <c r="D3502" t="s">
        <v>3546</v>
      </c>
      <c r="E3502" t="s">
        <v>1556</v>
      </c>
      <c r="F3502" t="s">
        <v>5521</v>
      </c>
      <c r="H3502" t="s">
        <v>17</v>
      </c>
      <c r="I3502" t="s">
        <v>5713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5983-FD6D-4593-B06D-1335621414A3}">
  <sheetPr codeName="Sheet3"/>
  <dimension ref="A1:O1472"/>
  <sheetViews>
    <sheetView tabSelected="1" workbookViewId="0">
      <selection activeCell="E163" sqref="E163"/>
    </sheetView>
  </sheetViews>
  <sheetFormatPr defaultRowHeight="14.4" x14ac:dyDescent="0.3"/>
  <cols>
    <col min="1" max="1" width="13.109375" customWidth="1"/>
    <col min="2" max="2" width="13" customWidth="1"/>
    <col min="3" max="3" width="11.21875" customWidth="1"/>
    <col min="4" max="4" width="10.6640625" customWidth="1"/>
    <col min="5" max="5" width="26.21875" customWidth="1"/>
    <col min="6" max="6" width="24.88671875" customWidth="1"/>
    <col min="8" max="8" width="37.6640625" customWidth="1"/>
    <col min="10" max="10" width="12.6640625" bestFit="1" customWidth="1"/>
    <col min="11" max="11" width="28.44140625" customWidth="1"/>
    <col min="12" max="12" width="39.33203125" customWidth="1"/>
    <col min="13" max="13" width="13.44140625" customWidth="1"/>
    <col min="14" max="14" width="19.33203125" customWidth="1"/>
    <col min="15" max="15" width="23.21875" customWidth="1"/>
  </cols>
  <sheetData>
    <row r="1" spans="1:15" x14ac:dyDescent="0.3">
      <c r="A1" t="s">
        <v>5835</v>
      </c>
      <c r="B1" t="s">
        <v>5836</v>
      </c>
      <c r="C1" s="2" t="s">
        <v>5837</v>
      </c>
      <c r="D1" t="s">
        <v>5838</v>
      </c>
      <c r="E1" s="2" t="s">
        <v>5839</v>
      </c>
      <c r="F1" s="3" t="s">
        <v>9159</v>
      </c>
      <c r="G1" s="6" t="s">
        <v>9402</v>
      </c>
      <c r="H1" s="6" t="s">
        <v>1</v>
      </c>
      <c r="I1" s="6" t="s">
        <v>2</v>
      </c>
      <c r="J1" s="6" t="s">
        <v>3</v>
      </c>
      <c r="K1" s="4" t="s">
        <v>5</v>
      </c>
      <c r="L1" s="4" t="s">
        <v>6</v>
      </c>
      <c r="M1" s="4" t="s">
        <v>8</v>
      </c>
      <c r="N1" s="3" t="s">
        <v>9403</v>
      </c>
      <c r="O1" t="s">
        <v>9404</v>
      </c>
    </row>
    <row r="2" spans="1:15" ht="72" hidden="1" x14ac:dyDescent="0.3">
      <c r="A2" t="s">
        <v>5840</v>
      </c>
      <c r="B2" t="s">
        <v>5841</v>
      </c>
      <c r="C2" s="2" t="s">
        <v>5842</v>
      </c>
      <c r="D2" t="s">
        <v>5843</v>
      </c>
      <c r="E2" s="2" t="s">
        <v>5844</v>
      </c>
      <c r="F2" t="s">
        <v>505</v>
      </c>
      <c r="G2" t="str">
        <f>VLOOKUP($F2, codebooks_data_reordered!$A:$I, 2, FALSE)</f>
        <v>2006</v>
      </c>
      <c r="H2" t="str">
        <f>VLOOKUP($F2, codebooks_data_reordered!$A:$I, 3, FALSE)</f>
        <v>Most/Less Suitable Characteristic of the Party</v>
      </c>
      <c r="I2" t="str">
        <f>VLOOKUP($F2, codebooks_data_reordered!$A:$I, 4, FALSE)</f>
        <v>1</v>
      </c>
      <c r="J2" t="str">
        <f>VLOOKUP($F2, codebooks_data_reordered!$A:$I, 5, FALSE)</f>
        <v>161</v>
      </c>
      <c r="K2" t="str">
        <f>VLOOKUP($F2, codebooks_data_reordered!$A:$I, 6, FALSE)</f>
        <v>Most suitable characteristic of the party: Leadership abilites</v>
      </c>
      <c r="L2" t="str">
        <f>VLOOKUP($F2,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2" t="str">
        <f>VLOOKUP($F2, codebooks_data_reordered!$A:$I, 9, FALSE)</f>
        <v>1: Olmert; 2: Netanyahu; 3: Peretz; 4: All; 5: None</v>
      </c>
      <c r="O2" s="2" t="str">
        <f t="shared" ref="O2:O65" si="0">SUBSTITUTE(M2, ";", CHAR(10))</f>
        <v>1: Olmert
 2: Netanyahu
 3: Peretz
 4: All
 5: None</v>
      </c>
    </row>
    <row r="3" spans="1:15" ht="100.8" hidden="1" x14ac:dyDescent="0.3">
      <c r="A3" t="s">
        <v>5840</v>
      </c>
      <c r="B3" t="s">
        <v>5845</v>
      </c>
      <c r="C3" s="2" t="s">
        <v>5846</v>
      </c>
      <c r="D3" t="s">
        <v>5843</v>
      </c>
      <c r="E3" s="2" t="s">
        <v>5847</v>
      </c>
      <c r="F3" t="s">
        <v>9160</v>
      </c>
      <c r="G3" t="e">
        <f>VLOOKUP($F3, codebooks_data_reordered!$A:$I, 2, FALSE)</f>
        <v>#N/A</v>
      </c>
      <c r="H3" t="e">
        <f>VLOOKUP($F3, codebooks_data_reordered!$A:$I, 3, FALSE)</f>
        <v>#N/A</v>
      </c>
      <c r="I3" t="e">
        <f>VLOOKUP($F3, codebooks_data_reordered!$A:$I, 4, FALSE)</f>
        <v>#N/A</v>
      </c>
      <c r="J3" t="e">
        <f>VLOOKUP($F3, codebooks_data_reordered!$A:$I, 5, FALSE)</f>
        <v>#N/A</v>
      </c>
      <c r="K3" t="e">
        <f>VLOOKUP($F3, codebooks_data_reordered!$A:$I, 6, FALSE)</f>
        <v>#N/A</v>
      </c>
      <c r="L3" t="e">
        <f>VLOOKUP($F3, codebooks_data_reordered!$A:$I, 7, FALSE)</f>
        <v>#N/A</v>
      </c>
      <c r="M3" t="e">
        <f>VLOOKUP($F3, codebooks_data_reordered!$A:$I, 9, FALSE)</f>
        <v>#N/A</v>
      </c>
      <c r="N3" t="s">
        <v>9397</v>
      </c>
      <c r="O3" t="e">
        <f t="shared" si="0"/>
        <v>#N/A</v>
      </c>
    </row>
    <row r="4" spans="1:15" ht="43.2" hidden="1" x14ac:dyDescent="0.3">
      <c r="A4" t="s">
        <v>5840</v>
      </c>
      <c r="B4" t="s">
        <v>5848</v>
      </c>
      <c r="C4" s="2" t="s">
        <v>5849</v>
      </c>
      <c r="D4" t="s">
        <v>5843</v>
      </c>
      <c r="E4" s="2" t="s">
        <v>5850</v>
      </c>
      <c r="F4" t="s">
        <v>5906</v>
      </c>
      <c r="G4" t="e">
        <f>VLOOKUP($F4, codebooks_data_reordered!$A:$I, 2, FALSE)</f>
        <v>#N/A</v>
      </c>
      <c r="H4" t="e">
        <f>VLOOKUP($F4, codebooks_data_reordered!$A:$I, 3, FALSE)</f>
        <v>#N/A</v>
      </c>
      <c r="I4" t="e">
        <f>VLOOKUP($F4, codebooks_data_reordered!$A:$I, 4, FALSE)</f>
        <v>#N/A</v>
      </c>
      <c r="J4" t="e">
        <f>VLOOKUP($F4, codebooks_data_reordered!$A:$I, 5, FALSE)</f>
        <v>#N/A</v>
      </c>
      <c r="K4" t="e">
        <f>VLOOKUP($F4, codebooks_data_reordered!$A:$I, 6, FALSE)</f>
        <v>#N/A</v>
      </c>
      <c r="L4" t="e">
        <f>VLOOKUP($F4, codebooks_data_reordered!$A:$I, 7, FALSE)</f>
        <v>#N/A</v>
      </c>
      <c r="M4" t="e">
        <f>VLOOKUP($F4, codebooks_data_reordered!$A:$I, 9, FALSE)</f>
        <v>#N/A</v>
      </c>
      <c r="O4" t="e">
        <f t="shared" si="0"/>
        <v>#N/A</v>
      </c>
    </row>
    <row r="5" spans="1:15" ht="43.2" hidden="1" x14ac:dyDescent="0.3">
      <c r="A5" t="s">
        <v>5840</v>
      </c>
      <c r="B5" t="s">
        <v>5851</v>
      </c>
      <c r="C5" s="2" t="s">
        <v>5852</v>
      </c>
      <c r="D5" t="s">
        <v>5843</v>
      </c>
      <c r="E5" s="2" t="s">
        <v>5853</v>
      </c>
      <c r="F5" t="s">
        <v>9161</v>
      </c>
      <c r="G5" t="e">
        <f>VLOOKUP($F5, codebooks_data_reordered!$A:$I, 2, FALSE)</f>
        <v>#N/A</v>
      </c>
      <c r="H5" t="e">
        <f>VLOOKUP($F5, codebooks_data_reordered!$A:$I, 3, FALSE)</f>
        <v>#N/A</v>
      </c>
      <c r="I5" t="e">
        <f>VLOOKUP($F5, codebooks_data_reordered!$A:$I, 4, FALSE)</f>
        <v>#N/A</v>
      </c>
      <c r="J5" t="e">
        <f>VLOOKUP($F5, codebooks_data_reordered!$A:$I, 5, FALSE)</f>
        <v>#N/A</v>
      </c>
      <c r="K5" t="e">
        <f>VLOOKUP($F5, codebooks_data_reordered!$A:$I, 6, FALSE)</f>
        <v>#N/A</v>
      </c>
      <c r="L5" t="e">
        <f>VLOOKUP($F5, codebooks_data_reordered!$A:$I, 7, FALSE)</f>
        <v>#N/A</v>
      </c>
      <c r="M5" t="e">
        <f>VLOOKUP($F5, codebooks_data_reordered!$A:$I, 9, FALSE)</f>
        <v>#N/A</v>
      </c>
      <c r="O5" t="e">
        <f t="shared" si="0"/>
        <v>#N/A</v>
      </c>
    </row>
    <row r="6" spans="1:15" ht="28.8" hidden="1" x14ac:dyDescent="0.3">
      <c r="A6" t="s">
        <v>5840</v>
      </c>
      <c r="B6" t="s">
        <v>5854</v>
      </c>
      <c r="C6" s="2" t="s">
        <v>5855</v>
      </c>
      <c r="D6" t="s">
        <v>5843</v>
      </c>
      <c r="E6" s="2" t="s">
        <v>5856</v>
      </c>
      <c r="F6" t="s">
        <v>9161</v>
      </c>
      <c r="G6" t="e">
        <f>VLOOKUP($F6, codebooks_data_reordered!$A:$I, 2, FALSE)</f>
        <v>#N/A</v>
      </c>
      <c r="H6" t="e">
        <f>VLOOKUP($F6, codebooks_data_reordered!$A:$I, 3, FALSE)</f>
        <v>#N/A</v>
      </c>
      <c r="I6" t="e">
        <f>VLOOKUP($F6, codebooks_data_reordered!$A:$I, 4, FALSE)</f>
        <v>#N/A</v>
      </c>
      <c r="J6" t="e">
        <f>VLOOKUP($F6, codebooks_data_reordered!$A:$I, 5, FALSE)</f>
        <v>#N/A</v>
      </c>
      <c r="K6" t="e">
        <f>VLOOKUP($F6, codebooks_data_reordered!$A:$I, 6, FALSE)</f>
        <v>#N/A</v>
      </c>
      <c r="L6" t="e">
        <f>VLOOKUP($F6, codebooks_data_reordered!$A:$I, 7, FALSE)</f>
        <v>#N/A</v>
      </c>
      <c r="M6" t="e">
        <f>VLOOKUP($F6, codebooks_data_reordered!$A:$I, 9, FALSE)</f>
        <v>#N/A</v>
      </c>
      <c r="O6" t="e">
        <f t="shared" si="0"/>
        <v>#N/A</v>
      </c>
    </row>
    <row r="7" spans="1:15" ht="72" hidden="1" x14ac:dyDescent="0.3">
      <c r="A7" t="s">
        <v>5840</v>
      </c>
      <c r="B7" t="s">
        <v>5857</v>
      </c>
      <c r="C7" s="2" t="s">
        <v>5858</v>
      </c>
      <c r="D7" t="s">
        <v>5843</v>
      </c>
      <c r="E7" s="2" t="s">
        <v>5859</v>
      </c>
      <c r="F7" t="s">
        <v>519</v>
      </c>
      <c r="G7" t="str">
        <f>VLOOKUP($F7, codebooks_data_reordered!$A:$I, 2, FALSE)</f>
        <v>2006</v>
      </c>
      <c r="H7" t="str">
        <f>VLOOKUP($F7, codebooks_data_reordered!$A:$I, 3, FALSE)</f>
        <v>Most/Less Suitable Characteristic of the Party</v>
      </c>
      <c r="I7" t="str">
        <f>VLOOKUP($F7, codebooks_data_reordered!$A:$I, 4, FALSE)</f>
        <v>1</v>
      </c>
      <c r="J7" t="str">
        <f>VLOOKUP($F7, codebooks_data_reordered!$A:$I, 5, FALSE)</f>
        <v>165</v>
      </c>
      <c r="K7" t="str">
        <f>VLOOKUP($F7, codebooks_data_reordered!$A:$I, 6, FALSE)</f>
        <v>Most suitable characteristic of the party: Prefers the country</v>
      </c>
      <c r="L7" t="str">
        <f>VLOOKUP($F7,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v>
      </c>
      <c r="M7" t="str">
        <f>VLOOKUP($F7, codebooks_data_reordered!$A:$I, 9, FALSE)</f>
        <v>1: Olmert; 2: Netanyahu; 3: Peretz; 4: All; 5: None</v>
      </c>
      <c r="O7" s="2" t="str">
        <f t="shared" si="0"/>
        <v>1: Olmert
 2: Netanyahu
 3: Peretz
 4: All
 5: None</v>
      </c>
    </row>
    <row r="8" spans="1:15" ht="144" hidden="1" x14ac:dyDescent="0.3">
      <c r="A8" t="s">
        <v>5840</v>
      </c>
      <c r="B8" t="s">
        <v>5860</v>
      </c>
      <c r="C8" s="2" t="s">
        <v>5861</v>
      </c>
      <c r="D8" t="s">
        <v>5843</v>
      </c>
      <c r="E8" s="2" t="s">
        <v>5862</v>
      </c>
      <c r="F8" t="s">
        <v>648</v>
      </c>
      <c r="G8" t="str">
        <f>VLOOKUP($F8, codebooks_data_reordered!$A:$I, 2, FALSE)</f>
        <v>2006</v>
      </c>
      <c r="H8" t="str">
        <f>VLOOKUP($F8, codebooks_data_reordered!$A:$I, 3, FALSE)</f>
        <v>Different Coalitions after the Elections</v>
      </c>
      <c r="I8" t="str">
        <f>VLOOKUP($F8, codebooks_data_reordered!$A:$I, 4, FALSE)</f>
        <v>1</v>
      </c>
      <c r="J8" t="str">
        <f>VLOOKUP($F8, codebooks_data_reordered!$A:$I, 5, FALSE)</f>
        <v>225-227</v>
      </c>
      <c r="K8" t="str">
        <f>VLOOKUP($F8, codebooks_data_reordered!$A:$I, 6, FALSE)</f>
        <v>Chances for Kadima-Labor-Meretz coalition</v>
      </c>
      <c r="L8" t="str">
        <f>VLOOKUP($F8,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8">
        <f>VLOOKUP($F8, codebooks_data_reordered!$A:$I, 9, FALSE)</f>
        <v>0</v>
      </c>
      <c r="O8" s="2" t="str">
        <f t="shared" si="0"/>
        <v>0</v>
      </c>
    </row>
    <row r="9" spans="1:15" ht="144" hidden="1" x14ac:dyDescent="0.3">
      <c r="A9" t="s">
        <v>5840</v>
      </c>
      <c r="B9" t="s">
        <v>5863</v>
      </c>
      <c r="C9" s="2" t="s">
        <v>5864</v>
      </c>
      <c r="D9" t="s">
        <v>5843</v>
      </c>
      <c r="E9" s="2" t="s">
        <v>5865</v>
      </c>
      <c r="F9" t="s">
        <v>3818</v>
      </c>
      <c r="G9" t="str">
        <f>VLOOKUP($F9, codebooks_data_reordered!$A:$I, 2, FALSE)</f>
        <v>1988_N=873</v>
      </c>
      <c r="H9" t="str">
        <f>VLOOKUP($F9, codebooks_data_reordered!$A:$I, 3, FALSE)</f>
        <v>FOR WHICH PARTIES WOULD YOU VOTE FOR IF NO LIMITATION IS POSED</v>
      </c>
      <c r="I9" t="str">
        <f>VLOOKUP($F9, codebooks_data_reordered!$A:$I, 4, FALSE)</f>
        <v>1</v>
      </c>
      <c r="J9" t="str">
        <f>VLOOKUP($F9, codebooks_data_reordered!$A:$I, 5, FALSE)</f>
        <v>175-176</v>
      </c>
      <c r="K9" t="str">
        <f>VLOOKUP($F9, codebooks_data_reordered!$A:$I, 6, FALSE)</f>
        <v>Basis for above estimate</v>
      </c>
      <c r="L9">
        <f>VLOOKUP($F9, codebooks_data_reordered!$A:$I, 7, FALSE)</f>
        <v>0</v>
      </c>
      <c r="M9">
        <f>VLOOKUP($F9, codebooks_data_reordered!$A:$I, 9, FALSE)</f>
        <v>0</v>
      </c>
      <c r="O9" s="2" t="str">
        <f t="shared" si="0"/>
        <v>0</v>
      </c>
    </row>
    <row r="10" spans="1:15" ht="201.6" hidden="1" x14ac:dyDescent="0.3">
      <c r="A10" t="s">
        <v>5840</v>
      </c>
      <c r="B10" t="s">
        <v>5866</v>
      </c>
      <c r="C10" s="2" t="s">
        <v>5867</v>
      </c>
      <c r="D10" t="s">
        <v>5843</v>
      </c>
      <c r="E10" s="2" t="s">
        <v>5868</v>
      </c>
      <c r="F10" t="s">
        <v>5686</v>
      </c>
      <c r="G10" t="str">
        <f>VLOOKUP($F10, codebooks_data_reordered!$A:$I, 2, FALSE)</f>
        <v>1969_1</v>
      </c>
      <c r="H10" t="str">
        <f>VLOOKUP($F10, codebooks_data_reordered!$A:$I, 3, FALSE)</f>
        <v>SUPPORT OR OPPOSITION FOR GOVERNMENT OWNERSHIP OF THE FOLLOWING:</v>
      </c>
      <c r="I10" t="str">
        <f>VLOOKUP($F10, codebooks_data_reordered!$A:$I, 4, FALSE)</f>
        <v>3</v>
      </c>
      <c r="J10" t="str">
        <f>VLOOKUP($F10, codebooks_data_reordered!$A:$I, 5, FALSE)</f>
        <v>58</v>
      </c>
      <c r="K10" t="str">
        <f>VLOOKUP($F10, codebooks_data_reordered!$A:$I, 6, FALSE)</f>
        <v>Mother's country of birth</v>
      </c>
      <c r="L10">
        <f>VLOOKUP($F10, codebooks_data_reordered!$A:$I, 7, FALSE)</f>
        <v>0</v>
      </c>
      <c r="M10" t="str">
        <f>VLOOKUP($F10, codebooks_data_reordered!$A:$I, 9, FALSE)</f>
        <v>0: No answer; 1: Israel; 2: Central and Eastern Europe; 3: Southern Europe; 4: Western Europe; 5: English-speaking countries; 6: North African countries; 7: Near and Middle Eastern countries; 8: Far Eastern countries; 9: South and Gentral America</v>
      </c>
      <c r="O10" s="2" t="str">
        <f t="shared" si="0"/>
        <v>0: No answer
 1: Israel
 2: Central and Eastern Europe
 3: Southern Europe
 4: Western Europe
 5: English-speaking countries
 6: North African countries
 7: Near and Middle Eastern countries
 8: Far Eastern countries
 9: South and Gentral America</v>
      </c>
    </row>
    <row r="11" spans="1:15" ht="129.6" hidden="1" x14ac:dyDescent="0.3">
      <c r="A11" t="s">
        <v>5840</v>
      </c>
      <c r="B11" t="s">
        <v>5869</v>
      </c>
      <c r="C11" s="2" t="s">
        <v>5870</v>
      </c>
      <c r="D11" t="s">
        <v>5843</v>
      </c>
      <c r="E11" s="2" t="s">
        <v>5871</v>
      </c>
      <c r="F11" t="s">
        <v>9162</v>
      </c>
      <c r="G11" t="e">
        <f>VLOOKUP($F11, codebooks_data_reordered!$A:$I, 2, FALSE)</f>
        <v>#N/A</v>
      </c>
      <c r="H11" t="e">
        <f>VLOOKUP($F11, codebooks_data_reordered!$A:$I, 3, FALSE)</f>
        <v>#N/A</v>
      </c>
      <c r="I11" t="e">
        <f>VLOOKUP($F11, codebooks_data_reordered!$A:$I, 4, FALSE)</f>
        <v>#N/A</v>
      </c>
      <c r="J11" t="e">
        <f>VLOOKUP($F11, codebooks_data_reordered!$A:$I, 5, FALSE)</f>
        <v>#N/A</v>
      </c>
      <c r="K11" t="e">
        <f>VLOOKUP($F11, codebooks_data_reordered!$A:$I, 6, FALSE)</f>
        <v>#N/A</v>
      </c>
      <c r="L11" t="e">
        <f>VLOOKUP($F11, codebooks_data_reordered!$A:$I, 7, FALSE)</f>
        <v>#N/A</v>
      </c>
      <c r="M11" t="e">
        <f>VLOOKUP($F11, codebooks_data_reordered!$A:$I, 9, FALSE)</f>
        <v>#N/A</v>
      </c>
      <c r="O11" t="e">
        <f t="shared" si="0"/>
        <v>#N/A</v>
      </c>
    </row>
    <row r="12" spans="1:15" ht="43.2" hidden="1" x14ac:dyDescent="0.3">
      <c r="A12" t="s">
        <v>5840</v>
      </c>
      <c r="B12" t="s">
        <v>5872</v>
      </c>
      <c r="C12" s="2" t="s">
        <v>5873</v>
      </c>
      <c r="D12" t="s">
        <v>5843</v>
      </c>
      <c r="E12" s="2" t="s">
        <v>5874</v>
      </c>
      <c r="F12" t="s">
        <v>9163</v>
      </c>
      <c r="G12" t="e">
        <f>VLOOKUP($F12, codebooks_data_reordered!$A:$I, 2, FALSE)</f>
        <v>#N/A</v>
      </c>
      <c r="H12" t="e">
        <f>VLOOKUP($F12, codebooks_data_reordered!$A:$I, 3, FALSE)</f>
        <v>#N/A</v>
      </c>
      <c r="I12" t="e">
        <f>VLOOKUP($F12, codebooks_data_reordered!$A:$I, 4, FALSE)</f>
        <v>#N/A</v>
      </c>
      <c r="J12" t="e">
        <f>VLOOKUP($F12, codebooks_data_reordered!$A:$I, 5, FALSE)</f>
        <v>#N/A</v>
      </c>
      <c r="K12" t="e">
        <f>VLOOKUP($F12, codebooks_data_reordered!$A:$I, 6, FALSE)</f>
        <v>#N/A</v>
      </c>
      <c r="L12" t="e">
        <f>VLOOKUP($F12, codebooks_data_reordered!$A:$I, 7, FALSE)</f>
        <v>#N/A</v>
      </c>
      <c r="M12" t="e">
        <f>VLOOKUP($F12, codebooks_data_reordered!$A:$I, 9, FALSE)</f>
        <v>#N/A</v>
      </c>
      <c r="O12" t="e">
        <f t="shared" si="0"/>
        <v>#N/A</v>
      </c>
    </row>
    <row r="13" spans="1:15" ht="57.6" hidden="1" x14ac:dyDescent="0.3">
      <c r="A13" t="s">
        <v>5840</v>
      </c>
      <c r="B13" t="s">
        <v>5875</v>
      </c>
      <c r="C13" s="2" t="s">
        <v>5876</v>
      </c>
      <c r="D13" t="s">
        <v>5843</v>
      </c>
      <c r="E13" s="2" t="s">
        <v>5877</v>
      </c>
      <c r="F13" t="s">
        <v>2208</v>
      </c>
      <c r="G13" t="str">
        <f>VLOOKUP($F13, codebooks_data_reordered!$A:$I, 2, FALSE)</f>
        <v>1999_1</v>
      </c>
      <c r="H13" t="str">
        <f>VLOOKUP($F13, codebooks_data_reordered!$A:$I, 3, FALSE)</f>
        <v>RESPONDENT'S DEMOGRAPHIC DETAILS</v>
      </c>
      <c r="I13" t="str">
        <f>VLOOKUP($F13, codebooks_data_reordered!$A:$I, 4, FALSE)</f>
        <v>3</v>
      </c>
      <c r="J13" t="str">
        <f>VLOOKUP($F13, codebooks_data_reordered!$A:$I, 5, FALSE)</f>
        <v>48</v>
      </c>
      <c r="K13" t="str">
        <f>VLOOKUP($F13, codebooks_data_reordered!$A:$I, 6, FALSE)</f>
        <v>Self-definition of religious identity</v>
      </c>
      <c r="L13">
        <f>VLOOKUP($F13, codebooks_data_reordered!$A:$I, 7, FALSE)</f>
        <v>0</v>
      </c>
      <c r="M13" t="str">
        <f>VLOOKUP($F13, codebooks_data_reordered!$A:$I, 9, FALSE)</f>
        <v>1: Secular; 2: Traditional; 3: Orthodox; 4: Ultra orthodox</v>
      </c>
      <c r="O13" s="2" t="str">
        <f t="shared" si="0"/>
        <v>1: Secular
 2: Traditional
 3: Orthodox
 4: Ultra orthodox</v>
      </c>
    </row>
    <row r="14" spans="1:15" ht="43.2" hidden="1" x14ac:dyDescent="0.3">
      <c r="A14" t="s">
        <v>5840</v>
      </c>
      <c r="B14" t="s">
        <v>5878</v>
      </c>
      <c r="C14" s="2" t="s">
        <v>5879</v>
      </c>
      <c r="D14" t="s">
        <v>5843</v>
      </c>
      <c r="E14" s="2" t="s">
        <v>5880</v>
      </c>
      <c r="F14" t="s">
        <v>2591</v>
      </c>
      <c r="G14" t="str">
        <f>VLOOKUP($F14, codebooks_data_reordered!$A:$I, 2, FALSE)</f>
        <v>1996_Jews</v>
      </c>
      <c r="H14" t="str">
        <f>VLOOKUP($F14, codebooks_data_reordered!$A:$I, 3, FALSE)</f>
        <v>PERSONAL DATA</v>
      </c>
      <c r="I14" t="str">
        <f>VLOOKUP($F14, codebooks_data_reordered!$A:$I, 4, FALSE)</f>
        <v>1</v>
      </c>
      <c r="J14" t="str">
        <f>VLOOKUP($F14, codebooks_data_reordered!$A:$I, 5, FALSE)</f>
        <v>204</v>
      </c>
      <c r="K14" t="str">
        <f>VLOOKUP($F14, codebooks_data_reordered!$A:$I, 6, FALSE)</f>
        <v>Ethnic self definition</v>
      </c>
      <c r="L14">
        <f>VLOOKUP($F14, codebooks_data_reordered!$A:$I, 7, FALSE)</f>
        <v>0</v>
      </c>
      <c r="M14" t="str">
        <f>VLOOKUP($F14, codebooks_data_reordered!$A:$I, 9, FALSE)</f>
        <v>1: Ashkenazi; 2: Sephardi; 3: Neither</v>
      </c>
      <c r="O14" s="2" t="str">
        <f t="shared" si="0"/>
        <v>1: Ashkenazi
 2: Sephardi
 3: Neither</v>
      </c>
    </row>
    <row r="15" spans="1:15" ht="57.6" hidden="1" x14ac:dyDescent="0.3">
      <c r="A15" t="s">
        <v>5840</v>
      </c>
      <c r="B15" t="s">
        <v>5881</v>
      </c>
      <c r="C15" s="2" t="s">
        <v>5876</v>
      </c>
      <c r="D15" t="s">
        <v>5843</v>
      </c>
      <c r="E15" s="2" t="s">
        <v>5877</v>
      </c>
      <c r="F15" t="s">
        <v>2084</v>
      </c>
      <c r="G15" t="str">
        <f>VLOOKUP($F15, codebooks_data_reordered!$A:$I, 2, FALSE)</f>
        <v>1999_1</v>
      </c>
      <c r="H15" t="str">
        <f>VLOOKUP($F15, codebooks_data_reordered!$A:$I, 3, FALSE)</f>
        <v>EVALUATE PARTIES AND CANDIDATES</v>
      </c>
      <c r="I15" t="str">
        <f>VLOOKUP($F15, codebooks_data_reordered!$A:$I, 4, FALSE)</f>
        <v>2</v>
      </c>
      <c r="J15" t="str">
        <f>VLOOKUP($F15, codebooks_data_reordered!$A:$I, 5, FALSE)</f>
        <v>69</v>
      </c>
      <c r="K15" t="str">
        <f>VLOOKUP($F15, codebooks_data_reordered!$A:$I, 6, FALSE)</f>
        <v>Corrupt party</v>
      </c>
      <c r="L15">
        <f>VLOOKUP($F15, codebooks_data_reordered!$A:$I, 7, FALSE)</f>
        <v>0</v>
      </c>
      <c r="M15" t="str">
        <f>VLOOKUP($F15, codebooks_data_reordered!$A:$I, 9, FALSE)</f>
        <v>1: Labor; 2: Likud; 3: Equally; 4: None of them</v>
      </c>
      <c r="O15" s="2" t="str">
        <f t="shared" si="0"/>
        <v>1: Labor
 2: Likud
 3: Equally
 4: None of them</v>
      </c>
    </row>
    <row r="16" spans="1:15" ht="43.2" hidden="1" x14ac:dyDescent="0.3">
      <c r="A16" t="s">
        <v>5840</v>
      </c>
      <c r="B16" t="s">
        <v>5882</v>
      </c>
      <c r="C16" s="2" t="s">
        <v>5883</v>
      </c>
      <c r="D16" t="s">
        <v>5843</v>
      </c>
      <c r="E16" s="2" t="s">
        <v>5884</v>
      </c>
      <c r="F16" t="s">
        <v>4408</v>
      </c>
      <c r="G16" t="str">
        <f>VLOOKUP($F16, codebooks_data_reordered!$A:$I, 2, FALSE)</f>
        <v>1981_3</v>
      </c>
      <c r="H16" t="str">
        <f>VLOOKUP($F16, codebooks_data_reordered!$A:$I, 3, FALSE)</f>
        <v>INTERVIEWEE EVALUATION OF THE STATE OF ISRAEL</v>
      </c>
      <c r="I16" t="str">
        <f>VLOOKUP($F16, codebooks_data_reordered!$A:$I, 4, FALSE)</f>
        <v>1</v>
      </c>
      <c r="J16" t="str">
        <f>VLOOKUP($F16, codebooks_data_reordered!$A:$I, 5, FALSE)</f>
        <v>143-144</v>
      </c>
      <c r="K16" t="str">
        <f>VLOOKUP($F16, codebooks_data_reordered!$A:$I, 6, FALSE)</f>
        <v>Age</v>
      </c>
      <c r="L16">
        <f>VLOOKUP($F16, codebooks_data_reordered!$A:$I, 7, FALSE)</f>
        <v>0</v>
      </c>
      <c r="M16">
        <f>VLOOKUP($F16, codebooks_data_reordered!$A:$I, 9, FALSE)</f>
        <v>0</v>
      </c>
      <c r="O16" s="2" t="str">
        <f t="shared" si="0"/>
        <v>0</v>
      </c>
    </row>
    <row r="17" spans="1:15" ht="288" hidden="1" x14ac:dyDescent="0.3">
      <c r="A17" t="s">
        <v>5840</v>
      </c>
      <c r="B17" t="s">
        <v>5885</v>
      </c>
      <c r="C17" s="2" t="s">
        <v>5886</v>
      </c>
      <c r="D17" t="s">
        <v>5843</v>
      </c>
      <c r="E17" s="2" t="s">
        <v>5887</v>
      </c>
      <c r="F17" t="s">
        <v>9164</v>
      </c>
      <c r="G17" t="e">
        <f>VLOOKUP($F17, codebooks_data_reordered!$A:$I, 2, FALSE)</f>
        <v>#N/A</v>
      </c>
      <c r="H17" t="e">
        <f>VLOOKUP($F17, codebooks_data_reordered!$A:$I, 3, FALSE)</f>
        <v>#N/A</v>
      </c>
      <c r="I17" t="e">
        <f>VLOOKUP($F17, codebooks_data_reordered!$A:$I, 4, FALSE)</f>
        <v>#N/A</v>
      </c>
      <c r="J17" t="e">
        <f>VLOOKUP($F17, codebooks_data_reordered!$A:$I, 5, FALSE)</f>
        <v>#N/A</v>
      </c>
      <c r="K17" t="e">
        <f>VLOOKUP($F17, codebooks_data_reordered!$A:$I, 6, FALSE)</f>
        <v>#N/A</v>
      </c>
      <c r="L17" t="e">
        <f>VLOOKUP($F17, codebooks_data_reordered!$A:$I, 7, FALSE)</f>
        <v>#N/A</v>
      </c>
      <c r="M17" t="e">
        <f>VLOOKUP($F17, codebooks_data_reordered!$A:$I, 9, FALSE)</f>
        <v>#N/A</v>
      </c>
      <c r="O17" t="e">
        <f t="shared" si="0"/>
        <v>#N/A</v>
      </c>
    </row>
    <row r="18" spans="1:15" ht="172.8" hidden="1" x14ac:dyDescent="0.3">
      <c r="A18" t="s">
        <v>5840</v>
      </c>
      <c r="B18" t="s">
        <v>5888</v>
      </c>
      <c r="C18" s="2" t="s">
        <v>5889</v>
      </c>
      <c r="D18" t="s">
        <v>5843</v>
      </c>
      <c r="E18" s="2" t="s">
        <v>5890</v>
      </c>
      <c r="F18" t="s">
        <v>219</v>
      </c>
      <c r="G18" t="str">
        <f>VLOOKUP($F18, codebooks_data_reordered!$A:$I, 2, FALSE)</f>
        <v>2006</v>
      </c>
      <c r="H18" t="str">
        <f>VLOOKUP($F18, codebooks_data_reordered!$A:$I, 3, FALSE)</f>
        <v>Agree/Disagree with the Different Statements</v>
      </c>
      <c r="I18" t="str">
        <f>VLOOKUP($F18, codebooks_data_reordered!$A:$I, 4, FALSE)</f>
        <v>1</v>
      </c>
      <c r="J18" t="str">
        <f>VLOOKUP($F18, codebooks_data_reordered!$A:$I, 5, FALSE)</f>
        <v>56</v>
      </c>
      <c r="K18" t="str">
        <f>VLOOKUP($F18, codebooks_data_reordered!$A:$I, 6, FALSE)</f>
        <v>Encourage the emigration of arabs</v>
      </c>
      <c r="L18" t="str">
        <f>VLOOKUP($F18, codebooks_data_reordered!$A:$I, 7, FALSE)</f>
        <v>To what extent do you agree or disagree with the following statements? 51. The government should encourage the emigration of Arabs from Israel</v>
      </c>
      <c r="M18" t="str">
        <f>VLOOKUP($F18, codebooks_data_reordered!$A:$I, 9, FALSE)</f>
        <v>1: Definitely disagree; 2: Disagree; 3: Agree; 4: Definitely agree</v>
      </c>
      <c r="O18" s="2" t="str">
        <f t="shared" si="0"/>
        <v>1: Definitely disagree
 2: Disagree
 3: Agree
 4: Definitely agree</v>
      </c>
    </row>
    <row r="19" spans="1:15" ht="57.6" hidden="1" x14ac:dyDescent="0.3">
      <c r="A19" t="s">
        <v>5840</v>
      </c>
      <c r="B19" t="s">
        <v>5891</v>
      </c>
      <c r="C19" s="2" t="s">
        <v>5892</v>
      </c>
      <c r="D19" t="s">
        <v>5843</v>
      </c>
      <c r="E19" s="2" t="s">
        <v>5893</v>
      </c>
      <c r="F19" t="s">
        <v>1752</v>
      </c>
      <c r="G19" t="str">
        <f>VLOOKUP($F19, codebooks_data_reordered!$A:$I, 2, FALSE)</f>
        <v>1999_1</v>
      </c>
      <c r="H19" t="str">
        <f>VLOOKUP($F19, codebooks_data_reordered!$A:$I, 3, FALSE)</f>
        <v>GENERAL POLITICAL ATTITUDE</v>
      </c>
      <c r="I19" t="str">
        <f>VLOOKUP($F19, codebooks_data_reordered!$A:$I, 4, FALSE)</f>
        <v>1</v>
      </c>
      <c r="J19" t="str">
        <f>VLOOKUP($F19, codebooks_data_reordered!$A:$I, 5, FALSE)</f>
        <v>7</v>
      </c>
      <c r="K19" t="str">
        <f>VLOOKUP($F19, codebooks_data_reordered!$A:$I, 6, FALSE)</f>
        <v>Government treatment of current national issues</v>
      </c>
      <c r="L19">
        <f>VLOOKUP($F19, codebooks_data_reordered!$A:$I, 7, FALSE)</f>
        <v>0</v>
      </c>
      <c r="M19" t="str">
        <f>VLOOKUP($F19, codebooks_data_reordered!$A:$I, 9, FALSE)</f>
        <v>1: Very good; 2: Good; 3: Not so good; 4: Not good at all</v>
      </c>
      <c r="O19" s="2" t="str">
        <f t="shared" si="0"/>
        <v>1: Very good
 2: Good
 3: Not so good
 4: Not good at all</v>
      </c>
    </row>
    <row r="20" spans="1:15" ht="28.8" hidden="1" x14ac:dyDescent="0.3">
      <c r="A20" t="s">
        <v>5840</v>
      </c>
      <c r="B20" t="s">
        <v>5894</v>
      </c>
      <c r="C20" s="2" t="s">
        <v>5895</v>
      </c>
      <c r="D20" t="s">
        <v>5896</v>
      </c>
      <c r="E20" s="2" t="s">
        <v>5897</v>
      </c>
      <c r="F20" t="s">
        <v>9165</v>
      </c>
      <c r="G20" t="e">
        <f>VLOOKUP($F20, codebooks_data_reordered!$A:$I, 2, FALSE)</f>
        <v>#N/A</v>
      </c>
      <c r="H20" t="e">
        <f>VLOOKUP($F20, codebooks_data_reordered!$A:$I, 3, FALSE)</f>
        <v>#N/A</v>
      </c>
      <c r="I20" t="e">
        <f>VLOOKUP($F20, codebooks_data_reordered!$A:$I, 4, FALSE)</f>
        <v>#N/A</v>
      </c>
      <c r="J20" t="e">
        <f>VLOOKUP($F20, codebooks_data_reordered!$A:$I, 5, FALSE)</f>
        <v>#N/A</v>
      </c>
      <c r="K20" t="e">
        <f>VLOOKUP($F20, codebooks_data_reordered!$A:$I, 6, FALSE)</f>
        <v>#N/A</v>
      </c>
      <c r="L20" t="e">
        <f>VLOOKUP($F20, codebooks_data_reordered!$A:$I, 7, FALSE)</f>
        <v>#N/A</v>
      </c>
      <c r="M20" t="e">
        <f>VLOOKUP($F20, codebooks_data_reordered!$A:$I, 9, FALSE)</f>
        <v>#N/A</v>
      </c>
      <c r="O20" t="e">
        <f t="shared" si="0"/>
        <v>#N/A</v>
      </c>
    </row>
    <row r="21" spans="1:15" ht="72" hidden="1" x14ac:dyDescent="0.3">
      <c r="A21" t="s">
        <v>5840</v>
      </c>
      <c r="B21" t="s">
        <v>5898</v>
      </c>
      <c r="C21" s="2" t="s">
        <v>5899</v>
      </c>
      <c r="D21" t="s">
        <v>5843</v>
      </c>
      <c r="E21" s="2" t="s">
        <v>5900</v>
      </c>
      <c r="F21" t="s">
        <v>9166</v>
      </c>
      <c r="G21" t="e">
        <f>VLOOKUP($F21, codebooks_data_reordered!$A:$I, 2, FALSE)</f>
        <v>#N/A</v>
      </c>
      <c r="H21" t="e">
        <f>VLOOKUP($F21, codebooks_data_reordered!$A:$I, 3, FALSE)</f>
        <v>#N/A</v>
      </c>
      <c r="I21" t="e">
        <f>VLOOKUP($F21, codebooks_data_reordered!$A:$I, 4, FALSE)</f>
        <v>#N/A</v>
      </c>
      <c r="J21" t="e">
        <f>VLOOKUP($F21, codebooks_data_reordered!$A:$I, 5, FALSE)</f>
        <v>#N/A</v>
      </c>
      <c r="K21" t="e">
        <f>VLOOKUP($F21, codebooks_data_reordered!$A:$I, 6, FALSE)</f>
        <v>#N/A</v>
      </c>
      <c r="L21" t="e">
        <f>VLOOKUP($F21, codebooks_data_reordered!$A:$I, 7, FALSE)</f>
        <v>#N/A</v>
      </c>
      <c r="M21" t="e">
        <f>VLOOKUP($F21, codebooks_data_reordered!$A:$I, 9, FALSE)</f>
        <v>#N/A</v>
      </c>
      <c r="O21" t="e">
        <f t="shared" si="0"/>
        <v>#N/A</v>
      </c>
    </row>
    <row r="22" spans="1:15" ht="288" hidden="1" x14ac:dyDescent="0.3">
      <c r="A22" t="s">
        <v>5840</v>
      </c>
      <c r="B22" t="s">
        <v>5901</v>
      </c>
      <c r="C22" s="2" t="s">
        <v>5902</v>
      </c>
      <c r="D22" t="s">
        <v>5843</v>
      </c>
      <c r="E22" s="2" t="s">
        <v>5903</v>
      </c>
      <c r="F22" t="s">
        <v>701</v>
      </c>
      <c r="G22" t="str">
        <f>VLOOKUP($F22, codebooks_data_reordered!$A:$I, 2, FALSE)</f>
        <v>2006</v>
      </c>
      <c r="H22" t="str">
        <f>VLOOKUP($F22, codebooks_data_reordered!$A:$I, 3, FALSE)</f>
        <v>Previous Elections</v>
      </c>
      <c r="I22" t="str">
        <f>VLOOKUP($F22, codebooks_data_reordered!$A:$I, 4, FALSE)</f>
        <v>1</v>
      </c>
      <c r="J22" t="str">
        <f>VLOOKUP($F22, codebooks_data_reordered!$A:$I, 5, FALSE)</f>
        <v>257</v>
      </c>
      <c r="K22" t="str">
        <f>VLOOKUP($F22, codebooks_data_reordered!$A:$I, 6, FALSE)</f>
        <v>Vote for PM in 2001 elections</v>
      </c>
      <c r="L22" t="str">
        <f>VLOOKUP($F22, codebooks_data_reordered!$A:$I, 7, FALSE)</f>
        <v>42. For whom did you vote for prime minister in 2001?</v>
      </c>
      <c r="M22" t="str">
        <f>VLOOKUP($F22, codebooks_data_reordered!$A:$I, 9, FALSE)</f>
        <v>1: Barak; 2: Sharon; 3: Blank ballot; 4: Didn't vote although had the right to vote; 5: Didn't vote / did not have the right to vote; 6: Don't remember; 9: Refuse to answer</v>
      </c>
      <c r="O22" s="2" t="str">
        <f t="shared" si="0"/>
        <v>1: Barak
 2: Sharon
 3: Blank ballot
 4: Didn't vote although had the right to vote
 5: Didn't vote / did not have the right to vote
 6: Don't remember
 9: Refuse to answer</v>
      </c>
    </row>
    <row r="23" spans="1:15" ht="28.8" hidden="1" x14ac:dyDescent="0.3">
      <c r="A23" t="s">
        <v>5840</v>
      </c>
      <c r="B23" t="s">
        <v>5904</v>
      </c>
      <c r="C23" s="2" t="s">
        <v>5905</v>
      </c>
      <c r="D23" t="s">
        <v>5906</v>
      </c>
      <c r="E23" s="2" t="s">
        <v>5907</v>
      </c>
      <c r="F23" t="s">
        <v>9167</v>
      </c>
      <c r="G23" t="e">
        <f>VLOOKUP($F23, codebooks_data_reordered!$A:$I, 2, FALSE)</f>
        <v>#N/A</v>
      </c>
      <c r="H23" t="e">
        <f>VLOOKUP($F23, codebooks_data_reordered!$A:$I, 3, FALSE)</f>
        <v>#N/A</v>
      </c>
      <c r="I23" t="e">
        <f>VLOOKUP($F23, codebooks_data_reordered!$A:$I, 4, FALSE)</f>
        <v>#N/A</v>
      </c>
      <c r="J23" t="e">
        <f>VLOOKUP($F23, codebooks_data_reordered!$A:$I, 5, FALSE)</f>
        <v>#N/A</v>
      </c>
      <c r="K23" t="e">
        <f>VLOOKUP($F23, codebooks_data_reordered!$A:$I, 6, FALSE)</f>
        <v>#N/A</v>
      </c>
      <c r="L23" t="e">
        <f>VLOOKUP($F23, codebooks_data_reordered!$A:$I, 7, FALSE)</f>
        <v>#N/A</v>
      </c>
      <c r="M23" t="e">
        <f>VLOOKUP($F23, codebooks_data_reordered!$A:$I, 9, FALSE)</f>
        <v>#N/A</v>
      </c>
      <c r="O23" t="e">
        <f t="shared" si="0"/>
        <v>#N/A</v>
      </c>
    </row>
    <row r="24" spans="1:15" ht="409.6" hidden="1" x14ac:dyDescent="0.3">
      <c r="A24" t="s">
        <v>5840</v>
      </c>
      <c r="B24" t="s">
        <v>5908</v>
      </c>
      <c r="C24" s="2" t="s">
        <v>5909</v>
      </c>
      <c r="D24" t="s">
        <v>5843</v>
      </c>
      <c r="E24" s="2" t="s">
        <v>5910</v>
      </c>
      <c r="F24" t="s">
        <v>9168</v>
      </c>
      <c r="G24" t="e">
        <f>VLOOKUP($F24, codebooks_data_reordered!$A:$I, 2, FALSE)</f>
        <v>#N/A</v>
      </c>
      <c r="H24" t="e">
        <f>VLOOKUP($F24, codebooks_data_reordered!$A:$I, 3, FALSE)</f>
        <v>#N/A</v>
      </c>
      <c r="I24" t="e">
        <f>VLOOKUP($F24, codebooks_data_reordered!$A:$I, 4, FALSE)</f>
        <v>#N/A</v>
      </c>
      <c r="J24" t="e">
        <f>VLOOKUP($F24, codebooks_data_reordered!$A:$I, 5, FALSE)</f>
        <v>#N/A</v>
      </c>
      <c r="K24" t="e">
        <f>VLOOKUP($F24, codebooks_data_reordered!$A:$I, 6, FALSE)</f>
        <v>#N/A</v>
      </c>
      <c r="L24" t="e">
        <f>VLOOKUP($F24, codebooks_data_reordered!$A:$I, 7, FALSE)</f>
        <v>#N/A</v>
      </c>
      <c r="M24" t="e">
        <f>VLOOKUP($F24, codebooks_data_reordered!$A:$I, 9, FALSE)</f>
        <v>#N/A</v>
      </c>
      <c r="O24" t="e">
        <f t="shared" si="0"/>
        <v>#N/A</v>
      </c>
    </row>
    <row r="25" spans="1:15" ht="129.6" hidden="1" x14ac:dyDescent="0.3">
      <c r="A25" t="s">
        <v>5840</v>
      </c>
      <c r="B25" t="s">
        <v>5911</v>
      </c>
      <c r="C25" s="2" t="s">
        <v>5912</v>
      </c>
      <c r="D25" t="s">
        <v>5843</v>
      </c>
      <c r="E25" s="2" t="s">
        <v>5913</v>
      </c>
      <c r="F25" t="s">
        <v>3167</v>
      </c>
      <c r="G25" t="str">
        <f>VLOOKUP($F25, codebooks_data_reordered!$A:$I, 2, FALSE)</f>
        <v>1988_Panel_N=416</v>
      </c>
      <c r="H25" t="str">
        <f>VLOOKUP($F25, codebooks_data_reordered!$A:$I, 3, FALSE)</f>
        <v>THE EXTENT OF APPROVAL OF THE FOLLOWING</v>
      </c>
      <c r="I25" t="str">
        <f>VLOOKUP($F25, codebooks_data_reordered!$A:$I, 4, FALSE)</f>
        <v>1</v>
      </c>
      <c r="J25" t="str">
        <f>VLOOKUP($F25, codebooks_data_reordered!$A:$I, 5, FALSE)</f>
        <v>126</v>
      </c>
      <c r="K25" t="str">
        <f>VLOOKUP($F25, codebooks_data_reordered!$A:$I, 6, FALSE)</f>
        <v>The keeper of Israel shall not sleep-who is the keeper of Israel</v>
      </c>
      <c r="L25">
        <f>VLOOKUP($F25, codebooks_data_reordered!$A:$I, 7, FALSE)</f>
        <v>0</v>
      </c>
      <c r="M25" t="str">
        <f>VLOOKUP($F25, codebooks_data_reordered!$A:$I, 9, FALSE)</f>
        <v>1: God; 2: IDF; 3: USA; 4: The state of Israel; 5: The people of Israel; 6: Every man to himself; 7: Other</v>
      </c>
      <c r="O25" s="2" t="str">
        <f t="shared" si="0"/>
        <v>1: God
 2: IDF
 3: USA
 4: The state of Israel
 5: The people of Israel
 6: Every man to himself
 7: Other</v>
      </c>
    </row>
    <row r="26" spans="1:15" ht="409.6" hidden="1" x14ac:dyDescent="0.3">
      <c r="A26" t="s">
        <v>5840</v>
      </c>
      <c r="B26" t="s">
        <v>5914</v>
      </c>
      <c r="C26" s="2" t="s">
        <v>5915</v>
      </c>
      <c r="D26" t="s">
        <v>5843</v>
      </c>
      <c r="E26" s="2" t="s">
        <v>5916</v>
      </c>
      <c r="F26" t="s">
        <v>439</v>
      </c>
      <c r="G26" t="str">
        <f>VLOOKUP($F26, codebooks_data_reordered!$A:$I, 2, FALSE)</f>
        <v>2006</v>
      </c>
      <c r="H26" t="str">
        <f>VLOOKUP($F26, codebooks_data_reordered!$A:$I, 3, FALSE)</f>
        <v>State expenditures on Different Issues</v>
      </c>
      <c r="I26" t="str">
        <f>VLOOKUP($F26, codebooks_data_reordered!$A:$I, 4, FALSE)</f>
        <v>1</v>
      </c>
      <c r="J26" t="str">
        <f>VLOOKUP($F26, codebooks_data_reordered!$A:$I, 5, FALSE)</f>
        <v>143</v>
      </c>
      <c r="K26" t="str">
        <f>VLOOKUP($F26, codebooks_data_reordered!$A:$I, 6, FALSE)</f>
        <v>State expenditures on Settlements</v>
      </c>
      <c r="L26" t="str">
        <f>VLOOKUP($F26, codebooks_data_reordered!$A:$I, 7, FALSE)</f>
        <v>Should the country spend more money, less money or the same as it does today on the following issues:</v>
      </c>
      <c r="M26" t="str">
        <f>VLOOKUP($F26, codebooks_data_reordered!$A:$I, 9, FALSE)</f>
        <v>1: More; 2: Less; 3: The same as today</v>
      </c>
      <c r="O26" s="2" t="str">
        <f t="shared" si="0"/>
        <v>1: More
 2: Less
 3: The same as today</v>
      </c>
    </row>
    <row r="27" spans="1:15" ht="302.39999999999998" hidden="1" x14ac:dyDescent="0.3">
      <c r="A27" t="s">
        <v>5840</v>
      </c>
      <c r="B27" t="s">
        <v>5917</v>
      </c>
      <c r="C27" s="2" t="s">
        <v>5918</v>
      </c>
      <c r="D27" t="s">
        <v>5843</v>
      </c>
      <c r="E27" s="2" t="s">
        <v>5919</v>
      </c>
      <c r="F27" t="s">
        <v>4411</v>
      </c>
      <c r="G27" t="str">
        <f>VLOOKUP($F27, codebooks_data_reordered!$A:$I, 2, FALSE)</f>
        <v>1981_3</v>
      </c>
      <c r="H27" t="str">
        <f>VLOOKUP($F27, codebooks_data_reordered!$A:$I, 3, FALSE)</f>
        <v>INTERVIEWEE EVALUATION OF THE STATE OF ISRAEL</v>
      </c>
      <c r="I27" t="str">
        <f>VLOOKUP($F27, codebooks_data_reordered!$A:$I, 4, FALSE)</f>
        <v>1</v>
      </c>
      <c r="J27" t="str">
        <f>VLOOKUP($F27, codebooks_data_reordered!$A:$I, 5, FALSE)</f>
        <v>146</v>
      </c>
      <c r="K27" t="str">
        <f>VLOOKUP($F27, codebooks_data_reordered!$A:$I, 6, FALSE)</f>
        <v>Years of schooling</v>
      </c>
      <c r="L27">
        <f>VLOOKUP($F27, codebooks_data_reordered!$A:$I, 7, FALSE)</f>
        <v>0</v>
      </c>
      <c r="M27" t="str">
        <f>VLOOKUP($F27, codebooks_data_reordered!$A:$I, 9, FALSE)</f>
        <v>1: Did not study; 2: Up tp 4 years; 3: 5-8; 4: 9-10; 5: 11; 6: 12; 7: 13+, without academic degree; 8: Full university education</v>
      </c>
      <c r="O27" s="2" t="str">
        <f t="shared" si="0"/>
        <v>1: Did not study
 2: Up tp 4 years
 3: 5-8
 4: 9-10
 5: 11
 6: 12
 7: 13+, without academic degree
 8: Full university education</v>
      </c>
    </row>
    <row r="28" spans="1:15" ht="230.4" hidden="1" x14ac:dyDescent="0.3">
      <c r="A28" t="s">
        <v>5840</v>
      </c>
      <c r="B28" t="s">
        <v>5920</v>
      </c>
      <c r="C28" s="2" t="s">
        <v>5921</v>
      </c>
      <c r="D28" t="s">
        <v>5843</v>
      </c>
      <c r="E28" s="2" t="s">
        <v>5922</v>
      </c>
      <c r="F28" t="s">
        <v>709</v>
      </c>
      <c r="G28" t="str">
        <f>VLOOKUP($F28, codebooks_data_reordered!$A:$I, 2, FALSE)</f>
        <v>2006</v>
      </c>
      <c r="H28" t="str">
        <f>VLOOKUP($F28, codebooks_data_reordered!$A:$I, 3, FALSE)</f>
        <v>Self-identity</v>
      </c>
      <c r="I28" t="str">
        <f>VLOOKUP($F28, codebooks_data_reordered!$A:$I, 4, FALSE)</f>
        <v>1</v>
      </c>
      <c r="J28" t="str">
        <f>VLOOKUP($F28, codebooks_data_reordered!$A:$I, 5, FALSE)</f>
        <v>259</v>
      </c>
      <c r="K28" t="str">
        <f>VLOOKUP($F28, codebooks_data_reordered!$A:$I, 6, FALSE)</f>
        <v>Self-identity for Jews (second)</v>
      </c>
      <c r="L28" t="str">
        <f>VLOOKUP($F28, codebooks_data_reordered!$A:$I, 7, FALSE)</f>
        <v>(for Jews) Which of the following concepts best defines your identity? (read) and the second? And the third? And the fourth?</v>
      </c>
      <c r="M28" t="str">
        <f>VLOOKUP($F28, codebooks_data_reordered!$A:$I, 9, FALSE)</f>
        <v>1: Israeli; 2: Jewish; 3: Ashkenazi/Sfaradi; 4: Religious/Secular; 5: Russian</v>
      </c>
      <c r="O28" s="2" t="str">
        <f t="shared" si="0"/>
        <v>1: Israeli
 2: Jewish
 3: Ashkenazi/Sfaradi
 4: Religious/Secular
 5: Russian</v>
      </c>
    </row>
    <row r="29" spans="1:15" ht="28.8" hidden="1" x14ac:dyDescent="0.3">
      <c r="A29" t="s">
        <v>5840</v>
      </c>
      <c r="B29" t="s">
        <v>5923</v>
      </c>
      <c r="C29" s="2" t="s">
        <v>5905</v>
      </c>
      <c r="D29" t="s">
        <v>5906</v>
      </c>
      <c r="E29" s="2" t="s">
        <v>5907</v>
      </c>
      <c r="F29" t="s">
        <v>9169</v>
      </c>
      <c r="G29" t="e">
        <f>VLOOKUP($F29, codebooks_data_reordered!$A:$I, 2, FALSE)</f>
        <v>#N/A</v>
      </c>
      <c r="H29" t="e">
        <f>VLOOKUP($F29, codebooks_data_reordered!$A:$I, 3, FALSE)</f>
        <v>#N/A</v>
      </c>
      <c r="I29" t="e">
        <f>VLOOKUP($F29, codebooks_data_reordered!$A:$I, 4, FALSE)</f>
        <v>#N/A</v>
      </c>
      <c r="J29" t="e">
        <f>VLOOKUP($F29, codebooks_data_reordered!$A:$I, 5, FALSE)</f>
        <v>#N/A</v>
      </c>
      <c r="K29" t="e">
        <f>VLOOKUP($F29, codebooks_data_reordered!$A:$I, 6, FALSE)</f>
        <v>#N/A</v>
      </c>
      <c r="L29" t="e">
        <f>VLOOKUP($F29, codebooks_data_reordered!$A:$I, 7, FALSE)</f>
        <v>#N/A</v>
      </c>
      <c r="M29" t="e">
        <f>VLOOKUP($F29, codebooks_data_reordered!$A:$I, 9, FALSE)</f>
        <v>#N/A</v>
      </c>
      <c r="O29" t="e">
        <f t="shared" si="0"/>
        <v>#N/A</v>
      </c>
    </row>
    <row r="30" spans="1:15" ht="201.6" hidden="1" x14ac:dyDescent="0.3">
      <c r="A30" t="s">
        <v>5840</v>
      </c>
      <c r="B30" t="s">
        <v>5924</v>
      </c>
      <c r="C30" s="2" t="s">
        <v>5925</v>
      </c>
      <c r="D30" t="s">
        <v>5843</v>
      </c>
      <c r="E30" s="2" t="s">
        <v>5926</v>
      </c>
      <c r="F30" t="s">
        <v>724</v>
      </c>
      <c r="G30" t="str">
        <f>VLOOKUP($F30, codebooks_data_reordered!$A:$I, 2, FALSE)</f>
        <v>2006</v>
      </c>
      <c r="H30" t="str">
        <f>VLOOKUP($F30, codebooks_data_reordered!$A:$I, 3, FALSE)</f>
        <v>Self-identity</v>
      </c>
      <c r="I30" t="str">
        <f>VLOOKUP($F30, codebooks_data_reordered!$A:$I, 4, FALSE)</f>
        <v>1</v>
      </c>
      <c r="J30" t="str">
        <f>VLOOKUP($F30, codebooks_data_reordered!$A:$I, 5, FALSE)</f>
        <v>263</v>
      </c>
      <c r="K30" t="str">
        <f>VLOOKUP($F30, codebooks_data_reordered!$A:$I, 6, FALSE)</f>
        <v>Self-identity for Arabs (second)</v>
      </c>
      <c r="L30" t="str">
        <f>VLOOKUP($F30, codebooks_data_reordered!$A:$I, 7, FALSE)</f>
        <v>(for Arabs): Which of the following concepts best defines your identity? (read) and the second? And the third? And the fourth?</v>
      </c>
      <c r="M30" t="str">
        <f>VLOOKUP($F30, codebooks_data_reordered!$A:$I, 9, FALSE)</f>
        <v>1: Israeli; 2: Palestinian; 3: Arab; 4: Muslim/Christian/Druze</v>
      </c>
      <c r="O30" s="2" t="str">
        <f t="shared" si="0"/>
        <v>1: Israeli
 2: Palestinian
 3: Arab
 4: Muslim/Christian/Druze</v>
      </c>
    </row>
    <row r="31" spans="1:15" ht="201.6" hidden="1" x14ac:dyDescent="0.3">
      <c r="A31" t="s">
        <v>5840</v>
      </c>
      <c r="B31" t="s">
        <v>5927</v>
      </c>
      <c r="C31" s="2" t="s">
        <v>5928</v>
      </c>
      <c r="D31" t="s">
        <v>5843</v>
      </c>
      <c r="E31" s="2" t="s">
        <v>5929</v>
      </c>
      <c r="F31" t="s">
        <v>4413</v>
      </c>
      <c r="G31" t="str">
        <f>VLOOKUP($F31, codebooks_data_reordered!$A:$I, 2, FALSE)</f>
        <v>1981_3</v>
      </c>
      <c r="H31" t="str">
        <f>VLOOKUP($F31, codebooks_data_reordered!$A:$I, 3, FALSE)</f>
        <v>INTERVIEWEE EVALUATION OF THE STATE OF ISRAEL</v>
      </c>
      <c r="I31" t="str">
        <f>VLOOKUP($F31, codebooks_data_reordered!$A:$I, 4, FALSE)</f>
        <v>1</v>
      </c>
      <c r="J31" t="str">
        <f>VLOOKUP($F31, codebooks_data_reordered!$A:$I, 5, FALSE)</f>
        <v>147</v>
      </c>
      <c r="K31" t="str">
        <f>VLOOKUP($F31, codebooks_data_reordered!$A:$I, 6, FALSE)</f>
        <v>Place of birth/ father's place of birth</v>
      </c>
      <c r="L31">
        <f>VLOOKUP($F31, codebooks_data_reordered!$A:$I, 7, FALSE)</f>
        <v>0</v>
      </c>
      <c r="M31" t="str">
        <f>VLOOKUP($F31, codebooks_data_reordered!$A:$I, 9, FALSE)</f>
        <v>1: Israel/Israel; 2: Israel/Asia-Africa; 3: Israel/Europe-America; 4: Asia-Africa/Asia-Africa; 5: Europe-America/Europe-America; 6: Any other combination</v>
      </c>
      <c r="O31" s="2" t="str">
        <f t="shared" si="0"/>
        <v>1: Israel/Israel
 2: Israel/Asia-Africa
 3: Israel/Europe-America
 4: Asia-Africa/Asia-Africa
 5: Europe-America/Europe-America
 6: Any other combination</v>
      </c>
    </row>
    <row r="32" spans="1:15" ht="28.8" hidden="1" x14ac:dyDescent="0.3">
      <c r="A32" t="s">
        <v>5840</v>
      </c>
      <c r="B32" t="s">
        <v>5930</v>
      </c>
      <c r="C32" s="2" t="s">
        <v>5905</v>
      </c>
      <c r="D32" t="s">
        <v>5906</v>
      </c>
      <c r="E32" s="2" t="s">
        <v>5907</v>
      </c>
      <c r="F32" t="s">
        <v>9170</v>
      </c>
      <c r="G32" t="e">
        <f>VLOOKUP($F32, codebooks_data_reordered!$A:$I, 2, FALSE)</f>
        <v>#N/A</v>
      </c>
      <c r="H32" t="e">
        <f>VLOOKUP($F32, codebooks_data_reordered!$A:$I, 3, FALSE)</f>
        <v>#N/A</v>
      </c>
      <c r="I32" t="e">
        <f>VLOOKUP($F32, codebooks_data_reordered!$A:$I, 4, FALSE)</f>
        <v>#N/A</v>
      </c>
      <c r="J32" t="e">
        <f>VLOOKUP($F32, codebooks_data_reordered!$A:$I, 5, FALSE)</f>
        <v>#N/A</v>
      </c>
      <c r="K32" t="e">
        <f>VLOOKUP($F32, codebooks_data_reordered!$A:$I, 6, FALSE)</f>
        <v>#N/A</v>
      </c>
      <c r="L32" t="e">
        <f>VLOOKUP($F32, codebooks_data_reordered!$A:$I, 7, FALSE)</f>
        <v>#N/A</v>
      </c>
      <c r="M32" t="e">
        <f>VLOOKUP($F32, codebooks_data_reordered!$A:$I, 9, FALSE)</f>
        <v>#N/A</v>
      </c>
      <c r="O32" t="e">
        <f t="shared" si="0"/>
        <v>#N/A</v>
      </c>
    </row>
    <row r="33" spans="1:15" ht="100.8" hidden="1" x14ac:dyDescent="0.3">
      <c r="A33" t="s">
        <v>5840</v>
      </c>
      <c r="B33" t="s">
        <v>5931</v>
      </c>
      <c r="C33" s="2" t="s">
        <v>5932</v>
      </c>
      <c r="D33" t="s">
        <v>5843</v>
      </c>
      <c r="E33" s="2" t="s">
        <v>5933</v>
      </c>
      <c r="F33" t="s">
        <v>3167</v>
      </c>
      <c r="G33" t="str">
        <f>VLOOKUP($F33, codebooks_data_reordered!$A:$I, 2, FALSE)</f>
        <v>1988_Panel_N=416</v>
      </c>
      <c r="H33" t="str">
        <f>VLOOKUP($F33, codebooks_data_reordered!$A:$I, 3, FALSE)</f>
        <v>THE EXTENT OF APPROVAL OF THE FOLLOWING</v>
      </c>
      <c r="I33" t="str">
        <f>VLOOKUP($F33, codebooks_data_reordered!$A:$I, 4, FALSE)</f>
        <v>1</v>
      </c>
      <c r="J33" t="str">
        <f>VLOOKUP($F33, codebooks_data_reordered!$A:$I, 5, FALSE)</f>
        <v>126</v>
      </c>
      <c r="K33" t="str">
        <f>VLOOKUP($F33, codebooks_data_reordered!$A:$I, 6, FALSE)</f>
        <v>The keeper of Israel shall not sleep-who is the keeper of Israel</v>
      </c>
      <c r="L33">
        <f>VLOOKUP($F33, codebooks_data_reordered!$A:$I, 7, FALSE)</f>
        <v>0</v>
      </c>
      <c r="M33" t="str">
        <f>VLOOKUP($F33, codebooks_data_reordered!$A:$I, 9, FALSE)</f>
        <v>1: God; 2: IDF; 3: USA; 4: The state of Israel; 5: The people of Israel; 6: Every man to himself; 7: Other</v>
      </c>
      <c r="O33" s="2" t="str">
        <f t="shared" si="0"/>
        <v>1: God
 2: IDF
 3: USA
 4: The state of Israel
 5: The people of Israel
 6: Every man to himself
 7: Other</v>
      </c>
    </row>
    <row r="34" spans="1:15" ht="158.4" hidden="1" x14ac:dyDescent="0.3">
      <c r="A34" t="s">
        <v>5840</v>
      </c>
      <c r="B34" t="s">
        <v>5934</v>
      </c>
      <c r="C34" s="2" t="s">
        <v>5935</v>
      </c>
      <c r="D34" t="s">
        <v>5843</v>
      </c>
      <c r="E34" s="2" t="s">
        <v>5936</v>
      </c>
      <c r="F34" t="s">
        <v>4184</v>
      </c>
      <c r="G34" t="str">
        <f>VLOOKUP($F34, codebooks_data_reordered!$A:$I, 2, FALSE)</f>
        <v>1981_1</v>
      </c>
      <c r="H34" t="str">
        <f>VLOOKUP($F34, codebooks_data_reordered!$A:$I, 3, FALSE)</f>
        <v>CHARACTERIZATION OF MOSHE DAYAN, GRADED SCALE 1-6</v>
      </c>
      <c r="I34" t="str">
        <f>VLOOKUP($F34, codebooks_data_reordered!$A:$I, 4, FALSE)</f>
        <v>1</v>
      </c>
      <c r="J34" t="str">
        <f>VLOOKUP($F34, codebooks_data_reordered!$A:$I, 5, FALSE)</f>
        <v>135-136</v>
      </c>
      <c r="K34" t="str">
        <f>VLOOKUP($F34, codebooks_data_reordered!$A:$I, 6, FALSE)</f>
        <v>Age</v>
      </c>
      <c r="L34">
        <f>VLOOKUP($F34, codebooks_data_reordered!$A:$I, 7, FALSE)</f>
        <v>0</v>
      </c>
      <c r="M34">
        <f>VLOOKUP($F34, codebooks_data_reordered!$A:$I, 9, FALSE)</f>
        <v>0</v>
      </c>
      <c r="O34" s="2" t="str">
        <f t="shared" si="0"/>
        <v>0</v>
      </c>
    </row>
    <row r="35" spans="1:15" ht="72" hidden="1" x14ac:dyDescent="0.3">
      <c r="A35" t="s">
        <v>5840</v>
      </c>
      <c r="B35" t="s">
        <v>5937</v>
      </c>
      <c r="C35" s="2" t="s">
        <v>5938</v>
      </c>
      <c r="D35" t="s">
        <v>5843</v>
      </c>
      <c r="E35" s="2" t="s">
        <v>5939</v>
      </c>
      <c r="F35" t="s">
        <v>2587</v>
      </c>
      <c r="G35" t="str">
        <f>VLOOKUP($F35, codebooks_data_reordered!$A:$I, 2, FALSE)</f>
        <v>1996_Jews</v>
      </c>
      <c r="H35" t="str">
        <f>VLOOKUP($F35, codebooks_data_reordered!$A:$I, 3, FALSE)</f>
        <v>WHICH PM CANDID. BEST SUITS EACH DESCRIPTION?</v>
      </c>
      <c r="I35" t="str">
        <f>VLOOKUP($F35, codebooks_data_reordered!$A:$I, 4, FALSE)</f>
        <v>1</v>
      </c>
      <c r="J35" t="str">
        <f>VLOOKUP($F35, codebooks_data_reordered!$A:$I, 5, FALSE)</f>
        <v>199</v>
      </c>
      <c r="K35" t="str">
        <f>VLOOKUP($F35, codebooks_data_reordered!$A:$I, 6, FALSE)</f>
        <v>The forth label to self-Identification</v>
      </c>
      <c r="L35">
        <f>VLOOKUP($F35, codebooks_data_reordered!$A:$I, 7, FALSE)</f>
        <v>0</v>
      </c>
      <c r="M35" t="str">
        <f>VLOOKUP($F35, codebooks_data_reordered!$A:$I, 9, FALSE)</f>
        <v>1: Israeli; 2: Jewish; 3: Ethnic group; 4: Secular or religious</v>
      </c>
      <c r="O35" s="2" t="str">
        <f t="shared" si="0"/>
        <v>1: Israeli
 2: Jewish
 3: Ethnic group
 4: Secular or religious</v>
      </c>
    </row>
    <row r="36" spans="1:15" ht="86.4" hidden="1" x14ac:dyDescent="0.3">
      <c r="A36" t="s">
        <v>5840</v>
      </c>
      <c r="B36" t="s">
        <v>5940</v>
      </c>
      <c r="C36" s="2" t="s">
        <v>5941</v>
      </c>
      <c r="D36" t="s">
        <v>5843</v>
      </c>
      <c r="E36" s="2" t="s">
        <v>5942</v>
      </c>
      <c r="F36" t="s">
        <v>2045</v>
      </c>
      <c r="G36" t="str">
        <f>VLOOKUP($F36, codebooks_data_reordered!$A:$I, 2, FALSE)</f>
        <v>1999_1</v>
      </c>
      <c r="H36" t="str">
        <f>VLOOKUP($F36, codebooks_data_reordered!$A:$I, 3, FALSE)</f>
        <v>MAIN POLITICAL ISSUES</v>
      </c>
      <c r="I36" t="str">
        <f>VLOOKUP($F36, codebooks_data_reordered!$A:$I, 4, FALSE)</f>
        <v>2</v>
      </c>
      <c r="J36" t="str">
        <f>VLOOKUP($F36, codebooks_data_reordered!$A:$I, 5, FALSE)</f>
        <v>53</v>
      </c>
      <c r="K36" t="str">
        <f>VLOOKUP($F36, codebooks_data_reordered!$A:$I, 6, FALSE)</f>
        <v>Government expenditures for supplying jobs</v>
      </c>
      <c r="L36">
        <f>VLOOKUP($F36, codebooks_data_reordered!$A:$I, 7, FALSE)</f>
        <v>0</v>
      </c>
      <c r="M36" t="str">
        <f>VLOOKUP($F36, codebooks_data_reordered!$A:$I, 9, FALSE)</f>
        <v>1: Should increase; 2: Should decrease; 3: Should stay the same</v>
      </c>
      <c r="O36" s="2" t="str">
        <f t="shared" si="0"/>
        <v>1: Should increase
 2: Should decrease
 3: Should stay the same</v>
      </c>
    </row>
    <row r="37" spans="1:15" ht="72" hidden="1" x14ac:dyDescent="0.3">
      <c r="A37" t="s">
        <v>5840</v>
      </c>
      <c r="B37" t="s">
        <v>5943</v>
      </c>
      <c r="C37" s="2" t="s">
        <v>5938</v>
      </c>
      <c r="D37" t="s">
        <v>5843</v>
      </c>
      <c r="E37" s="2" t="s">
        <v>5939</v>
      </c>
      <c r="F37" t="s">
        <v>371</v>
      </c>
      <c r="G37" t="str">
        <f>VLOOKUP($F37, codebooks_data_reordered!$A:$I, 2, FALSE)</f>
        <v>2006</v>
      </c>
      <c r="H37" t="str">
        <f>VLOOKUP($F37, codebooks_data_reordered!$A:$I, 3, FALSE)</f>
        <v>Influence of Different Issues on Vote</v>
      </c>
      <c r="I37" t="str">
        <f>VLOOKUP($F37, codebooks_data_reordered!$A:$I, 4, FALSE)</f>
        <v>1</v>
      </c>
      <c r="J37" t="str">
        <f>VLOOKUP($F37, codebooks_data_reordered!$A:$I, 5, FALSE)</f>
        <v>116</v>
      </c>
      <c r="K37" t="str">
        <f>VLOOKUP($F37, codebooks_data_reordered!$A:$I, 6, FALSE)</f>
        <v>Influence the following have on your vote:Peace and territories</v>
      </c>
      <c r="L37" t="str">
        <f>VLOOKUP($F37, codebooks_data_reordered!$A:$I, 7, FALSE)</f>
        <v>To what extent do each of the following issues effect or not effect your voting?</v>
      </c>
      <c r="M37" t="str">
        <f>VLOOKUP($F37, codebooks_data_reordered!$A:$I, 9, FALSE)</f>
        <v>1: A great deal; 2: Some; 3: Little; 4: Not at all</v>
      </c>
      <c r="O37" s="2" t="str">
        <f t="shared" si="0"/>
        <v>1: A great deal
 2: Some
 3: Little
 4: Not at all</v>
      </c>
    </row>
    <row r="38" spans="1:15" ht="86.4" hidden="1" x14ac:dyDescent="0.3">
      <c r="A38" t="s">
        <v>5840</v>
      </c>
      <c r="B38" t="s">
        <v>5944</v>
      </c>
      <c r="C38" s="2" t="s">
        <v>5941</v>
      </c>
      <c r="D38" t="s">
        <v>5843</v>
      </c>
      <c r="E38" s="2" t="s">
        <v>5942</v>
      </c>
      <c r="F38" t="s">
        <v>716</v>
      </c>
      <c r="G38" t="str">
        <f>VLOOKUP($F38, codebooks_data_reordered!$A:$I, 2, FALSE)</f>
        <v>2006</v>
      </c>
      <c r="H38" t="str">
        <f>VLOOKUP($F38, codebooks_data_reordered!$A:$I, 3, FALSE)</f>
        <v>Self-identity</v>
      </c>
      <c r="I38" t="str">
        <f>VLOOKUP($F38, codebooks_data_reordered!$A:$I, 4, FALSE)</f>
        <v>1</v>
      </c>
      <c r="J38" t="str">
        <f>VLOOKUP($F38, codebooks_data_reordered!$A:$I, 5, FALSE)</f>
        <v>261</v>
      </c>
      <c r="K38" t="str">
        <f>VLOOKUP($F38, codebooks_data_reordered!$A:$I, 6, FALSE)</f>
        <v>Self-identity for Jews (fourth)</v>
      </c>
      <c r="L38" t="str">
        <f>VLOOKUP($F38, codebooks_data_reordered!$A:$I, 7, FALSE)</f>
        <v>(for Jews) Which of the following concepts best defines your identity? (read) and the second? And the third? And the fourth?</v>
      </c>
      <c r="M38" t="str">
        <f>VLOOKUP($F38, codebooks_data_reordered!$A:$I, 9, FALSE)</f>
        <v>1: Israeli; 2: Jewish; 3: Ashkenazi/Sfaradi; 4: Religious/Secular</v>
      </c>
      <c r="O38" s="2" t="str">
        <f t="shared" si="0"/>
        <v>1: Israeli
 2: Jewish
 3: Ashkenazi/Sfaradi
 4: Religious/Secular</v>
      </c>
    </row>
    <row r="39" spans="1:15" ht="72" hidden="1" x14ac:dyDescent="0.3">
      <c r="A39" t="s">
        <v>5840</v>
      </c>
      <c r="B39" t="s">
        <v>5945</v>
      </c>
      <c r="C39" s="2" t="s">
        <v>5938</v>
      </c>
      <c r="D39" t="s">
        <v>5843</v>
      </c>
      <c r="E39" s="2" t="s">
        <v>5939</v>
      </c>
      <c r="F39" t="s">
        <v>199</v>
      </c>
      <c r="G39" t="str">
        <f>VLOOKUP($F39, codebooks_data_reordered!$A:$I, 2, FALSE)</f>
        <v>2006</v>
      </c>
      <c r="H39" t="str">
        <f>VLOOKUP($F39, codebooks_data_reordered!$A:$I, 3, FALSE)</f>
        <v>Agree/Disagree with the Different Statements</v>
      </c>
      <c r="I39" t="str">
        <f>VLOOKUP($F39, codebooks_data_reordered!$A:$I, 4, FALSE)</f>
        <v>1</v>
      </c>
      <c r="J39" t="str">
        <f>VLOOKUP($F39, codebooks_data_reordered!$A:$I, 5, FALSE)</f>
        <v>51</v>
      </c>
      <c r="K39" t="str">
        <f>VLOOKUP($F39, codebooks_data_reordered!$A:$I, 6, FALSE)</f>
        <v>Democracy as a best system</v>
      </c>
      <c r="L39" t="str">
        <f>VLOOKUP($F39, codebooks_data_reordered!$A:$I, 7, FALSE)</f>
        <v>To what extent do you agree or disagree with the following statements? 46. Even if there are problems in democracy, it's still the best political system</v>
      </c>
      <c r="M39" t="str">
        <f>VLOOKUP($F39, codebooks_data_reordered!$A:$I, 9, FALSE)</f>
        <v>1: Definitely disagree; 2: Disagree; 3: Agree; 4: Definitely agree</v>
      </c>
      <c r="O39" s="2" t="str">
        <f t="shared" si="0"/>
        <v>1: Definitely disagree
 2: Disagree
 3: Agree
 4: Definitely agree</v>
      </c>
    </row>
    <row r="40" spans="1:15" ht="86.4" hidden="1" x14ac:dyDescent="0.3">
      <c r="A40" t="s">
        <v>5840</v>
      </c>
      <c r="B40" t="s">
        <v>5946</v>
      </c>
      <c r="C40" s="2" t="s">
        <v>5947</v>
      </c>
      <c r="D40" t="s">
        <v>5843</v>
      </c>
      <c r="E40" s="2" t="s">
        <v>5948</v>
      </c>
      <c r="F40" t="s">
        <v>454</v>
      </c>
      <c r="G40" t="str">
        <f>VLOOKUP($F40, codebooks_data_reordered!$A:$I, 2, FALSE)</f>
        <v>2006</v>
      </c>
      <c r="H40" t="str">
        <f>VLOOKUP($F40, codebooks_data_reordered!$A:$I, 3, FALSE)</f>
        <v>Most/Less Suitable Characteristic of the Party</v>
      </c>
      <c r="I40" t="str">
        <f>VLOOKUP($F40, codebooks_data_reordered!$A:$I, 4, FALSE)</f>
        <v>1</v>
      </c>
      <c r="J40" t="str">
        <f>VLOOKUP($F40, codebooks_data_reordered!$A:$I, 5, FALSE)</f>
        <v>147</v>
      </c>
      <c r="K40" t="str">
        <f>VLOOKUP($F40, codebooks_data_reordered!$A:$I, 6, FALSE)</f>
        <v>Most suitable characteristic of the party: Standing for principles in negotiations</v>
      </c>
      <c r="L40" t="str">
        <f>VLOOKUP($F40,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v>
      </c>
      <c r="M40" t="str">
        <f>VLOOKUP($F40, codebooks_data_reordered!$A:$I, 9, FALSE)</f>
        <v>1: Most suitable Kadima; 2: Most suitable Likud; 3: Most suitable Avoda; 4: Suits all the same; 5: Doesn't suit any of them</v>
      </c>
      <c r="O40" s="2" t="str">
        <f t="shared" si="0"/>
        <v>1: Most suitable Kadima
 2: Most suitable Likud
 3: Most suitable Avoda
 4: Suits all the same
 5: Doesn't suit any of them</v>
      </c>
    </row>
    <row r="41" spans="1:15" ht="158.4" hidden="1" x14ac:dyDescent="0.3">
      <c r="A41" t="s">
        <v>5840</v>
      </c>
      <c r="B41" t="s">
        <v>5949</v>
      </c>
      <c r="C41" s="2" t="s">
        <v>5950</v>
      </c>
      <c r="D41" t="s">
        <v>5843</v>
      </c>
      <c r="E41" s="2" t="s">
        <v>5951</v>
      </c>
      <c r="F41" t="s">
        <v>9171</v>
      </c>
      <c r="G41" t="e">
        <f>VLOOKUP($F41, codebooks_data_reordered!$A:$I, 2, FALSE)</f>
        <v>#N/A</v>
      </c>
      <c r="H41" t="e">
        <f>VLOOKUP($F41, codebooks_data_reordered!$A:$I, 3, FALSE)</f>
        <v>#N/A</v>
      </c>
      <c r="I41" t="e">
        <f>VLOOKUP($F41, codebooks_data_reordered!$A:$I, 4, FALSE)</f>
        <v>#N/A</v>
      </c>
      <c r="J41" t="e">
        <f>VLOOKUP($F41, codebooks_data_reordered!$A:$I, 5, FALSE)</f>
        <v>#N/A</v>
      </c>
      <c r="K41" t="e">
        <f>VLOOKUP($F41, codebooks_data_reordered!$A:$I, 6, FALSE)</f>
        <v>#N/A</v>
      </c>
      <c r="L41" t="e">
        <f>VLOOKUP($F41, codebooks_data_reordered!$A:$I, 7, FALSE)</f>
        <v>#N/A</v>
      </c>
      <c r="M41" t="e">
        <f>VLOOKUP($F41, codebooks_data_reordered!$A:$I, 9, FALSE)</f>
        <v>#N/A</v>
      </c>
      <c r="O41" t="e">
        <f t="shared" si="0"/>
        <v>#N/A</v>
      </c>
    </row>
    <row r="42" spans="1:15" ht="115.2" hidden="1" x14ac:dyDescent="0.3">
      <c r="A42" t="s">
        <v>5840</v>
      </c>
      <c r="B42" t="s">
        <v>5952</v>
      </c>
      <c r="C42" s="2" t="s">
        <v>5953</v>
      </c>
      <c r="D42" t="s">
        <v>5843</v>
      </c>
      <c r="E42" s="2" t="s">
        <v>5954</v>
      </c>
      <c r="F42" t="s">
        <v>9172</v>
      </c>
      <c r="G42" t="e">
        <f>VLOOKUP($F42, codebooks_data_reordered!$A:$I, 2, FALSE)</f>
        <v>#N/A</v>
      </c>
      <c r="H42" t="e">
        <f>VLOOKUP($F42, codebooks_data_reordered!$A:$I, 3, FALSE)</f>
        <v>#N/A</v>
      </c>
      <c r="I42" t="e">
        <f>VLOOKUP($F42, codebooks_data_reordered!$A:$I, 4, FALSE)</f>
        <v>#N/A</v>
      </c>
      <c r="J42" t="e">
        <f>VLOOKUP($F42, codebooks_data_reordered!$A:$I, 5, FALSE)</f>
        <v>#N/A</v>
      </c>
      <c r="K42" t="e">
        <f>VLOOKUP($F42, codebooks_data_reordered!$A:$I, 6, FALSE)</f>
        <v>#N/A</v>
      </c>
      <c r="L42" t="e">
        <f>VLOOKUP($F42, codebooks_data_reordered!$A:$I, 7, FALSE)</f>
        <v>#N/A</v>
      </c>
      <c r="M42" t="e">
        <f>VLOOKUP($F42, codebooks_data_reordered!$A:$I, 9, FALSE)</f>
        <v>#N/A</v>
      </c>
      <c r="O42" t="e">
        <f t="shared" si="0"/>
        <v>#N/A</v>
      </c>
    </row>
    <row r="43" spans="1:15" ht="216" hidden="1" x14ac:dyDescent="0.3">
      <c r="A43" t="s">
        <v>5840</v>
      </c>
      <c r="B43" t="s">
        <v>5955</v>
      </c>
      <c r="C43" s="2" t="s">
        <v>5956</v>
      </c>
      <c r="D43" t="s">
        <v>5843</v>
      </c>
      <c r="E43" s="2" t="s">
        <v>5957</v>
      </c>
      <c r="F43" t="s">
        <v>427</v>
      </c>
      <c r="G43" t="str">
        <f>VLOOKUP($F43, codebooks_data_reordered!$A:$I, 2, FALSE)</f>
        <v>2006</v>
      </c>
      <c r="H43" t="str">
        <f>VLOOKUP($F43, codebooks_data_reordered!$A:$I, 3, FALSE)</f>
        <v>State expenditures on Different Issues</v>
      </c>
      <c r="I43" t="str">
        <f>VLOOKUP($F43, codebooks_data_reordered!$A:$I, 4, FALSE)</f>
        <v>1</v>
      </c>
      <c r="J43" t="str">
        <f>VLOOKUP($F43, codebooks_data_reordered!$A:$I, 5, FALSE)</f>
        <v>139</v>
      </c>
      <c r="K43" t="str">
        <f>VLOOKUP($F43, codebooks_data_reordered!$A:$I, 6, FALSE)</f>
        <v>State expenditures on Yeshivot and religious institutes</v>
      </c>
      <c r="L43" t="str">
        <f>VLOOKUP($F43, codebooks_data_reordered!$A:$I, 7, FALSE)</f>
        <v>Should the country spend more money, less money or the same as it does today on the following issues:</v>
      </c>
      <c r="M43" t="str">
        <f>VLOOKUP($F43, codebooks_data_reordered!$A:$I, 9, FALSE)</f>
        <v>1: More; 2: Less; 3: The same as today</v>
      </c>
      <c r="O43" s="2" t="str">
        <f t="shared" si="0"/>
        <v>1: More
 2: Less
 3: The same as today</v>
      </c>
    </row>
    <row r="44" spans="1:15" ht="100.8" hidden="1" x14ac:dyDescent="0.3">
      <c r="A44" t="s">
        <v>5840</v>
      </c>
      <c r="B44" t="s">
        <v>5958</v>
      </c>
      <c r="C44" s="2" t="s">
        <v>5959</v>
      </c>
      <c r="D44" t="s">
        <v>5843</v>
      </c>
      <c r="E44" s="2" t="s">
        <v>5960</v>
      </c>
      <c r="F44" t="s">
        <v>2179</v>
      </c>
      <c r="G44" t="str">
        <f>VLOOKUP($F44, codebooks_data_reordered!$A:$I, 2, FALSE)</f>
        <v>1999_1</v>
      </c>
      <c r="H44" t="str">
        <f>VLOOKUP($F44, codebooks_data_reordered!$A:$I, 3, FALSE)</f>
        <v>RESPONDENT'S DEMOGRAPHIC DETAILS</v>
      </c>
      <c r="I44" t="str">
        <f>VLOOKUP($F44, codebooks_data_reordered!$A:$I, 4, FALSE)</f>
        <v>3</v>
      </c>
      <c r="J44" t="str">
        <f>VLOOKUP($F44, codebooks_data_reordered!$A:$I, 5, FALSE)</f>
        <v>27</v>
      </c>
      <c r="K44" t="str">
        <f>VLOOKUP($F44, codebooks_data_reordered!$A:$I, 6, FALSE)</f>
        <v>Conduct life according to religious tradition</v>
      </c>
      <c r="L44">
        <f>VLOOKUP($F44, codebooks_data_reordered!$A:$I, 7, FALSE)</f>
        <v>0</v>
      </c>
      <c r="M44" t="str">
        <f>VLOOKUP($F44, codebooks_data_reordered!$A:$I, 9, FALSE)</f>
        <v>1: Thoroughly; 2: Significantly; 3: A little; 4: Not at all</v>
      </c>
      <c r="O44" s="2" t="str">
        <f t="shared" si="0"/>
        <v>1: Thoroughly
 2: Significantly
 3: A little
 4: Not at all</v>
      </c>
    </row>
    <row r="45" spans="1:15" ht="28.8" hidden="1" x14ac:dyDescent="0.3">
      <c r="A45" t="s">
        <v>5840</v>
      </c>
      <c r="B45" t="s">
        <v>5961</v>
      </c>
      <c r="C45" s="2" t="s">
        <v>5905</v>
      </c>
      <c r="D45" t="s">
        <v>5906</v>
      </c>
      <c r="E45" s="2" t="s">
        <v>5907</v>
      </c>
      <c r="F45" t="s">
        <v>9173</v>
      </c>
      <c r="G45" t="e">
        <f>VLOOKUP($F45, codebooks_data_reordered!$A:$I, 2, FALSE)</f>
        <v>#N/A</v>
      </c>
      <c r="H45" t="e">
        <f>VLOOKUP($F45, codebooks_data_reordered!$A:$I, 3, FALSE)</f>
        <v>#N/A</v>
      </c>
      <c r="I45" t="e">
        <f>VLOOKUP($F45, codebooks_data_reordered!$A:$I, 4, FALSE)</f>
        <v>#N/A</v>
      </c>
      <c r="J45" t="e">
        <f>VLOOKUP($F45, codebooks_data_reordered!$A:$I, 5, FALSE)</f>
        <v>#N/A</v>
      </c>
      <c r="K45" t="e">
        <f>VLOOKUP($F45, codebooks_data_reordered!$A:$I, 6, FALSE)</f>
        <v>#N/A</v>
      </c>
      <c r="L45" t="e">
        <f>VLOOKUP($F45, codebooks_data_reordered!$A:$I, 7, FALSE)</f>
        <v>#N/A</v>
      </c>
      <c r="M45" t="e">
        <f>VLOOKUP($F45, codebooks_data_reordered!$A:$I, 9, FALSE)</f>
        <v>#N/A</v>
      </c>
      <c r="O45" t="e">
        <f t="shared" si="0"/>
        <v>#N/A</v>
      </c>
    </row>
    <row r="46" spans="1:15" ht="129.6" hidden="1" x14ac:dyDescent="0.3">
      <c r="A46" t="s">
        <v>5840</v>
      </c>
      <c r="B46" t="s">
        <v>5962</v>
      </c>
      <c r="C46" s="2" t="s">
        <v>5963</v>
      </c>
      <c r="D46" t="s">
        <v>5843</v>
      </c>
      <c r="E46" s="2" t="s">
        <v>5964</v>
      </c>
      <c r="F46" t="s">
        <v>4187</v>
      </c>
      <c r="G46" t="str">
        <f>VLOOKUP($F46, codebooks_data_reordered!$A:$I, 2, FALSE)</f>
        <v>1981_1</v>
      </c>
      <c r="H46" t="str">
        <f>VLOOKUP($F46, codebooks_data_reordered!$A:$I, 3, FALSE)</f>
        <v>CHARACTERIZATION OF MOSHE DAYAN, GRADED SCALE 1-6</v>
      </c>
      <c r="I46" t="str">
        <f>VLOOKUP($F46, codebooks_data_reordered!$A:$I, 4, FALSE)</f>
        <v>1</v>
      </c>
      <c r="J46" t="str">
        <f>VLOOKUP($F46, codebooks_data_reordered!$A:$I, 5, FALSE)</f>
        <v>138</v>
      </c>
      <c r="K46" t="str">
        <f>VLOOKUP($F46, codebooks_data_reordered!$A:$I, 6, FALSE)</f>
        <v>Years of schooling</v>
      </c>
      <c r="L46">
        <f>VLOOKUP($F46, codebooks_data_reordered!$A:$I, 7, FALSE)</f>
        <v>0</v>
      </c>
      <c r="M46" t="str">
        <f>VLOOKUP($F46, codebooks_data_reordered!$A:$I, 9, FALSE)</f>
        <v>1: Did not study; 2: Up to 4 years; 3: 5-8; 4: 9-10; 5: 11; 6: 12; 7: 13+, without academic degree; 8: University degree</v>
      </c>
      <c r="O46" s="2" t="str">
        <f t="shared" si="0"/>
        <v>1: Did not study
 2: Up to 4 years
 3: 5-8
 4: 9-10
 5: 11
 6: 12
 7: 13+, without academic degree
 8: University degree</v>
      </c>
    </row>
    <row r="47" spans="1:15" ht="158.4" hidden="1" x14ac:dyDescent="0.3">
      <c r="A47" t="s">
        <v>5840</v>
      </c>
      <c r="B47" t="s">
        <v>5965</v>
      </c>
      <c r="C47" s="2" t="s">
        <v>5966</v>
      </c>
      <c r="D47" t="s">
        <v>5843</v>
      </c>
      <c r="E47" s="2" t="s">
        <v>5967</v>
      </c>
      <c r="F47" t="s">
        <v>9174</v>
      </c>
      <c r="G47" t="e">
        <f>VLOOKUP($F47, codebooks_data_reordered!$A:$I, 2, FALSE)</f>
        <v>#N/A</v>
      </c>
      <c r="H47" t="e">
        <f>VLOOKUP($F47, codebooks_data_reordered!$A:$I, 3, FALSE)</f>
        <v>#N/A</v>
      </c>
      <c r="I47" t="e">
        <f>VLOOKUP($F47, codebooks_data_reordered!$A:$I, 4, FALSE)</f>
        <v>#N/A</v>
      </c>
      <c r="J47" t="e">
        <f>VLOOKUP($F47, codebooks_data_reordered!$A:$I, 5, FALSE)</f>
        <v>#N/A</v>
      </c>
      <c r="K47" t="e">
        <f>VLOOKUP($F47, codebooks_data_reordered!$A:$I, 6, FALSE)</f>
        <v>#N/A</v>
      </c>
      <c r="L47" t="e">
        <f>VLOOKUP($F47, codebooks_data_reordered!$A:$I, 7, FALSE)</f>
        <v>#N/A</v>
      </c>
      <c r="M47" t="e">
        <f>VLOOKUP($F47, codebooks_data_reordered!$A:$I, 9, FALSE)</f>
        <v>#N/A</v>
      </c>
      <c r="N47" t="s">
        <v>9398</v>
      </c>
      <c r="O47" t="e">
        <f t="shared" si="0"/>
        <v>#N/A</v>
      </c>
    </row>
    <row r="48" spans="1:15" ht="187.2" hidden="1" x14ac:dyDescent="0.3">
      <c r="A48" t="s">
        <v>5840</v>
      </c>
      <c r="B48" t="s">
        <v>5968</v>
      </c>
      <c r="C48" s="2" t="s">
        <v>5969</v>
      </c>
      <c r="D48" t="s">
        <v>5843</v>
      </c>
      <c r="E48" s="2" t="s">
        <v>5970</v>
      </c>
      <c r="F48" t="s">
        <v>4192</v>
      </c>
      <c r="G48" t="str">
        <f>VLOOKUP($F48, codebooks_data_reordered!$A:$I, 2, FALSE)</f>
        <v>1981_1</v>
      </c>
      <c r="H48" t="str">
        <f>VLOOKUP($F48, codebooks_data_reordered!$A:$I, 3, FALSE)</f>
        <v>CHARACTERIZATION OF MOSHE DAYAN, GRADED SCALE 1-6</v>
      </c>
      <c r="I48" t="str">
        <f>VLOOKUP($F48, codebooks_data_reordered!$A:$I, 4, FALSE)</f>
        <v>1</v>
      </c>
      <c r="J48" t="str">
        <f>VLOOKUP($F48, codebooks_data_reordered!$A:$I, 5, FALSE)</f>
        <v>140</v>
      </c>
      <c r="K48" t="str">
        <f>VLOOKUP($F48, codebooks_data_reordered!$A:$I, 6, FALSE)</f>
        <v>Year of Aliyah (immigration)</v>
      </c>
      <c r="L48">
        <f>VLOOKUP($F48, codebooks_data_reordered!$A:$I, 7, FALSE)</f>
        <v>0</v>
      </c>
      <c r="M48" t="str">
        <f>VLOOKUP($F48, codebooks_data_reordered!$A:$I, 9, FALSE)</f>
        <v>0: 1980+; 1: Born in Israel; 2: Before 1948; 3: 1948-1954; 4: 1955-1960; 5: 1961-1966; 6: 1967-1972; 7: 1973-1977; 8: 1978-1978</v>
      </c>
      <c r="O48" s="2" t="str">
        <f t="shared" si="0"/>
        <v>0: 1980+
 1: Born in Israel
 2: Before 1948
 3: 1948-1954
 4: 1955-1960
 5: 1961-1966
 6: 1967-1972
 7: 1973-1977
 8: 1978-1978</v>
      </c>
    </row>
    <row r="49" spans="1:15" ht="187.2" hidden="1" x14ac:dyDescent="0.3">
      <c r="A49" t="s">
        <v>5840</v>
      </c>
      <c r="B49" t="s">
        <v>5971</v>
      </c>
      <c r="C49" s="2" t="s">
        <v>5972</v>
      </c>
      <c r="D49" t="s">
        <v>5843</v>
      </c>
      <c r="E49" s="2" t="s">
        <v>5973</v>
      </c>
      <c r="F49" t="s">
        <v>9175</v>
      </c>
      <c r="G49" t="e">
        <f>VLOOKUP($F49, codebooks_data_reordered!$A:$I, 2, FALSE)</f>
        <v>#N/A</v>
      </c>
      <c r="H49" t="e">
        <f>VLOOKUP($F49, codebooks_data_reordered!$A:$I, 3, FALSE)</f>
        <v>#N/A</v>
      </c>
      <c r="I49" t="e">
        <f>VLOOKUP($F49, codebooks_data_reordered!$A:$I, 4, FALSE)</f>
        <v>#N/A</v>
      </c>
      <c r="J49" t="e">
        <f>VLOOKUP($F49, codebooks_data_reordered!$A:$I, 5, FALSE)</f>
        <v>#N/A</v>
      </c>
      <c r="K49" t="e">
        <f>VLOOKUP($F49, codebooks_data_reordered!$A:$I, 6, FALSE)</f>
        <v>#N/A</v>
      </c>
      <c r="L49" t="e">
        <f>VLOOKUP($F49, codebooks_data_reordered!$A:$I, 7, FALSE)</f>
        <v>#N/A</v>
      </c>
      <c r="M49" t="e">
        <f>VLOOKUP($F49, codebooks_data_reordered!$A:$I, 9, FALSE)</f>
        <v>#N/A</v>
      </c>
      <c r="O49" t="e">
        <f t="shared" si="0"/>
        <v>#N/A</v>
      </c>
    </row>
    <row r="50" spans="1:15" ht="187.2" hidden="1" x14ac:dyDescent="0.3">
      <c r="A50" t="s">
        <v>5840</v>
      </c>
      <c r="B50" t="s">
        <v>5974</v>
      </c>
      <c r="C50" s="2" t="s">
        <v>5969</v>
      </c>
      <c r="D50" t="s">
        <v>5843</v>
      </c>
      <c r="E50" s="2" t="s">
        <v>5970</v>
      </c>
      <c r="F50" t="s">
        <v>229</v>
      </c>
      <c r="G50" t="str">
        <f>VLOOKUP($F50, codebooks_data_reordered!$A:$I, 2, FALSE)</f>
        <v>2006</v>
      </c>
      <c r="H50" t="str">
        <f>VLOOKUP($F50, codebooks_data_reordered!$A:$I, 3, FALSE)</f>
        <v>Agree/Disagree with the Different Statements</v>
      </c>
      <c r="I50" t="str">
        <f>VLOOKUP($F50, codebooks_data_reordered!$A:$I, 4, FALSE)</f>
        <v>1</v>
      </c>
      <c r="J50" t="str">
        <f>VLOOKUP($F50, codebooks_data_reordered!$A:$I, 5, FALSE)</f>
        <v>58</v>
      </c>
      <c r="K50" t="str">
        <f>VLOOKUP($F50, codebooks_data_reordered!$A:$I, 6, FALSE)</f>
        <v>Affect government policy</v>
      </c>
      <c r="L50" t="str">
        <f>VLOOKUP($F50, codebooks_data_reordered!$A:$I, 7, FALSE)</f>
        <v>54. To what extent can you and your friends effect government policy?</v>
      </c>
      <c r="M50" t="str">
        <f>VLOOKUP($F50, codebooks_data_reordered!$A:$I, 9, FALSE)</f>
        <v>1: A great amount; 2: A certain amount; 3: A small amount; 4: Not at all</v>
      </c>
      <c r="O50" s="2" t="str">
        <f t="shared" si="0"/>
        <v>1: A great amount
 2: A certain amount
 3: A small amount
 4: Not at all</v>
      </c>
    </row>
    <row r="51" spans="1:15" ht="273.60000000000002" hidden="1" x14ac:dyDescent="0.3">
      <c r="A51" t="s">
        <v>5840</v>
      </c>
      <c r="B51" t="s">
        <v>5975</v>
      </c>
      <c r="C51" s="2" t="s">
        <v>5976</v>
      </c>
      <c r="D51" t="s">
        <v>5843</v>
      </c>
      <c r="E51" s="2" t="s">
        <v>5977</v>
      </c>
      <c r="F51" t="s">
        <v>4446</v>
      </c>
      <c r="G51" t="str">
        <f>VLOOKUP($F51, codebooks_data_reordered!$A:$I, 2, FALSE)</f>
        <v>1981_3</v>
      </c>
      <c r="H51" t="str">
        <f>VLOOKUP($F51, codebooks_data_reordered!$A:$I, 3, FALSE)</f>
        <v>INTERVIEWEE EVALUATION OF THE STATE OF ISRAEL</v>
      </c>
      <c r="I51" t="str">
        <f>VLOOKUP($F51, codebooks_data_reordered!$A:$I, 4, FALSE)</f>
        <v>1</v>
      </c>
      <c r="J51" t="str">
        <f>VLOOKUP($F51, codebooks_data_reordered!$A:$I, 5, FALSE)</f>
        <v>168</v>
      </c>
      <c r="K51" t="str">
        <f>VLOOKUP($F51, codebooks_data_reordered!$A:$I, 6, FALSE)</f>
        <v>Political tendency interviewee identifies with</v>
      </c>
      <c r="L51">
        <f>VLOOKUP($F51, codebooks_data_reordered!$A:$I, 7, FALSE)</f>
        <v>0</v>
      </c>
      <c r="M51" t="str">
        <f>VLOOKUP($F51, codebooks_data_reordered!$A:$I, 9, FALSE)</f>
        <v>1: Left; 2: Moderate left; 3: Center; 4: Moderate right; 5: Right; 6: Religious; 7: Does not identify with any tendency</v>
      </c>
      <c r="O51" s="2" t="str">
        <f t="shared" si="0"/>
        <v>1: Left
 2: Moderate left
 3: Center
 4: Moderate right
 5: Right
 6: Religious
 7: Does not identify with any tendency</v>
      </c>
    </row>
    <row r="52" spans="1:15" ht="259.2" hidden="1" x14ac:dyDescent="0.3">
      <c r="A52" t="s">
        <v>5840</v>
      </c>
      <c r="B52" t="s">
        <v>5978</v>
      </c>
      <c r="C52" s="2" t="s">
        <v>5979</v>
      </c>
      <c r="D52" t="s">
        <v>5843</v>
      </c>
      <c r="E52" s="2" t="s">
        <v>5980</v>
      </c>
      <c r="F52" t="s">
        <v>4429</v>
      </c>
      <c r="G52" t="str">
        <f>VLOOKUP($F52, codebooks_data_reordered!$A:$I, 2, FALSE)</f>
        <v>1981_3</v>
      </c>
      <c r="H52" t="str">
        <f>VLOOKUP($F52, codebooks_data_reordered!$A:$I, 3, FALSE)</f>
        <v>INTERVIEWEE EVALUATION OF THE STATE OF ISRAEL</v>
      </c>
      <c r="I52" t="str">
        <f>VLOOKUP($F52, codebooks_data_reordered!$A:$I, 4, FALSE)</f>
        <v>1</v>
      </c>
      <c r="J52" t="str">
        <f>VLOOKUP($F52, codebooks_data_reordered!$A:$I, 5, FALSE)</f>
        <v>155</v>
      </c>
      <c r="K52" t="str">
        <f>VLOOKUP($F52, codebooks_data_reordered!$A:$I, 6, FALSE)</f>
        <v>Number of times interviewee goes to synagogue during the year</v>
      </c>
      <c r="L52">
        <f>VLOOKUP($F52, codebooks_data_reordered!$A:$I, 7, FALSE)</f>
        <v>0</v>
      </c>
      <c r="M52" t="str">
        <f>VLOOKUP($F52, codebooks_data_reordered!$A:$I, 9, FALSE)</f>
        <v>1: Every day; 2: Almost every Sabbath and holiday; 3: A few times; 4: Only on Yom Kippur; 5: Never</v>
      </c>
      <c r="O52" s="2" t="str">
        <f t="shared" si="0"/>
        <v>1: Every day
 2: Almost every Sabbath and holiday
 3: A few times
 4: Only on Yom Kippur
 5: Never</v>
      </c>
    </row>
    <row r="53" spans="1:15" ht="144" hidden="1" x14ac:dyDescent="0.3">
      <c r="A53" t="s">
        <v>5840</v>
      </c>
      <c r="B53" t="s">
        <v>5981</v>
      </c>
      <c r="C53" s="2" t="s">
        <v>5982</v>
      </c>
      <c r="D53" t="s">
        <v>5843</v>
      </c>
      <c r="E53" s="2" t="s">
        <v>5983</v>
      </c>
      <c r="F53" t="s">
        <v>4431</v>
      </c>
      <c r="G53" t="str">
        <f>VLOOKUP($F53, codebooks_data_reordered!$A:$I, 2, FALSE)</f>
        <v>1981_3</v>
      </c>
      <c r="H53" t="str">
        <f>VLOOKUP($F53, codebooks_data_reordered!$A:$I, 3, FALSE)</f>
        <v>INTERVIEWEE EVALUATION OF THE STATE OF ISRAEL</v>
      </c>
      <c r="I53" t="str">
        <f>VLOOKUP($F53, codebooks_data_reordered!$A:$I, 4, FALSE)</f>
        <v>1</v>
      </c>
      <c r="J53" t="str">
        <f>VLOOKUP($F53, codebooks_data_reordered!$A:$I, 5, FALSE)</f>
        <v>156</v>
      </c>
      <c r="K53" t="str">
        <f>VLOOKUP($F53, codebooks_data_reordered!$A:$I, 6, FALSE)</f>
        <v>Number of rooms in dwelling</v>
      </c>
      <c r="L53">
        <f>VLOOKUP($F53, codebooks_data_reordered!$A:$I, 7, FALSE)</f>
        <v>0</v>
      </c>
      <c r="M53" t="str">
        <f>VLOOKUP($F53, codebooks_data_reordered!$A:$I, 9, FALSE)</f>
        <v>1: One room; 2: 2; 3: 3; 4: 4; 5: 5; 6: 6; 7: 7; 8: 8; 9: 9+</v>
      </c>
      <c r="O53" s="2" t="str">
        <f t="shared" si="0"/>
        <v>1: One room
 2: 2
 3: 3
 4: 4
 5: 5
 6: 6
 7: 7
 8: 8
 9: 9+</v>
      </c>
    </row>
    <row r="54" spans="1:15" ht="43.2" hidden="1" x14ac:dyDescent="0.3">
      <c r="A54" t="s">
        <v>5840</v>
      </c>
      <c r="B54" t="s">
        <v>5984</v>
      </c>
      <c r="C54" s="2" t="s">
        <v>5985</v>
      </c>
      <c r="D54" t="s">
        <v>5986</v>
      </c>
      <c r="E54" s="2" t="s">
        <v>5987</v>
      </c>
      <c r="F54" t="s">
        <v>735</v>
      </c>
      <c r="G54" t="str">
        <f>VLOOKUP($F54, codebooks_data_reordered!$A:$I, 2, FALSE)</f>
        <v>2006</v>
      </c>
      <c r="H54" t="str">
        <f>VLOOKUP($F54, codebooks_data_reordered!$A:$I, 3, FALSE)</f>
        <v>Self-identity</v>
      </c>
      <c r="I54" t="str">
        <f>VLOOKUP($F54, codebooks_data_reordered!$A:$I, 4, FALSE)</f>
        <v>1</v>
      </c>
      <c r="J54" t="str">
        <f>VLOOKUP($F54, codebooks_data_reordered!$A:$I, 5, FALSE)</f>
        <v>266</v>
      </c>
      <c r="K54" t="str">
        <f>VLOOKUP($F54, codebooks_data_reordered!$A:$I, 6, FALSE)</f>
        <v>Minimum threshold for representation in the Knesset</v>
      </c>
      <c r="L54" t="str">
        <f>VLOOKUP($F54, codebooks_data_reordered!$A:$I, 7, FALSE)</f>
        <v>51. To the best of your knowledge, what is the minimum threshold for representation in the Knesset?</v>
      </c>
      <c r="M54" t="str">
        <f>VLOOKUP($F54, codebooks_data_reordered!$A:$I, 9, FALSE)</f>
        <v>1: 2%; 2: Wrong answer; 8: Don't know</v>
      </c>
      <c r="O54" s="2" t="str">
        <f t="shared" si="0"/>
        <v>1: 2%
 2: Wrong answer
 8: Don't know</v>
      </c>
    </row>
    <row r="55" spans="1:15" ht="72" hidden="1" x14ac:dyDescent="0.3">
      <c r="A55" t="s">
        <v>5840</v>
      </c>
      <c r="B55" t="s">
        <v>5988</v>
      </c>
      <c r="C55" s="2" t="s">
        <v>5989</v>
      </c>
      <c r="D55" t="s">
        <v>5843</v>
      </c>
      <c r="E55" s="2" t="s">
        <v>5990</v>
      </c>
      <c r="F55" t="s">
        <v>237</v>
      </c>
      <c r="G55" t="str">
        <f>VLOOKUP($F55, codebooks_data_reordered!$A:$I, 2, FALSE)</f>
        <v>2006</v>
      </c>
      <c r="H55" t="str">
        <f>VLOOKUP($F55, codebooks_data_reordered!$A:$I, 3, FALSE)</f>
        <v>Personal Status</v>
      </c>
      <c r="I55" t="str">
        <f>VLOOKUP($F55, codebooks_data_reordered!$A:$I, 4, FALSE)</f>
        <v>1</v>
      </c>
      <c r="J55" t="str">
        <f>VLOOKUP($F55, codebooks_data_reordered!$A:$I, 5, FALSE)</f>
        <v>60</v>
      </c>
      <c r="K55" t="str">
        <f>VLOOKUP($F55, codebooks_data_reordered!$A:$I, 6, FALSE)</f>
        <v>Your personal status 5 years ago</v>
      </c>
      <c r="L55" t="str">
        <f>VLOOKUP($F55, codebooks_data_reordered!$A:$I, 7, FALSE)</f>
        <v>Here you have a 9 stages scale describing different situations a person can be on. The top of the ladder is 9 and that is the best possible situation that you can think of and 1 is the worst. On which rank would you place yourself?</v>
      </c>
      <c r="M55" t="str">
        <f>VLOOKUP($F55, codebooks_data_reordered!$A:$I, 9, FALSE)</f>
        <v>1: Worst; 9: Best</v>
      </c>
      <c r="O55" s="2" t="str">
        <f t="shared" si="0"/>
        <v>1: Worst
 9: Best</v>
      </c>
    </row>
    <row r="56" spans="1:15" ht="100.8" hidden="1" x14ac:dyDescent="0.3">
      <c r="A56" t="s">
        <v>5840</v>
      </c>
      <c r="B56" t="s">
        <v>5991</v>
      </c>
      <c r="C56" s="2" t="s">
        <v>5992</v>
      </c>
      <c r="D56" t="s">
        <v>5843</v>
      </c>
      <c r="E56" s="2" t="s">
        <v>5993</v>
      </c>
      <c r="F56" t="s">
        <v>727</v>
      </c>
      <c r="G56" t="str">
        <f>VLOOKUP($F56, codebooks_data_reordered!$A:$I, 2, FALSE)</f>
        <v>2006</v>
      </c>
      <c r="H56" t="str">
        <f>VLOOKUP($F56, codebooks_data_reordered!$A:$I, 3, FALSE)</f>
        <v>Self-identity</v>
      </c>
      <c r="I56" t="str">
        <f>VLOOKUP($F56, codebooks_data_reordered!$A:$I, 4, FALSE)</f>
        <v>1</v>
      </c>
      <c r="J56" t="str">
        <f>VLOOKUP($F56, codebooks_data_reordered!$A:$I, 5, FALSE)</f>
        <v>264</v>
      </c>
      <c r="K56" t="str">
        <f>VLOOKUP($F56, codebooks_data_reordered!$A:$I, 6, FALSE)</f>
        <v>Self-identity for Arabs (third)</v>
      </c>
      <c r="L56" t="str">
        <f>VLOOKUP($F56, codebooks_data_reordered!$A:$I, 7, FALSE)</f>
        <v>(for Arabs): Which of the following concepts best defines your identity? (read) and the second? And the third? And the fourth?</v>
      </c>
      <c r="M56" t="str">
        <f>VLOOKUP($F56, codebooks_data_reordered!$A:$I, 9, FALSE)</f>
        <v>1: Israeli; 2: Palestinian; 3: Arab; 4: Muslim/Christian/Druze</v>
      </c>
      <c r="O56" s="2" t="str">
        <f t="shared" si="0"/>
        <v>1: Israeli
 2: Palestinian
 3: Arab
 4: Muslim/Christian/Druze</v>
      </c>
    </row>
    <row r="57" spans="1:15" ht="86.4" hidden="1" x14ac:dyDescent="0.3">
      <c r="A57" t="s">
        <v>5840</v>
      </c>
      <c r="B57" t="s">
        <v>5994</v>
      </c>
      <c r="C57" s="2" t="s">
        <v>5995</v>
      </c>
      <c r="D57" t="s">
        <v>5843</v>
      </c>
      <c r="E57" s="2" t="s">
        <v>5996</v>
      </c>
      <c r="F57" t="s">
        <v>9176</v>
      </c>
      <c r="G57" t="e">
        <f>VLOOKUP($F57, codebooks_data_reordered!$A:$I, 2, FALSE)</f>
        <v>#N/A</v>
      </c>
      <c r="H57" t="e">
        <f>VLOOKUP($F57, codebooks_data_reordered!$A:$I, 3, FALSE)</f>
        <v>#N/A</v>
      </c>
      <c r="I57" t="e">
        <f>VLOOKUP($F57, codebooks_data_reordered!$A:$I, 4, FALSE)</f>
        <v>#N/A</v>
      </c>
      <c r="J57" t="e">
        <f>VLOOKUP($F57, codebooks_data_reordered!$A:$I, 5, FALSE)</f>
        <v>#N/A</v>
      </c>
      <c r="K57" t="e">
        <f>VLOOKUP($F57, codebooks_data_reordered!$A:$I, 6, FALSE)</f>
        <v>#N/A</v>
      </c>
      <c r="L57" t="e">
        <f>VLOOKUP($F57, codebooks_data_reordered!$A:$I, 7, FALSE)</f>
        <v>#N/A</v>
      </c>
      <c r="M57" t="e">
        <f>VLOOKUP($F57, codebooks_data_reordered!$A:$I, 9, FALSE)</f>
        <v>#N/A</v>
      </c>
      <c r="O57" t="e">
        <f t="shared" si="0"/>
        <v>#N/A</v>
      </c>
    </row>
    <row r="58" spans="1:15" ht="72" hidden="1" x14ac:dyDescent="0.3">
      <c r="A58" t="s">
        <v>5840</v>
      </c>
      <c r="B58" t="s">
        <v>5997</v>
      </c>
      <c r="C58" s="2" t="s">
        <v>5998</v>
      </c>
      <c r="D58" t="s">
        <v>5843</v>
      </c>
      <c r="E58" s="2" t="s">
        <v>5999</v>
      </c>
      <c r="F58" t="s">
        <v>3477</v>
      </c>
      <c r="G58" t="str">
        <f>VLOOKUP($F58, codebooks_data_reordered!$A:$I, 2, FALSE)</f>
        <v>2003</v>
      </c>
      <c r="H58" t="str">
        <f>VLOOKUP($F58, codebooks_data_reordered!$A:$I, 3, FALSE)</f>
        <v>Respondent's demographic details</v>
      </c>
      <c r="I58" t="str">
        <f>VLOOKUP($F58, codebooks_data_reordered!$A:$I, 4, FALSE)</f>
        <v>1</v>
      </c>
      <c r="J58" t="str">
        <f>VLOOKUP($F58, codebooks_data_reordered!$A:$I, 5, FALSE)</f>
        <v>198</v>
      </c>
      <c r="K58" t="str">
        <f>VLOOKUP($F58, codebooks_data_reordered!$A:$I, 6, FALSE)</f>
        <v>Social class (self identified)</v>
      </c>
      <c r="L58" t="str">
        <f>VLOOKUP($F58, codebooks_data_reordered!$A:$I, 7, FALSE)</f>
        <v>To which social class do you belong?</v>
      </c>
      <c r="M58" t="str">
        <f>VLOOKUP($F58, codebooks_data_reordered!$A:$I, 9, FALSE)</f>
        <v>1: Upper class; 2: Middle upper; 3: Middle; 4: Lower</v>
      </c>
      <c r="O58" s="2" t="str">
        <f t="shared" si="0"/>
        <v>1: Upper class
 2: Middle upper
 3: Middle
 4: Lower</v>
      </c>
    </row>
    <row r="59" spans="1:15" ht="57.6" hidden="1" x14ac:dyDescent="0.3">
      <c r="A59" t="s">
        <v>5840</v>
      </c>
      <c r="B59" t="s">
        <v>6000</v>
      </c>
      <c r="C59" s="2" t="s">
        <v>6001</v>
      </c>
      <c r="D59" t="s">
        <v>5843</v>
      </c>
      <c r="E59" s="2" t="s">
        <v>6002</v>
      </c>
      <c r="F59" t="s">
        <v>424</v>
      </c>
      <c r="G59" t="str">
        <f>VLOOKUP($F59, codebooks_data_reordered!$A:$I, 2, FALSE)</f>
        <v>2006</v>
      </c>
      <c r="H59" t="str">
        <f>VLOOKUP($F59, codebooks_data_reordered!$A:$I, 3, FALSE)</f>
        <v>State expenditures on Different Issues</v>
      </c>
      <c r="I59" t="str">
        <f>VLOOKUP($F59, codebooks_data_reordered!$A:$I, 4, FALSE)</f>
        <v>1</v>
      </c>
      <c r="J59" t="str">
        <f>VLOOKUP($F59, codebooks_data_reordered!$A:$I, 5, FALSE)</f>
        <v>138</v>
      </c>
      <c r="K59" t="str">
        <f>VLOOKUP($F59, codebooks_data_reordered!$A:$I, 6, FALSE)</f>
        <v>State expenditures on Ecology</v>
      </c>
      <c r="L59" t="str">
        <f>VLOOKUP($F59, codebooks_data_reordered!$A:$I, 7, FALSE)</f>
        <v>Should the country spend more money, less money or the same as it does today on the following issues:</v>
      </c>
      <c r="M59" t="str">
        <f>VLOOKUP($F59, codebooks_data_reordered!$A:$I, 9, FALSE)</f>
        <v>1: More; 2: Less; 3: The same as today</v>
      </c>
      <c r="O59" s="2" t="str">
        <f t="shared" si="0"/>
        <v>1: More
 2: Less
 3: The same as today</v>
      </c>
    </row>
    <row r="60" spans="1:15" ht="144" hidden="1" x14ac:dyDescent="0.3">
      <c r="A60" t="s">
        <v>5840</v>
      </c>
      <c r="B60" t="s">
        <v>6003</v>
      </c>
      <c r="C60" s="2" t="s">
        <v>6004</v>
      </c>
      <c r="D60" t="s">
        <v>5843</v>
      </c>
      <c r="E60" s="2" t="s">
        <v>6005</v>
      </c>
      <c r="F60" t="s">
        <v>4203</v>
      </c>
      <c r="G60" t="str">
        <f>VLOOKUP($F60, codebooks_data_reordered!$A:$I, 2, FALSE)</f>
        <v>1981_1</v>
      </c>
      <c r="H60" t="str">
        <f>VLOOKUP($F60, codebooks_data_reordered!$A:$I, 3, FALSE)</f>
        <v>CHARACTERIZATION OF MOSHE DAYAN, GRADED SCALE 1-6</v>
      </c>
      <c r="I60" t="str">
        <f>VLOOKUP($F60, codebooks_data_reordered!$A:$I, 4, FALSE)</f>
        <v>1</v>
      </c>
      <c r="J60" t="str">
        <f>VLOOKUP($F60, codebooks_data_reordered!$A:$I, 5, FALSE)</f>
        <v>145</v>
      </c>
      <c r="K60" t="str">
        <f>VLOOKUP($F60, codebooks_data_reordered!$A:$I, 6, FALSE)</f>
        <v>Observes religious traditions</v>
      </c>
      <c r="L60">
        <f>VLOOKUP($F60, codebooks_data_reordered!$A:$I, 7, FALSE)</f>
        <v>0</v>
      </c>
      <c r="M60" t="str">
        <f>VLOOKUP($F60, codebooks_data_reordered!$A:$I, 9, FALSE)</f>
        <v>1: Observes them strictly; 2: To a great extent; 3: To some extent; 4: Secular</v>
      </c>
      <c r="O60" s="2" t="str">
        <f t="shared" si="0"/>
        <v>1: Observes them strictly
 2: To a great extent
 3: To some extent
 4: Secular</v>
      </c>
    </row>
    <row r="61" spans="1:15" ht="100.8" hidden="1" x14ac:dyDescent="0.3">
      <c r="A61" t="s">
        <v>5840</v>
      </c>
      <c r="B61" t="s">
        <v>6006</v>
      </c>
      <c r="C61" s="2" t="s">
        <v>6007</v>
      </c>
      <c r="D61" t="s">
        <v>5843</v>
      </c>
      <c r="E61" s="2" t="s">
        <v>6008</v>
      </c>
      <c r="F61" t="s">
        <v>4216</v>
      </c>
      <c r="G61" t="str">
        <f>VLOOKUP($F61, codebooks_data_reordered!$A:$I, 2, FALSE)</f>
        <v>1981_1</v>
      </c>
      <c r="H61" t="str">
        <f>VLOOKUP($F61, codebooks_data_reordered!$A:$I, 3, FALSE)</f>
        <v>CHARACTERIZATION OF MOSHE DAYAN, GRADED SCALE 1-6</v>
      </c>
      <c r="I61" t="str">
        <f>VLOOKUP($F61, codebooks_data_reordered!$A:$I, 4, FALSE)</f>
        <v>1</v>
      </c>
      <c r="J61" t="str">
        <f>VLOOKUP($F61, codebooks_data_reordered!$A:$I, 5, FALSE)</f>
        <v>151</v>
      </c>
      <c r="K61" t="str">
        <f>VLOOKUP($F61, codebooks_data_reordered!$A:$I, 6, FALSE)</f>
        <v>Radio station interviewee usually listens to</v>
      </c>
      <c r="L61">
        <f>VLOOKUP($F61, codebooks_data_reordered!$A:$I, 7, FALSE)</f>
        <v>0</v>
      </c>
      <c r="M61" t="str">
        <f>VLOOKUP($F61, codebooks_data_reordered!$A:$I, 9, FALSE)</f>
        <v>1: The light wave (HaGal HaKal); 2: Reshet Gimel; 3: Galei Tzahal; 4: Reshet Aleph; 5: Kol HaShalom; 6: Does not listen to radio</v>
      </c>
      <c r="O61" s="2" t="str">
        <f t="shared" si="0"/>
        <v>1: The light wave (HaGal HaKal)
 2: Reshet Gimel
 3: Galei Tzahal
 4: Reshet Aleph
 5: Kol HaShalom
 6: Does not listen to radio</v>
      </c>
    </row>
    <row r="62" spans="1:15" ht="158.4" hidden="1" x14ac:dyDescent="0.3">
      <c r="A62" t="s">
        <v>5840</v>
      </c>
      <c r="B62" t="s">
        <v>6009</v>
      </c>
      <c r="C62" s="2" t="s">
        <v>6010</v>
      </c>
      <c r="D62" t="s">
        <v>5843</v>
      </c>
      <c r="E62" s="2" t="s">
        <v>6011</v>
      </c>
      <c r="F62" t="s">
        <v>3162</v>
      </c>
      <c r="G62" t="str">
        <f>VLOOKUP($F62, codebooks_data_reordered!$A:$I, 2, FALSE)</f>
        <v>1988_Panel_N=416</v>
      </c>
      <c r="H62" t="str">
        <f>VLOOKUP($F62, codebooks_data_reordered!$A:$I, 3, FALSE)</f>
        <v>THE EXTENT OF APPROVAL OF THE FOLLOWING</v>
      </c>
      <c r="I62" t="str">
        <f>VLOOKUP($F62, codebooks_data_reordered!$A:$I, 4, FALSE)</f>
        <v>1</v>
      </c>
      <c r="J62" t="str">
        <f>VLOOKUP($F62, codebooks_data_reordered!$A:$I, 5, FALSE)</f>
        <v>124</v>
      </c>
      <c r="K62" t="str">
        <f>VLOOKUP($F62, codebooks_data_reordered!$A:$I, 6, FALSE)</f>
        <v>The best defense is offense</v>
      </c>
      <c r="L62">
        <f>VLOOKUP($F62, codebooks_data_reordered!$A:$I, 7, FALSE)</f>
        <v>0</v>
      </c>
      <c r="M62" t="str">
        <f>VLOOKUP($F62, codebooks_data_reordered!$A:$I, 9, FALSE)</f>
        <v>1: Definitely agrees; 2: Agrees; 3: Disagrees; 4: Definitely disagrees</v>
      </c>
      <c r="O62" s="2" t="str">
        <f t="shared" si="0"/>
        <v>1: Definitely agrees
 2: Agrees
 3: Disagrees
 4: Definitely disagrees</v>
      </c>
    </row>
    <row r="63" spans="1:15" ht="100.8" hidden="1" x14ac:dyDescent="0.3">
      <c r="A63" t="s">
        <v>5840</v>
      </c>
      <c r="B63" t="s">
        <v>6012</v>
      </c>
      <c r="C63" s="2" t="s">
        <v>6013</v>
      </c>
      <c r="D63" t="s">
        <v>5843</v>
      </c>
      <c r="E63" s="2" t="s">
        <v>6014</v>
      </c>
      <c r="F63" t="s">
        <v>2053</v>
      </c>
      <c r="G63" t="str">
        <f>VLOOKUP($F63, codebooks_data_reordered!$A:$I, 2, FALSE)</f>
        <v>1999_1</v>
      </c>
      <c r="H63" t="str">
        <f>VLOOKUP($F63, codebooks_data_reordered!$A:$I, 3, FALSE)</f>
        <v>MAIN POLITICAL ISSUES</v>
      </c>
      <c r="I63" t="str">
        <f>VLOOKUP($F63, codebooks_data_reordered!$A:$I, 4, FALSE)</f>
        <v>2</v>
      </c>
      <c r="J63" t="str">
        <f>VLOOKUP($F63, codebooks_data_reordered!$A:$I, 5, FALSE)</f>
        <v>56</v>
      </c>
      <c r="K63" t="str">
        <f>VLOOKUP($F63, codebooks_data_reordered!$A:$I, 6, FALSE)</f>
        <v>Ethnic discrimination in Israel</v>
      </c>
      <c r="L63">
        <f>VLOOKUP($F63, codebooks_data_reordered!$A:$I, 7, FALSE)</f>
        <v>0</v>
      </c>
      <c r="M63" t="str">
        <f>VLOOKUP($F63, codebooks_data_reordered!$A:$I, 9, FALSE)</f>
        <v>1: A great amount of discrimination; 2: Much discrimination; 3: Some discrimination; 4: Very little discrimination; 5: No discrimination at all</v>
      </c>
      <c r="O63" s="2" t="str">
        <f t="shared" si="0"/>
        <v>1: A great amount of discrimination
 2: Much discrimination
 3: Some discrimination
 4: Very little discrimination
 5: No discrimination at all</v>
      </c>
    </row>
    <row r="64" spans="1:15" ht="273.60000000000002" hidden="1" x14ac:dyDescent="0.3">
      <c r="A64" t="s">
        <v>5840</v>
      </c>
      <c r="B64" t="s">
        <v>6015</v>
      </c>
      <c r="C64" s="2" t="s">
        <v>6016</v>
      </c>
      <c r="D64" t="s">
        <v>5843</v>
      </c>
      <c r="E64" s="2" t="s">
        <v>6017</v>
      </c>
      <c r="F64" t="s">
        <v>4418</v>
      </c>
      <c r="G64" t="str">
        <f>VLOOKUP($F64, codebooks_data_reordered!$A:$I, 2, FALSE)</f>
        <v>1981_3</v>
      </c>
      <c r="H64" t="str">
        <f>VLOOKUP($F64, codebooks_data_reordered!$A:$I, 3, FALSE)</f>
        <v>INTERVIEWEE EVALUATION OF THE STATE OF ISRAEL</v>
      </c>
      <c r="I64" t="str">
        <f>VLOOKUP($F64, codebooks_data_reordered!$A:$I, 4, FALSE)</f>
        <v>1</v>
      </c>
      <c r="J64" t="str">
        <f>VLOOKUP($F64, codebooks_data_reordered!$A:$I, 5, FALSE)</f>
        <v>150</v>
      </c>
      <c r="K64" t="str">
        <f>VLOOKUP($F64, codebooks_data_reordered!$A:$I, 6, FALSE)</f>
        <v>Social class</v>
      </c>
      <c r="L64">
        <f>VLOOKUP($F64, codebooks_data_reordered!$A:$I, 7, FALSE)</f>
        <v>0</v>
      </c>
      <c r="M64" t="str">
        <f>VLOOKUP($F64, codebooks_data_reordered!$A:$I, 9, FALSE)</f>
        <v>1: Upper-middle, upper class; 2: Middle class; 3: Working class; 4: Lower class; 5: Does not belong to any class</v>
      </c>
      <c r="O64" s="2" t="str">
        <f t="shared" si="0"/>
        <v>1: Upper-middle, upper class
 2: Middle class
 3: Working class
 4: Lower class
 5: Does not belong to any class</v>
      </c>
    </row>
    <row r="65" spans="1:15" ht="273.60000000000002" hidden="1" x14ac:dyDescent="0.3">
      <c r="A65" t="s">
        <v>5840</v>
      </c>
      <c r="B65" t="s">
        <v>6018</v>
      </c>
      <c r="C65" s="2" t="s">
        <v>6019</v>
      </c>
      <c r="D65" t="s">
        <v>5843</v>
      </c>
      <c r="E65" s="2" t="s">
        <v>6020</v>
      </c>
      <c r="F65" t="s">
        <v>5087</v>
      </c>
      <c r="G65" t="str">
        <f>VLOOKUP($F65, codebooks_data_reordered!$A:$I, 2, FALSE)</f>
        <v>1973_2</v>
      </c>
      <c r="H65" t="str">
        <f>VLOOKUP($F65, codebooks_data_reordered!$A:$I, 3, FALSE)</f>
        <v>HOW WOULD YOU CLASSFIFY THE OTHER PARTIES BY PROXIMITY TO YOUR VIEWPOINTS</v>
      </c>
      <c r="I65" t="str">
        <f>VLOOKUP($F65, codebooks_data_reordered!$A:$I, 4, FALSE)</f>
        <v>3</v>
      </c>
      <c r="J65" t="str">
        <f>VLOOKUP($F65, codebooks_data_reordered!$A:$I, 5, FALSE)</f>
        <v>25</v>
      </c>
      <c r="K65" t="str">
        <f>VLOOKUP($F65, codebooks_data_reordered!$A:$I, 6, FALSE)</f>
        <v>Age</v>
      </c>
      <c r="L65">
        <f>VLOOKUP($F65, codebooks_data_reordered!$A:$I, 7, FALSE)</f>
        <v>0</v>
      </c>
      <c r="M65" t="str">
        <f>VLOOKUP($F65, codebooks_data_reordered!$A:$I, 9, FALSE)</f>
        <v>1: 20-24; 2: 25-29; 3: 30-34; 4: 35-39; 5: 40-44; 6: 45-49; 7: 50-54; 8: 55-64; 9: 65+</v>
      </c>
      <c r="O65" s="2" t="str">
        <f t="shared" si="0"/>
        <v>1: 20-24
 2: 25-29
 3: 30-34
 4: 35-39
 5: 40-44
 6: 45-49
 7: 50-54
 8: 55-64
 9: 65+</v>
      </c>
    </row>
    <row r="66" spans="1:15" ht="316.8" hidden="1" x14ac:dyDescent="0.3">
      <c r="A66" t="s">
        <v>5840</v>
      </c>
      <c r="B66" t="s">
        <v>6021</v>
      </c>
      <c r="C66" s="2" t="s">
        <v>6022</v>
      </c>
      <c r="D66" t="s">
        <v>5843</v>
      </c>
      <c r="E66" s="2" t="s">
        <v>6023</v>
      </c>
      <c r="F66" t="s">
        <v>680</v>
      </c>
      <c r="G66" t="str">
        <f>VLOOKUP($F66, codebooks_data_reordered!$A:$I, 2, FALSE)</f>
        <v>2006</v>
      </c>
      <c r="H66" t="str">
        <f>VLOOKUP($F66, codebooks_data_reordered!$A:$I, 3, FALSE)</f>
        <v>Different Coalitions after the Elections</v>
      </c>
      <c r="I66" t="str">
        <f>VLOOKUP($F66, codebooks_data_reordered!$A:$I, 4, FALSE)</f>
        <v>1</v>
      </c>
      <c r="J66" t="str">
        <f>VLOOKUP($F66, codebooks_data_reordered!$A:$I, 5, FALSE)</f>
        <v>249-250</v>
      </c>
      <c r="K66" t="str">
        <f>VLOOKUP($F66, codebooks_data_reordered!$A:$I, 6, FALSE)</f>
        <v>Preferable coalition</v>
      </c>
      <c r="L66" t="str">
        <f>VLOOKUP($F66, codebooks_data_reordered!$A:$I, 7, FALSE)</f>
        <v>34. And in the final analysis, among these possibilities, which would you prefer?</v>
      </c>
      <c r="M66" t="str">
        <f>VLOOKUP($F66, codebooks_data_reordered!$A:$I, 9, FALSE)</f>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c r="O66" s="2" t="str">
        <f t="shared" ref="O66:O129" si="1">SUBSTITUTE(M66, ";", CHAR(10))</f>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row>
    <row r="67" spans="1:15" ht="172.8" hidden="1" x14ac:dyDescent="0.3">
      <c r="A67" t="s">
        <v>5840</v>
      </c>
      <c r="B67" t="s">
        <v>6024</v>
      </c>
      <c r="C67" s="2" t="s">
        <v>6025</v>
      </c>
      <c r="D67" t="s">
        <v>5843</v>
      </c>
      <c r="E67" s="2" t="s">
        <v>6026</v>
      </c>
      <c r="F67" t="s">
        <v>814</v>
      </c>
      <c r="G67" t="str">
        <f>VLOOKUP($F67, codebooks_data_reordered!$A:$I, 2, FALSE)</f>
        <v>2006</v>
      </c>
      <c r="H67" t="str">
        <f>VLOOKUP($F67, codebooks_data_reordered!$A:$I, 3, FALSE)</f>
        <v>Rersonal and Household Details</v>
      </c>
      <c r="I67" t="str">
        <f>VLOOKUP($F67, codebooks_data_reordered!$A:$I, 4, FALSE)</f>
        <v>1</v>
      </c>
      <c r="J67" t="str">
        <f>VLOOKUP($F67, codebooks_data_reordered!$A:$I, 5, FALSE)</f>
        <v>294-295</v>
      </c>
      <c r="K67" t="str">
        <f>VLOOKUP($F67, codebooks_data_reordered!$A:$I, 6, FALSE)</f>
        <v>Monthly family expenditure (relative to average of 9,300 NIS)</v>
      </c>
      <c r="L67" t="str">
        <f>VLOOKUP($F67, codebooks_data_reordered!$A:$I, 7, FALSE)</f>
        <v>80. The average monthly expenditure for a family of 4 people was NIS 9,300 last month. Does your family spend:</v>
      </c>
      <c r="M67" t="str">
        <f>VLOOKUP($F67, codebooks_data_reordered!$A:$I, 9, FALSE)</f>
        <v>1: Much more; 2: A little more; 3: About the average; 4: A little less; 5: Much less</v>
      </c>
      <c r="O67" s="2" t="str">
        <f t="shared" si="1"/>
        <v>1: Much more
 2: A little more
 3: About the average
 4: A little less
 5: Much less</v>
      </c>
    </row>
    <row r="68" spans="1:15" ht="216" hidden="1" x14ac:dyDescent="0.3">
      <c r="A68" t="s">
        <v>5840</v>
      </c>
      <c r="B68" t="s">
        <v>6027</v>
      </c>
      <c r="C68" s="2" t="s">
        <v>6028</v>
      </c>
      <c r="D68" t="s">
        <v>5843</v>
      </c>
      <c r="E68" s="2" t="s">
        <v>6029</v>
      </c>
      <c r="F68" t="s">
        <v>3164</v>
      </c>
      <c r="G68" t="str">
        <f>VLOOKUP($F68, codebooks_data_reordered!$A:$I, 2, FALSE)</f>
        <v>1988_Panel_N=416</v>
      </c>
      <c r="H68" t="str">
        <f>VLOOKUP($F68, codebooks_data_reordered!$A:$I, 3, FALSE)</f>
        <v>THE EXTENT OF APPROVAL OF THE FOLLOWING</v>
      </c>
      <c r="I68" t="str">
        <f>VLOOKUP($F68, codebooks_data_reordered!$A:$I, 4, FALSE)</f>
        <v>1</v>
      </c>
      <c r="J68" t="str">
        <f>VLOOKUP($F68, codebooks_data_reordered!$A:$I, 5, FALSE)</f>
        <v>125</v>
      </c>
      <c r="K68" t="str">
        <f>VLOOKUP($F68, codebooks_data_reordered!$A:$I, 6, FALSE)</f>
        <v>Military victory enhances the peace process</v>
      </c>
      <c r="L68">
        <f>VLOOKUP($F68, codebooks_data_reordered!$A:$I, 7, FALSE)</f>
        <v>0</v>
      </c>
      <c r="M68" t="str">
        <f>VLOOKUP($F68, codebooks_data_reordered!$A:$I, 9, FALSE)</f>
        <v>1: Definitely agrees; 2: Agrees; 3: Disagrees; 4: Definitely disagrees</v>
      </c>
      <c r="O68" s="2" t="str">
        <f t="shared" si="1"/>
        <v>1: Definitely agrees
 2: Agrees
 3: Disagrees
 4: Definitely disagrees</v>
      </c>
    </row>
    <row r="69" spans="1:15" ht="144" hidden="1" x14ac:dyDescent="0.3">
      <c r="A69" t="s">
        <v>5840</v>
      </c>
      <c r="B69" t="s">
        <v>6030</v>
      </c>
      <c r="C69" s="2" t="s">
        <v>6031</v>
      </c>
      <c r="D69" t="s">
        <v>5843</v>
      </c>
      <c r="E69" s="2" t="s">
        <v>6032</v>
      </c>
      <c r="F69" t="s">
        <v>645</v>
      </c>
      <c r="G69" t="str">
        <f>VLOOKUP($F69, codebooks_data_reordered!$A:$I, 2, FALSE)</f>
        <v>2006</v>
      </c>
      <c r="H69" t="str">
        <f>VLOOKUP($F69, codebooks_data_reordered!$A:$I, 3, FALSE)</f>
        <v>Different Coalitions after the Elections</v>
      </c>
      <c r="I69" t="str">
        <f>VLOOKUP($F69, codebooks_data_reordered!$A:$I, 4, FALSE)</f>
        <v>1</v>
      </c>
      <c r="J69" t="str">
        <f>VLOOKUP($F69, codebooks_data_reordered!$A:$I, 5, FALSE)</f>
        <v>222-224</v>
      </c>
      <c r="K69" t="str">
        <f>VLOOKUP($F69, codebooks_data_reordered!$A:$I, 6, FALSE)</f>
        <v>Chances for Kadima-Likud-Right coalition</v>
      </c>
      <c r="L69" t="str">
        <f>VLOOKUP($F69,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69">
        <f>VLOOKUP($F69, codebooks_data_reordered!$A:$I, 9, FALSE)</f>
        <v>0</v>
      </c>
      <c r="O69" s="2" t="str">
        <f t="shared" si="1"/>
        <v>0</v>
      </c>
    </row>
    <row r="70" spans="1:15" ht="100.8" hidden="1" x14ac:dyDescent="0.3">
      <c r="A70" t="s">
        <v>5840</v>
      </c>
      <c r="B70" t="s">
        <v>6033</v>
      </c>
      <c r="C70" s="2" t="s">
        <v>5947</v>
      </c>
      <c r="D70" t="s">
        <v>5843</v>
      </c>
      <c r="E70" s="2" t="s">
        <v>5948</v>
      </c>
      <c r="F70" t="s">
        <v>4422</v>
      </c>
      <c r="G70" t="str">
        <f>VLOOKUP($F70, codebooks_data_reordered!$A:$I, 2, FALSE)</f>
        <v>1981_3</v>
      </c>
      <c r="H70" t="str">
        <f>VLOOKUP($F70, codebooks_data_reordered!$A:$I, 3, FALSE)</f>
        <v>INTERVIEWEE EVALUATION OF THE STATE OF ISRAEL</v>
      </c>
      <c r="I70" t="str">
        <f>VLOOKUP($F70, codebooks_data_reordered!$A:$I, 4, FALSE)</f>
        <v>1</v>
      </c>
      <c r="J70" t="str">
        <f>VLOOKUP($F70, codebooks_data_reordered!$A:$I, 5, FALSE)</f>
        <v>152</v>
      </c>
      <c r="K70" t="str">
        <f>VLOOKUP($F70, codebooks_data_reordered!$A:$I, 6, FALSE)</f>
        <v>To what extent interviewee observes religious traditions</v>
      </c>
      <c r="L70">
        <f>VLOOKUP($F70, codebooks_data_reordered!$A:$I, 7, FALSE)</f>
        <v>0</v>
      </c>
      <c r="M70" t="str">
        <f>VLOOKUP($F70, codebooks_data_reordered!$A:$I, 9, FALSE)</f>
        <v>1: Observes them strictly; 2: Observes them to a great extent; 3: Observes some of the traditions; 4: Does not observe them at all, secular</v>
      </c>
      <c r="O70" s="2" t="str">
        <f t="shared" si="1"/>
        <v>1: Observes them strictly
 2: Observes them to a great extent
 3: Observes some of the traditions
 4: Does not observe them at all, secular</v>
      </c>
    </row>
    <row r="71" spans="1:15" ht="43.2" hidden="1" x14ac:dyDescent="0.3">
      <c r="A71" t="s">
        <v>5840</v>
      </c>
      <c r="B71" t="s">
        <v>6034</v>
      </c>
      <c r="C71" s="2" t="s">
        <v>6035</v>
      </c>
      <c r="D71" t="s">
        <v>5843</v>
      </c>
      <c r="E71" s="2" t="s">
        <v>6036</v>
      </c>
      <c r="F71" t="s">
        <v>4424</v>
      </c>
      <c r="G71" t="str">
        <f>VLOOKUP($F71, codebooks_data_reordered!$A:$I, 2, FALSE)</f>
        <v>1981_3</v>
      </c>
      <c r="H71" t="str">
        <f>VLOOKUP($F71, codebooks_data_reordered!$A:$I, 3, FALSE)</f>
        <v>INTERVIEWEE EVALUATION OF THE STATE OF ISRAEL</v>
      </c>
      <c r="I71" t="str">
        <f>VLOOKUP($F71, codebooks_data_reordered!$A:$I, 4, FALSE)</f>
        <v>1</v>
      </c>
      <c r="J71" t="str">
        <f>VLOOKUP($F71, codebooks_data_reordered!$A:$I, 5, FALSE)</f>
        <v>153</v>
      </c>
      <c r="K71" t="str">
        <f>VLOOKUP($F71, codebooks_data_reordered!$A:$I, 6, FALSE)</f>
        <v>Travels on the Sabbath</v>
      </c>
      <c r="L71">
        <f>VLOOKUP($F71, codebooks_data_reordered!$A:$I, 7, FALSE)</f>
        <v>0</v>
      </c>
      <c r="M71" t="str">
        <f>VLOOKUP($F71, codebooks_data_reordered!$A:$I, 9, FALSE)</f>
        <v>1: Yes; 2: No</v>
      </c>
      <c r="O71" s="2" t="str">
        <f t="shared" si="1"/>
        <v>1: Yes
 2: No</v>
      </c>
    </row>
    <row r="72" spans="1:15" ht="129.6" hidden="1" x14ac:dyDescent="0.3">
      <c r="A72" t="s">
        <v>5840</v>
      </c>
      <c r="B72" t="s">
        <v>6037</v>
      </c>
      <c r="C72" s="2" t="s">
        <v>6038</v>
      </c>
      <c r="D72" t="s">
        <v>5843</v>
      </c>
      <c r="E72" s="2" t="s">
        <v>6039</v>
      </c>
      <c r="F72" t="s">
        <v>4426</v>
      </c>
      <c r="G72" t="str">
        <f>VLOOKUP($F72, codebooks_data_reordered!$A:$I, 2, FALSE)</f>
        <v>1981_3</v>
      </c>
      <c r="H72" t="str">
        <f>VLOOKUP($F72, codebooks_data_reordered!$A:$I, 3, FALSE)</f>
        <v>INTERVIEWEE EVALUATION OF THE STATE OF ISRAEL</v>
      </c>
      <c r="I72" t="str">
        <f>VLOOKUP($F72, codebooks_data_reordered!$A:$I, 4, FALSE)</f>
        <v>1</v>
      </c>
      <c r="J72" t="str">
        <f>VLOOKUP($F72, codebooks_data_reordered!$A:$I, 5, FALSE)</f>
        <v>154</v>
      </c>
      <c r="K72" t="str">
        <f>VLOOKUP($F72, codebooks_data_reordered!$A:$I, 6, FALSE)</f>
        <v>Eats only Kosher food</v>
      </c>
      <c r="L72">
        <f>VLOOKUP($F72, codebooks_data_reordered!$A:$I, 7, FALSE)</f>
        <v>0</v>
      </c>
      <c r="M72" t="str">
        <f>VLOOKUP($F72, codebooks_data_reordered!$A:$I, 9, FALSE)</f>
        <v>1: Yes; 2: No</v>
      </c>
      <c r="O72" s="2" t="str">
        <f t="shared" si="1"/>
        <v>1: Yes
 2: No</v>
      </c>
    </row>
    <row r="73" spans="1:15" ht="144" hidden="1" x14ac:dyDescent="0.3">
      <c r="A73" t="s">
        <v>5840</v>
      </c>
      <c r="B73" t="s">
        <v>6040</v>
      </c>
      <c r="C73" s="2" t="s">
        <v>6041</v>
      </c>
      <c r="D73" t="s">
        <v>5843</v>
      </c>
      <c r="E73" s="2" t="s">
        <v>6042</v>
      </c>
      <c r="F73" t="s">
        <v>3170</v>
      </c>
      <c r="G73" t="str">
        <f>VLOOKUP($F73, codebooks_data_reordered!$A:$I, 2, FALSE)</f>
        <v>1988_Panel_N=416</v>
      </c>
      <c r="H73" t="str">
        <f>VLOOKUP($F73, codebooks_data_reordered!$A:$I, 3, FALSE)</f>
        <v>THE EXTENT OF APPROVAL OF THE FOLLOWING</v>
      </c>
      <c r="I73" t="str">
        <f>VLOOKUP($F73, codebooks_data_reordered!$A:$I, 4, FALSE)</f>
        <v>1</v>
      </c>
      <c r="J73" t="str">
        <f>VLOOKUP($F73, codebooks_data_reordered!$A:$I, 5, FALSE)</f>
        <v>127</v>
      </c>
      <c r="K73" t="str">
        <f>VLOOKUP($F73, codebooks_data_reordered!$A:$I, 6, FALSE)</f>
        <v>Should Israel supply non-democratic and hostile states (such as Iran)with weapons</v>
      </c>
      <c r="L73">
        <f>VLOOKUP($F73, codebooks_data_reordered!$A:$I, 7, FALSE)</f>
        <v>0</v>
      </c>
      <c r="M73" t="str">
        <f>VLOOKUP($F73, codebooks_data_reordered!$A:$I, 9, FALSE)</f>
        <v>1: Weapons should be sold to anyone; 2: Weapons should be sold to anyone except to hostile states; 3: Weapons should be sold to states whose regime seems good to us; 4: Weapons should not be sold to other states</v>
      </c>
      <c r="O73" s="2" t="str">
        <f t="shared" si="1"/>
        <v>1: Weapons should be sold to anyone
 2: Weapons should be sold to anyone except to hostile states
 3: Weapons should be sold to states whose regime seems good to us
 4: Weapons should not be sold to other states</v>
      </c>
    </row>
    <row r="74" spans="1:15" ht="57.6" hidden="1" x14ac:dyDescent="0.3">
      <c r="A74" t="s">
        <v>5840</v>
      </c>
      <c r="B74" t="s">
        <v>6043</v>
      </c>
      <c r="C74" s="2" t="s">
        <v>6044</v>
      </c>
      <c r="D74" t="s">
        <v>5843</v>
      </c>
      <c r="E74" s="2" t="s">
        <v>6045</v>
      </c>
      <c r="F74" t="s">
        <v>9177</v>
      </c>
      <c r="G74" t="e">
        <f>VLOOKUP($F74, codebooks_data_reordered!$A:$I, 2, FALSE)</f>
        <v>#N/A</v>
      </c>
      <c r="H74" t="e">
        <f>VLOOKUP($F74, codebooks_data_reordered!$A:$I, 3, FALSE)</f>
        <v>#N/A</v>
      </c>
      <c r="I74" t="e">
        <f>VLOOKUP($F74, codebooks_data_reordered!$A:$I, 4, FALSE)</f>
        <v>#N/A</v>
      </c>
      <c r="J74" t="e">
        <f>VLOOKUP($F74, codebooks_data_reordered!$A:$I, 5, FALSE)</f>
        <v>#N/A</v>
      </c>
      <c r="K74" t="e">
        <f>VLOOKUP($F74, codebooks_data_reordered!$A:$I, 6, FALSE)</f>
        <v>#N/A</v>
      </c>
      <c r="L74" t="e">
        <f>VLOOKUP($F74, codebooks_data_reordered!$A:$I, 7, FALSE)</f>
        <v>#N/A</v>
      </c>
      <c r="M74" t="e">
        <f>VLOOKUP($F74, codebooks_data_reordered!$A:$I, 9, FALSE)</f>
        <v>#N/A</v>
      </c>
      <c r="O74" t="e">
        <f t="shared" si="1"/>
        <v>#N/A</v>
      </c>
    </row>
    <row r="75" spans="1:15" ht="57.6" hidden="1" x14ac:dyDescent="0.3">
      <c r="A75" t="s">
        <v>5840</v>
      </c>
      <c r="B75" t="s">
        <v>6046</v>
      </c>
      <c r="C75" s="2" t="s">
        <v>6047</v>
      </c>
      <c r="D75" t="s">
        <v>5843</v>
      </c>
      <c r="E75" s="2" t="s">
        <v>6048</v>
      </c>
      <c r="F75" t="s">
        <v>788</v>
      </c>
      <c r="G75" t="str">
        <f>VLOOKUP($F75, codebooks_data_reordered!$A:$I, 2, FALSE)</f>
        <v>2006</v>
      </c>
      <c r="H75" t="str">
        <f>VLOOKUP($F75, codebooks_data_reordered!$A:$I, 3, FALSE)</f>
        <v>Rersonal and Household Details</v>
      </c>
      <c r="I75" t="str">
        <f>VLOOKUP($F75, codebooks_data_reordered!$A:$I, 4, FALSE)</f>
        <v>1</v>
      </c>
      <c r="J75" t="str">
        <f>VLOOKUP($F75, codebooks_data_reordered!$A:$I, 5, FALSE)</f>
        <v>282</v>
      </c>
      <c r="K75" t="str">
        <f>VLOOKUP($F75, codebooks_data_reordered!$A:$I, 6, FALSE)</f>
        <v>Russian party participation in elections (only for immigrants from the former USSR)</v>
      </c>
      <c r="L75" t="str">
        <f>VLOOKUP($F75, codebooks_data_reordered!$A:$I, 7, FALSE)</f>
        <v>68. (only for immigrants from the former USSR): would you like to see a Russian party participating in the coming elections?</v>
      </c>
      <c r="M75" t="str">
        <f>VLOOKUP($F75, codebooks_data_reordered!$A:$I, 9, FALSE)</f>
        <v>1: Of course; 2: I think so; 3: I don't think so; 4: Of course not</v>
      </c>
      <c r="O75" s="2" t="str">
        <f t="shared" si="1"/>
        <v>1: Of course
 2: I think so
 3: I don't think so
 4: Of course not</v>
      </c>
    </row>
    <row r="76" spans="1:15" ht="288" hidden="1" x14ac:dyDescent="0.3">
      <c r="A76" t="s">
        <v>5840</v>
      </c>
      <c r="B76" t="s">
        <v>6049</v>
      </c>
      <c r="C76" s="2" t="s">
        <v>5902</v>
      </c>
      <c r="D76" t="s">
        <v>5843</v>
      </c>
      <c r="E76" s="2" t="s">
        <v>5903</v>
      </c>
      <c r="F76" t="s">
        <v>706</v>
      </c>
      <c r="G76" t="str">
        <f>VLOOKUP($F76, codebooks_data_reordered!$A:$I, 2, FALSE)</f>
        <v>2006</v>
      </c>
      <c r="H76" t="str">
        <f>VLOOKUP($F76, codebooks_data_reordered!$A:$I, 3, FALSE)</f>
        <v>Self-identity</v>
      </c>
      <c r="I76" t="str">
        <f>VLOOKUP($F76, codebooks_data_reordered!$A:$I, 4, FALSE)</f>
        <v>1</v>
      </c>
      <c r="J76" t="str">
        <f>VLOOKUP($F76, codebooks_data_reordered!$A:$I, 5, FALSE)</f>
        <v>258</v>
      </c>
      <c r="K76" t="str">
        <f>VLOOKUP($F76, codebooks_data_reordered!$A:$I, 6, FALSE)</f>
        <v>Self-identity for Jews (first)</v>
      </c>
      <c r="L76" t="str">
        <f>VLOOKUP($F76, codebooks_data_reordered!$A:$I, 7, FALSE)</f>
        <v>(for Jews) Which of the following concepts best defines your identity? (read) and the second? And the third? And the fourth?</v>
      </c>
      <c r="M76" t="str">
        <f>VLOOKUP($F76, codebooks_data_reordered!$A:$I, 9, FALSE)</f>
        <v>1: Israeli; 2: Jewish; 3: Ashkenazi/Sfaradi; 4: Religious/Secular; 5: Russian</v>
      </c>
      <c r="O76" s="2" t="str">
        <f t="shared" si="1"/>
        <v>1: Israeli
 2: Jewish
 3: Ashkenazi/Sfaradi
 4: Religious/Secular
 5: Russian</v>
      </c>
    </row>
    <row r="77" spans="1:15" ht="72" hidden="1" x14ac:dyDescent="0.3">
      <c r="A77" t="s">
        <v>5840</v>
      </c>
      <c r="B77" t="s">
        <v>6050</v>
      </c>
      <c r="C77" s="2" t="s">
        <v>6051</v>
      </c>
      <c r="D77" t="s">
        <v>5843</v>
      </c>
      <c r="E77" s="2" t="s">
        <v>6052</v>
      </c>
      <c r="F77" t="s">
        <v>9178</v>
      </c>
      <c r="G77" t="e">
        <f>VLOOKUP($F77, codebooks_data_reordered!$A:$I, 2, FALSE)</f>
        <v>#N/A</v>
      </c>
      <c r="H77" t="e">
        <f>VLOOKUP($F77, codebooks_data_reordered!$A:$I, 3, FALSE)</f>
        <v>#N/A</v>
      </c>
      <c r="I77" t="e">
        <f>VLOOKUP($F77, codebooks_data_reordered!$A:$I, 4, FALSE)</f>
        <v>#N/A</v>
      </c>
      <c r="J77" t="e">
        <f>VLOOKUP($F77, codebooks_data_reordered!$A:$I, 5, FALSE)</f>
        <v>#N/A</v>
      </c>
      <c r="K77" t="e">
        <f>VLOOKUP($F77, codebooks_data_reordered!$A:$I, 6, FALSE)</f>
        <v>#N/A</v>
      </c>
      <c r="L77" t="e">
        <f>VLOOKUP($F77, codebooks_data_reordered!$A:$I, 7, FALSE)</f>
        <v>#N/A</v>
      </c>
      <c r="M77" t="e">
        <f>VLOOKUP($F77, codebooks_data_reordered!$A:$I, 9, FALSE)</f>
        <v>#N/A</v>
      </c>
      <c r="O77" t="e">
        <f t="shared" si="1"/>
        <v>#N/A</v>
      </c>
    </row>
    <row r="78" spans="1:15" ht="43.2" hidden="1" x14ac:dyDescent="0.3">
      <c r="A78" t="s">
        <v>5840</v>
      </c>
      <c r="B78" t="s">
        <v>6053</v>
      </c>
      <c r="C78" s="2" t="s">
        <v>6047</v>
      </c>
      <c r="D78" t="s">
        <v>5843</v>
      </c>
      <c r="E78" s="2" t="s">
        <v>6048</v>
      </c>
      <c r="F78" t="s">
        <v>792</v>
      </c>
      <c r="G78" t="str">
        <f>VLOOKUP($F78, codebooks_data_reordered!$A:$I, 2, FALSE)</f>
        <v>2006</v>
      </c>
      <c r="H78" t="str">
        <f>VLOOKUP($F78, codebooks_data_reordered!$A:$I, 3, FALSE)</f>
        <v>Rersonal and Household Details</v>
      </c>
      <c r="I78" t="str">
        <f>VLOOKUP($F78, codebooks_data_reordered!$A:$I, 4, FALSE)</f>
        <v>1</v>
      </c>
      <c r="J78" t="str">
        <f>VLOOKUP($F78, codebooks_data_reordered!$A:$I, 5, FALSE)</f>
        <v>283-285</v>
      </c>
      <c r="K78" t="str">
        <f>VLOOKUP($F78, codebooks_data_reordered!$A:$I, 6, FALSE)</f>
        <v>Father's country of birth (not for Arabs)</v>
      </c>
      <c r="L78" t="str">
        <f>VLOOKUP($F78, codebooks_data_reordered!$A:$I, 7, FALSE)</f>
        <v>69. (not for Arabs): where was your father born? (write the name of the state): if in the USSR, write the name of the republic)</v>
      </c>
      <c r="M78">
        <f>VLOOKUP($F78, codebooks_data_reordered!$A:$I, 9, FALSE)</f>
        <v>0</v>
      </c>
      <c r="O78" s="2" t="str">
        <f t="shared" si="1"/>
        <v>0</v>
      </c>
    </row>
    <row r="79" spans="1:15" ht="288" hidden="1" x14ac:dyDescent="0.3">
      <c r="A79" t="s">
        <v>5840</v>
      </c>
      <c r="B79" t="s">
        <v>6054</v>
      </c>
      <c r="C79" s="2" t="s">
        <v>5902</v>
      </c>
      <c r="D79" t="s">
        <v>5843</v>
      </c>
      <c r="E79" s="2" t="s">
        <v>5903</v>
      </c>
      <c r="F79" t="s">
        <v>716</v>
      </c>
      <c r="G79" t="str">
        <f>VLOOKUP($F79, codebooks_data_reordered!$A:$I, 2, FALSE)</f>
        <v>2006</v>
      </c>
      <c r="H79" t="str">
        <f>VLOOKUP($F79, codebooks_data_reordered!$A:$I, 3, FALSE)</f>
        <v>Self-identity</v>
      </c>
      <c r="I79" t="str">
        <f>VLOOKUP($F79, codebooks_data_reordered!$A:$I, 4, FALSE)</f>
        <v>1</v>
      </c>
      <c r="J79" t="str">
        <f>VLOOKUP($F79, codebooks_data_reordered!$A:$I, 5, FALSE)</f>
        <v>261</v>
      </c>
      <c r="K79" t="str">
        <f>VLOOKUP($F79, codebooks_data_reordered!$A:$I, 6, FALSE)</f>
        <v>Self-identity for Jews (fourth)</v>
      </c>
      <c r="L79" t="str">
        <f>VLOOKUP($F79, codebooks_data_reordered!$A:$I, 7, FALSE)</f>
        <v>(for Jews) Which of the following concepts best defines your identity? (read) and the second? And the third? And the fourth?</v>
      </c>
      <c r="M79" t="str">
        <f>VLOOKUP($F79, codebooks_data_reordered!$A:$I, 9, FALSE)</f>
        <v>1: Israeli; 2: Jewish; 3: Ashkenazi/Sfaradi; 4: Religious/Secular</v>
      </c>
      <c r="O79" s="2" t="str">
        <f t="shared" si="1"/>
        <v>1: Israeli
 2: Jewish
 3: Ashkenazi/Sfaradi
 4: Religious/Secular</v>
      </c>
    </row>
    <row r="80" spans="1:15" ht="43.2" hidden="1" x14ac:dyDescent="0.3">
      <c r="A80" t="s">
        <v>5840</v>
      </c>
      <c r="B80" t="s">
        <v>6055</v>
      </c>
      <c r="C80" s="2" t="s">
        <v>5947</v>
      </c>
      <c r="D80" t="s">
        <v>5843</v>
      </c>
      <c r="E80" s="2" t="s">
        <v>5948</v>
      </c>
      <c r="F80" t="s">
        <v>665</v>
      </c>
      <c r="G80" t="str">
        <f>VLOOKUP($F80, codebooks_data_reordered!$A:$I, 2, FALSE)</f>
        <v>2006</v>
      </c>
      <c r="H80" t="str">
        <f>VLOOKUP($F80, codebooks_data_reordered!$A:$I, 3, FALSE)</f>
        <v>Different Coalitions after the Elections</v>
      </c>
      <c r="I80" t="str">
        <f>VLOOKUP($F80, codebooks_data_reordered!$A:$I, 4, FALSE)</f>
        <v>1</v>
      </c>
      <c r="J80" t="str">
        <f>VLOOKUP($F80, codebooks_data_reordered!$A:$I, 5, FALSE)</f>
        <v>238-240</v>
      </c>
      <c r="K80" t="str">
        <f>VLOOKUP($F80, codebooks_data_reordered!$A:$I, 6, FALSE)</f>
        <v>Will support Kadima-Labor-Haredim coalition</v>
      </c>
      <c r="L80" t="str">
        <f>VLOOKUP($F80,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80" t="str">
        <f>VLOOKUP($F80, codebooks_data_reordered!$A:$I, 9, FALSE)</f>
        <v>1: Reject; 10: Support</v>
      </c>
      <c r="O80" s="2" t="str">
        <f t="shared" si="1"/>
        <v>1: Reject
 10: Support</v>
      </c>
    </row>
    <row r="81" spans="1:15" ht="158.4" hidden="1" x14ac:dyDescent="0.3">
      <c r="A81" t="s">
        <v>5840</v>
      </c>
      <c r="B81" t="s">
        <v>6056</v>
      </c>
      <c r="C81" s="2" t="s">
        <v>6057</v>
      </c>
      <c r="D81" t="s">
        <v>5843</v>
      </c>
      <c r="E81" s="2" t="s">
        <v>6058</v>
      </c>
      <c r="F81" t="s">
        <v>3164</v>
      </c>
      <c r="G81" t="str">
        <f>VLOOKUP($F81, codebooks_data_reordered!$A:$I, 2, FALSE)</f>
        <v>1988_Panel_N=416</v>
      </c>
      <c r="H81" t="str">
        <f>VLOOKUP($F81, codebooks_data_reordered!$A:$I, 3, FALSE)</f>
        <v>THE EXTENT OF APPROVAL OF THE FOLLOWING</v>
      </c>
      <c r="I81" t="str">
        <f>VLOOKUP($F81, codebooks_data_reordered!$A:$I, 4, FALSE)</f>
        <v>1</v>
      </c>
      <c r="J81" t="str">
        <f>VLOOKUP($F81, codebooks_data_reordered!$A:$I, 5, FALSE)</f>
        <v>125</v>
      </c>
      <c r="K81" t="str">
        <f>VLOOKUP($F81, codebooks_data_reordered!$A:$I, 6, FALSE)</f>
        <v>Military victory enhances the peace process</v>
      </c>
      <c r="L81">
        <f>VLOOKUP($F81, codebooks_data_reordered!$A:$I, 7, FALSE)</f>
        <v>0</v>
      </c>
      <c r="M81" t="str">
        <f>VLOOKUP($F81, codebooks_data_reordered!$A:$I, 9, FALSE)</f>
        <v>1: Definitely agrees; 2: Agrees; 3: Disagrees; 4: Definitely disagrees</v>
      </c>
      <c r="O81" s="2" t="str">
        <f t="shared" si="1"/>
        <v>1: Definitely agrees
 2: Agrees
 3: Disagrees
 4: Definitely disagrees</v>
      </c>
    </row>
    <row r="82" spans="1:15" ht="158.4" hidden="1" x14ac:dyDescent="0.3">
      <c r="A82" t="s">
        <v>5840</v>
      </c>
      <c r="B82" t="s">
        <v>6059</v>
      </c>
      <c r="C82" s="2" t="s">
        <v>6060</v>
      </c>
      <c r="D82" t="s">
        <v>5843</v>
      </c>
      <c r="E82" s="2" t="s">
        <v>6061</v>
      </c>
      <c r="F82" t="s">
        <v>668</v>
      </c>
      <c r="G82" t="str">
        <f>VLOOKUP($F82, codebooks_data_reordered!$A:$I, 2, FALSE)</f>
        <v>2006</v>
      </c>
      <c r="H82" t="str">
        <f>VLOOKUP($F82, codebooks_data_reordered!$A:$I, 3, FALSE)</f>
        <v>Different Coalitions after the Elections</v>
      </c>
      <c r="I82" t="str">
        <f>VLOOKUP($F82, codebooks_data_reordered!$A:$I, 4, FALSE)</f>
        <v>1</v>
      </c>
      <c r="J82" t="str">
        <f>VLOOKUP($F82, codebooks_data_reordered!$A:$I, 5, FALSE)</f>
        <v>241-243</v>
      </c>
      <c r="K82" t="str">
        <f>VLOOKUP($F82, codebooks_data_reordered!$A:$I, 6, FALSE)</f>
        <v>Will support Kadima-Likud-Right coalition</v>
      </c>
      <c r="L82" t="str">
        <f>VLOOKUP($F82,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82" t="str">
        <f>VLOOKUP($F82, codebooks_data_reordered!$A:$I, 9, FALSE)</f>
        <v>1: Reject; 10: Support</v>
      </c>
      <c r="O82" s="2" t="str">
        <f t="shared" si="1"/>
        <v>1: Reject
 10: Support</v>
      </c>
    </row>
    <row r="83" spans="1:15" ht="172.8" hidden="1" x14ac:dyDescent="0.3">
      <c r="A83" t="s">
        <v>5840</v>
      </c>
      <c r="B83" t="s">
        <v>6062</v>
      </c>
      <c r="C83" s="2" t="s">
        <v>6063</v>
      </c>
      <c r="D83" t="s">
        <v>5843</v>
      </c>
      <c r="E83" s="2" t="s">
        <v>6064</v>
      </c>
      <c r="F83" t="s">
        <v>2083</v>
      </c>
      <c r="G83" t="str">
        <f>VLOOKUP($F83, codebooks_data_reordered!$A:$I, 2, FALSE)</f>
        <v>1999_1</v>
      </c>
      <c r="H83" t="str">
        <f>VLOOKUP($F83, codebooks_data_reordered!$A:$I, 3, FALSE)</f>
        <v>EVALUATE PARTIES AND CANDIDATES</v>
      </c>
      <c r="I83" t="str">
        <f>VLOOKUP($F83, codebooks_data_reordered!$A:$I, 4, FALSE)</f>
        <v>2</v>
      </c>
      <c r="J83" t="str">
        <f>VLOOKUP($F83, codebooks_data_reordered!$A:$I, 5, FALSE)</f>
        <v>68</v>
      </c>
      <c r="K83" t="str">
        <f>VLOOKUP($F83, codebooks_data_reordered!$A:$I, 6, FALSE)</f>
        <v>Party to separate Israel from the Palestinians</v>
      </c>
      <c r="L83">
        <f>VLOOKUP($F83, codebooks_data_reordered!$A:$I, 7, FALSE)</f>
        <v>0</v>
      </c>
      <c r="M83" t="str">
        <f>VLOOKUP($F83, codebooks_data_reordered!$A:$I, 9, FALSE)</f>
        <v>1: Labor; 2: Likud; 3: Equally; 4: None of them</v>
      </c>
      <c r="O83" s="2" t="str">
        <f t="shared" si="1"/>
        <v>1: Labor
 2: Likud
 3: Equally
 4: None of them</v>
      </c>
    </row>
    <row r="84" spans="1:15" ht="172.8" hidden="1" x14ac:dyDescent="0.3">
      <c r="A84" t="s">
        <v>5840</v>
      </c>
      <c r="B84" t="s">
        <v>6065</v>
      </c>
      <c r="C84" s="2" t="s">
        <v>6066</v>
      </c>
      <c r="D84" t="s">
        <v>5843</v>
      </c>
      <c r="E84" s="2" t="s">
        <v>6067</v>
      </c>
      <c r="F84" t="s">
        <v>4414</v>
      </c>
      <c r="G84" t="str">
        <f>VLOOKUP($F84, codebooks_data_reordered!$A:$I, 2, FALSE)</f>
        <v>1981_3</v>
      </c>
      <c r="H84" t="str">
        <f>VLOOKUP($F84, codebooks_data_reordered!$A:$I, 3, FALSE)</f>
        <v>INTERVIEWEE EVALUATION OF THE STATE OF ISRAEL</v>
      </c>
      <c r="I84" t="str">
        <f>VLOOKUP($F84, codebooks_data_reordered!$A:$I, 4, FALSE)</f>
        <v>1</v>
      </c>
      <c r="J84" t="str">
        <f>VLOOKUP($F84, codebooks_data_reordered!$A:$I, 5, FALSE)</f>
        <v>148</v>
      </c>
      <c r="K84" t="str">
        <f>VLOOKUP($F84, codebooks_data_reordered!$A:$I, 6, FALSE)</f>
        <v>Year of immigration</v>
      </c>
      <c r="L84">
        <f>VLOOKUP($F84, codebooks_data_reordered!$A:$I, 7, FALSE)</f>
        <v>0</v>
      </c>
      <c r="M84" t="str">
        <f>VLOOKUP($F84, codebooks_data_reordered!$A:$I, 9, FALSE)</f>
        <v>1: Born in Israel; 2: Before 1948; 3: 1948-1954; 4: 1955-1960; 5: 1961-1966; 6: 1967-1972; 7: 1973-1977; 8: 1978-1979; 9: 1980+</v>
      </c>
      <c r="O84" s="2" t="str">
        <f t="shared" si="1"/>
        <v>1: Born in Israel
 2: Before 1948
 3: 1948-1954
 4: 1955-1960
 5: 1961-1966
 6: 1967-1972
 7: 1973-1977
 8: 1978-1979
 9: 1980+</v>
      </c>
    </row>
    <row r="85" spans="1:15" ht="57.6" hidden="1" x14ac:dyDescent="0.3">
      <c r="A85" t="s">
        <v>5840</v>
      </c>
      <c r="B85" t="s">
        <v>6068</v>
      </c>
      <c r="C85" s="2" t="s">
        <v>6069</v>
      </c>
      <c r="D85" t="s">
        <v>5843</v>
      </c>
      <c r="E85" s="2" t="s">
        <v>6070</v>
      </c>
      <c r="F85" t="s">
        <v>651</v>
      </c>
      <c r="G85" t="str">
        <f>VLOOKUP($F85, codebooks_data_reordered!$A:$I, 2, FALSE)</f>
        <v>2006</v>
      </c>
      <c r="H85" t="str">
        <f>VLOOKUP($F85, codebooks_data_reordered!$A:$I, 3, FALSE)</f>
        <v>Different Coalitions after the Elections</v>
      </c>
      <c r="I85" t="str">
        <f>VLOOKUP($F85, codebooks_data_reordered!$A:$I, 4, FALSE)</f>
        <v>1</v>
      </c>
      <c r="J85" t="str">
        <f>VLOOKUP($F85, codebooks_data_reordered!$A:$I, 5, FALSE)</f>
        <v>228-230</v>
      </c>
      <c r="K85" t="str">
        <f>VLOOKUP($F85, codebooks_data_reordered!$A:$I, 6, FALSE)</f>
        <v>Chances for Kadima-Labor-Likud-Right parties and Haredim coalition</v>
      </c>
      <c r="L85" t="str">
        <f>VLOOKUP($F85,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85">
        <f>VLOOKUP($F85, codebooks_data_reordered!$A:$I, 9, FALSE)</f>
        <v>0</v>
      </c>
      <c r="O85" s="2" t="str">
        <f t="shared" si="1"/>
        <v>0</v>
      </c>
    </row>
    <row r="86" spans="1:15" ht="201.6" hidden="1" x14ac:dyDescent="0.3">
      <c r="A86" t="s">
        <v>5840</v>
      </c>
      <c r="B86" t="s">
        <v>6071</v>
      </c>
      <c r="C86" s="2" t="s">
        <v>6072</v>
      </c>
      <c r="D86" t="s">
        <v>5843</v>
      </c>
      <c r="E86" s="2" t="s">
        <v>6073</v>
      </c>
      <c r="F86" t="s">
        <v>427</v>
      </c>
      <c r="G86" t="str">
        <f>VLOOKUP($F86, codebooks_data_reordered!$A:$I, 2, FALSE)</f>
        <v>2006</v>
      </c>
      <c r="H86" t="str">
        <f>VLOOKUP($F86, codebooks_data_reordered!$A:$I, 3, FALSE)</f>
        <v>State expenditures on Different Issues</v>
      </c>
      <c r="I86" t="str">
        <f>VLOOKUP($F86, codebooks_data_reordered!$A:$I, 4, FALSE)</f>
        <v>1</v>
      </c>
      <c r="J86" t="str">
        <f>VLOOKUP($F86, codebooks_data_reordered!$A:$I, 5, FALSE)</f>
        <v>139</v>
      </c>
      <c r="K86" t="str">
        <f>VLOOKUP($F86, codebooks_data_reordered!$A:$I, 6, FALSE)</f>
        <v>State expenditures on Yeshivot and religious institutes</v>
      </c>
      <c r="L86" t="str">
        <f>VLOOKUP($F86, codebooks_data_reordered!$A:$I, 7, FALSE)</f>
        <v>Should the country spend more money, less money or the same as it does today on the following issues:</v>
      </c>
      <c r="M86" t="str">
        <f>VLOOKUP($F86, codebooks_data_reordered!$A:$I, 9, FALSE)</f>
        <v>1: More; 2: Less; 3: The same as today</v>
      </c>
      <c r="O86" s="2" t="str">
        <f t="shared" si="1"/>
        <v>1: More
 2: Less
 3: The same as today</v>
      </c>
    </row>
    <row r="87" spans="1:15" ht="172.8" hidden="1" x14ac:dyDescent="0.3">
      <c r="A87" t="s">
        <v>5840</v>
      </c>
      <c r="B87" t="s">
        <v>6074</v>
      </c>
      <c r="C87" s="2" t="s">
        <v>6066</v>
      </c>
      <c r="D87" t="s">
        <v>5843</v>
      </c>
      <c r="E87" s="2" t="s">
        <v>6067</v>
      </c>
      <c r="F87" t="s">
        <v>4194</v>
      </c>
      <c r="G87" t="str">
        <f>VLOOKUP($F87, codebooks_data_reordered!$A:$I, 2, FALSE)</f>
        <v>1981_1</v>
      </c>
      <c r="H87" t="str">
        <f>VLOOKUP($F87, codebooks_data_reordered!$A:$I, 3, FALSE)</f>
        <v>CHARACTERIZATION OF MOSHE DAYAN, GRADED SCALE 1-6</v>
      </c>
      <c r="I87" t="str">
        <f>VLOOKUP($F87, codebooks_data_reordered!$A:$I, 4, FALSE)</f>
        <v>1</v>
      </c>
      <c r="J87" t="str">
        <f>VLOOKUP($F87, codebooks_data_reordered!$A:$I, 5, FALSE)</f>
        <v>141</v>
      </c>
      <c r="K87" t="str">
        <f>VLOOKUP($F87, codebooks_data_reordered!$A:$I, 6, FALSE)</f>
        <v>Status at work</v>
      </c>
      <c r="L87">
        <f>VLOOKUP($F87, codebooks_data_reordered!$A:$I, 7, FALSE)</f>
        <v>0</v>
      </c>
      <c r="M87" t="str">
        <f>VLOOKUP($F87, codebooks_data_reordered!$A:$I, 9, FALSE)</f>
        <v>1: Salaried worker; 2: Independent; 3: Member of cooperative; 4: Pensioned; 5: Housewife; 6: Soldier, student; 7: Unemployed</v>
      </c>
      <c r="O87" s="2" t="str">
        <f t="shared" si="1"/>
        <v>1: Salaried worker
 2: Independent
 3: Member of cooperative
 4: Pensioned
 5: Housewife
 6: Soldier, student
 7: Unemployed</v>
      </c>
    </row>
    <row r="88" spans="1:15" ht="86.4" hidden="1" x14ac:dyDescent="0.3">
      <c r="A88" t="s">
        <v>5840</v>
      </c>
      <c r="B88" t="s">
        <v>6075</v>
      </c>
      <c r="C88" s="2" t="s">
        <v>6076</v>
      </c>
      <c r="D88" t="s">
        <v>5843</v>
      </c>
      <c r="E88" s="2" t="s">
        <v>6077</v>
      </c>
      <c r="F88" t="s">
        <v>656</v>
      </c>
      <c r="G88" t="str">
        <f>VLOOKUP($F88, codebooks_data_reordered!$A:$I, 2, FALSE)</f>
        <v>2006</v>
      </c>
      <c r="H88" t="str">
        <f>VLOOKUP($F88, codebooks_data_reordered!$A:$I, 3, FALSE)</f>
        <v>Different Coalitions after the Elections</v>
      </c>
      <c r="I88" t="str">
        <f>VLOOKUP($F88, codebooks_data_reordered!$A:$I, 4, FALSE)</f>
        <v>1</v>
      </c>
      <c r="J88" t="str">
        <f>VLOOKUP($F88, codebooks_data_reordered!$A:$I, 5, FALSE)</f>
        <v>231-232</v>
      </c>
      <c r="K88" t="str">
        <f>VLOOKUP($F88, codebooks_data_reordered!$A:$I, 6, FALSE)</f>
        <v>Will support Kadima-Labor coalition</v>
      </c>
      <c r="L88" t="str">
        <f>VLOOKUP($F88,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88" t="str">
        <f>VLOOKUP($F88, codebooks_data_reordered!$A:$I, 9, FALSE)</f>
        <v>1: Reject; 10: Support</v>
      </c>
      <c r="O88" s="2" t="str">
        <f t="shared" si="1"/>
        <v>1: Reject
 10: Support</v>
      </c>
    </row>
    <row r="89" spans="1:15" ht="288" hidden="1" x14ac:dyDescent="0.3">
      <c r="A89" t="s">
        <v>5840</v>
      </c>
      <c r="B89" t="s">
        <v>6078</v>
      </c>
      <c r="C89" s="2" t="s">
        <v>5902</v>
      </c>
      <c r="D89" t="s">
        <v>5843</v>
      </c>
      <c r="E89" s="2" t="s">
        <v>5903</v>
      </c>
      <c r="F89" t="s">
        <v>746</v>
      </c>
      <c r="G89" t="str">
        <f>VLOOKUP($F89, codebooks_data_reordered!$A:$I, 2, FALSE)</f>
        <v>2006</v>
      </c>
      <c r="H89" t="str">
        <f>VLOOKUP($F89, codebooks_data_reordered!$A:$I, 3, FALSE)</f>
        <v>Self-identity</v>
      </c>
      <c r="I89" t="str">
        <f>VLOOKUP($F89, codebooks_data_reordered!$A:$I, 4, FALSE)</f>
        <v>1</v>
      </c>
      <c r="J89" t="str">
        <f>VLOOKUP($F89, codebooks_data_reordered!$A:$I, 5, FALSE)</f>
        <v>268</v>
      </c>
      <c r="K89" t="str">
        <f>VLOOKUP($F89, codebooks_data_reordered!$A:$I, 6, FALSE)</f>
        <v>The Knesset's chairman</v>
      </c>
      <c r="L89" t="str">
        <f>VLOOKUP($F89, codebooks_data_reordered!$A:$I, 7, FALSE)</f>
        <v>53. To the best of your knowledge, who is the Knesset's chairman? (do not read answers)</v>
      </c>
      <c r="M89" t="str">
        <f>VLOOKUP($F89, codebooks_data_reordered!$A:$I, 9, FALSE)</f>
        <v>1: Rivlin; 2: Wrong answer; 8: Do not know</v>
      </c>
      <c r="O89" s="2" t="str">
        <f t="shared" si="1"/>
        <v>1: Rivlin
 2: Wrong answer
 8: Do not know</v>
      </c>
    </row>
    <row r="90" spans="1:15" ht="201.6" hidden="1" x14ac:dyDescent="0.3">
      <c r="A90" t="s">
        <v>5840</v>
      </c>
      <c r="B90" t="s">
        <v>6079</v>
      </c>
      <c r="C90" s="2" t="s">
        <v>6080</v>
      </c>
      <c r="D90" t="s">
        <v>5843</v>
      </c>
      <c r="E90" s="2" t="s">
        <v>6081</v>
      </c>
      <c r="F90" t="s">
        <v>3621</v>
      </c>
      <c r="G90" t="str">
        <f>VLOOKUP($F90, codebooks_data_reordered!$A:$I, 2, FALSE)</f>
        <v>1988_Panel_N=416</v>
      </c>
      <c r="H90" t="str">
        <f>VLOOKUP($F90, codebooks_data_reordered!$A:$I, 3, FALSE)</f>
        <v>GRADING OF BELOW VALUES ACCORDING TO THEIR IMPORTANCE</v>
      </c>
      <c r="I90" t="str">
        <f>VLOOKUP($F90, codebooks_data_reordered!$A:$I, 4, FALSE)</f>
        <v>4</v>
      </c>
      <c r="J90" t="str">
        <f>VLOOKUP($F90, codebooks_data_reordered!$A:$I, 5, FALSE)</f>
        <v>75</v>
      </c>
      <c r="K90" t="str">
        <f>VLOOKUP($F90, codebooks_data_reordered!$A:$I, 6, FALSE)</f>
        <v>Interviewee's active military service</v>
      </c>
      <c r="L90">
        <f>VLOOKUP($F90, codebooks_data_reordered!$A:$I, 7, FALSE)</f>
        <v>0</v>
      </c>
      <c r="M90" t="str">
        <f>VLOOKUP($F90, codebooks_data_reordered!$A:$I, 9, FALSE)</f>
        <v>1: Not served yet but will in future; 2: Conscription; 3: Serving in regular service; 4: Served in IDF in past; 5: Did not serve in IDF</v>
      </c>
      <c r="O90" s="2" t="str">
        <f t="shared" si="1"/>
        <v>1: Not served yet but will in future
 2: Conscription
 3: Serving in regular service
 4: Served in IDF in past
 5: Did not serve in IDF</v>
      </c>
    </row>
    <row r="91" spans="1:15" ht="43.2" hidden="1" x14ac:dyDescent="0.3">
      <c r="A91" t="s">
        <v>5840</v>
      </c>
      <c r="B91" t="s">
        <v>6082</v>
      </c>
      <c r="C91" s="2" t="s">
        <v>6083</v>
      </c>
      <c r="D91" t="s">
        <v>7439</v>
      </c>
      <c r="E91" s="2" t="s">
        <v>6084</v>
      </c>
      <c r="F91" t="s">
        <v>9179</v>
      </c>
      <c r="G91" t="e">
        <f>VLOOKUP($F91, codebooks_data_reordered!$A:$I, 2, FALSE)</f>
        <v>#N/A</v>
      </c>
      <c r="H91" t="e">
        <f>VLOOKUP($F91, codebooks_data_reordered!$A:$I, 3, FALSE)</f>
        <v>#N/A</v>
      </c>
      <c r="I91" t="e">
        <f>VLOOKUP($F91, codebooks_data_reordered!$A:$I, 4, FALSE)</f>
        <v>#N/A</v>
      </c>
      <c r="J91" t="e">
        <f>VLOOKUP($F91, codebooks_data_reordered!$A:$I, 5, FALSE)</f>
        <v>#N/A</v>
      </c>
      <c r="K91" t="e">
        <f>VLOOKUP($F91, codebooks_data_reordered!$A:$I, 6, FALSE)</f>
        <v>#N/A</v>
      </c>
      <c r="L91" t="e">
        <f>VLOOKUP($F91, codebooks_data_reordered!$A:$I, 7, FALSE)</f>
        <v>#N/A</v>
      </c>
      <c r="M91" t="e">
        <f>VLOOKUP($F91, codebooks_data_reordered!$A:$I, 9, FALSE)</f>
        <v>#N/A</v>
      </c>
      <c r="O91" t="e">
        <f t="shared" si="1"/>
        <v>#N/A</v>
      </c>
    </row>
    <row r="92" spans="1:15" ht="100.8" hidden="1" x14ac:dyDescent="0.3">
      <c r="A92" t="s">
        <v>5840</v>
      </c>
      <c r="B92" t="s">
        <v>6085</v>
      </c>
      <c r="C92" s="2" t="s">
        <v>6086</v>
      </c>
      <c r="D92" t="s">
        <v>5843</v>
      </c>
      <c r="E92" s="2" t="s">
        <v>6087</v>
      </c>
      <c r="F92" t="s">
        <v>3167</v>
      </c>
      <c r="G92" t="str">
        <f>VLOOKUP($F92, codebooks_data_reordered!$A:$I, 2, FALSE)</f>
        <v>1988_Panel_N=416</v>
      </c>
      <c r="H92" t="str">
        <f>VLOOKUP($F92, codebooks_data_reordered!$A:$I, 3, FALSE)</f>
        <v>THE EXTENT OF APPROVAL OF THE FOLLOWING</v>
      </c>
      <c r="I92" t="str">
        <f>VLOOKUP($F92, codebooks_data_reordered!$A:$I, 4, FALSE)</f>
        <v>1</v>
      </c>
      <c r="J92" t="str">
        <f>VLOOKUP($F92, codebooks_data_reordered!$A:$I, 5, FALSE)</f>
        <v>126</v>
      </c>
      <c r="K92" t="str">
        <f>VLOOKUP($F92, codebooks_data_reordered!$A:$I, 6, FALSE)</f>
        <v>The keeper of Israel shall not sleep-who is the keeper of Israel</v>
      </c>
      <c r="L92">
        <f>VLOOKUP($F92, codebooks_data_reordered!$A:$I, 7, FALSE)</f>
        <v>0</v>
      </c>
      <c r="M92" t="str">
        <f>VLOOKUP($F92, codebooks_data_reordered!$A:$I, 9, FALSE)</f>
        <v>1: God; 2: IDF; 3: USA; 4: The state of Israel; 5: The people of Israel; 6: Every man to himself; 7: Other</v>
      </c>
      <c r="O92" s="2" t="str">
        <f t="shared" si="1"/>
        <v>1: God
 2: IDF
 3: USA
 4: The state of Israel
 5: The people of Israel
 6: Every man to himself
 7: Other</v>
      </c>
    </row>
    <row r="93" spans="1:15" ht="360" hidden="1" x14ac:dyDescent="0.3">
      <c r="A93" t="s">
        <v>5840</v>
      </c>
      <c r="B93" t="s">
        <v>6088</v>
      </c>
      <c r="C93" s="2" t="s">
        <v>6089</v>
      </c>
      <c r="D93" t="s">
        <v>5843</v>
      </c>
      <c r="E93" s="2" t="s">
        <v>6090</v>
      </c>
      <c r="F93" t="s">
        <v>5428</v>
      </c>
      <c r="G93" t="str">
        <f>VLOOKUP($F93, codebooks_data_reordered!$A:$I, 2, FALSE)</f>
        <v>1973_5</v>
      </c>
      <c r="H93" t="str">
        <f>VLOOKUP($F93, codebooks_data_reordered!$A:$I, 3, FALSE)</f>
        <v>POLITICAL LEADERS AND HOW INTERVIEWEE RELATES TO THEM, HOW IMPORTANT THIS FACTOR WAS TO INTERVIEWEE'S VOTE</v>
      </c>
      <c r="I93" t="str">
        <f>VLOOKUP($F93, codebooks_data_reordered!$A:$I, 4, FALSE)</f>
        <v>1</v>
      </c>
      <c r="J93" t="str">
        <f>VLOOKUP($F93, codebooks_data_reordered!$A:$I, 5, FALSE)</f>
        <v>67</v>
      </c>
      <c r="K93" t="str">
        <f>VLOOKUP($F93, codebooks_data_reordered!$A:$I, 6, FALSE)</f>
        <v>Interviewee observes religious traditions</v>
      </c>
      <c r="L93">
        <f>VLOOKUP($F93, codebooks_data_reordered!$A:$I, 7, FALSE)</f>
        <v>0</v>
      </c>
      <c r="M93" t="str">
        <f>VLOOKUP($F93, codebooks_data_reordered!$A:$I, 9, FALSE)</f>
        <v>1: Observes them thoroughly; 2: Observes most of them; 3: Observes some of them; 4: Does not observe them at all</v>
      </c>
      <c r="O93" s="2" t="str">
        <f t="shared" si="1"/>
        <v>1: Observes them thoroughly
 2: Observes most of them
 3: Observes some of them
 4: Does not observe them at all</v>
      </c>
    </row>
    <row r="94" spans="1:15" ht="216" hidden="1" x14ac:dyDescent="0.3">
      <c r="A94" t="s">
        <v>5840</v>
      </c>
      <c r="B94" t="s">
        <v>6091</v>
      </c>
      <c r="C94" s="2" t="s">
        <v>6092</v>
      </c>
      <c r="D94" t="s">
        <v>5843</v>
      </c>
      <c r="E94" s="2" t="s">
        <v>6093</v>
      </c>
      <c r="F94" t="s">
        <v>939</v>
      </c>
      <c r="G94" t="str">
        <f>VLOOKUP($F94, codebooks_data_reordered!$A:$I, 2, FALSE)</f>
        <v>2006</v>
      </c>
      <c r="H94" t="str">
        <f>VLOOKUP($F94, codebooks_data_reordered!$A:$I, 3, FALSE)</f>
        <v>Reason for not Vote</v>
      </c>
      <c r="I94" t="str">
        <f>VLOOKUP($F94, codebooks_data_reordered!$A:$I, 4, FALSE)</f>
        <v>1</v>
      </c>
      <c r="J94" t="str">
        <f>VLOOKUP($F94, codebooks_data_reordered!$A:$I, 5, FALSE)</f>
        <v>336</v>
      </c>
      <c r="K94" t="str">
        <f>VLOOKUP($F94, codebooks_data_reordered!$A:$I, 6, FALSE)</f>
        <v>Opinions about what the elections were about</v>
      </c>
      <c r="L94" t="str">
        <f>VLOOKUP($F94, codebooks_data_reordered!$A:$I, 7, FALSE)</f>
        <v>23. There are many opinions about what these elections were about. I will read some sentences with different ideas about this. To what extent do you agree or disagree with each of these statements?</v>
      </c>
      <c r="M94" t="str">
        <f>VLOOKUP($F94, codebooks_data_reordered!$A:$I, 9, FALSE)</f>
        <v>1: Strongly disagree; 2: Disagree; 3: Not certain; 4: Agree; 5: Strongly agree</v>
      </c>
      <c r="O94" s="2" t="str">
        <f t="shared" si="1"/>
        <v>1: Strongly disagree
 2: Disagree
 3: Not certain
 4: Agree
 5: Strongly agree</v>
      </c>
    </row>
    <row r="95" spans="1:15" ht="86.4" hidden="1" x14ac:dyDescent="0.3">
      <c r="A95" t="s">
        <v>5840</v>
      </c>
      <c r="B95" t="s">
        <v>6094</v>
      </c>
      <c r="C95" s="2" t="s">
        <v>6095</v>
      </c>
      <c r="D95" t="s">
        <v>5843</v>
      </c>
      <c r="E95" s="2" t="s">
        <v>6096</v>
      </c>
      <c r="F95" t="s">
        <v>4180</v>
      </c>
      <c r="G95" t="str">
        <f>VLOOKUP($F95, codebooks_data_reordered!$A:$I, 2, FALSE)</f>
        <v>1981_1</v>
      </c>
      <c r="H95" t="str">
        <f>VLOOKUP($F95, codebooks_data_reordered!$A:$I, 3, FALSE)</f>
        <v>CHARACTERIZATION OF MOSHE DAYAN, GRADED SCALE 1-6</v>
      </c>
      <c r="I95" t="str">
        <f>VLOOKUP($F95, codebooks_data_reordered!$A:$I, 4, FALSE)</f>
        <v>1</v>
      </c>
      <c r="J95" t="str">
        <f>VLOOKUP($F95, codebooks_data_reordered!$A:$I, 5, FALSE)</f>
        <v>133</v>
      </c>
      <c r="K95" t="str">
        <f>VLOOKUP($F95, codebooks_data_reordered!$A:$I, 6, FALSE)</f>
        <v>Interviewee will vote for same party in Histadrut and Knesset elections</v>
      </c>
      <c r="L95">
        <f>VLOOKUP($F95, codebooks_data_reordered!$A:$I, 7, FALSE)</f>
        <v>0</v>
      </c>
      <c r="M95" t="str">
        <f>VLOOKUP($F95, codebooks_data_reordered!$A:$I, 9, FALSE)</f>
        <v>1: Yes; 2: No; 3: Undecided; 4: Will not vote</v>
      </c>
      <c r="O95" s="2" t="str">
        <f t="shared" si="1"/>
        <v>1: Yes
 2: No
 3: Undecided
 4: Will not vote</v>
      </c>
    </row>
    <row r="96" spans="1:15" ht="216" hidden="1" x14ac:dyDescent="0.3">
      <c r="A96" t="s">
        <v>5840</v>
      </c>
      <c r="B96" t="s">
        <v>6097</v>
      </c>
      <c r="C96" s="2" t="s">
        <v>6098</v>
      </c>
      <c r="D96" t="s">
        <v>5843</v>
      </c>
      <c r="E96" s="2" t="s">
        <v>6099</v>
      </c>
      <c r="F96" t="s">
        <v>9180</v>
      </c>
      <c r="G96" t="e">
        <f>VLOOKUP($F96, codebooks_data_reordered!$A:$I, 2, FALSE)</f>
        <v>#N/A</v>
      </c>
      <c r="H96" t="e">
        <f>VLOOKUP($F96, codebooks_data_reordered!$A:$I, 3, FALSE)</f>
        <v>#N/A</v>
      </c>
      <c r="I96" t="e">
        <f>VLOOKUP($F96, codebooks_data_reordered!$A:$I, 4, FALSE)</f>
        <v>#N/A</v>
      </c>
      <c r="J96" t="e">
        <f>VLOOKUP($F96, codebooks_data_reordered!$A:$I, 5, FALSE)</f>
        <v>#N/A</v>
      </c>
      <c r="K96" t="e">
        <f>VLOOKUP($F96, codebooks_data_reordered!$A:$I, 6, FALSE)</f>
        <v>#N/A</v>
      </c>
      <c r="L96" t="e">
        <f>VLOOKUP($F96, codebooks_data_reordered!$A:$I, 7, FALSE)</f>
        <v>#N/A</v>
      </c>
      <c r="M96" t="e">
        <f>VLOOKUP($F96, codebooks_data_reordered!$A:$I, 9, FALSE)</f>
        <v>#N/A</v>
      </c>
      <c r="O96" t="e">
        <f t="shared" si="1"/>
        <v>#N/A</v>
      </c>
    </row>
    <row r="97" spans="1:15" ht="100.8" hidden="1" x14ac:dyDescent="0.3">
      <c r="A97" t="s">
        <v>5840</v>
      </c>
      <c r="B97" t="s">
        <v>6100</v>
      </c>
      <c r="C97" s="2" t="s">
        <v>6101</v>
      </c>
      <c r="D97" t="s">
        <v>5843</v>
      </c>
      <c r="E97" s="2" t="s">
        <v>6102</v>
      </c>
      <c r="F97" t="s">
        <v>4198</v>
      </c>
      <c r="G97" t="str">
        <f>VLOOKUP($F97, codebooks_data_reordered!$A:$I, 2, FALSE)</f>
        <v>1981_1</v>
      </c>
      <c r="H97" t="str">
        <f>VLOOKUP($F97, codebooks_data_reordered!$A:$I, 3, FALSE)</f>
        <v>CHARACTERIZATION OF MOSHE DAYAN, GRADED SCALE 1-6</v>
      </c>
      <c r="I97" t="str">
        <f>VLOOKUP($F97, codebooks_data_reordered!$A:$I, 4, FALSE)</f>
        <v>1</v>
      </c>
      <c r="J97" t="str">
        <f>VLOOKUP($F97, codebooks_data_reordered!$A:$I, 5, FALSE)</f>
        <v>143</v>
      </c>
      <c r="K97" t="str">
        <f>VLOOKUP($F97, codebooks_data_reordered!$A:$I, 6, FALSE)</f>
        <v>Social class</v>
      </c>
      <c r="L97">
        <f>VLOOKUP($F97, codebooks_data_reordered!$A:$I, 7, FALSE)</f>
        <v>0</v>
      </c>
      <c r="M97" t="str">
        <f>VLOOKUP($F97, codebooks_data_reordered!$A:$I, 9, FALSE)</f>
        <v>1: Upper, upper-middle class; 2: Middle class; 3: Working class; 4: Lower class; 5: Does not belong to any class</v>
      </c>
      <c r="O97" s="2" t="str">
        <f t="shared" si="1"/>
        <v>1: Upper, upper-middle class
 2: Middle class
 3: Working class
 4: Lower class
 5: Does not belong to any class</v>
      </c>
    </row>
    <row r="98" spans="1:15" ht="144" hidden="1" x14ac:dyDescent="0.3">
      <c r="A98" t="s">
        <v>5840</v>
      </c>
      <c r="B98" t="s">
        <v>6103</v>
      </c>
      <c r="C98" s="2" t="s">
        <v>6104</v>
      </c>
      <c r="D98" t="s">
        <v>5843</v>
      </c>
      <c r="E98" s="2" t="s">
        <v>6105</v>
      </c>
      <c r="F98" t="s">
        <v>2294</v>
      </c>
      <c r="G98" t="str">
        <f>VLOOKUP($F98, codebooks_data_reordered!$A:$I, 2, FALSE)</f>
        <v>1996_Jews</v>
      </c>
      <c r="H98">
        <f>VLOOKUP($F98, codebooks_data_reordered!$A:$I, 3, FALSE)</f>
        <v>0</v>
      </c>
      <c r="I98" t="str">
        <f>VLOOKUP($F98, codebooks_data_reordered!$A:$I, 4, FALSE)</f>
        <v>1</v>
      </c>
      <c r="J98" t="str">
        <f>VLOOKUP($F98, codebooks_data_reordered!$A:$I, 5, FALSE)</f>
        <v>53-54</v>
      </c>
      <c r="K98" t="str">
        <f>VLOOKUP($F98, codebooks_data_reordered!$A:$I, 6, FALSE)</f>
        <v>Sympathy for Labour party</v>
      </c>
      <c r="L98">
        <f>VLOOKUP($F98, codebooks_data_reordered!$A:$I, 7, FALSE)</f>
        <v>0</v>
      </c>
      <c r="M98" t="str">
        <f>VLOOKUP($F98, codebooks_data_reordered!$A:$I, 9, FALSE)</f>
        <v>1: Strong repulsion; 10: Strong sympathy</v>
      </c>
      <c r="O98" s="2" t="str">
        <f t="shared" si="1"/>
        <v>1: Strong repulsion
 10: Strong sympathy</v>
      </c>
    </row>
    <row r="99" spans="1:15" ht="158.4" hidden="1" x14ac:dyDescent="0.3">
      <c r="A99" t="s">
        <v>5840</v>
      </c>
      <c r="B99" t="s">
        <v>6106</v>
      </c>
      <c r="C99" s="2" t="s">
        <v>6107</v>
      </c>
      <c r="D99" t="s">
        <v>5843</v>
      </c>
      <c r="E99" s="2" t="s">
        <v>6108</v>
      </c>
      <c r="F99" t="s">
        <v>234</v>
      </c>
      <c r="G99" t="str">
        <f>VLOOKUP($F99, codebooks_data_reordered!$A:$I, 2, FALSE)</f>
        <v>2006</v>
      </c>
      <c r="H99" t="str">
        <f>VLOOKUP($F99, codebooks_data_reordered!$A:$I, 3, FALSE)</f>
        <v>Personal Status</v>
      </c>
      <c r="I99" t="str">
        <f>VLOOKUP($F99, codebooks_data_reordered!$A:$I, 4, FALSE)</f>
        <v>1</v>
      </c>
      <c r="J99" t="str">
        <f>VLOOKUP($F99, codebooks_data_reordered!$A:$I, 5, FALSE)</f>
        <v>59</v>
      </c>
      <c r="K99" t="str">
        <f>VLOOKUP($F99, codebooks_data_reordered!$A:$I, 6, FALSE)</f>
        <v>Your personal status Today</v>
      </c>
      <c r="L99" t="str">
        <f>VLOOKUP($F99, codebooks_data_reordered!$A:$I, 7, FALSE)</f>
        <v>Here you have a 9 stages scale describing different situations a person can be on. The top of the ladder is 9 and that is the best possible situation that you can think of and 1 is the worst. On which rank would you place yourself?</v>
      </c>
      <c r="M99" t="str">
        <f>VLOOKUP($F99, codebooks_data_reordered!$A:$I, 9, FALSE)</f>
        <v>1: Worst; 9: Best</v>
      </c>
      <c r="O99" s="2" t="str">
        <f t="shared" si="1"/>
        <v>1: Worst
 9: Best</v>
      </c>
    </row>
    <row r="100" spans="1:15" ht="158.4" hidden="1" x14ac:dyDescent="0.3">
      <c r="A100" t="s">
        <v>5840</v>
      </c>
      <c r="B100" t="s">
        <v>6109</v>
      </c>
      <c r="C100" s="2" t="s">
        <v>6110</v>
      </c>
      <c r="D100" t="s">
        <v>5843</v>
      </c>
      <c r="E100" s="2" t="s">
        <v>6111</v>
      </c>
      <c r="F100" t="s">
        <v>2179</v>
      </c>
      <c r="G100" t="str">
        <f>VLOOKUP($F100, codebooks_data_reordered!$A:$I, 2, FALSE)</f>
        <v>1999_1</v>
      </c>
      <c r="H100" t="str">
        <f>VLOOKUP($F100, codebooks_data_reordered!$A:$I, 3, FALSE)</f>
        <v>RESPONDENT'S DEMOGRAPHIC DETAILS</v>
      </c>
      <c r="I100" t="str">
        <f>VLOOKUP($F100, codebooks_data_reordered!$A:$I, 4, FALSE)</f>
        <v>3</v>
      </c>
      <c r="J100" t="str">
        <f>VLOOKUP($F100, codebooks_data_reordered!$A:$I, 5, FALSE)</f>
        <v>27</v>
      </c>
      <c r="K100" t="str">
        <f>VLOOKUP($F100, codebooks_data_reordered!$A:$I, 6, FALSE)</f>
        <v>Conduct life according to religious tradition</v>
      </c>
      <c r="L100">
        <f>VLOOKUP($F100, codebooks_data_reordered!$A:$I, 7, FALSE)</f>
        <v>0</v>
      </c>
      <c r="M100" t="str">
        <f>VLOOKUP($F100, codebooks_data_reordered!$A:$I, 9, FALSE)</f>
        <v>1: Thoroughly; 2: Significantly; 3: A little; 4: Not at all</v>
      </c>
      <c r="O100" s="2" t="str">
        <f t="shared" si="1"/>
        <v>1: Thoroughly
 2: Significantly
 3: A little
 4: Not at all</v>
      </c>
    </row>
    <row r="101" spans="1:15" ht="86.4" hidden="1" x14ac:dyDescent="0.3">
      <c r="A101" t="s">
        <v>5840</v>
      </c>
      <c r="B101" t="s">
        <v>6112</v>
      </c>
      <c r="C101" s="2" t="s">
        <v>6113</v>
      </c>
      <c r="D101" t="s">
        <v>5843</v>
      </c>
      <c r="E101" s="2" t="s">
        <v>6114</v>
      </c>
      <c r="F101" t="s">
        <v>3122</v>
      </c>
      <c r="G101" t="str">
        <f>VLOOKUP($F101, codebooks_data_reordered!$A:$I, 2, FALSE)</f>
        <v>1988_Panel_N=416</v>
      </c>
      <c r="H101" t="str">
        <f>VLOOKUP($F101, codebooks_data_reordered!$A:$I, 3, FALSE)</f>
        <v>WHICH OF THE FOLLOWING WOULD YOU BE WILLING TO GIVE TO MAINTAIN/STRENGTHEN THE SECURITY</v>
      </c>
      <c r="I101" t="str">
        <f>VLOOKUP($F101, codebooks_data_reordered!$A:$I, 4, FALSE)</f>
        <v>1</v>
      </c>
      <c r="J101" t="str">
        <f>VLOOKUP($F101, codebooks_data_reordered!$A:$I, 5, FALSE)</f>
        <v>108</v>
      </c>
      <c r="K101" t="str">
        <f>VLOOKUP($F101, codebooks_data_reordered!$A:$I, 6, FALSE)</f>
        <v>Who should determine IDF's future weapon systems</v>
      </c>
      <c r="L101">
        <f>VLOOKUP($F101, codebooks_data_reordered!$A:$I, 7, FALSE)</f>
        <v>0</v>
      </c>
      <c r="M101" t="str">
        <f>VLOOKUP($F101, codebooks_data_reordered!$A:$I, 9, FALSE)</f>
        <v>1: The government; 2: The Knesset; 3: The army; 4: Military industry/Air force industry; 5: Other</v>
      </c>
      <c r="O101" s="2" t="str">
        <f t="shared" si="1"/>
        <v>1: The government
 2: The Knesset
 3: The army
 4: Military industry/Air force industry
 5: Other</v>
      </c>
    </row>
    <row r="102" spans="1:15" ht="57.6" hidden="1" x14ac:dyDescent="0.3">
      <c r="A102" t="s">
        <v>5840</v>
      </c>
      <c r="B102" t="s">
        <v>6115</v>
      </c>
      <c r="C102" s="2" t="s">
        <v>6116</v>
      </c>
      <c r="D102" t="s">
        <v>5843</v>
      </c>
      <c r="E102" s="2" t="s">
        <v>6117</v>
      </c>
      <c r="F102" t="s">
        <v>3158</v>
      </c>
      <c r="G102" t="str">
        <f>VLOOKUP($F102, codebooks_data_reordered!$A:$I, 2, FALSE)</f>
        <v>1988_Panel_N=416</v>
      </c>
      <c r="H102" t="str">
        <f>VLOOKUP($F102, codebooks_data_reordered!$A:$I, 3, FALSE)</f>
        <v>THE EXTENT OF APPROVAL OF THE FOLLOWING</v>
      </c>
      <c r="I102" t="str">
        <f>VLOOKUP($F102, codebooks_data_reordered!$A:$I, 4, FALSE)</f>
        <v>1</v>
      </c>
      <c r="J102" t="str">
        <f>VLOOKUP($F102, codebooks_data_reordered!$A:$I, 5, FALSE)</f>
        <v>122</v>
      </c>
      <c r="K102" t="str">
        <f>VLOOKUP($F102, codebooks_data_reordered!$A:$I, 6, FALSE)</f>
        <v>I would die for my country</v>
      </c>
      <c r="L102">
        <f>VLOOKUP($F102, codebooks_data_reordered!$A:$I, 7, FALSE)</f>
        <v>0</v>
      </c>
      <c r="M102" t="str">
        <f>VLOOKUP($F102, codebooks_data_reordered!$A:$I, 9, FALSE)</f>
        <v>1: Definitely agrees; 2: Agrees; 3: Disagrees; 4: Definitely disagrees</v>
      </c>
      <c r="O102" s="2" t="str">
        <f t="shared" si="1"/>
        <v>1: Definitely agrees
 2: Agrees
 3: Disagrees
 4: Definitely disagrees</v>
      </c>
    </row>
    <row r="103" spans="1:15" ht="100.8" hidden="1" x14ac:dyDescent="0.3">
      <c r="A103" t="s">
        <v>5840</v>
      </c>
      <c r="B103" t="s">
        <v>6118</v>
      </c>
      <c r="C103" s="2" t="s">
        <v>6119</v>
      </c>
      <c r="D103" t="s">
        <v>5843</v>
      </c>
      <c r="E103" s="2" t="s">
        <v>6120</v>
      </c>
      <c r="F103" t="s">
        <v>2818</v>
      </c>
      <c r="G103" t="str">
        <f>VLOOKUP($F103, codebooks_data_reordered!$A:$I, 2, FALSE)</f>
        <v>1992</v>
      </c>
      <c r="H103">
        <f>VLOOKUP($F103, codebooks_data_reordered!$A:$I, 3, FALSE)</f>
        <v>0</v>
      </c>
      <c r="I103" t="str">
        <f>VLOOKUP($F103, codebooks_data_reordered!$A:$I, 4, FALSE)</f>
        <v>1</v>
      </c>
      <c r="J103" t="str">
        <f>VLOOKUP($F103, codebooks_data_reordered!$A:$I, 5, FALSE)</f>
        <v>104</v>
      </c>
      <c r="K103" t="str">
        <f>VLOOKUP($F103, codebooks_data_reordered!$A:$I, 6, FALSE)</f>
        <v>Labor party</v>
      </c>
      <c r="L103">
        <f>VLOOKUP($F103, codebooks_data_reordered!$A:$I, 7, FALSE)</f>
        <v>0</v>
      </c>
      <c r="M103" t="str">
        <f>VLOOKUP($F103, codebooks_data_reordered!$A:$I, 9, FALSE)</f>
        <v>1: Strong aversion (hate); 10: Strong affection (love)</v>
      </c>
      <c r="O103" s="2" t="str">
        <f t="shared" si="1"/>
        <v>1: Strong aversion (hate)
 10: Strong affection (love)</v>
      </c>
    </row>
    <row r="104" spans="1:15" ht="43.2" hidden="1" x14ac:dyDescent="0.3">
      <c r="A104" t="s">
        <v>5840</v>
      </c>
      <c r="B104" t="s">
        <v>6121</v>
      </c>
      <c r="C104" s="2" t="s">
        <v>6122</v>
      </c>
      <c r="D104" t="s">
        <v>7439</v>
      </c>
      <c r="E104" s="2" t="s">
        <v>6123</v>
      </c>
      <c r="F104" t="s">
        <v>9181</v>
      </c>
      <c r="G104" t="e">
        <f>VLOOKUP($F104, codebooks_data_reordered!$A:$I, 2, FALSE)</f>
        <v>#N/A</v>
      </c>
      <c r="H104" t="e">
        <f>VLOOKUP($F104, codebooks_data_reordered!$A:$I, 3, FALSE)</f>
        <v>#N/A</v>
      </c>
      <c r="I104" t="e">
        <f>VLOOKUP($F104, codebooks_data_reordered!$A:$I, 4, FALSE)</f>
        <v>#N/A</v>
      </c>
      <c r="J104" t="e">
        <f>VLOOKUP($F104, codebooks_data_reordered!$A:$I, 5, FALSE)</f>
        <v>#N/A</v>
      </c>
      <c r="K104" t="e">
        <f>VLOOKUP($F104, codebooks_data_reordered!$A:$I, 6, FALSE)</f>
        <v>#N/A</v>
      </c>
      <c r="L104" t="e">
        <f>VLOOKUP($F104, codebooks_data_reordered!$A:$I, 7, FALSE)</f>
        <v>#N/A</v>
      </c>
      <c r="M104" t="e">
        <f>VLOOKUP($F104, codebooks_data_reordered!$A:$I, 9, FALSE)</f>
        <v>#N/A</v>
      </c>
      <c r="O104" t="e">
        <f t="shared" si="1"/>
        <v>#N/A</v>
      </c>
    </row>
    <row r="105" spans="1:15" ht="115.2" hidden="1" x14ac:dyDescent="0.3">
      <c r="A105" t="s">
        <v>5840</v>
      </c>
      <c r="B105" t="s">
        <v>6124</v>
      </c>
      <c r="C105" s="2" t="s">
        <v>6116</v>
      </c>
      <c r="D105" t="s">
        <v>5843</v>
      </c>
      <c r="E105" s="2" t="s">
        <v>6117</v>
      </c>
      <c r="F105" t="s">
        <v>3125</v>
      </c>
      <c r="G105" t="str">
        <f>VLOOKUP($F105, codebooks_data_reordered!$A:$I, 2, FALSE)</f>
        <v>1988_Panel_N=416</v>
      </c>
      <c r="H105" t="str">
        <f>VLOOKUP($F105, codebooks_data_reordered!$A:$I, 3, FALSE)</f>
        <v>WHICH OF THE FOLLOWING WOULD YOU BE WILLING TO GIVE TO MAINTAIN/STRENGTHEN THE SECURITY</v>
      </c>
      <c r="I105" t="str">
        <f>VLOOKUP($F105, codebooks_data_reordered!$A:$I, 4, FALSE)</f>
        <v>1</v>
      </c>
      <c r="J105" t="str">
        <f>VLOOKUP($F105, codebooks_data_reordered!$A:$I, 5, FALSE)</f>
        <v>109</v>
      </c>
      <c r="K105" t="str">
        <f>VLOOKUP($F105, codebooks_data_reordered!$A:$I, 6, FALSE)</f>
        <v>What is your attitude towards the continuation of the Lavi project</v>
      </c>
      <c r="L105">
        <f>VLOOKUP($F105, codebooks_data_reordered!$A:$I, 7, FALSE)</f>
        <v>0</v>
      </c>
      <c r="M105" t="str">
        <f>VLOOKUP($F105, codebooks_data_reordered!$A:$I, 9, FALSE)</f>
        <v>1: Definitely supports its continuation; 2: Supports its continuation; 3: Opposes its continuation; 4: Definitely opposes its continuation</v>
      </c>
      <c r="O105" s="2" t="str">
        <f t="shared" si="1"/>
        <v>1: Definitely supports its continuation
 2: Supports its continuation
 3: Opposes its continuation
 4: Definitely opposes its continuation</v>
      </c>
    </row>
    <row r="106" spans="1:15" ht="216" hidden="1" x14ac:dyDescent="0.3">
      <c r="A106" t="s">
        <v>5840</v>
      </c>
      <c r="B106" t="s">
        <v>6125</v>
      </c>
      <c r="C106" s="2" t="s">
        <v>6126</v>
      </c>
      <c r="D106" t="s">
        <v>5843</v>
      </c>
      <c r="E106" s="2" t="s">
        <v>6127</v>
      </c>
      <c r="F106" t="s">
        <v>4200</v>
      </c>
      <c r="G106" t="str">
        <f>VLOOKUP($F106, codebooks_data_reordered!$A:$I, 2, FALSE)</f>
        <v>1981_1</v>
      </c>
      <c r="H106" t="str">
        <f>VLOOKUP($F106, codebooks_data_reordered!$A:$I, 3, FALSE)</f>
        <v>CHARACTERIZATION OF MOSHE DAYAN, GRADED SCALE 1-6</v>
      </c>
      <c r="I106" t="str">
        <f>VLOOKUP($F106, codebooks_data_reordered!$A:$I, 4, FALSE)</f>
        <v>1</v>
      </c>
      <c r="J106" t="str">
        <f>VLOOKUP($F106, codebooks_data_reordered!$A:$I, 5, FALSE)</f>
        <v>144</v>
      </c>
      <c r="K106" t="str">
        <f>VLOOKUP($F106, codebooks_data_reordered!$A:$I, 6, FALSE)</f>
        <v>Marital status</v>
      </c>
      <c r="L106">
        <f>VLOOKUP($F106, codebooks_data_reordered!$A:$I, 7, FALSE)</f>
        <v>0</v>
      </c>
      <c r="M106" t="str">
        <f>VLOOKUP($F106, codebooks_data_reordered!$A:$I, 9, FALSE)</f>
        <v>1: Single; 2: Married without children; 3: Married with one child; 4: Married with 2 children; 5: Married with 3+ children; 6: Divorced without children; 7: Divorced with children; 8: Widowed without children; 9: Widowed with children</v>
      </c>
      <c r="O106" s="2" t="str">
        <f t="shared" si="1"/>
        <v>1: Single
 2: Married without children
 3: Married with one child
 4: Married with 2 children
 5: Married with 3+ children
 6: Divorced without children
 7: Divorced with children
 8: Widowed without children
 9: Widowed with children</v>
      </c>
    </row>
    <row r="107" spans="1:15" ht="302.39999999999998" hidden="1" x14ac:dyDescent="0.3">
      <c r="A107" t="s">
        <v>5840</v>
      </c>
      <c r="B107" t="s">
        <v>6128</v>
      </c>
      <c r="C107" s="2" t="s">
        <v>6129</v>
      </c>
      <c r="D107" t="s">
        <v>5843</v>
      </c>
      <c r="E107" s="2" t="s">
        <v>6130</v>
      </c>
      <c r="F107" t="s">
        <v>4203</v>
      </c>
      <c r="G107" t="str">
        <f>VLOOKUP($F107, codebooks_data_reordered!$A:$I, 2, FALSE)</f>
        <v>1981_1</v>
      </c>
      <c r="H107" t="str">
        <f>VLOOKUP($F107, codebooks_data_reordered!$A:$I, 3, FALSE)</f>
        <v>CHARACTERIZATION OF MOSHE DAYAN, GRADED SCALE 1-6</v>
      </c>
      <c r="I107" t="str">
        <f>VLOOKUP($F107, codebooks_data_reordered!$A:$I, 4, FALSE)</f>
        <v>1</v>
      </c>
      <c r="J107" t="str">
        <f>VLOOKUP($F107, codebooks_data_reordered!$A:$I, 5, FALSE)</f>
        <v>145</v>
      </c>
      <c r="K107" t="str">
        <f>VLOOKUP($F107, codebooks_data_reordered!$A:$I, 6, FALSE)</f>
        <v>Observes religious traditions</v>
      </c>
      <c r="L107">
        <f>VLOOKUP($F107, codebooks_data_reordered!$A:$I, 7, FALSE)</f>
        <v>0</v>
      </c>
      <c r="M107" t="str">
        <f>VLOOKUP($F107, codebooks_data_reordered!$A:$I, 9, FALSE)</f>
        <v>1: Observes them strictly; 2: To a great extent; 3: To some extent; 4: Secular</v>
      </c>
      <c r="O107" s="2" t="str">
        <f t="shared" si="1"/>
        <v>1: Observes them strictly
 2: To a great extent
 3: To some extent
 4: Secular</v>
      </c>
    </row>
    <row r="108" spans="1:15" ht="230.4" hidden="1" x14ac:dyDescent="0.3">
      <c r="A108" t="s">
        <v>5840</v>
      </c>
      <c r="B108" t="s">
        <v>6131</v>
      </c>
      <c r="C108" s="2" t="s">
        <v>6132</v>
      </c>
      <c r="D108" t="s">
        <v>5843</v>
      </c>
      <c r="E108" s="2" t="s">
        <v>6133</v>
      </c>
      <c r="F108" t="s">
        <v>9182</v>
      </c>
      <c r="G108" t="e">
        <f>VLOOKUP($F108, codebooks_data_reordered!$A:$I, 2, FALSE)</f>
        <v>#N/A</v>
      </c>
      <c r="H108" t="e">
        <f>VLOOKUP($F108, codebooks_data_reordered!$A:$I, 3, FALSE)</f>
        <v>#N/A</v>
      </c>
      <c r="I108" t="e">
        <f>VLOOKUP($F108, codebooks_data_reordered!$A:$I, 4, FALSE)</f>
        <v>#N/A</v>
      </c>
      <c r="J108" t="e">
        <f>VLOOKUP($F108, codebooks_data_reordered!$A:$I, 5, FALSE)</f>
        <v>#N/A</v>
      </c>
      <c r="K108" t="e">
        <f>VLOOKUP($F108, codebooks_data_reordered!$A:$I, 6, FALSE)</f>
        <v>#N/A</v>
      </c>
      <c r="L108" t="e">
        <f>VLOOKUP($F108, codebooks_data_reordered!$A:$I, 7, FALSE)</f>
        <v>#N/A</v>
      </c>
      <c r="M108" t="e">
        <f>VLOOKUP($F108, codebooks_data_reordered!$A:$I, 9, FALSE)</f>
        <v>#N/A</v>
      </c>
      <c r="O108" t="e">
        <f t="shared" si="1"/>
        <v>#N/A</v>
      </c>
    </row>
    <row r="109" spans="1:15" ht="158.4" hidden="1" x14ac:dyDescent="0.3">
      <c r="A109" t="s">
        <v>5840</v>
      </c>
      <c r="B109" t="s">
        <v>6134</v>
      </c>
      <c r="C109" s="2" t="s">
        <v>6135</v>
      </c>
      <c r="D109" t="s">
        <v>5843</v>
      </c>
      <c r="E109" s="2" t="s">
        <v>6136</v>
      </c>
      <c r="F109" t="s">
        <v>4206</v>
      </c>
      <c r="G109" t="str">
        <f>VLOOKUP($F109, codebooks_data_reordered!$A:$I, 2, FALSE)</f>
        <v>1981_1</v>
      </c>
      <c r="H109" t="str">
        <f>VLOOKUP($F109, codebooks_data_reordered!$A:$I, 3, FALSE)</f>
        <v>CHARACTERIZATION OF MOSHE DAYAN, GRADED SCALE 1-6</v>
      </c>
      <c r="I109" t="str">
        <f>VLOOKUP($F109, codebooks_data_reordered!$A:$I, 4, FALSE)</f>
        <v>1</v>
      </c>
      <c r="J109" t="str">
        <f>VLOOKUP($F109, codebooks_data_reordered!$A:$I, 5, FALSE)</f>
        <v>146</v>
      </c>
      <c r="K109" t="str">
        <f>VLOOKUP($F109, codebooks_data_reordered!$A:$I, 6, FALSE)</f>
        <v>Number of rooms in dwelling</v>
      </c>
      <c r="L109">
        <f>VLOOKUP($F109, codebooks_data_reordered!$A:$I, 7, FALSE)</f>
        <v>0</v>
      </c>
      <c r="M109" t="str">
        <f>VLOOKUP($F109, codebooks_data_reordered!$A:$I, 9, FALSE)</f>
        <v>1: One room; 2: 2 rooms; 9: 9+</v>
      </c>
      <c r="O109" s="2" t="str">
        <f t="shared" si="1"/>
        <v>1: One room
 2: 2 rooms
 9: 9+</v>
      </c>
    </row>
    <row r="110" spans="1:15" ht="43.2" hidden="1" x14ac:dyDescent="0.3">
      <c r="A110" t="s">
        <v>5840</v>
      </c>
      <c r="B110" t="s">
        <v>6137</v>
      </c>
      <c r="C110" s="2" t="s">
        <v>5947</v>
      </c>
      <c r="D110" t="s">
        <v>5843</v>
      </c>
      <c r="E110" s="2" t="s">
        <v>5948</v>
      </c>
      <c r="F110" t="s">
        <v>9183</v>
      </c>
      <c r="G110" t="e">
        <f>VLOOKUP($F110, codebooks_data_reordered!$A:$I, 2, FALSE)</f>
        <v>#N/A</v>
      </c>
      <c r="H110" t="e">
        <f>VLOOKUP($F110, codebooks_data_reordered!$A:$I, 3, FALSE)</f>
        <v>#N/A</v>
      </c>
      <c r="I110" t="e">
        <f>VLOOKUP($F110, codebooks_data_reordered!$A:$I, 4, FALSE)</f>
        <v>#N/A</v>
      </c>
      <c r="J110" t="e">
        <f>VLOOKUP($F110, codebooks_data_reordered!$A:$I, 5, FALSE)</f>
        <v>#N/A</v>
      </c>
      <c r="K110" t="e">
        <f>VLOOKUP($F110, codebooks_data_reordered!$A:$I, 6, FALSE)</f>
        <v>#N/A</v>
      </c>
      <c r="L110" t="e">
        <f>VLOOKUP($F110, codebooks_data_reordered!$A:$I, 7, FALSE)</f>
        <v>#N/A</v>
      </c>
      <c r="M110" t="e">
        <f>VLOOKUP($F110, codebooks_data_reordered!$A:$I, 9, FALSE)</f>
        <v>#N/A</v>
      </c>
      <c r="O110" t="e">
        <f t="shared" si="1"/>
        <v>#N/A</v>
      </c>
    </row>
    <row r="111" spans="1:15" ht="230.4" hidden="1" x14ac:dyDescent="0.3">
      <c r="A111" t="s">
        <v>5840</v>
      </c>
      <c r="B111" t="s">
        <v>6138</v>
      </c>
      <c r="C111" s="2" t="s">
        <v>6139</v>
      </c>
      <c r="D111" t="s">
        <v>5843</v>
      </c>
      <c r="E111" s="2" t="s">
        <v>6140</v>
      </c>
      <c r="F111" t="s">
        <v>9184</v>
      </c>
      <c r="G111" t="e">
        <f>VLOOKUP($F111, codebooks_data_reordered!$A:$I, 2, FALSE)</f>
        <v>#N/A</v>
      </c>
      <c r="H111" t="e">
        <f>VLOOKUP($F111, codebooks_data_reordered!$A:$I, 3, FALSE)</f>
        <v>#N/A</v>
      </c>
      <c r="I111" t="e">
        <f>VLOOKUP($F111, codebooks_data_reordered!$A:$I, 4, FALSE)</f>
        <v>#N/A</v>
      </c>
      <c r="J111" t="e">
        <f>VLOOKUP($F111, codebooks_data_reordered!$A:$I, 5, FALSE)</f>
        <v>#N/A</v>
      </c>
      <c r="K111" t="e">
        <f>VLOOKUP($F111, codebooks_data_reordered!$A:$I, 6, FALSE)</f>
        <v>#N/A</v>
      </c>
      <c r="L111" t="e">
        <f>VLOOKUP($F111, codebooks_data_reordered!$A:$I, 7, FALSE)</f>
        <v>#N/A</v>
      </c>
      <c r="M111" t="e">
        <f>VLOOKUP($F111, codebooks_data_reordered!$A:$I, 9, FALSE)</f>
        <v>#N/A</v>
      </c>
      <c r="O111" t="e">
        <f t="shared" si="1"/>
        <v>#N/A</v>
      </c>
    </row>
    <row r="112" spans="1:15" ht="43.2" hidden="1" x14ac:dyDescent="0.3">
      <c r="A112" t="s">
        <v>5840</v>
      </c>
      <c r="B112" t="s">
        <v>6141</v>
      </c>
      <c r="C112" s="2" t="s">
        <v>6142</v>
      </c>
      <c r="D112" t="s">
        <v>6422</v>
      </c>
      <c r="E112" s="2" t="s">
        <v>6143</v>
      </c>
      <c r="F112" t="s">
        <v>9185</v>
      </c>
      <c r="G112" t="e">
        <f>VLOOKUP($F112, codebooks_data_reordered!$A:$I, 2, FALSE)</f>
        <v>#N/A</v>
      </c>
      <c r="H112" t="e">
        <f>VLOOKUP($F112, codebooks_data_reordered!$A:$I, 3, FALSE)</f>
        <v>#N/A</v>
      </c>
      <c r="I112" t="e">
        <f>VLOOKUP($F112, codebooks_data_reordered!$A:$I, 4, FALSE)</f>
        <v>#N/A</v>
      </c>
      <c r="J112" t="e">
        <f>VLOOKUP($F112, codebooks_data_reordered!$A:$I, 5, FALSE)</f>
        <v>#N/A</v>
      </c>
      <c r="K112" t="e">
        <f>VLOOKUP($F112, codebooks_data_reordered!$A:$I, 6, FALSE)</f>
        <v>#N/A</v>
      </c>
      <c r="L112" t="e">
        <f>VLOOKUP($F112, codebooks_data_reordered!$A:$I, 7, FALSE)</f>
        <v>#N/A</v>
      </c>
      <c r="M112" t="e">
        <f>VLOOKUP($F112, codebooks_data_reordered!$A:$I, 9, FALSE)</f>
        <v>#N/A</v>
      </c>
      <c r="O112" t="e">
        <f t="shared" si="1"/>
        <v>#N/A</v>
      </c>
    </row>
    <row r="113" spans="1:15" ht="43.2" hidden="1" x14ac:dyDescent="0.3">
      <c r="A113" t="s">
        <v>5840</v>
      </c>
      <c r="B113" t="s">
        <v>6144</v>
      </c>
      <c r="C113" s="2" t="s">
        <v>6142</v>
      </c>
      <c r="D113" t="s">
        <v>6422</v>
      </c>
      <c r="E113" s="2" t="s">
        <v>6143</v>
      </c>
      <c r="F113" t="s">
        <v>9186</v>
      </c>
      <c r="G113" t="e">
        <f>VLOOKUP($F113, codebooks_data_reordered!$A:$I, 2, FALSE)</f>
        <v>#N/A</v>
      </c>
      <c r="H113" t="e">
        <f>VLOOKUP($F113, codebooks_data_reordered!$A:$I, 3, FALSE)</f>
        <v>#N/A</v>
      </c>
      <c r="I113" t="e">
        <f>VLOOKUP($F113, codebooks_data_reordered!$A:$I, 4, FALSE)</f>
        <v>#N/A</v>
      </c>
      <c r="J113" t="e">
        <f>VLOOKUP($F113, codebooks_data_reordered!$A:$I, 5, FALSE)</f>
        <v>#N/A</v>
      </c>
      <c r="K113" t="e">
        <f>VLOOKUP($F113, codebooks_data_reordered!$A:$I, 6, FALSE)</f>
        <v>#N/A</v>
      </c>
      <c r="L113" t="e">
        <f>VLOOKUP($F113, codebooks_data_reordered!$A:$I, 7, FALSE)</f>
        <v>#N/A</v>
      </c>
      <c r="M113" t="e">
        <f>VLOOKUP($F113, codebooks_data_reordered!$A:$I, 9, FALSE)</f>
        <v>#N/A</v>
      </c>
      <c r="O113" t="e">
        <f t="shared" si="1"/>
        <v>#N/A</v>
      </c>
    </row>
    <row r="114" spans="1:15" ht="43.2" hidden="1" x14ac:dyDescent="0.3">
      <c r="A114" t="s">
        <v>5840</v>
      </c>
      <c r="B114" t="s">
        <v>6145</v>
      </c>
      <c r="C114" s="2" t="s">
        <v>6142</v>
      </c>
      <c r="D114" t="s">
        <v>6422</v>
      </c>
      <c r="E114" s="2" t="s">
        <v>6143</v>
      </c>
      <c r="F114" t="s">
        <v>9187</v>
      </c>
      <c r="G114" t="e">
        <f>VLOOKUP($F114, codebooks_data_reordered!$A:$I, 2, FALSE)</f>
        <v>#N/A</v>
      </c>
      <c r="H114" t="e">
        <f>VLOOKUP($F114, codebooks_data_reordered!$A:$I, 3, FALSE)</f>
        <v>#N/A</v>
      </c>
      <c r="I114" t="e">
        <f>VLOOKUP($F114, codebooks_data_reordered!$A:$I, 4, FALSE)</f>
        <v>#N/A</v>
      </c>
      <c r="J114" t="e">
        <f>VLOOKUP($F114, codebooks_data_reordered!$A:$I, 5, FALSE)</f>
        <v>#N/A</v>
      </c>
      <c r="K114" t="e">
        <f>VLOOKUP($F114, codebooks_data_reordered!$A:$I, 6, FALSE)</f>
        <v>#N/A</v>
      </c>
      <c r="L114" t="e">
        <f>VLOOKUP($F114, codebooks_data_reordered!$A:$I, 7, FALSE)</f>
        <v>#N/A</v>
      </c>
      <c r="M114" t="e">
        <f>VLOOKUP($F114, codebooks_data_reordered!$A:$I, 9, FALSE)</f>
        <v>#N/A</v>
      </c>
      <c r="O114" t="e">
        <f t="shared" si="1"/>
        <v>#N/A</v>
      </c>
    </row>
    <row r="115" spans="1:15" ht="187.2" hidden="1" x14ac:dyDescent="0.3">
      <c r="A115" t="s">
        <v>5840</v>
      </c>
      <c r="B115" t="s">
        <v>6146</v>
      </c>
      <c r="C115" s="2" t="s">
        <v>6147</v>
      </c>
      <c r="D115" t="s">
        <v>5843</v>
      </c>
      <c r="E115" s="2" t="s">
        <v>6148</v>
      </c>
      <c r="F115" t="s">
        <v>778</v>
      </c>
      <c r="G115" t="str">
        <f>VLOOKUP($F115, codebooks_data_reordered!$A:$I, 2, FALSE)</f>
        <v>2006</v>
      </c>
      <c r="H115" t="str">
        <f>VLOOKUP($F115, codebooks_data_reordered!$A:$I, 3, FALSE)</f>
        <v>Rersonal and Household Details</v>
      </c>
      <c r="I115" t="str">
        <f>VLOOKUP($F115, codebooks_data_reordered!$A:$I, 4, FALSE)</f>
        <v>1</v>
      </c>
      <c r="J115" t="str">
        <f>VLOOKUP($F115, codebooks_data_reordered!$A:$I, 5, FALSE)</f>
        <v>279-280</v>
      </c>
      <c r="K115" t="str">
        <f>VLOOKUP($F115, codebooks_data_reordered!$A:$I, 6, FALSE)</f>
        <v>Nationality in passport in USSR (only for immigrants from the former USSR)</v>
      </c>
      <c r="L115" t="str">
        <f>VLOOKUP($F115, codebooks_data_reordered!$A:$I, 7, FALSE)</f>
        <v>65. (only for immigrants from the former USSR): what was the nationality written in your internal Soviet passport?</v>
      </c>
      <c r="M115" t="str">
        <f>VLOOKUP($F115, codebooks_data_reordered!$A:$I, 9, FALSE)</f>
        <v>1: Jewish; 2: Other; 3: Nothing; 4: No passport; 5: Don't remember; 10: Russian; 11: Ukrainian; 12: Moldavian; 13: Yakutian; 14: Gorskiy Evrei; 15: Armenian; 16: Belorussian; 17: Mordovi</v>
      </c>
      <c r="O115" s="2" t="str">
        <f t="shared" si="1"/>
        <v>1: Jewish
 2: Other
 3: Nothing
 4: No passport
 5: Don't remember
 10: Russian
 11: Ukrainian
 12: Moldavian
 13: Yakutian
 14: Gorskiy Evrei
 15: Armenian
 16: Belorussian
 17: Mordovi</v>
      </c>
    </row>
    <row r="116" spans="1:15" ht="158.4" hidden="1" x14ac:dyDescent="0.3">
      <c r="A116" t="s">
        <v>5840</v>
      </c>
      <c r="B116" t="s">
        <v>6149</v>
      </c>
      <c r="C116" s="2" t="s">
        <v>6150</v>
      </c>
      <c r="D116" t="s">
        <v>5843</v>
      </c>
      <c r="E116" s="2" t="s">
        <v>6151</v>
      </c>
      <c r="F116" t="s">
        <v>2068</v>
      </c>
      <c r="G116" t="str">
        <f>VLOOKUP($F116, codebooks_data_reordered!$A:$I, 2, FALSE)</f>
        <v>1999_1</v>
      </c>
      <c r="H116" t="str">
        <f>VLOOKUP($F116, codebooks_data_reordered!$A:$I, 3, FALSE)</f>
        <v>MAIN POLITICAL ISSUES</v>
      </c>
      <c r="I116" t="str">
        <f>VLOOKUP($F116, codebooks_data_reordered!$A:$I, 4, FALSE)</f>
        <v>2</v>
      </c>
      <c r="J116" t="str">
        <f>VLOOKUP($F116, codebooks_data_reordered!$A:$I, 5, FALSE)</f>
        <v>61</v>
      </c>
      <c r="K116" t="str">
        <f>VLOOKUP($F116, codebooks_data_reordered!$A:$I, 6, FALSE)</f>
        <v>Should public life be conducted by religious law?</v>
      </c>
      <c r="L116">
        <f>VLOOKUP($F116, codebooks_data_reordered!$A:$I, 7, FALSE)</f>
        <v>0</v>
      </c>
      <c r="M116" t="str">
        <f>VLOOKUP($F116, codebooks_data_reordered!$A:$I, 9, FALSE)</f>
        <v>1: Government should support it; 2: Government might support it; 3: Don't think government sould support it; 4: Certainly not</v>
      </c>
      <c r="O116" s="2" t="str">
        <f t="shared" si="1"/>
        <v>1: Government should support it
 2: Government might support it
 3: Don't think government sould support it
 4: Certainly not</v>
      </c>
    </row>
    <row r="117" spans="1:15" ht="409.6" hidden="1" x14ac:dyDescent="0.3">
      <c r="A117" t="s">
        <v>5840</v>
      </c>
      <c r="B117" t="s">
        <v>6152</v>
      </c>
      <c r="C117" s="2" t="s">
        <v>6153</v>
      </c>
      <c r="D117" t="s">
        <v>5843</v>
      </c>
      <c r="E117" s="2" t="s">
        <v>6154</v>
      </c>
      <c r="F117" t="s">
        <v>773</v>
      </c>
      <c r="G117" t="str">
        <f>VLOOKUP($F117, codebooks_data_reordered!$A:$I, 2, FALSE)</f>
        <v>2006</v>
      </c>
      <c r="H117" t="str">
        <f>VLOOKUP($F117, codebooks_data_reordered!$A:$I, 3, FALSE)</f>
        <v>Rersonal and Household Details</v>
      </c>
      <c r="I117" t="str">
        <f>VLOOKUP($F117, codebooks_data_reordered!$A:$I, 4, FALSE)</f>
        <v>1</v>
      </c>
      <c r="J117" t="str">
        <f>VLOOKUP($F117, codebooks_data_reordered!$A:$I, 5, FALSE)</f>
        <v>277-278</v>
      </c>
      <c r="K117" t="str">
        <f>VLOOKUP($F117, codebooks_data_reordered!$A:$I, 6, FALSE)</f>
        <v>City in former USSR (only for immigrants from the former USSR)</v>
      </c>
      <c r="L117" t="str">
        <f>VLOOKUP($F117, codebooks_data_reordered!$A:$I, 7, FALSE)</f>
        <v>63. (only for immigrants from the former USSR): in what city did you live before you came to Israel?</v>
      </c>
      <c r="M117" t="str">
        <f>VLOOKUP($F117, codebooks_data_reordered!$A:$I, 9, FALSE)</f>
        <v>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v>
      </c>
      <c r="O117" s="2" t="str">
        <f t="shared" si="1"/>
        <v>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v>
      </c>
    </row>
    <row r="118" spans="1:15" ht="100.8" hidden="1" x14ac:dyDescent="0.3">
      <c r="A118" t="s">
        <v>5840</v>
      </c>
      <c r="B118" t="s">
        <v>6155</v>
      </c>
      <c r="C118" s="2" t="s">
        <v>5947</v>
      </c>
      <c r="D118" t="s">
        <v>5843</v>
      </c>
      <c r="E118" s="2" t="s">
        <v>5948</v>
      </c>
      <c r="F118" t="s">
        <v>328</v>
      </c>
      <c r="G118" t="str">
        <f>VLOOKUP($F118, codebooks_data_reordered!$A:$I, 2, FALSE)</f>
        <v>2006</v>
      </c>
      <c r="H118" t="str">
        <f>VLOOKUP($F118, codebooks_data_reordered!$A:$I, 3, FALSE)</f>
        <v>Support/Rejection of a Group or a Person</v>
      </c>
      <c r="I118" t="str">
        <f>VLOOKUP($F118, codebooks_data_reordered!$A:$I, 4, FALSE)</f>
        <v>1</v>
      </c>
      <c r="J118" t="str">
        <f>VLOOKUP($F118, codebooks_data_reordered!$A:$I, 5, FALSE)</f>
        <v>104</v>
      </c>
      <c r="K118" t="str">
        <f>VLOOKUP($F118, codebooks_data_reordered!$A:$I, 6, FALSE)</f>
        <v>In second place</v>
      </c>
      <c r="L118" t="str">
        <f>VLOOKUP($F118, codebooks_data_reordered!$A:$I, 7, FALSE)</f>
        <v>83  83. And regarding the foreign and security issues in Israel?</v>
      </c>
      <c r="M118" t="str">
        <f>VLOOKUP($F118, codebooks_data_reordered!$A:$I, 9, FALSE)</f>
        <v>1: Kadima leaders; 2: Likud leaders; 3: Avoda leaders; 4: All of them to the same deggree; 5: None of them; 6: Another party</v>
      </c>
      <c r="O118" s="2" t="str">
        <f t="shared" si="1"/>
        <v>1: Kadima leaders
 2: Likud leaders
 3: Avoda leaders
 4: All of them to the same deggree
 5: None of them
 6: Another party</v>
      </c>
    </row>
    <row r="119" spans="1:15" ht="43.2" hidden="1" x14ac:dyDescent="0.3">
      <c r="A119" t="s">
        <v>5840</v>
      </c>
      <c r="B119" t="s">
        <v>6156</v>
      </c>
      <c r="C119" s="2" t="s">
        <v>6157</v>
      </c>
      <c r="D119" t="s">
        <v>5843</v>
      </c>
      <c r="E119" s="2" t="s">
        <v>6158</v>
      </c>
      <c r="F119" t="s">
        <v>336</v>
      </c>
      <c r="G119" t="str">
        <f>VLOOKUP($F119, codebooks_data_reordered!$A:$I, 2, FALSE)</f>
        <v>2006</v>
      </c>
      <c r="H119" t="str">
        <f>VLOOKUP($F119, codebooks_data_reordered!$A:$I, 3, FALSE)</f>
        <v>Party Differences</v>
      </c>
      <c r="I119" t="str">
        <f>VLOOKUP($F119, codebooks_data_reordered!$A:$I, 4, FALSE)</f>
        <v>1</v>
      </c>
      <c r="J119" t="str">
        <f>VLOOKUP($F119, codebooks_data_reordered!$A:$I, 5, FALSE)</f>
        <v>106</v>
      </c>
      <c r="K119" t="str">
        <f>VLOOKUP($F119, codebooks_data_reordered!$A:$I, 6, FALSE)</f>
        <v>Party differences on the following issue:Economy</v>
      </c>
      <c r="L119" t="str">
        <f>VLOOKUP($F119, codebooks_data_reordered!$A:$I, 7, FALSE)</f>
        <v>Do you think there are or are not differences among the parties on the following issues?</v>
      </c>
      <c r="M119" t="str">
        <f>VLOOKUP($F119, codebooks_data_reordered!$A:$I, 9, FALSE)</f>
        <v>1: Great differences; 5: Almost no differences</v>
      </c>
      <c r="O119" s="2" t="str">
        <f t="shared" si="1"/>
        <v>1: Great differences
 5: Almost no differences</v>
      </c>
    </row>
    <row r="120" spans="1:15" ht="216" hidden="1" x14ac:dyDescent="0.3">
      <c r="A120" t="s">
        <v>5840</v>
      </c>
      <c r="B120" t="s">
        <v>6159</v>
      </c>
      <c r="C120" s="2" t="s">
        <v>6160</v>
      </c>
      <c r="D120" t="s">
        <v>5843</v>
      </c>
      <c r="E120" s="2" t="s">
        <v>6161</v>
      </c>
      <c r="F120" t="s">
        <v>339</v>
      </c>
      <c r="G120" t="str">
        <f>VLOOKUP($F120, codebooks_data_reordered!$A:$I, 2, FALSE)</f>
        <v>2006</v>
      </c>
      <c r="H120" t="str">
        <f>VLOOKUP($F120, codebooks_data_reordered!$A:$I, 3, FALSE)</f>
        <v>Party Differences</v>
      </c>
      <c r="I120" t="str">
        <f>VLOOKUP($F120, codebooks_data_reordered!$A:$I, 4, FALSE)</f>
        <v>1</v>
      </c>
      <c r="J120" t="str">
        <f>VLOOKUP($F120, codebooks_data_reordered!$A:$I, 5, FALSE)</f>
        <v>107</v>
      </c>
      <c r="K120" t="str">
        <f>VLOOKUP($F120, codebooks_data_reordered!$A:$I, 6, FALSE)</f>
        <v>Party differences on the following issue:Social policy</v>
      </c>
      <c r="L120" t="str">
        <f>VLOOKUP($F120, codebooks_data_reordered!$A:$I, 7, FALSE)</f>
        <v>Do you think there are or are not differences among the parties on the following issues?</v>
      </c>
      <c r="M120" t="str">
        <f>VLOOKUP($F120, codebooks_data_reordered!$A:$I, 9, FALSE)</f>
        <v>1: Great differences; 5: Almost no differences</v>
      </c>
      <c r="O120" s="2" t="str">
        <f t="shared" si="1"/>
        <v>1: Great differences
 5: Almost no differences</v>
      </c>
    </row>
    <row r="121" spans="1:15" ht="43.2" hidden="1" x14ac:dyDescent="0.3">
      <c r="A121" t="s">
        <v>5840</v>
      </c>
      <c r="B121" t="s">
        <v>6162</v>
      </c>
      <c r="C121" s="2" t="s">
        <v>6157</v>
      </c>
      <c r="D121" t="s">
        <v>5843</v>
      </c>
      <c r="E121" s="2" t="s">
        <v>6158</v>
      </c>
      <c r="F121" t="s">
        <v>342</v>
      </c>
      <c r="G121" t="str">
        <f>VLOOKUP($F121, codebooks_data_reordered!$A:$I, 2, FALSE)</f>
        <v>2006</v>
      </c>
      <c r="H121" t="str">
        <f>VLOOKUP($F121, codebooks_data_reordered!$A:$I, 3, FALSE)</f>
        <v>Party Differences</v>
      </c>
      <c r="I121" t="str">
        <f>VLOOKUP($F121, codebooks_data_reordered!$A:$I, 4, FALSE)</f>
        <v>1</v>
      </c>
      <c r="J121" t="str">
        <f>VLOOKUP($F121, codebooks_data_reordered!$A:$I, 5, FALSE)</f>
        <v>108</v>
      </c>
      <c r="K121" t="str">
        <f>VLOOKUP($F121, codebooks_data_reordered!$A:$I, 6, FALSE)</f>
        <v>Party differences on the following issue:State and Religion</v>
      </c>
      <c r="L121" t="str">
        <f>VLOOKUP($F121, codebooks_data_reordered!$A:$I, 7, FALSE)</f>
        <v>Do you think there are or are not differences among the parties on the following issues?</v>
      </c>
      <c r="M121" t="str">
        <f>VLOOKUP($F121, codebooks_data_reordered!$A:$I, 9, FALSE)</f>
        <v>1: Great differences; 5: Almost no differences</v>
      </c>
      <c r="O121" s="2" t="str">
        <f t="shared" si="1"/>
        <v>1: Great differences
 5: Almost no differences</v>
      </c>
    </row>
    <row r="122" spans="1:15" ht="273.60000000000002" hidden="1" x14ac:dyDescent="0.3">
      <c r="A122" t="s">
        <v>5840</v>
      </c>
      <c r="B122" t="s">
        <v>6163</v>
      </c>
      <c r="C122" s="2" t="s">
        <v>6164</v>
      </c>
      <c r="D122" t="s">
        <v>5843</v>
      </c>
      <c r="E122" s="2" t="s">
        <v>6165</v>
      </c>
      <c r="F122" t="s">
        <v>348</v>
      </c>
      <c r="G122" t="str">
        <f>VLOOKUP($F122, codebooks_data_reordered!$A:$I, 2, FALSE)</f>
        <v>2006</v>
      </c>
      <c r="H122" t="str">
        <f>VLOOKUP($F122, codebooks_data_reordered!$A:$I, 3, FALSE)</f>
        <v>Party Differences</v>
      </c>
      <c r="I122" t="str">
        <f>VLOOKUP($F122, codebooks_data_reordered!$A:$I, 4, FALSE)</f>
        <v>1</v>
      </c>
      <c r="J122" t="str">
        <f>VLOOKUP($F122, codebooks_data_reordered!$A:$I, 5, FALSE)</f>
        <v>110</v>
      </c>
      <c r="K122" t="str">
        <f>VLOOKUP($F122, codebooks_data_reordered!$A:$I, 6, FALSE)</f>
        <v>Party differences on the following issue:Terror</v>
      </c>
      <c r="L122" t="str">
        <f>VLOOKUP($F122, codebooks_data_reordered!$A:$I, 7, FALSE)</f>
        <v>Do you think there are or are not differences among the parties on the following issues?</v>
      </c>
      <c r="M122" t="str">
        <f>VLOOKUP($F122, codebooks_data_reordered!$A:$I, 9, FALSE)</f>
        <v>1: Great differences; 5: Almost no differences</v>
      </c>
      <c r="O122" s="2" t="str">
        <f t="shared" si="1"/>
        <v>1: Great differences
 5: Almost no differences</v>
      </c>
    </row>
    <row r="123" spans="1:15" ht="129.6" hidden="1" x14ac:dyDescent="0.3">
      <c r="A123" t="s">
        <v>5840</v>
      </c>
      <c r="B123" t="s">
        <v>6166</v>
      </c>
      <c r="C123" s="2" t="s">
        <v>6167</v>
      </c>
      <c r="D123" t="s">
        <v>5843</v>
      </c>
      <c r="E123" s="2" t="s">
        <v>6168</v>
      </c>
      <c r="F123" t="s">
        <v>1670</v>
      </c>
      <c r="G123" t="str">
        <f>VLOOKUP($F123, codebooks_data_reordered!$A:$I, 2, FALSE)</f>
        <v>2001</v>
      </c>
      <c r="H123" t="str">
        <f>VLOOKUP($F123, codebooks_data_reordered!$A:$I, 3, FALSE)</f>
        <v>Self definition of identity</v>
      </c>
      <c r="I123" t="str">
        <f>VLOOKUP($F123, codebooks_data_reordered!$A:$I, 4, FALSE)</f>
        <v>1</v>
      </c>
      <c r="J123" t="str">
        <f>VLOOKUP($F123, codebooks_data_reordered!$A:$I, 5, FALSE)</f>
        <v>115</v>
      </c>
      <c r="K123" t="str">
        <f>VLOOKUP($F123, codebooks_data_reordered!$A:$I, 6, FALSE)</f>
        <v>Supporter or member of any party</v>
      </c>
      <c r="L123">
        <f>VLOOKUP($F123, codebooks_data_reordered!$A:$I, 7, FALSE)</f>
        <v>0</v>
      </c>
      <c r="M123" t="str">
        <f>VLOOKUP($F123, codebooks_data_reordered!$A:$I, 9, FALSE)</f>
        <v>1: Not a member, do not support; 2: Support; 3: Member; 4: Member unsalaried; 5: Member salaried</v>
      </c>
      <c r="O123" s="2" t="str">
        <f t="shared" si="1"/>
        <v>1: Not a member, do not support
 2: Support
 3: Member
 4: Member unsalaried
 5: Member salaried</v>
      </c>
    </row>
    <row r="124" spans="1:15" ht="244.8" hidden="1" x14ac:dyDescent="0.3">
      <c r="A124" t="s">
        <v>5840</v>
      </c>
      <c r="B124" t="s">
        <v>6169</v>
      </c>
      <c r="C124" s="2" t="s">
        <v>6170</v>
      </c>
      <c r="D124" t="s">
        <v>5843</v>
      </c>
      <c r="E124" s="2" t="s">
        <v>6171</v>
      </c>
      <c r="F124" t="s">
        <v>421</v>
      </c>
      <c r="G124" t="str">
        <f>VLOOKUP($F124, codebooks_data_reordered!$A:$I, 2, FALSE)</f>
        <v>2006</v>
      </c>
      <c r="H124" t="str">
        <f>VLOOKUP($F124, codebooks_data_reordered!$A:$I, 3, FALSE)</f>
        <v>State expenditures on Different Issues</v>
      </c>
      <c r="I124" t="str">
        <f>VLOOKUP($F124, codebooks_data_reordered!$A:$I, 4, FALSE)</f>
        <v>1</v>
      </c>
      <c r="J124" t="str">
        <f>VLOOKUP($F124, codebooks_data_reordered!$A:$I, 5, FALSE)</f>
        <v>137</v>
      </c>
      <c r="K124" t="str">
        <f>VLOOKUP($F124, codebooks_data_reordered!$A:$I, 6, FALSE)</f>
        <v>State expenditures on Education</v>
      </c>
      <c r="L124" t="str">
        <f>VLOOKUP($F124, codebooks_data_reordered!$A:$I, 7, FALSE)</f>
        <v>Should the country spend more money, less money or the same as it does today on the following issues:</v>
      </c>
      <c r="M124" t="str">
        <f>VLOOKUP($F124, codebooks_data_reordered!$A:$I, 9, FALSE)</f>
        <v>1: More; 2: Less; 3: The same as today</v>
      </c>
      <c r="O124" s="2" t="str">
        <f t="shared" si="1"/>
        <v>1: More
 2: Less
 3: The same as today</v>
      </c>
    </row>
    <row r="125" spans="1:15" ht="244.8" hidden="1" x14ac:dyDescent="0.3">
      <c r="A125" t="s">
        <v>5840</v>
      </c>
      <c r="B125" t="s">
        <v>6172</v>
      </c>
      <c r="C125" s="2" t="s">
        <v>6170</v>
      </c>
      <c r="D125" t="s">
        <v>5843</v>
      </c>
      <c r="E125" s="2" t="s">
        <v>6171</v>
      </c>
      <c r="F125" t="s">
        <v>674</v>
      </c>
      <c r="G125" t="str">
        <f>VLOOKUP($F125, codebooks_data_reordered!$A:$I, 2, FALSE)</f>
        <v>2006</v>
      </c>
      <c r="H125" t="str">
        <f>VLOOKUP($F125, codebooks_data_reordered!$A:$I, 3, FALSE)</f>
        <v>Different Coalitions after the Elections</v>
      </c>
      <c r="I125" t="str">
        <f>VLOOKUP($F125, codebooks_data_reordered!$A:$I, 4, FALSE)</f>
        <v>1</v>
      </c>
      <c r="J125" t="str">
        <f>VLOOKUP($F125, codebooks_data_reordered!$A:$I, 5, FALSE)</f>
        <v>246-248</v>
      </c>
      <c r="K125" t="str">
        <f>VLOOKUP($F125, codebooks_data_reordered!$A:$I, 6, FALSE)</f>
        <v>Will support Kadima-Labor-Likud-Right parties and Haredim coalition</v>
      </c>
      <c r="L125" t="str">
        <f>VLOOKUP($F125,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25" t="str">
        <f>VLOOKUP($F125, codebooks_data_reordered!$A:$I, 9, FALSE)</f>
        <v>1: Reject; 10: Support</v>
      </c>
      <c r="O125" s="2" t="str">
        <f t="shared" si="1"/>
        <v>1: Reject
 10: Support</v>
      </c>
    </row>
    <row r="126" spans="1:15" ht="360" hidden="1" x14ac:dyDescent="0.3">
      <c r="A126" t="s">
        <v>5840</v>
      </c>
      <c r="B126" t="s">
        <v>6173</v>
      </c>
      <c r="C126" s="2" t="s">
        <v>6174</v>
      </c>
      <c r="D126" t="s">
        <v>5843</v>
      </c>
      <c r="E126" s="2" t="s">
        <v>6175</v>
      </c>
      <c r="F126" t="s">
        <v>430</v>
      </c>
      <c r="G126" t="str">
        <f>VLOOKUP($F126, codebooks_data_reordered!$A:$I, 2, FALSE)</f>
        <v>2006</v>
      </c>
      <c r="H126" t="str">
        <f>VLOOKUP($F126, codebooks_data_reordered!$A:$I, 3, FALSE)</f>
        <v>State expenditures on Different Issues</v>
      </c>
      <c r="I126" t="str">
        <f>VLOOKUP($F126, codebooks_data_reordered!$A:$I, 4, FALSE)</f>
        <v>1</v>
      </c>
      <c r="J126" t="str">
        <f>VLOOKUP($F126, codebooks_data_reordered!$A:$I, 5, FALSE)</f>
        <v>140</v>
      </c>
      <c r="K126" t="str">
        <f>VLOOKUP($F126, codebooks_data_reordered!$A:$I, 6, FALSE)</f>
        <v>State expenditures on Health</v>
      </c>
      <c r="L126" t="str">
        <f>VLOOKUP($F126, codebooks_data_reordered!$A:$I, 7, FALSE)</f>
        <v>Should the country spend more money, less money or the same as it does today on the following issues:</v>
      </c>
      <c r="M126" t="str">
        <f>VLOOKUP($F126, codebooks_data_reordered!$A:$I, 9, FALSE)</f>
        <v>1: More; 2: Less; 3: The same as today</v>
      </c>
      <c r="O126" s="2" t="str">
        <f t="shared" si="1"/>
        <v>1: More
 2: Less
 3: The same as today</v>
      </c>
    </row>
    <row r="127" spans="1:15" ht="216" hidden="1" x14ac:dyDescent="0.3">
      <c r="A127" t="s">
        <v>5840</v>
      </c>
      <c r="B127" t="s">
        <v>6176</v>
      </c>
      <c r="C127" s="2" t="s">
        <v>6092</v>
      </c>
      <c r="D127" t="s">
        <v>5843</v>
      </c>
      <c r="E127" s="2" t="s">
        <v>6093</v>
      </c>
      <c r="F127" t="s">
        <v>2203</v>
      </c>
      <c r="G127" t="str">
        <f>VLOOKUP($F127, codebooks_data_reordered!$A:$I, 2, FALSE)</f>
        <v>1999_1</v>
      </c>
      <c r="H127" t="str">
        <f>VLOOKUP($F127, codebooks_data_reordered!$A:$I, 3, FALSE)</f>
        <v>RESPONDENT'S DEMOGRAPHIC DETAILS</v>
      </c>
      <c r="I127" t="str">
        <f>VLOOKUP($F127, codebooks_data_reordered!$A:$I, 4, FALSE)</f>
        <v>3</v>
      </c>
      <c r="J127" t="str">
        <f>VLOOKUP($F127, codebooks_data_reordered!$A:$I, 5, FALSE)</f>
        <v>46</v>
      </c>
      <c r="K127" t="str">
        <f>VLOOKUP($F127, codebooks_data_reordered!$A:$I, 6, FALSE)</f>
        <v>Respondent's military service in territories</v>
      </c>
      <c r="L127">
        <f>VLOOKUP($F127, codebooks_data_reordered!$A:$I, 7, FALSE)</f>
        <v>0</v>
      </c>
      <c r="M127" t="str">
        <f>VLOOKUP($F127, codebooks_data_reordered!$A:$I, 9, FALSE)</f>
        <v>1: Yes; 2: No; 3: Never served in the IDF</v>
      </c>
      <c r="O127" s="2" t="str">
        <f t="shared" si="1"/>
        <v>1: Yes
 2: No
 3: Never served in the IDF</v>
      </c>
    </row>
    <row r="128" spans="1:15" ht="201.6" hidden="1" x14ac:dyDescent="0.3">
      <c r="A128" t="s">
        <v>5840</v>
      </c>
      <c r="B128" t="s">
        <v>6177</v>
      </c>
      <c r="C128" s="2" t="s">
        <v>6178</v>
      </c>
      <c r="D128" t="s">
        <v>5843</v>
      </c>
      <c r="E128" s="2" t="s">
        <v>6179</v>
      </c>
      <c r="F128" t="s">
        <v>433</v>
      </c>
      <c r="G128" t="str">
        <f>VLOOKUP($F128, codebooks_data_reordered!$A:$I, 2, FALSE)</f>
        <v>2006</v>
      </c>
      <c r="H128" t="str">
        <f>VLOOKUP($F128, codebooks_data_reordered!$A:$I, 3, FALSE)</f>
        <v>State expenditures on Different Issues</v>
      </c>
      <c r="I128" t="str">
        <f>VLOOKUP($F128, codebooks_data_reordered!$A:$I, 4, FALSE)</f>
        <v>1</v>
      </c>
      <c r="J128" t="str">
        <f>VLOOKUP($F128, codebooks_data_reordered!$A:$I, 5, FALSE)</f>
        <v>141</v>
      </c>
      <c r="K128" t="str">
        <f>VLOOKUP($F128, codebooks_data_reordered!$A:$I, 6, FALSE)</f>
        <v>State expenditures on Security</v>
      </c>
      <c r="L128" t="str">
        <f>VLOOKUP($F128, codebooks_data_reordered!$A:$I, 7, FALSE)</f>
        <v>Should the country spend more money, less money or the same as it does today on the following issues:</v>
      </c>
      <c r="M128" t="str">
        <f>VLOOKUP($F128, codebooks_data_reordered!$A:$I, 9, FALSE)</f>
        <v>1: More; 2: Less; 3: The same as today</v>
      </c>
      <c r="O128" s="2" t="str">
        <f t="shared" si="1"/>
        <v>1: More
 2: Less
 3: The same as today</v>
      </c>
    </row>
    <row r="129" spans="1:15" ht="158.4" hidden="1" x14ac:dyDescent="0.3">
      <c r="A129" t="s">
        <v>5840</v>
      </c>
      <c r="B129" t="s">
        <v>6180</v>
      </c>
      <c r="C129" s="2" t="s">
        <v>6181</v>
      </c>
      <c r="D129" t="s">
        <v>5843</v>
      </c>
      <c r="E129" s="2" t="s">
        <v>6182</v>
      </c>
      <c r="F129" t="s">
        <v>436</v>
      </c>
      <c r="G129" t="str">
        <f>VLOOKUP($F129, codebooks_data_reordered!$A:$I, 2, FALSE)</f>
        <v>2006</v>
      </c>
      <c r="H129" t="str">
        <f>VLOOKUP($F129, codebooks_data_reordered!$A:$I, 3, FALSE)</f>
        <v>State expenditures on Different Issues</v>
      </c>
      <c r="I129" t="str">
        <f>VLOOKUP($F129, codebooks_data_reordered!$A:$I, 4, FALSE)</f>
        <v>1</v>
      </c>
      <c r="J129" t="str">
        <f>VLOOKUP($F129, codebooks_data_reordered!$A:$I, 5, FALSE)</f>
        <v>142</v>
      </c>
      <c r="K129" t="str">
        <f>VLOOKUP($F129, codebooks_data_reordered!$A:$I, 6, FALSE)</f>
        <v>State expenditures on Welfare payments</v>
      </c>
      <c r="L129" t="str">
        <f>VLOOKUP($F129, codebooks_data_reordered!$A:$I, 7, FALSE)</f>
        <v>Should the country spend more money, less money or the same as it does today on the following issues:</v>
      </c>
      <c r="M129" t="str">
        <f>VLOOKUP($F129, codebooks_data_reordered!$A:$I, 9, FALSE)</f>
        <v>1: More; 2: Less; 3: The same as today</v>
      </c>
      <c r="O129" s="2" t="str">
        <f t="shared" si="1"/>
        <v>1: More
 2: Less
 3: The same as today</v>
      </c>
    </row>
    <row r="130" spans="1:15" ht="57.6" hidden="1" x14ac:dyDescent="0.3">
      <c r="A130" t="s">
        <v>5840</v>
      </c>
      <c r="B130" t="s">
        <v>6183</v>
      </c>
      <c r="C130" s="2" t="s">
        <v>6184</v>
      </c>
      <c r="D130" t="s">
        <v>5843</v>
      </c>
      <c r="E130" s="2" t="s">
        <v>6185</v>
      </c>
      <c r="F130" t="s">
        <v>439</v>
      </c>
      <c r="G130" t="str">
        <f>VLOOKUP($F130, codebooks_data_reordered!$A:$I, 2, FALSE)</f>
        <v>2006</v>
      </c>
      <c r="H130" t="str">
        <f>VLOOKUP($F130, codebooks_data_reordered!$A:$I, 3, FALSE)</f>
        <v>State expenditures on Different Issues</v>
      </c>
      <c r="I130" t="str">
        <f>VLOOKUP($F130, codebooks_data_reordered!$A:$I, 4, FALSE)</f>
        <v>1</v>
      </c>
      <c r="J130" t="str">
        <f>VLOOKUP($F130, codebooks_data_reordered!$A:$I, 5, FALSE)</f>
        <v>143</v>
      </c>
      <c r="K130" t="str">
        <f>VLOOKUP($F130, codebooks_data_reordered!$A:$I, 6, FALSE)</f>
        <v>State expenditures on Settlements</v>
      </c>
      <c r="L130" t="str">
        <f>VLOOKUP($F130, codebooks_data_reordered!$A:$I, 7, FALSE)</f>
        <v>Should the country spend more money, less money or the same as it does today on the following issues:</v>
      </c>
      <c r="M130" t="str">
        <f>VLOOKUP($F130, codebooks_data_reordered!$A:$I, 9, FALSE)</f>
        <v>1: More; 2: Less; 3: The same as today</v>
      </c>
      <c r="O130" s="2" t="str">
        <f t="shared" ref="O130:O193" si="2">SUBSTITUTE(M130, ";", CHAR(10))</f>
        <v>1: More
 2: Less
 3: The same as today</v>
      </c>
    </row>
    <row r="131" spans="1:15" ht="57.6" hidden="1" x14ac:dyDescent="0.3">
      <c r="A131" t="s">
        <v>5840</v>
      </c>
      <c r="B131" t="s">
        <v>6186</v>
      </c>
      <c r="C131" s="2" t="s">
        <v>5947</v>
      </c>
      <c r="D131" t="s">
        <v>5843</v>
      </c>
      <c r="E131" s="2" t="s">
        <v>5948</v>
      </c>
      <c r="F131" t="s">
        <v>2061</v>
      </c>
      <c r="G131" t="str">
        <f>VLOOKUP($F131, codebooks_data_reordered!$A:$I, 2, FALSE)</f>
        <v>1999_1</v>
      </c>
      <c r="H131" t="str">
        <f>VLOOKUP($F131, codebooks_data_reordered!$A:$I, 3, FALSE)</f>
        <v>MAIN POLITICAL ISSUES</v>
      </c>
      <c r="I131" t="str">
        <f>VLOOKUP($F131, codebooks_data_reordered!$A:$I, 4, FALSE)</f>
        <v>2</v>
      </c>
      <c r="J131" t="str">
        <f>VLOOKUP($F131, codebooks_data_reordered!$A:$I, 5, FALSE)</f>
        <v>59</v>
      </c>
      <c r="K131" t="str">
        <f>VLOOKUP($F131, codebooks_data_reordered!$A:$I, 6, FALSE)</f>
        <v>Discussing political issues with friends/family</v>
      </c>
      <c r="L131">
        <f>VLOOKUP($F131, codebooks_data_reordered!$A:$I, 7, FALSE)</f>
        <v>0</v>
      </c>
      <c r="M131" t="str">
        <f>VLOOKUP($F131, codebooks_data_reordered!$A:$I, 9, FALSE)</f>
        <v>1: Often; 2: Sometimes; 3: Rarely; 4: Never</v>
      </c>
      <c r="O131" s="2" t="str">
        <f t="shared" si="2"/>
        <v>1: Often
 2: Sometimes
 3: Rarely
 4: Never</v>
      </c>
    </row>
    <row r="132" spans="1:15" ht="43.2" hidden="1" x14ac:dyDescent="0.3">
      <c r="A132" t="s">
        <v>5840</v>
      </c>
      <c r="B132" t="s">
        <v>6187</v>
      </c>
      <c r="C132" s="2" t="s">
        <v>5947</v>
      </c>
      <c r="D132" t="s">
        <v>5843</v>
      </c>
      <c r="E132" s="2" t="s">
        <v>5948</v>
      </c>
      <c r="F132" t="s">
        <v>3113</v>
      </c>
      <c r="G132" t="str">
        <f>VLOOKUP($F132, codebooks_data_reordered!$A:$I, 2, FALSE)</f>
        <v>1988_Panel_N=416</v>
      </c>
      <c r="H132" t="str">
        <f>VLOOKUP($F132, codebooks_data_reordered!$A:$I, 3, FALSE)</f>
        <v>WHICH OF THE FOLLOWING WOULD YOU BE WILLING TO GIVE TO MAINTAIN/STRENGTHEN THE SECURITY</v>
      </c>
      <c r="I132" t="str">
        <f>VLOOKUP($F132, codebooks_data_reordered!$A:$I, 4, FALSE)</f>
        <v>1</v>
      </c>
      <c r="J132" t="str">
        <f>VLOOKUP($F132, codebooks_data_reordered!$A:$I, 5, FALSE)</f>
        <v>105</v>
      </c>
      <c r="K132" t="str">
        <f>VLOOKUP($F132, codebooks_data_reordered!$A:$I, 6, FALSE)</f>
        <v>What would be your opinion of the defense budget should economic state get worse</v>
      </c>
      <c r="L132">
        <f>VLOOKUP($F132, codebooks_data_reordered!$A:$I, 7, FALSE)</f>
        <v>0</v>
      </c>
      <c r="M132" t="str">
        <f>VLOOKUP($F132, codebooks_data_reordered!$A:$I, 9, FALSE)</f>
        <v>1: It should be increased; 2: It should stay as is; 3: It should be cut</v>
      </c>
      <c r="O132" s="2" t="str">
        <f t="shared" si="2"/>
        <v>1: It should be increased
 2: It should stay as is
 3: It should be cut</v>
      </c>
    </row>
    <row r="133" spans="1:15" ht="230.4" hidden="1" x14ac:dyDescent="0.3">
      <c r="A133" t="s">
        <v>5840</v>
      </c>
      <c r="B133" t="s">
        <v>6188</v>
      </c>
      <c r="C133" s="2" t="s">
        <v>6189</v>
      </c>
      <c r="D133" t="s">
        <v>5843</v>
      </c>
      <c r="E133" s="2" t="s">
        <v>6190</v>
      </c>
      <c r="F133" t="s">
        <v>449</v>
      </c>
      <c r="G133" t="str">
        <f>VLOOKUP($F133, codebooks_data_reordered!$A:$I, 2, FALSE)</f>
        <v>2006</v>
      </c>
      <c r="H133" t="str">
        <f>VLOOKUP($F133, codebooks_data_reordered!$A:$I, 3, FALSE)</f>
        <v>State expenditures on Different Issues</v>
      </c>
      <c r="I133" t="str">
        <f>VLOOKUP($F133, codebooks_data_reordered!$A:$I, 4, FALSE)</f>
        <v>1</v>
      </c>
      <c r="J133" t="str">
        <f>VLOOKUP($F133, codebooks_data_reordered!$A:$I, 5, FALSE)</f>
        <v>146</v>
      </c>
      <c r="K133" t="str">
        <f>VLOOKUP($F133, codebooks_data_reordered!$A:$I, 6, FALSE)</f>
        <v>State expenditures on Roads and car accidents</v>
      </c>
      <c r="L133" t="str">
        <f>VLOOKUP($F133, codebooks_data_reordered!$A:$I, 7, FALSE)</f>
        <v>Should the country spend more money, less money or the same as it does today on the following issues:</v>
      </c>
      <c r="M133" t="str">
        <f>VLOOKUP($F133, codebooks_data_reordered!$A:$I, 9, FALSE)</f>
        <v>1: More; 2: Less; 3: The same as today</v>
      </c>
      <c r="O133" s="2" t="str">
        <f t="shared" si="2"/>
        <v>1: More
 2: Less
 3: The same as today</v>
      </c>
    </row>
    <row r="134" spans="1:15" ht="187.2" hidden="1" x14ac:dyDescent="0.3">
      <c r="A134" t="s">
        <v>5840</v>
      </c>
      <c r="B134" t="s">
        <v>6191</v>
      </c>
      <c r="C134" s="2" t="s">
        <v>6192</v>
      </c>
      <c r="D134" t="s">
        <v>5843</v>
      </c>
      <c r="E134" s="2" t="s">
        <v>6193</v>
      </c>
      <c r="F134" t="s">
        <v>2210</v>
      </c>
      <c r="G134" t="str">
        <f>VLOOKUP($F134, codebooks_data_reordered!$A:$I, 2, FALSE)</f>
        <v>1999_1</v>
      </c>
      <c r="H134" t="str">
        <f>VLOOKUP($F134, codebooks_data_reordered!$A:$I, 3, FALSE)</f>
        <v>RESPONDENT'S DEMOGRAPHIC DETAILS</v>
      </c>
      <c r="I134" t="str">
        <f>VLOOKUP($F134, codebooks_data_reordered!$A:$I, 4, FALSE)</f>
        <v>3</v>
      </c>
      <c r="J134" t="str">
        <f>VLOOKUP($F134, codebooks_data_reordered!$A:$I, 5, FALSE)</f>
        <v>49</v>
      </c>
      <c r="K134" t="str">
        <f>VLOOKUP($F134, codebooks_data_reordered!$A:$I, 6, FALSE)</f>
        <v>Sex</v>
      </c>
      <c r="L134">
        <f>VLOOKUP($F134, codebooks_data_reordered!$A:$I, 7, FALSE)</f>
        <v>0</v>
      </c>
      <c r="M134" t="str">
        <f>VLOOKUP($F134, codebooks_data_reordered!$A:$I, 9, FALSE)</f>
        <v>1: Female; 2: Male</v>
      </c>
      <c r="O134" s="2" t="str">
        <f t="shared" si="2"/>
        <v>1: Female
 2: Male</v>
      </c>
    </row>
    <row r="135" spans="1:15" ht="57.6" hidden="1" x14ac:dyDescent="0.3">
      <c r="A135" t="s">
        <v>5840</v>
      </c>
      <c r="B135" t="s">
        <v>6194</v>
      </c>
      <c r="C135" s="2" t="s">
        <v>5947</v>
      </c>
      <c r="D135" t="s">
        <v>5843</v>
      </c>
      <c r="E135" s="2" t="s">
        <v>5948</v>
      </c>
      <c r="F135" t="s">
        <v>730</v>
      </c>
      <c r="G135" t="str">
        <f>VLOOKUP($F135, codebooks_data_reordered!$A:$I, 2, FALSE)</f>
        <v>2006</v>
      </c>
      <c r="H135" t="str">
        <f>VLOOKUP($F135, codebooks_data_reordered!$A:$I, 3, FALSE)</f>
        <v>Self-identity</v>
      </c>
      <c r="I135" t="str">
        <f>VLOOKUP($F135, codebooks_data_reordered!$A:$I, 4, FALSE)</f>
        <v>1</v>
      </c>
      <c r="J135" t="str">
        <f>VLOOKUP($F135, codebooks_data_reordered!$A:$I, 5, FALSE)</f>
        <v>265</v>
      </c>
      <c r="K135" t="str">
        <f>VLOOKUP($F135, codebooks_data_reordered!$A:$I, 6, FALSE)</f>
        <v>Self-identity for Arabs (fourth)</v>
      </c>
      <c r="L135" t="str">
        <f>VLOOKUP($F135, codebooks_data_reordered!$A:$I, 7, FALSE)</f>
        <v>(for Arabs): Which of the following concepts best defines your identity? (read) and the second? And the third? And the fourth?</v>
      </c>
      <c r="M135" t="str">
        <f>VLOOKUP($F135, codebooks_data_reordered!$A:$I, 9, FALSE)</f>
        <v>1: Israeli; 2: Palestinian; 3: Arab; 4: Muslim/Christian/Druze</v>
      </c>
      <c r="O135" s="2" t="str">
        <f t="shared" si="2"/>
        <v>1: Israeli
 2: Palestinian
 3: Arab
 4: Muslim/Christian/Druze</v>
      </c>
    </row>
    <row r="136" spans="1:15" ht="43.2" hidden="1" x14ac:dyDescent="0.3">
      <c r="A136" t="s">
        <v>5840</v>
      </c>
      <c r="B136" t="s">
        <v>6195</v>
      </c>
      <c r="C136" s="2" t="s">
        <v>5947</v>
      </c>
      <c r="D136" t="s">
        <v>5843</v>
      </c>
      <c r="E136" s="2" t="s">
        <v>5948</v>
      </c>
      <c r="F136" t="s">
        <v>746</v>
      </c>
      <c r="G136" t="str">
        <f>VLOOKUP($F136, codebooks_data_reordered!$A:$I, 2, FALSE)</f>
        <v>2006</v>
      </c>
      <c r="H136" t="str">
        <f>VLOOKUP($F136, codebooks_data_reordered!$A:$I, 3, FALSE)</f>
        <v>Self-identity</v>
      </c>
      <c r="I136" t="str">
        <f>VLOOKUP($F136, codebooks_data_reordered!$A:$I, 4, FALSE)</f>
        <v>1</v>
      </c>
      <c r="J136" t="str">
        <f>VLOOKUP($F136, codebooks_data_reordered!$A:$I, 5, FALSE)</f>
        <v>268</v>
      </c>
      <c r="K136" t="str">
        <f>VLOOKUP($F136, codebooks_data_reordered!$A:$I, 6, FALSE)</f>
        <v>The Knesset's chairman</v>
      </c>
      <c r="L136" t="str">
        <f>VLOOKUP($F136, codebooks_data_reordered!$A:$I, 7, FALSE)</f>
        <v>53. To the best of your knowledge, who is the Knesset's chairman? (do not read answers)</v>
      </c>
      <c r="M136" t="str">
        <f>VLOOKUP($F136, codebooks_data_reordered!$A:$I, 9, FALSE)</f>
        <v>1: Rivlin; 2: Wrong answer; 8: Do not know</v>
      </c>
      <c r="O136" s="2" t="str">
        <f t="shared" si="2"/>
        <v>1: Rivlin
 2: Wrong answer
 8: Do not know</v>
      </c>
    </row>
    <row r="137" spans="1:15" ht="72" hidden="1" x14ac:dyDescent="0.3">
      <c r="A137" t="s">
        <v>5840</v>
      </c>
      <c r="B137" t="s">
        <v>6196</v>
      </c>
      <c r="C137" s="2" t="s">
        <v>6197</v>
      </c>
      <c r="D137" t="s">
        <v>5843</v>
      </c>
      <c r="E137" s="2" t="s">
        <v>6198</v>
      </c>
      <c r="F137" t="s">
        <v>2297</v>
      </c>
      <c r="G137" t="str">
        <f>VLOOKUP($F137, codebooks_data_reordered!$A:$I, 2, FALSE)</f>
        <v>1996_Jews</v>
      </c>
      <c r="H137">
        <f>VLOOKUP($F137, codebooks_data_reordered!$A:$I, 3, FALSE)</f>
        <v>0</v>
      </c>
      <c r="I137" t="str">
        <f>VLOOKUP($F137, codebooks_data_reordered!$A:$I, 4, FALSE)</f>
        <v>1</v>
      </c>
      <c r="J137" t="str">
        <f>VLOOKUP($F137, codebooks_data_reordered!$A:$I, 5, FALSE)</f>
        <v>57-58</v>
      </c>
      <c r="K137" t="str">
        <f>VLOOKUP($F137, codebooks_data_reordered!$A:$I, 6, FALSE)</f>
        <v>Sympathy for the Judea, Samaria Gaza council</v>
      </c>
      <c r="L137">
        <f>VLOOKUP($F137, codebooks_data_reordered!$A:$I, 7, FALSE)</f>
        <v>0</v>
      </c>
      <c r="M137" t="str">
        <f>VLOOKUP($F137, codebooks_data_reordered!$A:$I, 9, FALSE)</f>
        <v>1: Strong repulsion; 10: Strong sympathy</v>
      </c>
      <c r="O137" s="2" t="str">
        <f t="shared" si="2"/>
        <v>1: Strong repulsion
 10: Strong sympathy</v>
      </c>
    </row>
    <row r="138" spans="1:15" ht="388.8" hidden="1" x14ac:dyDescent="0.3">
      <c r="A138" t="s">
        <v>5840</v>
      </c>
      <c r="B138" t="s">
        <v>6199</v>
      </c>
      <c r="C138" s="2" t="s">
        <v>6200</v>
      </c>
      <c r="D138" t="s">
        <v>5843</v>
      </c>
      <c r="E138" s="2" t="s">
        <v>6201</v>
      </c>
      <c r="F138" t="s">
        <v>1784</v>
      </c>
      <c r="G138" t="str">
        <f>VLOOKUP($F138, codebooks_data_reordered!$A:$I, 2, FALSE)</f>
        <v>1999_1</v>
      </c>
      <c r="H138" t="str">
        <f>VLOOKUP($F138, codebooks_data_reordered!$A:$I, 3, FALSE)</f>
        <v>GENERAL POLITICAL ATTITUDE</v>
      </c>
      <c r="I138" t="str">
        <f>VLOOKUP($F138, codebooks_data_reordered!$A:$I, 4, FALSE)</f>
        <v>1</v>
      </c>
      <c r="J138" t="str">
        <f>VLOOKUP($F138, codebooks_data_reordered!$A:$I, 5, FALSE)</f>
        <v>21</v>
      </c>
      <c r="K138" t="str">
        <f>VLOOKUP($F138, codebooks_data_reordered!$A:$I, 6, FALSE)</f>
        <v>Attitude towards Oslo Accord</v>
      </c>
      <c r="L138">
        <f>VLOOKUP($F138, codebooks_data_reordered!$A:$I, 7, FALSE)</f>
        <v>0</v>
      </c>
      <c r="M138" t="str">
        <f>VLOOKUP($F138, codebooks_data_reordered!$A:$I, 9, FALSE)</f>
        <v>1: Strongly support; 2: Support; 3: Object; 4: Strongly object</v>
      </c>
      <c r="O138" s="2" t="str">
        <f t="shared" si="2"/>
        <v>1: Strongly support
 2: Support
 3: Object
 4: Strongly object</v>
      </c>
    </row>
    <row r="139" spans="1:15" ht="244.8" hidden="1" x14ac:dyDescent="0.3">
      <c r="A139" t="s">
        <v>5840</v>
      </c>
      <c r="B139" t="s">
        <v>6202</v>
      </c>
      <c r="C139" s="2" t="s">
        <v>6203</v>
      </c>
      <c r="D139" t="s">
        <v>5843</v>
      </c>
      <c r="E139" s="2" t="s">
        <v>6204</v>
      </c>
      <c r="F139" t="s">
        <v>2301</v>
      </c>
      <c r="G139" t="str">
        <f>VLOOKUP($F139, codebooks_data_reordered!$A:$I, 2, FALSE)</f>
        <v>1996_Jews</v>
      </c>
      <c r="H139">
        <f>VLOOKUP($F139, codebooks_data_reordered!$A:$I, 3, FALSE)</f>
        <v>0</v>
      </c>
      <c r="I139" t="str">
        <f>VLOOKUP($F139, codebooks_data_reordered!$A:$I, 4, FALSE)</f>
        <v>1</v>
      </c>
      <c r="J139" t="str">
        <f>VLOOKUP($F139, codebooks_data_reordered!$A:$I, 5, FALSE)</f>
        <v>63-64</v>
      </c>
      <c r="K139" t="str">
        <f>VLOOKUP($F139, codebooks_data_reordered!$A:$I, 6, FALSE)</f>
        <v>Sympathy for Arabs</v>
      </c>
      <c r="L139">
        <f>VLOOKUP($F139, codebooks_data_reordered!$A:$I, 7, FALSE)</f>
        <v>0</v>
      </c>
      <c r="M139" t="str">
        <f>VLOOKUP($F139, codebooks_data_reordered!$A:$I, 9, FALSE)</f>
        <v>1: Strong repulsion; 10: Strong sympathy</v>
      </c>
      <c r="O139" s="2" t="str">
        <f t="shared" si="2"/>
        <v>1: Strong repulsion
 10: Strong sympathy</v>
      </c>
    </row>
    <row r="140" spans="1:15" ht="86.4" hidden="1" x14ac:dyDescent="0.3">
      <c r="A140" t="s">
        <v>6205</v>
      </c>
      <c r="B140" t="s">
        <v>6206</v>
      </c>
      <c r="C140" s="2" t="s">
        <v>6207</v>
      </c>
      <c r="D140" t="s">
        <v>5843</v>
      </c>
      <c r="E140" s="2" t="s">
        <v>6208</v>
      </c>
      <c r="F140" t="s">
        <v>1754</v>
      </c>
      <c r="G140" t="str">
        <f>VLOOKUP($F140, codebooks_data_reordered!$A:$I, 2, FALSE)</f>
        <v>1999_1</v>
      </c>
      <c r="H140" t="str">
        <f>VLOOKUP($F140, codebooks_data_reordered!$A:$I, 3, FALSE)</f>
        <v>GENERAL POLITICAL ATTITUDE</v>
      </c>
      <c r="I140" t="str">
        <f>VLOOKUP($F140, codebooks_data_reordered!$A:$I, 4, FALSE)</f>
        <v>1</v>
      </c>
      <c r="J140" t="str">
        <f>VLOOKUP($F140, codebooks_data_reordered!$A:$I, 5, FALSE)</f>
        <v>8-9</v>
      </c>
      <c r="K140" t="str">
        <f>VLOOKUP($F140, codebooks_data_reordered!$A:$I, 6, FALSE)</f>
        <v>Main problem government has to deal with</v>
      </c>
      <c r="L140">
        <f>VLOOKUP($F140, codebooks_data_reordered!$A:$I, 7, FALSE)</f>
        <v>0</v>
      </c>
      <c r="M140">
        <f>VLOOKUP($F140, codebooks_data_reordered!$A:$I, 9, FALSE)</f>
        <v>0</v>
      </c>
      <c r="O140" s="2" t="str">
        <f t="shared" si="2"/>
        <v>0</v>
      </c>
    </row>
    <row r="141" spans="1:15" ht="86.4" hidden="1" x14ac:dyDescent="0.3">
      <c r="A141" t="s">
        <v>6205</v>
      </c>
      <c r="B141" t="s">
        <v>6209</v>
      </c>
      <c r="C141" s="2" t="s">
        <v>6210</v>
      </c>
      <c r="D141" t="s">
        <v>5843</v>
      </c>
      <c r="E141" s="2" t="s">
        <v>6211</v>
      </c>
      <c r="F141" t="s">
        <v>23</v>
      </c>
      <c r="G141" t="str">
        <f>VLOOKUP($F141, codebooks_data_reordered!$A:$I, 2, FALSE)</f>
        <v>2006</v>
      </c>
      <c r="H141" t="str">
        <f>VLOOKUP($F141, codebooks_data_reordered!$A:$I, 3, FALSE)</f>
        <v>Case Identification</v>
      </c>
      <c r="I141" t="str">
        <f>VLOOKUP($F141, codebooks_data_reordered!$A:$I, 4, FALSE)</f>
        <v>1</v>
      </c>
      <c r="J141" t="str">
        <f>VLOOKUP($F141, codebooks_data_reordered!$A:$I, 5, FALSE)</f>
        <v>5-8</v>
      </c>
      <c r="K141" t="str">
        <f>VLOOKUP($F141, codebooks_data_reordered!$A:$I, 6, FALSE)</f>
        <v>Respondent's ID in all consecutive surveys</v>
      </c>
      <c r="L141">
        <f>VLOOKUP($F141, codebooks_data_reordered!$A:$I, 7, FALSE)</f>
        <v>0</v>
      </c>
      <c r="M141">
        <f>VLOOKUP($F141, codebooks_data_reordered!$A:$I, 9, FALSE)</f>
        <v>0</v>
      </c>
      <c r="O141" s="2" t="str">
        <f t="shared" si="2"/>
        <v>0</v>
      </c>
    </row>
    <row r="142" spans="1:15" ht="86.4" hidden="1" x14ac:dyDescent="0.3">
      <c r="A142" t="s">
        <v>6205</v>
      </c>
      <c r="B142" t="s">
        <v>6212</v>
      </c>
      <c r="C142" s="2" t="s">
        <v>6213</v>
      </c>
      <c r="D142" t="s">
        <v>5843</v>
      </c>
      <c r="E142" s="2" t="s">
        <v>6214</v>
      </c>
      <c r="F142" t="s">
        <v>1747</v>
      </c>
      <c r="G142" t="str">
        <f>VLOOKUP($F142, codebooks_data_reordered!$A:$I, 2, FALSE)</f>
        <v>1999_1</v>
      </c>
      <c r="H142" t="str">
        <f>VLOOKUP($F142, codebooks_data_reordered!$A:$I, 3, FALSE)</f>
        <v>GENERAL</v>
      </c>
      <c r="I142" t="str">
        <f>VLOOKUP($F142, codebooks_data_reordered!$A:$I, 4, FALSE)</f>
        <v>1</v>
      </c>
      <c r="J142" t="str">
        <f>VLOOKUP($F142, codebooks_data_reordered!$A:$I, 5, FALSE)</f>
        <v>5</v>
      </c>
      <c r="K142" t="str">
        <f>VLOOKUP($F142, codebooks_data_reordered!$A:$I, 6, FALSE)</f>
        <v>Type of record</v>
      </c>
      <c r="L142">
        <f>VLOOKUP($F142, codebooks_data_reordered!$A:$I, 7, FALSE)</f>
        <v>0</v>
      </c>
      <c r="M142">
        <f>VLOOKUP($F142, codebooks_data_reordered!$A:$I, 9, FALSE)</f>
        <v>0</v>
      </c>
      <c r="O142" s="2" t="str">
        <f t="shared" si="2"/>
        <v>0</v>
      </c>
    </row>
    <row r="143" spans="1:15" ht="172.8" hidden="1" x14ac:dyDescent="0.3">
      <c r="A143" t="s">
        <v>6205</v>
      </c>
      <c r="B143" t="s">
        <v>6215</v>
      </c>
      <c r="C143" s="2" t="s">
        <v>6216</v>
      </c>
      <c r="D143" t="s">
        <v>5843</v>
      </c>
      <c r="E143" s="2" t="s">
        <v>6217</v>
      </c>
      <c r="F143" t="s">
        <v>1757</v>
      </c>
      <c r="G143" t="str">
        <f>VLOOKUP($F143, codebooks_data_reordered!$A:$I, 2, FALSE)</f>
        <v>1999_1</v>
      </c>
      <c r="H143" t="str">
        <f>VLOOKUP($F143, codebooks_data_reordered!$A:$I, 3, FALSE)</f>
        <v>GENERAL POLITICAL ATTITUDE</v>
      </c>
      <c r="I143" t="str">
        <f>VLOOKUP($F143, codebooks_data_reordered!$A:$I, 4, FALSE)</f>
        <v>1</v>
      </c>
      <c r="J143" t="str">
        <f>VLOOKUP($F143, codebooks_data_reordered!$A:$I, 5, FALSE)</f>
        <v>10</v>
      </c>
      <c r="K143" t="str">
        <f>VLOOKUP($F143, codebooks_data_reordered!$A:$I, 6, FALSE)</f>
        <v>Candidate most capable to deal with problems</v>
      </c>
      <c r="L143">
        <f>VLOOKUP($F143, codebooks_data_reordered!$A:$I, 7, FALSE)</f>
        <v>0</v>
      </c>
      <c r="M143" t="str">
        <f>VLOOKUP($F143, codebooks_data_reordered!$A:$I, 9, FALSE)</f>
        <v>1: Netanyahu; 2: Barak; 3: Mordechai; 4: Begin; 5: Bashara; 6: Raful; 7: None of them; 8: Equally capable</v>
      </c>
      <c r="O143" s="2" t="str">
        <f t="shared" si="2"/>
        <v>1: Netanyahu
 2: Barak
 3: Mordechai
 4: Begin
 5: Bashara
 6: Raful
 7: None of them
 8: Equally capable</v>
      </c>
    </row>
    <row r="144" spans="1:15" ht="129.6" hidden="1" x14ac:dyDescent="0.3">
      <c r="A144" t="s">
        <v>6205</v>
      </c>
      <c r="B144" t="s">
        <v>5841</v>
      </c>
      <c r="C144" s="2" t="s">
        <v>6218</v>
      </c>
      <c r="D144" t="s">
        <v>5843</v>
      </c>
      <c r="E144" s="2" t="s">
        <v>6219</v>
      </c>
      <c r="F144" t="s">
        <v>28</v>
      </c>
      <c r="G144" t="str">
        <f>VLOOKUP($F144, codebooks_data_reordered!$A:$I, 2, FALSE)</f>
        <v>2006</v>
      </c>
      <c r="H144" t="str">
        <f>VLOOKUP($F144, codebooks_data_reordered!$A:$I, 3, FALSE)</f>
        <v>Pre-Election Survey</v>
      </c>
      <c r="I144" t="str">
        <f>VLOOKUP($F144, codebooks_data_reordered!$A:$I, 4, FALSE)</f>
        <v>1</v>
      </c>
      <c r="J144" t="str">
        <f>VLOOKUP($F144, codebooks_data_reordered!$A:$I, 5, FALSE)</f>
        <v>9</v>
      </c>
      <c r="K144" t="str">
        <f>VLOOKUP($F144, codebooks_data_reordered!$A:$I, 6, FALSE)</f>
        <v>Israeli condition in general</v>
      </c>
      <c r="L144" t="str">
        <f>VLOOKUP($F144, codebooks_data_reordered!$A:$I, 7, FALSE)</f>
        <v>6. In your opinion, what is Israel's general situation?</v>
      </c>
      <c r="M144" t="str">
        <f>VLOOKUP($F144, codebooks_data_reordered!$A:$I, 9, FALSE)</f>
        <v>1: Very good; 2: Good; 3: So so; 4: Not good; 5: Bad</v>
      </c>
      <c r="O144" s="2" t="str">
        <f t="shared" si="2"/>
        <v>1: Very good
 2: Good
 3: So so
 4: Not good
 5: Bad</v>
      </c>
    </row>
    <row r="145" spans="1:15" ht="129.6" hidden="1" x14ac:dyDescent="0.3">
      <c r="A145" t="s">
        <v>6205</v>
      </c>
      <c r="B145" t="s">
        <v>6220</v>
      </c>
      <c r="C145" s="2" t="s">
        <v>6221</v>
      </c>
      <c r="D145" t="s">
        <v>5843</v>
      </c>
      <c r="E145" s="2" t="s">
        <v>6222</v>
      </c>
      <c r="F145" t="s">
        <v>1750</v>
      </c>
      <c r="G145" t="str">
        <f>VLOOKUP($F145, codebooks_data_reordered!$A:$I, 2, FALSE)</f>
        <v>1999_1</v>
      </c>
      <c r="H145" t="str">
        <f>VLOOKUP($F145, codebooks_data_reordered!$A:$I, 3, FALSE)</f>
        <v>GENERAL POLITICAL ATTITUDE</v>
      </c>
      <c r="I145" t="str">
        <f>VLOOKUP($F145, codebooks_data_reordered!$A:$I, 4, FALSE)</f>
        <v>1</v>
      </c>
      <c r="J145" t="str">
        <f>VLOOKUP($F145, codebooks_data_reordered!$A:$I, 5, FALSE)</f>
        <v>6</v>
      </c>
      <c r="K145" t="str">
        <f>VLOOKUP($F145, codebooks_data_reordered!$A:$I, 6, FALSE)</f>
        <v>Israel's current situation in general</v>
      </c>
      <c r="L145">
        <f>VLOOKUP($F145, codebooks_data_reordered!$A:$I, 7, FALSE)</f>
        <v>0</v>
      </c>
      <c r="M145" t="str">
        <f>VLOOKUP($F145, codebooks_data_reordered!$A:$I, 9, FALSE)</f>
        <v>1: Very good; 2: Good; 3: So-so; 4: Not good; 5: Bad</v>
      </c>
      <c r="O145" s="2" t="str">
        <f t="shared" si="2"/>
        <v>1: Very good
 2: Good
 3: So-so
 4: Not good
 5: Bad</v>
      </c>
    </row>
    <row r="146" spans="1:15" ht="28.8" hidden="1" x14ac:dyDescent="0.3">
      <c r="A146" t="s">
        <v>6205</v>
      </c>
      <c r="B146" t="s">
        <v>6223</v>
      </c>
      <c r="C146" s="2" t="s">
        <v>6224</v>
      </c>
      <c r="D146" t="s">
        <v>6225</v>
      </c>
      <c r="E146" s="2" t="s">
        <v>6226</v>
      </c>
      <c r="F146" t="s">
        <v>9188</v>
      </c>
      <c r="G146" t="e">
        <f>VLOOKUP($F146, codebooks_data_reordered!$A:$I, 2, FALSE)</f>
        <v>#N/A</v>
      </c>
      <c r="H146" t="e">
        <f>VLOOKUP($F146, codebooks_data_reordered!$A:$I, 3, FALSE)</f>
        <v>#N/A</v>
      </c>
      <c r="I146" t="e">
        <f>VLOOKUP($F146, codebooks_data_reordered!$A:$I, 4, FALSE)</f>
        <v>#N/A</v>
      </c>
      <c r="J146" t="e">
        <f>VLOOKUP($F146, codebooks_data_reordered!$A:$I, 5, FALSE)</f>
        <v>#N/A</v>
      </c>
      <c r="K146" t="e">
        <f>VLOOKUP($F146, codebooks_data_reordered!$A:$I, 6, FALSE)</f>
        <v>#N/A</v>
      </c>
      <c r="L146" t="e">
        <f>VLOOKUP($F146, codebooks_data_reordered!$A:$I, 7, FALSE)</f>
        <v>#N/A</v>
      </c>
      <c r="M146" t="e">
        <f>VLOOKUP($F146, codebooks_data_reordered!$A:$I, 9, FALSE)</f>
        <v>#N/A</v>
      </c>
      <c r="O146" t="e">
        <f t="shared" si="2"/>
        <v>#N/A</v>
      </c>
    </row>
    <row r="147" spans="1:15" ht="43.2" hidden="1" x14ac:dyDescent="0.3">
      <c r="A147" t="s">
        <v>6205</v>
      </c>
      <c r="B147" t="s">
        <v>6227</v>
      </c>
      <c r="C147" s="2" t="s">
        <v>6228</v>
      </c>
      <c r="D147" t="s">
        <v>5843</v>
      </c>
      <c r="E147" s="2" t="s">
        <v>6229</v>
      </c>
      <c r="F147" t="s">
        <v>9189</v>
      </c>
      <c r="G147" t="e">
        <f>VLOOKUP($F147, codebooks_data_reordered!$A:$I, 2, FALSE)</f>
        <v>#N/A</v>
      </c>
      <c r="H147" t="e">
        <f>VLOOKUP($F147, codebooks_data_reordered!$A:$I, 3, FALSE)</f>
        <v>#N/A</v>
      </c>
      <c r="I147" t="e">
        <f>VLOOKUP($F147, codebooks_data_reordered!$A:$I, 4, FALSE)</f>
        <v>#N/A</v>
      </c>
      <c r="J147" t="e">
        <f>VLOOKUP($F147, codebooks_data_reordered!$A:$I, 5, FALSE)</f>
        <v>#N/A</v>
      </c>
      <c r="K147" t="e">
        <f>VLOOKUP($F147, codebooks_data_reordered!$A:$I, 6, FALSE)</f>
        <v>#N/A</v>
      </c>
      <c r="L147" t="e">
        <f>VLOOKUP($F147, codebooks_data_reordered!$A:$I, 7, FALSE)</f>
        <v>#N/A</v>
      </c>
      <c r="M147" t="e">
        <f>VLOOKUP($F147, codebooks_data_reordered!$A:$I, 9, FALSE)</f>
        <v>#N/A</v>
      </c>
      <c r="O147" t="e">
        <f t="shared" si="2"/>
        <v>#N/A</v>
      </c>
    </row>
    <row r="148" spans="1:15" ht="72" hidden="1" x14ac:dyDescent="0.3">
      <c r="A148" t="s">
        <v>6205</v>
      </c>
      <c r="B148" t="s">
        <v>6230</v>
      </c>
      <c r="C148" s="2" t="s">
        <v>6231</v>
      </c>
      <c r="D148" t="s">
        <v>5843</v>
      </c>
      <c r="E148" s="2" t="s">
        <v>6232</v>
      </c>
      <c r="F148" t="s">
        <v>9190</v>
      </c>
      <c r="G148" t="e">
        <f>VLOOKUP($F148, codebooks_data_reordered!$A:$I, 2, FALSE)</f>
        <v>#N/A</v>
      </c>
      <c r="H148" t="e">
        <f>VLOOKUP($F148, codebooks_data_reordered!$A:$I, 3, FALSE)</f>
        <v>#N/A</v>
      </c>
      <c r="I148" t="e">
        <f>VLOOKUP($F148, codebooks_data_reordered!$A:$I, 4, FALSE)</f>
        <v>#N/A</v>
      </c>
      <c r="J148" t="e">
        <f>VLOOKUP($F148, codebooks_data_reordered!$A:$I, 5, FALSE)</f>
        <v>#N/A</v>
      </c>
      <c r="K148" t="e">
        <f>VLOOKUP($F148, codebooks_data_reordered!$A:$I, 6, FALSE)</f>
        <v>#N/A</v>
      </c>
      <c r="L148" t="e">
        <f>VLOOKUP($F148, codebooks_data_reordered!$A:$I, 7, FALSE)</f>
        <v>#N/A</v>
      </c>
      <c r="M148" t="e">
        <f>VLOOKUP($F148, codebooks_data_reordered!$A:$I, 9, FALSE)</f>
        <v>#N/A</v>
      </c>
      <c r="O148" t="e">
        <f t="shared" si="2"/>
        <v>#N/A</v>
      </c>
    </row>
    <row r="149" spans="1:15" ht="72" hidden="1" x14ac:dyDescent="0.3">
      <c r="A149" t="s">
        <v>6205</v>
      </c>
      <c r="B149" t="s">
        <v>6233</v>
      </c>
      <c r="C149" s="2" t="s">
        <v>6234</v>
      </c>
      <c r="D149" t="s">
        <v>5843</v>
      </c>
      <c r="E149" s="2" t="s">
        <v>6235</v>
      </c>
      <c r="F149" t="s">
        <v>9189</v>
      </c>
      <c r="G149" t="e">
        <f>VLOOKUP($F149, codebooks_data_reordered!$A:$I, 2, FALSE)</f>
        <v>#N/A</v>
      </c>
      <c r="H149" t="e">
        <f>VLOOKUP($F149, codebooks_data_reordered!$A:$I, 3, FALSE)</f>
        <v>#N/A</v>
      </c>
      <c r="I149" t="e">
        <f>VLOOKUP($F149, codebooks_data_reordered!$A:$I, 4, FALSE)</f>
        <v>#N/A</v>
      </c>
      <c r="J149" t="e">
        <f>VLOOKUP($F149, codebooks_data_reordered!$A:$I, 5, FALSE)</f>
        <v>#N/A</v>
      </c>
      <c r="K149" t="e">
        <f>VLOOKUP($F149, codebooks_data_reordered!$A:$I, 6, FALSE)</f>
        <v>#N/A</v>
      </c>
      <c r="L149" t="e">
        <f>VLOOKUP($F149, codebooks_data_reordered!$A:$I, 7, FALSE)</f>
        <v>#N/A</v>
      </c>
      <c r="M149" t="e">
        <f>VLOOKUP($F149, codebooks_data_reordered!$A:$I, 9, FALSE)</f>
        <v>#N/A</v>
      </c>
      <c r="O149" t="e">
        <f t="shared" si="2"/>
        <v>#N/A</v>
      </c>
    </row>
    <row r="150" spans="1:15" ht="216" hidden="1" x14ac:dyDescent="0.3">
      <c r="A150" t="s">
        <v>6205</v>
      </c>
      <c r="B150" t="s">
        <v>6236</v>
      </c>
      <c r="C150" s="2" t="s">
        <v>6237</v>
      </c>
      <c r="D150" t="s">
        <v>5843</v>
      </c>
      <c r="E150" s="2" t="s">
        <v>6238</v>
      </c>
      <c r="F150" t="s">
        <v>1750</v>
      </c>
      <c r="G150" t="str">
        <f>VLOOKUP($F150, codebooks_data_reordered!$A:$I, 2, FALSE)</f>
        <v>1999_1</v>
      </c>
      <c r="H150" t="str">
        <f>VLOOKUP($F150, codebooks_data_reordered!$A:$I, 3, FALSE)</f>
        <v>GENERAL POLITICAL ATTITUDE</v>
      </c>
      <c r="I150" t="str">
        <f>VLOOKUP($F150, codebooks_data_reordered!$A:$I, 4, FALSE)</f>
        <v>1</v>
      </c>
      <c r="J150" t="str">
        <f>VLOOKUP($F150, codebooks_data_reordered!$A:$I, 5, FALSE)</f>
        <v>6</v>
      </c>
      <c r="K150" t="str">
        <f>VLOOKUP($F150, codebooks_data_reordered!$A:$I, 6, FALSE)</f>
        <v>Israel's current situation in general</v>
      </c>
      <c r="L150">
        <f>VLOOKUP($F150, codebooks_data_reordered!$A:$I, 7, FALSE)</f>
        <v>0</v>
      </c>
      <c r="M150" t="str">
        <f>VLOOKUP($F150, codebooks_data_reordered!$A:$I, 9, FALSE)</f>
        <v>1: Very good; 2: Good; 3: So-so; 4: Not good; 5: Bad</v>
      </c>
      <c r="O150" s="2" t="str">
        <f t="shared" si="2"/>
        <v>1: Very good
 2: Good
 3: So-so
 4: Not good
 5: Bad</v>
      </c>
    </row>
    <row r="151" spans="1:15" ht="216" hidden="1" x14ac:dyDescent="0.3">
      <c r="A151" t="s">
        <v>6205</v>
      </c>
      <c r="B151" t="s">
        <v>6239</v>
      </c>
      <c r="C151" s="2" t="s">
        <v>6240</v>
      </c>
      <c r="D151" t="s">
        <v>5843</v>
      </c>
      <c r="E151" s="2" t="s">
        <v>6241</v>
      </c>
      <c r="F151" t="s">
        <v>1754</v>
      </c>
      <c r="G151" t="str">
        <f>VLOOKUP($F151, codebooks_data_reordered!$A:$I, 2, FALSE)</f>
        <v>1999_1</v>
      </c>
      <c r="H151" t="str">
        <f>VLOOKUP($F151, codebooks_data_reordered!$A:$I, 3, FALSE)</f>
        <v>GENERAL POLITICAL ATTITUDE</v>
      </c>
      <c r="I151" t="str">
        <f>VLOOKUP($F151, codebooks_data_reordered!$A:$I, 4, FALSE)</f>
        <v>1</v>
      </c>
      <c r="J151" t="str">
        <f>VLOOKUP($F151, codebooks_data_reordered!$A:$I, 5, FALSE)</f>
        <v>8-9</v>
      </c>
      <c r="K151" t="str">
        <f>VLOOKUP($F151, codebooks_data_reordered!$A:$I, 6, FALSE)</f>
        <v>Main problem government has to deal with</v>
      </c>
      <c r="L151">
        <f>VLOOKUP($F151, codebooks_data_reordered!$A:$I, 7, FALSE)</f>
        <v>0</v>
      </c>
      <c r="M151">
        <f>VLOOKUP($F151, codebooks_data_reordered!$A:$I, 9, FALSE)</f>
        <v>0</v>
      </c>
      <c r="O151" s="2" t="str">
        <f t="shared" si="2"/>
        <v>0</v>
      </c>
    </row>
    <row r="152" spans="1:15" ht="187.2" hidden="1" x14ac:dyDescent="0.3">
      <c r="A152" t="s">
        <v>6205</v>
      </c>
      <c r="B152" t="s">
        <v>6242</v>
      </c>
      <c r="C152" s="2" t="s">
        <v>6243</v>
      </c>
      <c r="D152" t="s">
        <v>5843</v>
      </c>
      <c r="E152" s="2" t="s">
        <v>6244</v>
      </c>
      <c r="F152" t="s">
        <v>5183</v>
      </c>
      <c r="G152" t="str">
        <f>VLOOKUP($F152, codebooks_data_reordered!$A:$I, 2, FALSE)</f>
        <v>1973_4</v>
      </c>
      <c r="H152" t="str">
        <f>VLOOKUP($F152, codebooks_data_reordered!$A:$I, 3, FALSE)</f>
        <v>December 1973</v>
      </c>
      <c r="I152" t="str">
        <f>VLOOKUP($F152, codebooks_data_reordered!$A:$I, 4, FALSE)</f>
        <v>1</v>
      </c>
      <c r="J152" t="str">
        <f>VLOOKUP($F152, codebooks_data_reordered!$A:$I, 5, FALSE)</f>
        <v>1-4</v>
      </c>
      <c r="K152" t="str">
        <f>VLOOKUP($F152, codebooks_data_reordered!$A:$I, 6, FALSE)</f>
        <v>Identity number</v>
      </c>
      <c r="L152">
        <f>VLOOKUP($F152, codebooks_data_reordered!$A:$I, 7, FALSE)</f>
        <v>0</v>
      </c>
      <c r="M152">
        <f>VLOOKUP($F152, codebooks_data_reordered!$A:$I, 9, FALSE)</f>
        <v>0</v>
      </c>
      <c r="O152" s="2" t="str">
        <f t="shared" si="2"/>
        <v>0</v>
      </c>
    </row>
    <row r="153" spans="1:15" ht="288" hidden="1" x14ac:dyDescent="0.3">
      <c r="A153" t="s">
        <v>6205</v>
      </c>
      <c r="B153" t="s">
        <v>6245</v>
      </c>
      <c r="C153" s="2" t="s">
        <v>6246</v>
      </c>
      <c r="D153" t="s">
        <v>5843</v>
      </c>
      <c r="E153" s="2" t="s">
        <v>6247</v>
      </c>
      <c r="F153" t="s">
        <v>407</v>
      </c>
      <c r="G153" t="str">
        <f>VLOOKUP($F153, codebooks_data_reordered!$A:$I, 2, FALSE)</f>
        <v>2006</v>
      </c>
      <c r="H153" t="str">
        <f>VLOOKUP($F153, codebooks_data_reordered!$A:$I, 3, FALSE)</f>
        <v>Ranking on a Right/Left Political Scale</v>
      </c>
      <c r="I153" t="str">
        <f>VLOOKUP($F153, codebooks_data_reordered!$A:$I, 4, FALSE)</f>
        <v>1</v>
      </c>
      <c r="J153" t="str">
        <f>VLOOKUP($F153, codebooks_data_reordered!$A:$I, 5, FALSE)</f>
        <v>132-133</v>
      </c>
      <c r="K153" t="str">
        <f>VLOOKUP($F153, codebooks_data_reordered!$A:$I, 6, FALSE)</f>
        <v>Ranking on a right/left political scale:Israel Beiteinu</v>
      </c>
      <c r="L153" t="str">
        <f>VLOOKUP($F153, codebooks_data_reordered!$A:$I, 7, FALSE)</f>
        <v>How would you rate the following parties on the left-right scale from 0 to 10, 0 stands for left, and 10 stands for right and 5 is in the middle.</v>
      </c>
      <c r="M153" t="str">
        <f>VLOOKUP($F153, codebooks_data_reordered!$A:$I, 9, FALSE)</f>
        <v>0: Left; 10: Right</v>
      </c>
      <c r="O153" s="2" t="str">
        <f t="shared" si="2"/>
        <v>0: Left
 10: Right</v>
      </c>
    </row>
    <row r="154" spans="1:15" ht="187.2" hidden="1" x14ac:dyDescent="0.3">
      <c r="A154" t="s">
        <v>6205</v>
      </c>
      <c r="B154" t="s">
        <v>6248</v>
      </c>
      <c r="C154" s="2" t="s">
        <v>6249</v>
      </c>
      <c r="D154" t="s">
        <v>5843</v>
      </c>
      <c r="E154" s="2" t="s">
        <v>6250</v>
      </c>
      <c r="F154" t="s">
        <v>740</v>
      </c>
      <c r="G154" t="str">
        <f>VLOOKUP($F154, codebooks_data_reordered!$A:$I, 2, FALSE)</f>
        <v>2006</v>
      </c>
      <c r="H154" t="str">
        <f>VLOOKUP($F154, codebooks_data_reordered!$A:$I, 3, FALSE)</f>
        <v>Self-identity</v>
      </c>
      <c r="I154" t="str">
        <f>VLOOKUP($F154, codebooks_data_reordered!$A:$I, 4, FALSE)</f>
        <v>1</v>
      </c>
      <c r="J154" t="str">
        <f>VLOOKUP($F154, codebooks_data_reordered!$A:$I, 5, FALSE)</f>
        <v>267</v>
      </c>
      <c r="K154" t="str">
        <f>VLOOKUP($F154, codebooks_data_reordered!$A:$I, 6, FALSE)</f>
        <v>Percentage of the government's budget that goes to security</v>
      </c>
      <c r="L154" t="str">
        <f>VLOOKUP($F154, codebooks_data_reordered!$A:$I, 7, FALSE)</f>
        <v>52. To the best of your knowledge, what percentage of the government's budget goes to security? (don't read answers)</v>
      </c>
      <c r="M154" t="str">
        <f>VLOOKUP($F154, codebooks_data_reordered!$A:$I, 9, FALSE)</f>
        <v>1: Less than 10%; 2: Between 10%-40%; 3: Between 40%-75%; 4: More than 75%; 8: Do not know</v>
      </c>
      <c r="O154" s="2" t="str">
        <f t="shared" si="2"/>
        <v>1: Less than 10%
 2: Between 10%-40%
 3: Between 40%-75%
 4: More than 75%
 8: Do not know</v>
      </c>
    </row>
    <row r="155" spans="1:15" ht="129.6" hidden="1" x14ac:dyDescent="0.3">
      <c r="A155" t="s">
        <v>6205</v>
      </c>
      <c r="B155" t="s">
        <v>6251</v>
      </c>
      <c r="C155" s="2" t="s">
        <v>6252</v>
      </c>
      <c r="D155" t="s">
        <v>5843</v>
      </c>
      <c r="E155" s="2" t="s">
        <v>6253</v>
      </c>
      <c r="F155" t="s">
        <v>1754</v>
      </c>
      <c r="G155" t="str">
        <f>VLOOKUP($F155, codebooks_data_reordered!$A:$I, 2, FALSE)</f>
        <v>1999_1</v>
      </c>
      <c r="H155" t="str">
        <f>VLOOKUP($F155, codebooks_data_reordered!$A:$I, 3, FALSE)</f>
        <v>GENERAL POLITICAL ATTITUDE</v>
      </c>
      <c r="I155" t="str">
        <f>VLOOKUP($F155, codebooks_data_reordered!$A:$I, 4, FALSE)</f>
        <v>1</v>
      </c>
      <c r="J155" t="str">
        <f>VLOOKUP($F155, codebooks_data_reordered!$A:$I, 5, FALSE)</f>
        <v>8-9</v>
      </c>
      <c r="K155" t="str">
        <f>VLOOKUP($F155, codebooks_data_reordered!$A:$I, 6, FALSE)</f>
        <v>Main problem government has to deal with</v>
      </c>
      <c r="L155">
        <f>VLOOKUP($F155, codebooks_data_reordered!$A:$I, 7, FALSE)</f>
        <v>0</v>
      </c>
      <c r="M155">
        <f>VLOOKUP($F155, codebooks_data_reordered!$A:$I, 9, FALSE)</f>
        <v>0</v>
      </c>
      <c r="O155" s="2" t="str">
        <f t="shared" si="2"/>
        <v>0</v>
      </c>
    </row>
    <row r="156" spans="1:15" ht="144" hidden="1" x14ac:dyDescent="0.3">
      <c r="A156" t="s">
        <v>6205</v>
      </c>
      <c r="B156" t="s">
        <v>6254</v>
      </c>
      <c r="C156" s="2" t="s">
        <v>6255</v>
      </c>
      <c r="D156" t="s">
        <v>5843</v>
      </c>
      <c r="E156" s="2" t="s">
        <v>6256</v>
      </c>
      <c r="F156" t="s">
        <v>2151</v>
      </c>
      <c r="G156" t="str">
        <f>VLOOKUP($F156, codebooks_data_reordered!$A:$I, 2, FALSE)</f>
        <v>1999_1</v>
      </c>
      <c r="H156" t="str">
        <f>VLOOKUP($F156, codebooks_data_reordered!$A:$I, 3, FALSE)</f>
        <v>VOTING PATTERNS</v>
      </c>
      <c r="I156" t="str">
        <f>VLOOKUP($F156, codebooks_data_reordered!$A:$I, 4, FALSE)</f>
        <v>3</v>
      </c>
      <c r="J156" t="str">
        <f>VLOOKUP($F156, codebooks_data_reordered!$A:$I, 5, FALSE)</f>
        <v>12</v>
      </c>
      <c r="K156" t="str">
        <f>VLOOKUP($F156, codebooks_data_reordered!$A:$I, 6, FALSE)</f>
        <v>Support National Consolidation Government after the elections</v>
      </c>
      <c r="L156">
        <f>VLOOKUP($F156, codebooks_data_reordered!$A:$I, 7, FALSE)</f>
        <v>0</v>
      </c>
      <c r="M156" t="str">
        <f>VLOOKUP($F156, codebooks_data_reordered!$A:$I, 9, FALSE)</f>
        <v>1: Definitely yes; 2: Think so; 3: Think not; 4: Definitely not; 5: Yes, only under the Likud leadership; 6: Yes, only under the Labor leadership; 7: Yes, only under Center party leadership</v>
      </c>
      <c r="O156" s="2" t="str">
        <f t="shared" si="2"/>
        <v>1: Definitely yes
 2: Think so
 3: Think not
 4: Definitely not
 5: Yes, only under the Likud leadership
 6: Yes, only under the Labor leadership
 7: Yes, only under Center party leadership</v>
      </c>
    </row>
    <row r="157" spans="1:15" ht="57.6" hidden="1" x14ac:dyDescent="0.3">
      <c r="A157" t="s">
        <v>6205</v>
      </c>
      <c r="B157" t="s">
        <v>6257</v>
      </c>
      <c r="C157" s="2" t="s">
        <v>6258</v>
      </c>
      <c r="D157" t="s">
        <v>5843</v>
      </c>
      <c r="E157" s="2" t="s">
        <v>6259</v>
      </c>
      <c r="F157" t="s">
        <v>3365</v>
      </c>
      <c r="G157" t="str">
        <f>VLOOKUP($F157, codebooks_data_reordered!$A:$I, 2, FALSE)</f>
        <v>1988_Panel_N=416</v>
      </c>
      <c r="H157" t="str">
        <f>VLOOKUP($F157, codebooks_data_reordered!$A:$I, 3, FALSE)</f>
        <v>DO YOU HAVE CHILDREN IN EACH OF THE FOLLOWING AGE GROUPS</v>
      </c>
      <c r="I157" t="str">
        <f>VLOOKUP($F157, codebooks_data_reordered!$A:$I, 4, FALSE)</f>
        <v>3</v>
      </c>
      <c r="J157" t="str">
        <f>VLOOKUP($F157, codebooks_data_reordered!$A:$I, 5, FALSE)</f>
        <v>7</v>
      </c>
      <c r="K157" t="str">
        <f>VLOOKUP($F157, codebooks_data_reordered!$A:$I, 6, FALSE)</f>
        <v>Way government handles nation's problems</v>
      </c>
      <c r="L157">
        <f>VLOOKUP($F157, codebooks_data_reordered!$A:$I, 7, FALSE)</f>
        <v>0</v>
      </c>
      <c r="M157" t="str">
        <f>VLOOKUP($F157, codebooks_data_reordered!$A:$I, 9, FALSE)</f>
        <v>1: Very well; 2: Well; 3: Not so well; 4: Not well at all</v>
      </c>
      <c r="O157" s="2" t="str">
        <f t="shared" si="2"/>
        <v>1: Very well
 2: Well
 3: Not so well
 4: Not well at all</v>
      </c>
    </row>
    <row r="158" spans="1:15" ht="100.8" hidden="1" x14ac:dyDescent="0.3">
      <c r="A158" t="s">
        <v>6205</v>
      </c>
      <c r="B158" t="s">
        <v>6260</v>
      </c>
      <c r="C158" s="2" t="s">
        <v>6261</v>
      </c>
      <c r="D158" t="s">
        <v>5843</v>
      </c>
      <c r="E158" s="2" t="s">
        <v>6262</v>
      </c>
      <c r="F158" t="s">
        <v>1806</v>
      </c>
      <c r="G158" t="str">
        <f>VLOOKUP($F158, codebooks_data_reordered!$A:$I, 2, FALSE)</f>
        <v>1999_1</v>
      </c>
      <c r="H158" t="str">
        <f>VLOOKUP($F158, codebooks_data_reordered!$A:$I, 3, FALSE)</f>
        <v>GENERAL POLITICAL ATTITUDE</v>
      </c>
      <c r="I158" t="str">
        <f>VLOOKUP($F158, codebooks_data_reordered!$A:$I, 4, FALSE)</f>
        <v>1</v>
      </c>
      <c r="J158" t="str">
        <f>VLOOKUP($F158, codebooks_data_reordered!$A:$I, 5, FALSE)</f>
        <v>30</v>
      </c>
      <c r="K158" t="str">
        <f>VLOOKUP($F158, codebooks_data_reordered!$A:$I, 6, FALSE)</f>
        <v>What should be emphasized to prevent war between Israel and the Arab world?</v>
      </c>
      <c r="L158">
        <f>VLOOKUP($F158, codebooks_data_reordered!$A:$I, 7, FALSE)</f>
        <v>0</v>
      </c>
      <c r="M158" t="str">
        <f>VLOOKUP($F158, codebooks_data_reordered!$A:$I, 9, FALSE)</f>
        <v>1: Focus on Peace talks; 2: Increase military power</v>
      </c>
      <c r="O158" s="2" t="str">
        <f t="shared" si="2"/>
        <v>1: Focus on Peace talks
 2: Increase military power</v>
      </c>
    </row>
    <row r="159" spans="1:15" ht="57.6" hidden="1" x14ac:dyDescent="0.3">
      <c r="A159" t="s">
        <v>6205</v>
      </c>
      <c r="B159" t="s">
        <v>6263</v>
      </c>
      <c r="C159" s="2" t="s">
        <v>6264</v>
      </c>
      <c r="D159" t="s">
        <v>5843</v>
      </c>
      <c r="E159" s="2" t="s">
        <v>6265</v>
      </c>
      <c r="F159" t="s">
        <v>9191</v>
      </c>
      <c r="G159" t="e">
        <f>VLOOKUP($F159, codebooks_data_reordered!$A:$I, 2, FALSE)</f>
        <v>#N/A</v>
      </c>
      <c r="H159" t="e">
        <f>VLOOKUP($F159, codebooks_data_reordered!$A:$I, 3, FALSE)</f>
        <v>#N/A</v>
      </c>
      <c r="I159" t="e">
        <f>VLOOKUP($F159, codebooks_data_reordered!$A:$I, 4, FALSE)</f>
        <v>#N/A</v>
      </c>
      <c r="J159" t="e">
        <f>VLOOKUP($F159, codebooks_data_reordered!$A:$I, 5, FALSE)</f>
        <v>#N/A</v>
      </c>
      <c r="K159" t="e">
        <f>VLOOKUP($F159, codebooks_data_reordered!$A:$I, 6, FALSE)</f>
        <v>#N/A</v>
      </c>
      <c r="L159" t="e">
        <f>VLOOKUP($F159, codebooks_data_reordered!$A:$I, 7, FALSE)</f>
        <v>#N/A</v>
      </c>
      <c r="M159" t="e">
        <f>VLOOKUP($F159, codebooks_data_reordered!$A:$I, 9, FALSE)</f>
        <v>#N/A</v>
      </c>
      <c r="N159" t="s">
        <v>9399</v>
      </c>
      <c r="O159" t="e">
        <f t="shared" si="2"/>
        <v>#N/A</v>
      </c>
    </row>
    <row r="160" spans="1:15" ht="244.8" hidden="1" x14ac:dyDescent="0.3">
      <c r="A160" t="s">
        <v>6205</v>
      </c>
      <c r="B160" t="s">
        <v>5869</v>
      </c>
      <c r="C160" s="2" t="s">
        <v>6266</v>
      </c>
      <c r="D160" t="s">
        <v>5843</v>
      </c>
      <c r="E160" s="2" t="s">
        <v>6267</v>
      </c>
      <c r="F160">
        <v>0</v>
      </c>
      <c r="G160" t="e">
        <f>VLOOKUP($F160, codebooks_data_reordered!$A:$I, 2, FALSE)</f>
        <v>#N/A</v>
      </c>
      <c r="H160" t="e">
        <f>VLOOKUP($F160, codebooks_data_reordered!$A:$I, 3, FALSE)</f>
        <v>#N/A</v>
      </c>
      <c r="I160" t="e">
        <f>VLOOKUP($F160, codebooks_data_reordered!$A:$I, 4, FALSE)</f>
        <v>#N/A</v>
      </c>
      <c r="J160" t="e">
        <f>VLOOKUP($F160, codebooks_data_reordered!$A:$I, 5, FALSE)</f>
        <v>#N/A</v>
      </c>
      <c r="K160" t="e">
        <f>VLOOKUP($F160, codebooks_data_reordered!$A:$I, 6, FALSE)</f>
        <v>#N/A</v>
      </c>
      <c r="L160" t="e">
        <f>VLOOKUP($F160, codebooks_data_reordered!$A:$I, 7, FALSE)</f>
        <v>#N/A</v>
      </c>
      <c r="M160" t="e">
        <f>VLOOKUP($F160, codebooks_data_reordered!$A:$I, 9, FALSE)</f>
        <v>#N/A</v>
      </c>
      <c r="O160" t="e">
        <f t="shared" si="2"/>
        <v>#N/A</v>
      </c>
    </row>
    <row r="161" spans="1:15" ht="86.4" hidden="1" x14ac:dyDescent="0.3">
      <c r="A161" t="s">
        <v>6205</v>
      </c>
      <c r="B161" t="s">
        <v>5872</v>
      </c>
      <c r="C161" s="2" t="s">
        <v>6268</v>
      </c>
      <c r="D161" t="s">
        <v>5843</v>
      </c>
      <c r="E161" s="2" t="s">
        <v>6269</v>
      </c>
      <c r="F161" t="s">
        <v>3134</v>
      </c>
      <c r="G161" t="str">
        <f>VLOOKUP($F161, codebooks_data_reordered!$A:$I, 2, FALSE)</f>
        <v>1988_Panel_N=416</v>
      </c>
      <c r="H161" t="str">
        <f>VLOOKUP($F161, codebooks_data_reordered!$A:$I, 3, FALSE)</f>
        <v>WHICH OF THE FOLLOWING WOULD YOU BE WILLING TO GIVE TO MAINTAIN/STRENGTHEN THE SECURITY</v>
      </c>
      <c r="I161" t="str">
        <f>VLOOKUP($F161, codebooks_data_reordered!$A:$I, 4, FALSE)</f>
        <v>1</v>
      </c>
      <c r="J161" t="str">
        <f>VLOOKUP($F161, codebooks_data_reordered!$A:$I, 5, FALSE)</f>
        <v>112</v>
      </c>
      <c r="K161" t="str">
        <f>VLOOKUP($F161, codebooks_data_reordered!$A:$I, 6, FALSE)</f>
        <v>Should security considerations override other social/ecconomic considerations</v>
      </c>
      <c r="L161">
        <f>VLOOKUP($F161, codebooks_data_reordered!$A:$I, 7, FALSE)</f>
        <v>0</v>
      </c>
      <c r="M161" t="str">
        <f>VLOOKUP($F161, codebooks_data_reordered!$A:$I, 9, FALSE)</f>
        <v>1: Security considerations should override all others; 7: Security should not override</v>
      </c>
      <c r="O161" s="2" t="str">
        <f t="shared" si="2"/>
        <v>1: Security considerations should override all others
 7: Security should not override</v>
      </c>
    </row>
    <row r="162" spans="1:15" ht="86.4" x14ac:dyDescent="0.3">
      <c r="A162" t="s">
        <v>6205</v>
      </c>
      <c r="B162" t="s">
        <v>6270</v>
      </c>
      <c r="C162" s="2" t="s">
        <v>6271</v>
      </c>
      <c r="D162" t="s">
        <v>6272</v>
      </c>
      <c r="E162" s="2" t="s">
        <v>6273</v>
      </c>
      <c r="F162" t="s">
        <v>9192</v>
      </c>
      <c r="G162" t="e">
        <f>VLOOKUP($F162, codebooks_data_reordered!$A:$I, 2, FALSE)</f>
        <v>#N/A</v>
      </c>
      <c r="H162" t="e">
        <f>VLOOKUP($F162, codebooks_data_reordered!$A:$I, 3, FALSE)</f>
        <v>#N/A</v>
      </c>
      <c r="I162" t="e">
        <f>VLOOKUP($F162, codebooks_data_reordered!$A:$I, 4, FALSE)</f>
        <v>#N/A</v>
      </c>
      <c r="J162" t="e">
        <f>VLOOKUP($F162, codebooks_data_reordered!$A:$I, 5, FALSE)</f>
        <v>#N/A</v>
      </c>
      <c r="K162" t="e">
        <f>VLOOKUP($F162, codebooks_data_reordered!$A:$I, 6, FALSE)</f>
        <v>#N/A</v>
      </c>
      <c r="L162" t="e">
        <f>VLOOKUP($F162, codebooks_data_reordered!$A:$I, 7, FALSE)</f>
        <v>#N/A</v>
      </c>
      <c r="M162" t="e">
        <f>VLOOKUP($F162, codebooks_data_reordered!$A:$I, 9, FALSE)</f>
        <v>#N/A</v>
      </c>
      <c r="N162" t="s">
        <v>9392</v>
      </c>
      <c r="O162" t="e">
        <f t="shared" si="2"/>
        <v>#N/A</v>
      </c>
    </row>
    <row r="163" spans="1:15" ht="72" x14ac:dyDescent="0.3">
      <c r="A163" t="s">
        <v>6205</v>
      </c>
      <c r="B163" t="s">
        <v>6274</v>
      </c>
      <c r="C163" s="2" t="s">
        <v>6275</v>
      </c>
      <c r="D163" t="s">
        <v>6272</v>
      </c>
      <c r="E163" s="2" t="s">
        <v>6276</v>
      </c>
      <c r="F163">
        <v>0</v>
      </c>
      <c r="G163" t="e">
        <f>VLOOKUP($F163, codebooks_data_reordered!$A:$I, 2, FALSE)</f>
        <v>#N/A</v>
      </c>
      <c r="H163" t="e">
        <f>VLOOKUP($F163, codebooks_data_reordered!$A:$I, 3, FALSE)</f>
        <v>#N/A</v>
      </c>
      <c r="I163" t="e">
        <f>VLOOKUP($F163, codebooks_data_reordered!$A:$I, 4, FALSE)</f>
        <v>#N/A</v>
      </c>
      <c r="J163" t="e">
        <f>VLOOKUP($F163, codebooks_data_reordered!$A:$I, 5, FALSE)</f>
        <v>#N/A</v>
      </c>
      <c r="K163" t="e">
        <f>VLOOKUP($F163, codebooks_data_reordered!$A:$I, 6, FALSE)</f>
        <v>#N/A</v>
      </c>
      <c r="L163" t="e">
        <f>VLOOKUP($F163, codebooks_data_reordered!$A:$I, 7, FALSE)</f>
        <v>#N/A</v>
      </c>
      <c r="M163" t="e">
        <f>VLOOKUP($F163, codebooks_data_reordered!$A:$I, 9, FALSE)</f>
        <v>#N/A</v>
      </c>
      <c r="O163" t="e">
        <f t="shared" si="2"/>
        <v>#N/A</v>
      </c>
    </row>
    <row r="164" spans="1:15" ht="72" x14ac:dyDescent="0.3">
      <c r="A164" t="s">
        <v>6205</v>
      </c>
      <c r="B164" t="s">
        <v>6277</v>
      </c>
      <c r="C164" s="2" t="s">
        <v>6275</v>
      </c>
      <c r="D164" t="s">
        <v>6272</v>
      </c>
      <c r="E164" s="2" t="s">
        <v>6276</v>
      </c>
      <c r="F164">
        <v>0</v>
      </c>
      <c r="G164" t="e">
        <f>VLOOKUP($F164, codebooks_data_reordered!$A:$I, 2, FALSE)</f>
        <v>#N/A</v>
      </c>
      <c r="H164" t="e">
        <f>VLOOKUP($F164, codebooks_data_reordered!$A:$I, 3, FALSE)</f>
        <v>#N/A</v>
      </c>
      <c r="I164" t="e">
        <f>VLOOKUP($F164, codebooks_data_reordered!$A:$I, 4, FALSE)</f>
        <v>#N/A</v>
      </c>
      <c r="J164" t="e">
        <f>VLOOKUP($F164, codebooks_data_reordered!$A:$I, 5, FALSE)</f>
        <v>#N/A</v>
      </c>
      <c r="K164" t="e">
        <f>VLOOKUP($F164, codebooks_data_reordered!$A:$I, 6, FALSE)</f>
        <v>#N/A</v>
      </c>
      <c r="L164" t="e">
        <f>VLOOKUP($F164, codebooks_data_reordered!$A:$I, 7, FALSE)</f>
        <v>#N/A</v>
      </c>
      <c r="M164" t="e">
        <f>VLOOKUP($F164, codebooks_data_reordered!$A:$I, 9, FALSE)</f>
        <v>#N/A</v>
      </c>
      <c r="O164" t="e">
        <f t="shared" si="2"/>
        <v>#N/A</v>
      </c>
    </row>
    <row r="165" spans="1:15" ht="72" x14ac:dyDescent="0.3">
      <c r="A165" t="s">
        <v>6205</v>
      </c>
      <c r="B165" t="s">
        <v>6278</v>
      </c>
      <c r="C165" s="2" t="s">
        <v>6275</v>
      </c>
      <c r="D165" t="s">
        <v>6272</v>
      </c>
      <c r="E165" s="2" t="s">
        <v>6276</v>
      </c>
      <c r="F165">
        <v>0</v>
      </c>
      <c r="G165" t="e">
        <f>VLOOKUP($F165, codebooks_data_reordered!$A:$I, 2, FALSE)</f>
        <v>#N/A</v>
      </c>
      <c r="H165" t="e">
        <f>VLOOKUP($F165, codebooks_data_reordered!$A:$I, 3, FALSE)</f>
        <v>#N/A</v>
      </c>
      <c r="I165" t="e">
        <f>VLOOKUP($F165, codebooks_data_reordered!$A:$I, 4, FALSE)</f>
        <v>#N/A</v>
      </c>
      <c r="J165" t="e">
        <f>VLOOKUP($F165, codebooks_data_reordered!$A:$I, 5, FALSE)</f>
        <v>#N/A</v>
      </c>
      <c r="K165" t="e">
        <f>VLOOKUP($F165, codebooks_data_reordered!$A:$I, 6, FALSE)</f>
        <v>#N/A</v>
      </c>
      <c r="L165" t="e">
        <f>VLOOKUP($F165, codebooks_data_reordered!$A:$I, 7, FALSE)</f>
        <v>#N/A</v>
      </c>
      <c r="M165" t="e">
        <f>VLOOKUP($F165, codebooks_data_reordered!$A:$I, 9, FALSE)</f>
        <v>#N/A</v>
      </c>
      <c r="O165" t="e">
        <f t="shared" si="2"/>
        <v>#N/A</v>
      </c>
    </row>
    <row r="166" spans="1:15" ht="100.8" hidden="1" x14ac:dyDescent="0.3">
      <c r="A166" t="s">
        <v>6205</v>
      </c>
      <c r="B166" t="s">
        <v>6279</v>
      </c>
      <c r="C166" s="2" t="s">
        <v>6280</v>
      </c>
      <c r="D166" t="s">
        <v>5843</v>
      </c>
      <c r="E166" s="2" t="s">
        <v>6281</v>
      </c>
      <c r="F166" t="s">
        <v>1826</v>
      </c>
      <c r="G166" t="str">
        <f>VLOOKUP($F166, codebooks_data_reordered!$A:$I, 2, FALSE)</f>
        <v>1999_1</v>
      </c>
      <c r="H166" t="str">
        <f>VLOOKUP($F166, codebooks_data_reordered!$A:$I, 3, FALSE)</f>
        <v>VALUES AND TRUST</v>
      </c>
      <c r="I166" t="str">
        <f>VLOOKUP($F166, codebooks_data_reordered!$A:$I, 4, FALSE)</f>
        <v>1</v>
      </c>
      <c r="J166" t="str">
        <f>VLOOKUP($F166, codebooks_data_reordered!$A:$I, 5, FALSE)</f>
        <v>38</v>
      </c>
      <c r="K166" t="str">
        <f>VLOOKUP($F166, codebooks_data_reordered!$A:$I, 6, FALSE)</f>
        <v>Extend of faith in the Supreme Court</v>
      </c>
      <c r="L166">
        <f>VLOOKUP($F166, codebooks_data_reordered!$A:$I, 7, FALSE)</f>
        <v>0</v>
      </c>
      <c r="M166" t="str">
        <f>VLOOKUP($F166, codebooks_data_reordered!$A:$I, 9, FALSE)</f>
        <v>1: Not at all; 2: A little faith; 3: Some faith; 4: Strong faith</v>
      </c>
      <c r="O166" s="2" t="str">
        <f t="shared" si="2"/>
        <v>1: Not at all
 2: A little faith
 3: Some faith
 4: Strong faith</v>
      </c>
    </row>
    <row r="167" spans="1:15" ht="100.8" hidden="1" x14ac:dyDescent="0.3">
      <c r="A167" t="s">
        <v>6205</v>
      </c>
      <c r="B167" t="s">
        <v>6282</v>
      </c>
      <c r="C167" s="2" t="s">
        <v>6280</v>
      </c>
      <c r="D167" t="s">
        <v>5843</v>
      </c>
      <c r="E167" s="2" t="s">
        <v>6281</v>
      </c>
      <c r="F167" t="s">
        <v>1843</v>
      </c>
      <c r="G167" t="str">
        <f>VLOOKUP($F167, codebooks_data_reordered!$A:$I, 2, FALSE)</f>
        <v>1999_1</v>
      </c>
      <c r="H167" t="str">
        <f>VLOOKUP($F167, codebooks_data_reordered!$A:$I, 3, FALSE)</f>
        <v>VALUES AND TRUST</v>
      </c>
      <c r="I167" t="str">
        <f>VLOOKUP($F167, codebooks_data_reordered!$A:$I, 4, FALSE)</f>
        <v>1</v>
      </c>
      <c r="J167" t="str">
        <f>VLOOKUP($F167, codebooks_data_reordered!$A:$I, 5, FALSE)</f>
        <v>45</v>
      </c>
      <c r="K167" t="str">
        <f>VLOOKUP($F167, codebooks_data_reordered!$A:$I, 6, FALSE)</f>
        <v>Peace as a significant value</v>
      </c>
      <c r="L167">
        <f>VLOOKUP($F167, codebooks_data_reordered!$A:$I, 7, FALSE)</f>
        <v>0</v>
      </c>
      <c r="M167" t="str">
        <f>VLOOKUP($F167, codebooks_data_reordered!$A:$I, 9, FALSE)</f>
        <v>1: Most important value; 2: Second value; 3: Third value; 4: Fourth value</v>
      </c>
      <c r="O167" s="2" t="str">
        <f t="shared" si="2"/>
        <v>1: Most important value
 2: Second value
 3: Third value
 4: Fourth value</v>
      </c>
    </row>
    <row r="168" spans="1:15" ht="244.8" hidden="1" x14ac:dyDescent="0.3">
      <c r="A168" t="s">
        <v>6205</v>
      </c>
      <c r="B168" t="s">
        <v>6283</v>
      </c>
      <c r="C168" s="2" t="s">
        <v>6284</v>
      </c>
      <c r="D168" t="s">
        <v>5843</v>
      </c>
      <c r="E168" s="2" t="s">
        <v>6285</v>
      </c>
      <c r="F168" t="s">
        <v>3108</v>
      </c>
      <c r="G168" t="str">
        <f>VLOOKUP($F168, codebooks_data_reordered!$A:$I, 2, FALSE)</f>
        <v>1988_Panel_N=416</v>
      </c>
      <c r="H168" t="str">
        <f>VLOOKUP($F168, codebooks_data_reordered!$A:$I, 3, FALSE)</f>
        <v>WHICH OF THE FOLLOWING WOULD YOU BE WILLING TO GIVE TO MAINTAIN/STRENGTHEN THE SECURITY</v>
      </c>
      <c r="I168" t="str">
        <f>VLOOKUP($F168, codebooks_data_reordered!$A:$I, 4, FALSE)</f>
        <v>1</v>
      </c>
      <c r="J168" t="str">
        <f>VLOOKUP($F168, codebooks_data_reordered!$A:$I, 5, FALSE)</f>
        <v>103</v>
      </c>
      <c r="K168" t="str">
        <f>VLOOKUP($F168, codebooks_data_reordered!$A:$I, 6, FALSE)</f>
        <v>What is your opinion on the length of military service</v>
      </c>
      <c r="L168">
        <f>VLOOKUP($F168, codebooks_data_reordered!$A:$I, 7, FALSE)</f>
        <v>0</v>
      </c>
      <c r="M168" t="str">
        <f>VLOOKUP($F168, codebooks_data_reordered!$A:$I, 9, FALSE)</f>
        <v>1: Too long; 2: Appropriate; 3: Too short</v>
      </c>
      <c r="O168" s="2" t="str">
        <f t="shared" si="2"/>
        <v>1: Too long
 2: Appropriate
 3: Too short</v>
      </c>
    </row>
    <row r="169" spans="1:15" ht="115.2" hidden="1" x14ac:dyDescent="0.3">
      <c r="A169" t="s">
        <v>6205</v>
      </c>
      <c r="B169" t="s">
        <v>6286</v>
      </c>
      <c r="C169" s="2" t="s">
        <v>6287</v>
      </c>
      <c r="D169" t="s">
        <v>5843</v>
      </c>
      <c r="E169" s="2" t="s">
        <v>6288</v>
      </c>
      <c r="F169" t="s">
        <v>1882</v>
      </c>
      <c r="G169" t="str">
        <f>VLOOKUP($F169, codebooks_data_reordered!$A:$I, 2, FALSE)</f>
        <v>1999_1</v>
      </c>
      <c r="H169" t="str">
        <f>VLOOKUP($F169, codebooks_data_reordered!$A:$I, 3, FALSE)</f>
        <v>MORE ATTITUDES TOWARD PARTIES AND CANDIDATES</v>
      </c>
      <c r="I169" t="str">
        <f>VLOOKUP($F169, codebooks_data_reordered!$A:$I, 4, FALSE)</f>
        <v>1</v>
      </c>
      <c r="J169" t="str">
        <f>VLOOKUP($F169, codebooks_data_reordered!$A:$I, 5, FALSE)</f>
        <v>62</v>
      </c>
      <c r="K169" t="str">
        <f>VLOOKUP($F169, codebooks_data_reordered!$A:$I, 6, FALSE)</f>
        <v>Capitalism or socialism for Israel's economy</v>
      </c>
      <c r="L169" t="str">
        <f>VLOOKUP($F169, codebooks_data_reordered!$A:$I, 7, FALSE)</f>
        <v>Extent of support on 1-10 scale, 1=total rejection, 10=strong support</v>
      </c>
      <c r="M169" t="str">
        <f>VLOOKUP($F169, codebooks_data_reordered!$A:$I, 9, FALSE)</f>
        <v>1: Definitely prefer capitalism; 2: More capitalist than socialist; 3: More socialist than capitalist; 4: Definitely prefer socialism</v>
      </c>
      <c r="O169" s="2" t="str">
        <f t="shared" si="2"/>
        <v>1: Definitely prefer capitalism
 2: More capitalist than socialist
 3: More socialist than capitalist
 4: Definitely prefer socialism</v>
      </c>
    </row>
    <row r="170" spans="1:15" ht="187.2" hidden="1" x14ac:dyDescent="0.3">
      <c r="A170" t="s">
        <v>6205</v>
      </c>
      <c r="B170" t="s">
        <v>6289</v>
      </c>
      <c r="C170" s="2" t="s">
        <v>6290</v>
      </c>
      <c r="D170" t="s">
        <v>5843</v>
      </c>
      <c r="E170" s="2" t="s">
        <v>6291</v>
      </c>
      <c r="F170" t="s">
        <v>541</v>
      </c>
      <c r="G170" t="str">
        <f>VLOOKUP($F170, codebooks_data_reordered!$A:$I, 2, FALSE)</f>
        <v>2006</v>
      </c>
      <c r="H170" t="str">
        <f>VLOOKUP($F170, codebooks_data_reordered!$A:$I, 3, FALSE)</f>
        <v>Most/Less Suitable Characteristic of the Party</v>
      </c>
      <c r="I170" t="str">
        <f>VLOOKUP($F170, codebooks_data_reordered!$A:$I, 4, FALSE)</f>
        <v>1</v>
      </c>
      <c r="J170" t="str">
        <f>VLOOKUP($F170, codebooks_data_reordered!$A:$I, 5, FALSE)</f>
        <v>171</v>
      </c>
      <c r="K170" t="str">
        <f>VLOOKUP($F170, codebooks_data_reordered!$A:$I, 6, FALSE)</f>
        <v>Issues at the center of campaign</v>
      </c>
      <c r="L170" t="str">
        <f>VLOOKUP($F170, codebooks_data_reordered!$A:$I, 7, FALSE)</f>
        <v>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v>
      </c>
      <c r="M170" t="str">
        <f>VLOOKUP($F170, codebooks_data_reordered!$A:$I, 9, FALSE)</f>
        <v>1: Peace process with the Palestinians; 2: The security situation; 3: Socio-economic situation; 4: Relationships between religious and nonreligious; 5: Corruption and the rule of law; 6: The unity of the people; 7: Other; 8: Do not know; 9: More than one answer</v>
      </c>
      <c r="O170" s="2" t="str">
        <f t="shared" si="2"/>
        <v>1: Peace process with the Palestinians
 2: The security situation
 3: Socio-economic situation
 4: Relationships between religious and nonreligious
 5: Corruption and the rule of law
 6: The unity of the people
 7: Other
 8: Do not know
 9: More than one answer</v>
      </c>
    </row>
    <row r="171" spans="1:15" ht="129.6" hidden="1" x14ac:dyDescent="0.3">
      <c r="A171" t="s">
        <v>6205</v>
      </c>
      <c r="B171" t="s">
        <v>6292</v>
      </c>
      <c r="C171" s="2" t="s">
        <v>6290</v>
      </c>
      <c r="D171" t="s">
        <v>5843</v>
      </c>
      <c r="E171" s="2" t="s">
        <v>6291</v>
      </c>
      <c r="F171" t="s">
        <v>1806</v>
      </c>
      <c r="G171" t="str">
        <f>VLOOKUP($F171, codebooks_data_reordered!$A:$I, 2, FALSE)</f>
        <v>1999_1</v>
      </c>
      <c r="H171" t="str">
        <f>VLOOKUP($F171, codebooks_data_reordered!$A:$I, 3, FALSE)</f>
        <v>GENERAL POLITICAL ATTITUDE</v>
      </c>
      <c r="I171" t="str">
        <f>VLOOKUP($F171, codebooks_data_reordered!$A:$I, 4, FALSE)</f>
        <v>1</v>
      </c>
      <c r="J171" t="str">
        <f>VLOOKUP($F171, codebooks_data_reordered!$A:$I, 5, FALSE)</f>
        <v>30</v>
      </c>
      <c r="K171" t="str">
        <f>VLOOKUP($F171, codebooks_data_reordered!$A:$I, 6, FALSE)</f>
        <v>What should be emphasized to prevent war between Israel and the Arab world?</v>
      </c>
      <c r="L171">
        <f>VLOOKUP($F171, codebooks_data_reordered!$A:$I, 7, FALSE)</f>
        <v>0</v>
      </c>
      <c r="M171" t="str">
        <f>VLOOKUP($F171, codebooks_data_reordered!$A:$I, 9, FALSE)</f>
        <v>1: Focus on Peace talks; 2: Increase military power</v>
      </c>
      <c r="O171" s="2" t="str">
        <f t="shared" si="2"/>
        <v>1: Focus on Peace talks
 2: Increase military power</v>
      </c>
    </row>
    <row r="172" spans="1:15" ht="86.4" hidden="1" x14ac:dyDescent="0.3">
      <c r="A172" t="s">
        <v>6205</v>
      </c>
      <c r="B172" t="s">
        <v>6293</v>
      </c>
      <c r="C172" s="2" t="s">
        <v>6294</v>
      </c>
      <c r="D172" t="s">
        <v>5843</v>
      </c>
      <c r="E172" s="2" t="s">
        <v>6295</v>
      </c>
      <c r="F172" t="s">
        <v>42</v>
      </c>
      <c r="G172" t="str">
        <f>VLOOKUP($F172, codebooks_data_reordered!$A:$I, 2, FALSE)</f>
        <v>2006</v>
      </c>
      <c r="H172" t="str">
        <f>VLOOKUP($F172, codebooks_data_reordered!$A:$I, 3, FALSE)</f>
        <v>Pre-Election Survey</v>
      </c>
      <c r="I172" t="str">
        <f>VLOOKUP($F172, codebooks_data_reordered!$A:$I, 4, FALSE)</f>
        <v>1</v>
      </c>
      <c r="J172" t="str">
        <f>VLOOKUP($F172, codebooks_data_reordered!$A:$I, 5, FALSE)</f>
        <v>13</v>
      </c>
      <c r="K172" t="str">
        <f>VLOOKUP($F172, codebooks_data_reordered!$A:$I, 6, FALSE)</f>
        <v>Economic situation in past 3 years</v>
      </c>
      <c r="L172" t="str">
        <f>VLOOKUP($F172, codebooks_data_reordered!$A:$I, 7, FALSE)</f>
        <v>10. Do you think that the economic situation in the past 3 years has improved, didn't change, or got worse?</v>
      </c>
      <c r="M172" t="str">
        <f>VLOOKUP($F172, codebooks_data_reordered!$A:$I, 9, FALSE)</f>
        <v>1: Improved a lot; 2: Improved a bit; 3: Didn't change; 4: Got a bit worse; 5: Got much worse</v>
      </c>
      <c r="O172" s="2" t="str">
        <f t="shared" si="2"/>
        <v>1: Improved a lot
 2: Improved a bit
 3: Didn't change
 4: Got a bit worse
 5: Got much worse</v>
      </c>
    </row>
    <row r="173" spans="1:15" ht="158.4" hidden="1" x14ac:dyDescent="0.3">
      <c r="A173" t="s">
        <v>6205</v>
      </c>
      <c r="B173" t="s">
        <v>6296</v>
      </c>
      <c r="C173" s="2" t="s">
        <v>6297</v>
      </c>
      <c r="D173" t="s">
        <v>5843</v>
      </c>
      <c r="E173" s="2" t="s">
        <v>6298</v>
      </c>
      <c r="F173" t="s">
        <v>5003</v>
      </c>
      <c r="G173" t="str">
        <f>VLOOKUP($F173, codebooks_data_reordered!$A:$I, 2, FALSE)</f>
        <v>1973_2</v>
      </c>
      <c r="H173" t="str">
        <f>VLOOKUP($F173, codebooks_data_reordered!$A:$I, 3, FALSE)</f>
        <v>DO YOU AGREE WITH THE FOLLOWING STATEMENT</v>
      </c>
      <c r="I173" t="str">
        <f>VLOOKUP($F173, codebooks_data_reordered!$A:$I, 4, FALSE)</f>
        <v>2</v>
      </c>
      <c r="J173" t="str">
        <f>VLOOKUP($F173, codebooks_data_reordered!$A:$I, 5, FALSE)</f>
        <v>47</v>
      </c>
      <c r="K173" t="str">
        <f>VLOOKUP($F173, codebooks_data_reordered!$A:$I, 6, FALSE)</f>
        <v>Are you active in any public organization(workers union, Wizo, B'nei Brith, etc)</v>
      </c>
      <c r="L173">
        <f>VLOOKUP($F173, codebooks_data_reordered!$A:$I, 7, FALSE)</f>
        <v>0</v>
      </c>
      <c r="M173" t="str">
        <f>VLOOKUP($F173, codebooks_data_reordered!$A:$I, 9, FALSE)</f>
        <v>0: No answer; 1: Very active; 2: Active; 3: Not so active; 4: Not at all</v>
      </c>
      <c r="O173" s="2" t="str">
        <f t="shared" si="2"/>
        <v>0: No answer
 1: Very active
 2: Active
 3: Not so active
 4: Not at all</v>
      </c>
    </row>
    <row r="174" spans="1:15" ht="388.8" hidden="1" x14ac:dyDescent="0.3">
      <c r="A174" t="s">
        <v>6205</v>
      </c>
      <c r="B174" t="s">
        <v>6299</v>
      </c>
      <c r="C174" s="2" t="s">
        <v>6300</v>
      </c>
      <c r="D174" t="s">
        <v>5843</v>
      </c>
      <c r="E174" s="2" t="s">
        <v>6301</v>
      </c>
      <c r="F174" t="s">
        <v>9193</v>
      </c>
      <c r="G174" t="e">
        <f>VLOOKUP($F174, codebooks_data_reordered!$A:$I, 2, FALSE)</f>
        <v>#N/A</v>
      </c>
      <c r="H174" t="e">
        <f>VLOOKUP($F174, codebooks_data_reordered!$A:$I, 3, FALSE)</f>
        <v>#N/A</v>
      </c>
      <c r="I174" t="e">
        <f>VLOOKUP($F174, codebooks_data_reordered!$A:$I, 4, FALSE)</f>
        <v>#N/A</v>
      </c>
      <c r="J174" t="e">
        <f>VLOOKUP($F174, codebooks_data_reordered!$A:$I, 5, FALSE)</f>
        <v>#N/A</v>
      </c>
      <c r="K174" t="e">
        <f>VLOOKUP($F174, codebooks_data_reordered!$A:$I, 6, FALSE)</f>
        <v>#N/A</v>
      </c>
      <c r="L174" t="e">
        <f>VLOOKUP($F174, codebooks_data_reordered!$A:$I, 7, FALSE)</f>
        <v>#N/A</v>
      </c>
      <c r="M174" t="e">
        <f>VLOOKUP($F174, codebooks_data_reordered!$A:$I, 9, FALSE)</f>
        <v>#N/A</v>
      </c>
      <c r="O174" t="e">
        <f t="shared" si="2"/>
        <v>#N/A</v>
      </c>
    </row>
    <row r="175" spans="1:15" ht="144" hidden="1" x14ac:dyDescent="0.3">
      <c r="A175" t="s">
        <v>6205</v>
      </c>
      <c r="B175" t="s">
        <v>6302</v>
      </c>
      <c r="C175" s="2" t="s">
        <v>6303</v>
      </c>
      <c r="D175" t="s">
        <v>5843</v>
      </c>
      <c r="E175" s="2" t="s">
        <v>6304</v>
      </c>
      <c r="F175" t="s">
        <v>392</v>
      </c>
      <c r="G175" t="str">
        <f>VLOOKUP($F175, codebooks_data_reordered!$A:$I, 2, FALSE)</f>
        <v>2006</v>
      </c>
      <c r="H175" t="str">
        <f>VLOOKUP($F175, codebooks_data_reordered!$A:$I, 3, FALSE)</f>
        <v>Ranking on a Right/Left Political Scale</v>
      </c>
      <c r="I175" t="str">
        <f>VLOOKUP($F175, codebooks_data_reordered!$A:$I, 4, FALSE)</f>
        <v>1</v>
      </c>
      <c r="J175" t="str">
        <f>VLOOKUP($F175, codebooks_data_reordered!$A:$I, 5, FALSE)</f>
        <v>122-123</v>
      </c>
      <c r="K175" t="str">
        <f>VLOOKUP($F175, codebooks_data_reordered!$A:$I, 6, FALSE)</f>
        <v>Ranking on a right/left political scale:Likud</v>
      </c>
      <c r="L175" t="str">
        <f>VLOOKUP($F175, codebooks_data_reordered!$A:$I, 7, FALSE)</f>
        <v>How would you rate the following parties on the left-right scale from 0 to 10, 0 stands for left, and 10 stands for right and 5 is in the middle.</v>
      </c>
      <c r="M175" t="str">
        <f>VLOOKUP($F175, codebooks_data_reordered!$A:$I, 9, FALSE)</f>
        <v>0: Left; 10: Right</v>
      </c>
      <c r="O175" s="2" t="str">
        <f t="shared" si="2"/>
        <v>0: Left
 10: Right</v>
      </c>
    </row>
    <row r="176" spans="1:15" ht="144" hidden="1" x14ac:dyDescent="0.3">
      <c r="A176" t="s">
        <v>6205</v>
      </c>
      <c r="B176" t="s">
        <v>6305</v>
      </c>
      <c r="C176" s="2" t="s">
        <v>6306</v>
      </c>
      <c r="D176" t="s">
        <v>5843</v>
      </c>
      <c r="E176" s="2" t="s">
        <v>6307</v>
      </c>
      <c r="F176" t="s">
        <v>2153</v>
      </c>
      <c r="G176" t="str">
        <f>VLOOKUP($F176, codebooks_data_reordered!$A:$I, 2, FALSE)</f>
        <v>1999_1</v>
      </c>
      <c r="H176" t="str">
        <f>VLOOKUP($F176, codebooks_data_reordered!$A:$I, 3, FALSE)</f>
        <v>VOTING PATTERNS</v>
      </c>
      <c r="I176" t="str">
        <f>VLOOKUP($F176, codebooks_data_reordered!$A:$I, 4, FALSE)</f>
        <v>3</v>
      </c>
      <c r="J176" t="str">
        <f>VLOOKUP($F176, codebooks_data_reordered!$A:$I, 5, FALSE)</f>
        <v>13</v>
      </c>
      <c r="K176" t="str">
        <f>VLOOKUP($F176, codebooks_data_reordered!$A:$I, 6, FALSE)</f>
        <v>Direct election for PM's impact on the government system</v>
      </c>
      <c r="L176">
        <f>VLOOKUP($F176, codebooks_data_reordered!$A:$I, 7, FALSE)</f>
        <v>0</v>
      </c>
      <c r="M176" t="str">
        <f>VLOOKUP($F176, codebooks_data_reordered!$A:$I, 9, FALSE)</f>
        <v>1: Improves government system; 2: Makes it worse; 3: No change</v>
      </c>
      <c r="O176" s="2" t="str">
        <f t="shared" si="2"/>
        <v>1: Improves government system
 2: Makes it worse
 3: No change</v>
      </c>
    </row>
    <row r="177" spans="1:15" ht="158.4" hidden="1" x14ac:dyDescent="0.3">
      <c r="A177" t="s">
        <v>6205</v>
      </c>
      <c r="B177" t="s">
        <v>6308</v>
      </c>
      <c r="C177" s="2" t="s">
        <v>6309</v>
      </c>
      <c r="D177" t="s">
        <v>5843</v>
      </c>
      <c r="E177" s="2" t="s">
        <v>6310</v>
      </c>
      <c r="F177" t="s">
        <v>2055</v>
      </c>
      <c r="G177" t="str">
        <f>VLOOKUP($F177, codebooks_data_reordered!$A:$I, 2, FALSE)</f>
        <v>1999_1</v>
      </c>
      <c r="H177" t="str">
        <f>VLOOKUP($F177, codebooks_data_reordered!$A:$I, 3, FALSE)</f>
        <v>MAIN POLITICAL ISSUES</v>
      </c>
      <c r="I177" t="str">
        <f>VLOOKUP($F177, codebooks_data_reordered!$A:$I, 4, FALSE)</f>
        <v>2</v>
      </c>
      <c r="J177" t="str">
        <f>VLOOKUP($F177, codebooks_data_reordered!$A:$I, 5, FALSE)</f>
        <v>57</v>
      </c>
      <c r="K177" t="str">
        <f>VLOOKUP($F177, codebooks_data_reordered!$A:$I, 6, FALSE)</f>
        <v>Personal experience of ethnic discrimination</v>
      </c>
      <c r="L177">
        <f>VLOOKUP($F177, codebooks_data_reordered!$A:$I, 7, FALSE)</f>
        <v>0</v>
      </c>
      <c r="M177" t="str">
        <f>VLOOKUP($F177, codebooks_data_reordered!$A:$I, 9, FALSE)</f>
        <v>1: A great amount of discrimination; 2: Much discrimination; 3: Some discrimination; 4: Very little discrimination; 5: No discrimination at all</v>
      </c>
      <c r="O177" s="2" t="str">
        <f t="shared" si="2"/>
        <v>1: A great amount of discrimination
 2: Much discrimination
 3: Some discrimination
 4: Very little discrimination
 5: No discrimination at all</v>
      </c>
    </row>
    <row r="178" spans="1:15" ht="216" hidden="1" x14ac:dyDescent="0.3">
      <c r="A178" t="s">
        <v>6205</v>
      </c>
      <c r="B178" t="s">
        <v>6311</v>
      </c>
      <c r="C178" s="2" t="s">
        <v>6312</v>
      </c>
      <c r="D178" t="s">
        <v>5843</v>
      </c>
      <c r="E178" s="2" t="s">
        <v>6313</v>
      </c>
      <c r="F178" t="s">
        <v>533</v>
      </c>
      <c r="G178" t="str">
        <f>VLOOKUP($F178, codebooks_data_reordered!$A:$I, 2, FALSE)</f>
        <v>2006</v>
      </c>
      <c r="H178" t="str">
        <f>VLOOKUP($F178, codebooks_data_reordered!$A:$I, 3, FALSE)</f>
        <v>Most/Less Suitable Characteristic of the Party</v>
      </c>
      <c r="I178" t="str">
        <f>VLOOKUP($F178, codebooks_data_reordered!$A:$I, 4, FALSE)</f>
        <v>1</v>
      </c>
      <c r="J178" t="str">
        <f>VLOOKUP($F178, codebooks_data_reordered!$A:$I, 5, FALSE)</f>
        <v>169</v>
      </c>
      <c r="K178" t="str">
        <f>VLOOKUP($F178, codebooks_data_reordered!$A:$I, 6, FALSE)</f>
        <v>Most suitable characteristic of the party: Will protect rule of law</v>
      </c>
      <c r="L178" t="str">
        <f>VLOOKUP($F178,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Will protect rule of law</v>
      </c>
      <c r="M178" t="str">
        <f>VLOOKUP($F178, codebooks_data_reordered!$A:$I, 9, FALSE)</f>
        <v>1: Olmert; 2: Netanyahu; 3: Peretz; 4: All; 5: None</v>
      </c>
      <c r="O178" s="2" t="str">
        <f t="shared" si="2"/>
        <v>1: Olmert
 2: Netanyahu
 3: Peretz
 4: All
 5: None</v>
      </c>
    </row>
    <row r="179" spans="1:15" ht="216" hidden="1" x14ac:dyDescent="0.3">
      <c r="A179" t="s">
        <v>6205</v>
      </c>
      <c r="B179" t="s">
        <v>6314</v>
      </c>
      <c r="C179" s="2" t="s">
        <v>6315</v>
      </c>
      <c r="D179" t="s">
        <v>5843</v>
      </c>
      <c r="E179" s="2" t="s">
        <v>6316</v>
      </c>
      <c r="F179" t="s">
        <v>398</v>
      </c>
      <c r="G179" t="str">
        <f>VLOOKUP($F179, codebooks_data_reordered!$A:$I, 2, FALSE)</f>
        <v>2006</v>
      </c>
      <c r="H179" t="str">
        <f>VLOOKUP($F179, codebooks_data_reordered!$A:$I, 3, FALSE)</f>
        <v>Ranking on a Right/Left Political Scale</v>
      </c>
      <c r="I179" t="str">
        <f>VLOOKUP($F179, codebooks_data_reordered!$A:$I, 4, FALSE)</f>
        <v>1</v>
      </c>
      <c r="J179" t="str">
        <f>VLOOKUP($F179, codebooks_data_reordered!$A:$I, 5, FALSE)</f>
        <v>126-127</v>
      </c>
      <c r="K179" t="str">
        <f>VLOOKUP($F179, codebooks_data_reordered!$A:$I, 6, FALSE)</f>
        <v>Ranking on a right/left political scale:Kadima</v>
      </c>
      <c r="L179" t="str">
        <f>VLOOKUP($F179, codebooks_data_reordered!$A:$I, 7, FALSE)</f>
        <v>How would you rate the following parties on the left-right scale from 0 to 10, 0 stands for left, and 10 stands for right and 5 is in the middle.</v>
      </c>
      <c r="M179" t="str">
        <f>VLOOKUP($F179, codebooks_data_reordered!$A:$I, 9, FALSE)</f>
        <v>0: Left; 10: Right</v>
      </c>
      <c r="O179" s="2" t="str">
        <f t="shared" si="2"/>
        <v>0: Left
 10: Right</v>
      </c>
    </row>
    <row r="180" spans="1:15" ht="115.2" hidden="1" x14ac:dyDescent="0.3">
      <c r="A180" t="s">
        <v>6205</v>
      </c>
      <c r="B180" t="s">
        <v>6317</v>
      </c>
      <c r="C180" s="2" t="s">
        <v>6318</v>
      </c>
      <c r="D180" t="s">
        <v>5843</v>
      </c>
      <c r="E180" s="2" t="s">
        <v>6319</v>
      </c>
      <c r="F180" t="s">
        <v>740</v>
      </c>
      <c r="G180" t="str">
        <f>VLOOKUP($F180, codebooks_data_reordered!$A:$I, 2, FALSE)</f>
        <v>2006</v>
      </c>
      <c r="H180" t="str">
        <f>VLOOKUP($F180, codebooks_data_reordered!$A:$I, 3, FALSE)</f>
        <v>Self-identity</v>
      </c>
      <c r="I180" t="str">
        <f>VLOOKUP($F180, codebooks_data_reordered!$A:$I, 4, FALSE)</f>
        <v>1</v>
      </c>
      <c r="J180" t="str">
        <f>VLOOKUP($F180, codebooks_data_reordered!$A:$I, 5, FALSE)</f>
        <v>267</v>
      </c>
      <c r="K180" t="str">
        <f>VLOOKUP($F180, codebooks_data_reordered!$A:$I, 6, FALSE)</f>
        <v>Percentage of the government's budget that goes to security</v>
      </c>
      <c r="L180" t="str">
        <f>VLOOKUP($F180, codebooks_data_reordered!$A:$I, 7, FALSE)</f>
        <v>52. To the best of your knowledge, what percentage of the government's budget goes to security? (don't read answers)</v>
      </c>
      <c r="M180" t="str">
        <f>VLOOKUP($F180, codebooks_data_reordered!$A:$I, 9, FALSE)</f>
        <v>1: Less than 10%; 2: Between 10%-40%; 3: Between 40%-75%; 4: More than 75%; 8: Do not know</v>
      </c>
      <c r="O180" s="2" t="str">
        <f t="shared" si="2"/>
        <v>1: Less than 10%
 2: Between 10%-40%
 3: Between 40%-75%
 4: More than 75%
 8: Do not know</v>
      </c>
    </row>
    <row r="181" spans="1:15" ht="100.8" hidden="1" x14ac:dyDescent="0.3">
      <c r="A181" t="s">
        <v>6205</v>
      </c>
      <c r="B181" t="s">
        <v>6320</v>
      </c>
      <c r="C181" s="2" t="s">
        <v>6321</v>
      </c>
      <c r="D181" t="s">
        <v>5843</v>
      </c>
      <c r="E181" s="2" t="s">
        <v>6322</v>
      </c>
      <c r="F181" t="s">
        <v>2476</v>
      </c>
      <c r="G181" t="str">
        <f>VLOOKUP($F181, codebooks_data_reordered!$A:$I, 2, FALSE)</f>
        <v>1996_Jews</v>
      </c>
      <c r="H181" t="str">
        <f>VLOOKUP($F181, codebooks_data_reordered!$A:$I, 3, FALSE)</f>
        <v>WHICH PM CANDID. BEST SUITS EACH DESCRIPTION?</v>
      </c>
      <c r="I181" t="str">
        <f>VLOOKUP($F181, codebooks_data_reordered!$A:$I, 4, FALSE)</f>
        <v>1</v>
      </c>
      <c r="J181" t="str">
        <f>VLOOKUP($F181, codebooks_data_reordered!$A:$I, 5, FALSE)</f>
        <v>150</v>
      </c>
      <c r="K181" t="str">
        <f>VLOOKUP($F181, codebooks_data_reordered!$A:$I, 6, FALSE)</f>
        <v>Resistant to pressures</v>
      </c>
      <c r="L181">
        <f>VLOOKUP($F181, codebooks_data_reordered!$A:$I, 7, FALSE)</f>
        <v>0</v>
      </c>
      <c r="M181" t="str">
        <f>VLOOKUP($F181, codebooks_data_reordered!$A:$I, 9, FALSE)</f>
        <v>1: Shimon Peres; 2: Binyamin Netanyahu; 3: Both equally; 4: Neither</v>
      </c>
      <c r="O181" s="2" t="str">
        <f t="shared" si="2"/>
        <v>1: Shimon Peres
 2: Binyamin Netanyahu
 3: Both equally
 4: Neither</v>
      </c>
    </row>
    <row r="182" spans="1:15" ht="129.6" hidden="1" x14ac:dyDescent="0.3">
      <c r="A182" t="s">
        <v>6205</v>
      </c>
      <c r="B182" t="s">
        <v>6323</v>
      </c>
      <c r="C182" s="2" t="s">
        <v>6324</v>
      </c>
      <c r="D182" t="s">
        <v>5843</v>
      </c>
      <c r="E182" s="2" t="s">
        <v>6325</v>
      </c>
      <c r="F182" t="s">
        <v>2564</v>
      </c>
      <c r="G182" t="str">
        <f>VLOOKUP($F182, codebooks_data_reordered!$A:$I, 2, FALSE)</f>
        <v>1996_Jews</v>
      </c>
      <c r="H182" t="str">
        <f>VLOOKUP($F182, codebooks_data_reordered!$A:$I, 3, FALSE)</f>
        <v>WHICH PM CANDID. BEST SUITS EACH DESCRIPTION?</v>
      </c>
      <c r="I182" t="str">
        <f>VLOOKUP($F182, codebooks_data_reordered!$A:$I, 4, FALSE)</f>
        <v>1</v>
      </c>
      <c r="J182" t="str">
        <f>VLOOKUP($F182, codebooks_data_reordered!$A:$I, 5, FALSE)</f>
        <v>190</v>
      </c>
      <c r="K182" t="str">
        <f>VLOOKUP($F182, codebooks_data_reordered!$A:$I, 6, FALSE)</f>
        <v>Vote in previous Histadrut elections</v>
      </c>
      <c r="L182">
        <f>VLOOKUP($F182, codebooks_data_reordered!$A:$I, 7, FALSE)</f>
        <v>0</v>
      </c>
      <c r="M182" t="str">
        <f>VLOOKUP($F182, codebooks_data_reordered!$A:$I, 9, FALSE)</f>
        <v>1: Labor (Haim Haberfeld); 2: Ram (Haim Ramon); 3: Likud (Yaakov Shamai); 4: Hadash (Binyamin Gonen); 5: Did not vote, although was eligible; 6: Did not voted / not a Histadrut member</v>
      </c>
      <c r="O182" s="2" t="str">
        <f t="shared" si="2"/>
        <v>1: Labor (Haim Haberfeld)
 2: Ram (Haim Ramon)
 3: Likud (Yaakov Shamai)
 4: Hadash (Binyamin Gonen)
 5: Did not vote, although was eligible
 6: Did not voted / not a Histadrut member</v>
      </c>
    </row>
    <row r="183" spans="1:15" ht="115.2" hidden="1" x14ac:dyDescent="0.3">
      <c r="A183" t="s">
        <v>6205</v>
      </c>
      <c r="B183" t="s">
        <v>6326</v>
      </c>
      <c r="C183" s="2" t="s">
        <v>6327</v>
      </c>
      <c r="D183" t="s">
        <v>5843</v>
      </c>
      <c r="E183" s="2" t="s">
        <v>6328</v>
      </c>
      <c r="F183" t="s">
        <v>1966</v>
      </c>
      <c r="G183" t="str">
        <f>VLOOKUP($F183, codebooks_data_reordered!$A:$I, 2, FALSE)</f>
        <v>1999_1</v>
      </c>
      <c r="H183" t="str">
        <f>VLOOKUP($F183, codebooks_data_reordered!$A:$I, 3, FALSE)</f>
        <v>ATTITUDES TOWARD CANDIDATES FOR PM</v>
      </c>
      <c r="I183" t="str">
        <f>VLOOKUP($F183, codebooks_data_reordered!$A:$I, 4, FALSE)</f>
        <v>2</v>
      </c>
      <c r="J183" t="str">
        <f>VLOOKUP($F183, codebooks_data_reordered!$A:$I, 5, FALSE)</f>
        <v>19</v>
      </c>
      <c r="K183" t="str">
        <f>VLOOKUP($F183, codebooks_data_reordered!$A:$I, 6, FALSE)</f>
        <v>Mordechai makes me feel frightened</v>
      </c>
      <c r="L183">
        <f>VLOOKUP($F183, codebooks_data_reordered!$A:$I, 7, FALSE)</f>
        <v>0</v>
      </c>
      <c r="M183" t="str">
        <f>VLOOKUP($F183, codebooks_data_reordered!$A:$I, 9, FALSE)</f>
        <v>1: Yes; 2: No</v>
      </c>
      <c r="O183" s="2" t="str">
        <f t="shared" si="2"/>
        <v>1: Yes
 2: No</v>
      </c>
    </row>
    <row r="184" spans="1:15" ht="57.6" hidden="1" x14ac:dyDescent="0.3">
      <c r="A184" t="s">
        <v>6205</v>
      </c>
      <c r="B184" t="s">
        <v>6329</v>
      </c>
      <c r="C184" s="2" t="s">
        <v>6330</v>
      </c>
      <c r="D184" t="s">
        <v>5843</v>
      </c>
      <c r="E184" s="2" t="s">
        <v>6331</v>
      </c>
      <c r="F184" t="s">
        <v>1991</v>
      </c>
      <c r="G184" t="str">
        <f>VLOOKUP($F184, codebooks_data_reordered!$A:$I, 2, FALSE)</f>
        <v>1999_1</v>
      </c>
      <c r="H184" t="str">
        <f>VLOOKUP($F184, codebooks_data_reordered!$A:$I, 3, FALSE)</f>
        <v>POLITICAL SELF-DEFINITION</v>
      </c>
      <c r="I184" t="str">
        <f>VLOOKUP($F184, codebooks_data_reordered!$A:$I, 4, FALSE)</f>
        <v>2</v>
      </c>
      <c r="J184" t="str">
        <f>VLOOKUP($F184, codebooks_data_reordered!$A:$I, 5, FALSE)</f>
        <v>28</v>
      </c>
      <c r="K184" t="str">
        <f>VLOOKUP($F184, codebooks_data_reordered!$A:$I, 6, FALSE)</f>
        <v>Security policy's effect on vote for Knesset</v>
      </c>
      <c r="L184">
        <f>VLOOKUP($F184, codebooks_data_reordered!$A:$I, 7, FALSE)</f>
        <v>0</v>
      </c>
      <c r="M184" t="str">
        <f>VLOOKUP($F184, codebooks_data_reordered!$A:$I, 9, FALSE)</f>
        <v>1: Not at all; 2: A small effect; 3: Some effect; 4: A great effect</v>
      </c>
      <c r="O184" s="2" t="str">
        <f t="shared" si="2"/>
        <v>1: Not at all
 2: A small effect
 3: Some effect
 4: A great effect</v>
      </c>
    </row>
    <row r="185" spans="1:15" ht="100.8" hidden="1" x14ac:dyDescent="0.3">
      <c r="A185" t="s">
        <v>6205</v>
      </c>
      <c r="B185" t="s">
        <v>6332</v>
      </c>
      <c r="C185" s="2" t="s">
        <v>6333</v>
      </c>
      <c r="D185" t="s">
        <v>5843</v>
      </c>
      <c r="E185" s="2" t="s">
        <v>6334</v>
      </c>
      <c r="F185" t="s">
        <v>1925</v>
      </c>
      <c r="G185" t="str">
        <f>VLOOKUP($F185, codebooks_data_reordered!$A:$I, 2, FALSE)</f>
        <v>1999_1</v>
      </c>
      <c r="H185" t="str">
        <f>VLOOKUP($F185, codebooks_data_reordered!$A:$I, 3, FALSE)</f>
        <v>MORE ATTITUDES TOWARD PARTIES AND CANDIDATES</v>
      </c>
      <c r="I185" t="str">
        <f>VLOOKUP($F185, codebooks_data_reordered!$A:$I, 4, FALSE)</f>
        <v>1</v>
      </c>
      <c r="J185" t="str">
        <f>VLOOKUP($F185, codebooks_data_reordered!$A:$I, 5, FALSE)</f>
        <v>79</v>
      </c>
      <c r="K185" t="str">
        <f>VLOOKUP($F185, codebooks_data_reordered!$A:$I, 6, FALSE)</f>
        <v>Identification with Azmi Bashara's peace and defense policies</v>
      </c>
      <c r="L185" t="str">
        <f>VLOOKUP($F185, codebooks_data_reordered!$A:$I, 7, FALSE)</f>
        <v>Identification with candidate on 1-10 scale: 1=Strong rejection, 10=Strong support</v>
      </c>
      <c r="M185" t="str">
        <f>VLOOKUP($F185, codebooks_data_reordered!$A:$I, 9, FALSE)</f>
        <v>1: Strong rejection; 10: Strong support</v>
      </c>
      <c r="O185" s="2" t="str">
        <f t="shared" si="2"/>
        <v>1: Strong rejection
 10: Strong support</v>
      </c>
    </row>
    <row r="186" spans="1:15" ht="115.2" hidden="1" x14ac:dyDescent="0.3">
      <c r="A186" t="s">
        <v>6205</v>
      </c>
      <c r="B186" t="s">
        <v>6335</v>
      </c>
      <c r="C186" s="2" t="s">
        <v>6336</v>
      </c>
      <c r="D186" t="s">
        <v>5843</v>
      </c>
      <c r="E186" s="2" t="s">
        <v>6337</v>
      </c>
      <c r="F186" t="s">
        <v>3044</v>
      </c>
      <c r="G186" t="str">
        <f>VLOOKUP($F186, codebooks_data_reordered!$A:$I, 2, FALSE)</f>
        <v>1988_Panel_N=416</v>
      </c>
      <c r="H186" t="str">
        <f>VLOOKUP($F186, codebooks_data_reordered!$A:$I, 3, FALSE)</f>
        <v>THE EXTENT OF APPROVAL OF THE FOLLOWING SAYINGS</v>
      </c>
      <c r="I186" t="str">
        <f>VLOOKUP($F186, codebooks_data_reordered!$A:$I, 4, FALSE)</f>
        <v>1</v>
      </c>
      <c r="J186" t="str">
        <f>VLOOKUP($F186, codebooks_data_reordered!$A:$I, 5, FALSE)</f>
        <v>77</v>
      </c>
      <c r="K186" t="str">
        <f>VLOOKUP($F186, codebooks_data_reordered!$A:$I, 6, FALSE)</f>
        <v>God will protect us if we are worthy even if we are unprepared for war</v>
      </c>
      <c r="L186">
        <f>VLOOKUP($F186, codebooks_data_reordered!$A:$I, 7, FALSE)</f>
        <v>0</v>
      </c>
      <c r="M186" t="str">
        <f>VLOOKUP($F186, codebooks_data_reordered!$A:$I, 9, FALSE)</f>
        <v>1: Definitely agrees; 2: Agrees; 3: Objects; 4: Definitely objects</v>
      </c>
      <c r="O186" s="2" t="str">
        <f t="shared" si="2"/>
        <v>1: Definitely agrees
 2: Agrees
 3: Objects
 4: Definitely objects</v>
      </c>
    </row>
    <row r="187" spans="1:15" ht="43.2" hidden="1" x14ac:dyDescent="0.3">
      <c r="A187" t="s">
        <v>6205</v>
      </c>
      <c r="B187" t="s">
        <v>6338</v>
      </c>
      <c r="C187" s="2" t="s">
        <v>6339</v>
      </c>
      <c r="D187" t="s">
        <v>5843</v>
      </c>
      <c r="E187" s="2" t="s">
        <v>6340</v>
      </c>
      <c r="F187" t="s">
        <v>3099</v>
      </c>
      <c r="G187" t="str">
        <f>VLOOKUP($F187, codebooks_data_reordered!$A:$I, 2, FALSE)</f>
        <v>1988_Panel_N=416</v>
      </c>
      <c r="H187" t="str">
        <f>VLOOKUP($F187, codebooks_data_reordered!$A:$I, 3, FALSE)</f>
        <v>WHICH OF THE FOLLOWING WOULD YOU BE WILLING TO GIVE TO MAINTAIN/STRENGTHEN THE SECURITY</v>
      </c>
      <c r="I187" t="str">
        <f>VLOOKUP($F187, codebooks_data_reordered!$A:$I, 4, FALSE)</f>
        <v>1</v>
      </c>
      <c r="J187" t="str">
        <f>VLOOKUP($F187, codebooks_data_reordered!$A:$I, 5, FALSE)</f>
        <v>100</v>
      </c>
      <c r="K187" t="str">
        <f>VLOOKUP($F187, codebooks_data_reordered!$A:$I, 6, FALSE)</f>
        <v>Willingness to serve more in the reserve service</v>
      </c>
      <c r="L187">
        <f>VLOOKUP($F187, codebooks_data_reordered!$A:$I, 7, FALSE)</f>
        <v>0</v>
      </c>
      <c r="M187" t="str">
        <f>VLOOKUP($F187, codebooks_data_reordered!$A:$I, 9, FALSE)</f>
        <v>1: Is willing; 2: Is unwilling</v>
      </c>
      <c r="O187" s="2" t="str">
        <f t="shared" si="2"/>
        <v>1: Is willing
 2: Is unwilling</v>
      </c>
    </row>
    <row r="188" spans="1:15" ht="72" hidden="1" x14ac:dyDescent="0.3">
      <c r="A188" t="s">
        <v>6205</v>
      </c>
      <c r="B188" t="s">
        <v>6341</v>
      </c>
      <c r="C188" s="2" t="s">
        <v>6342</v>
      </c>
      <c r="D188" t="s">
        <v>5843</v>
      </c>
      <c r="E188" s="2" t="s">
        <v>6343</v>
      </c>
      <c r="F188" t="s">
        <v>3102</v>
      </c>
      <c r="G188" t="str">
        <f>VLOOKUP($F188, codebooks_data_reordered!$A:$I, 2, FALSE)</f>
        <v>1988_Panel_N=416</v>
      </c>
      <c r="H188" t="str">
        <f>VLOOKUP($F188, codebooks_data_reordered!$A:$I, 3, FALSE)</f>
        <v>WHICH OF THE FOLLOWING WOULD YOU BE WILLING TO GIVE TO MAINTAIN/STRENGTHEN THE SECURITY</v>
      </c>
      <c r="I188" t="str">
        <f>VLOOKUP($F188, codebooks_data_reordered!$A:$I, 4, FALSE)</f>
        <v>1</v>
      </c>
      <c r="J188" t="str">
        <f>VLOOKUP($F188, codebooks_data_reordered!$A:$I, 5, FALSE)</f>
        <v>101</v>
      </c>
      <c r="K188" t="str">
        <f>VLOOKUP($F188, codebooks_data_reordered!$A:$I, 6, FALSE)</f>
        <v>Is the burden of the military service divided up justly</v>
      </c>
      <c r="L188">
        <f>VLOOKUP($F188, codebooks_data_reordered!$A:$I, 7, FALSE)</f>
        <v>0</v>
      </c>
      <c r="M188" t="str">
        <f>VLOOKUP($F188, codebooks_data_reordered!$A:$I, 9, FALSE)</f>
        <v>1: Just; 2: Unjust</v>
      </c>
      <c r="O188" s="2" t="str">
        <f t="shared" si="2"/>
        <v>1: Just
 2: Unjust</v>
      </c>
    </row>
    <row r="189" spans="1:15" ht="72" hidden="1" x14ac:dyDescent="0.3">
      <c r="A189" t="s">
        <v>6205</v>
      </c>
      <c r="B189" t="s">
        <v>6344</v>
      </c>
      <c r="C189" s="2" t="s">
        <v>6345</v>
      </c>
      <c r="D189" t="s">
        <v>5843</v>
      </c>
      <c r="E189" s="2" t="s">
        <v>6346</v>
      </c>
      <c r="F189" t="s">
        <v>3105</v>
      </c>
      <c r="G189" t="str">
        <f>VLOOKUP($F189, codebooks_data_reordered!$A:$I, 2, FALSE)</f>
        <v>1988_Panel_N=416</v>
      </c>
      <c r="H189" t="str">
        <f>VLOOKUP($F189, codebooks_data_reordered!$A:$I, 3, FALSE)</f>
        <v>WHICH OF THE FOLLOWING WOULD YOU BE WILLING TO GIVE TO MAINTAIN/STRENGTHEN THE SECURITY</v>
      </c>
      <c r="I189" t="str">
        <f>VLOOKUP($F189, codebooks_data_reordered!$A:$I, 4, FALSE)</f>
        <v>1</v>
      </c>
      <c r="J189" t="str">
        <f>VLOOKUP($F189, codebooks_data_reordered!$A:$I, 5, FALSE)</f>
        <v>102</v>
      </c>
      <c r="K189" t="str">
        <f>VLOOKUP($F189, codebooks_data_reordered!$A:$I, 6, FALSE)</f>
        <v>Is the reserve military service used efficiently or wasted</v>
      </c>
      <c r="L189">
        <f>VLOOKUP($F189, codebooks_data_reordered!$A:$I, 7, FALSE)</f>
        <v>0</v>
      </c>
      <c r="M189" t="str">
        <f>VLOOKUP($F189, codebooks_data_reordered!$A:$I, 9, FALSE)</f>
        <v>1: Usually used efficiently; 2: Usually wasted</v>
      </c>
      <c r="O189" s="2" t="str">
        <f t="shared" si="2"/>
        <v>1: Usually used efficiently
 2: Usually wasted</v>
      </c>
    </row>
    <row r="190" spans="1:15" ht="100.8" hidden="1" x14ac:dyDescent="0.3">
      <c r="A190" t="s">
        <v>6205</v>
      </c>
      <c r="B190" t="s">
        <v>6347</v>
      </c>
      <c r="C190" s="2" t="s">
        <v>6333</v>
      </c>
      <c r="D190" t="s">
        <v>5843</v>
      </c>
      <c r="E190" s="2" t="s">
        <v>6334</v>
      </c>
      <c r="F190" t="s">
        <v>3145</v>
      </c>
      <c r="G190" t="str">
        <f>VLOOKUP($F190, codebooks_data_reordered!$A:$I, 2, FALSE)</f>
        <v>1988_Panel_N=416</v>
      </c>
      <c r="H190" t="str">
        <f>VLOOKUP($F190, codebooks_data_reordered!$A:$I, 3, FALSE)</f>
        <v>WHICH OF THE FOLLOWING WOULD YOU BE WILLING TO GIVE TO MAINTAIN/STRENGTHEN THE SECURITY</v>
      </c>
      <c r="I190" t="str">
        <f>VLOOKUP($F190, codebooks_data_reordered!$A:$I, 4, FALSE)</f>
        <v>1</v>
      </c>
      <c r="J190" t="str">
        <f>VLOOKUP($F190, codebooks_data_reordered!$A:$I, 5, FALSE)</f>
        <v>116</v>
      </c>
      <c r="K190" t="str">
        <f>VLOOKUP($F190, codebooks_data_reordered!$A:$I, 6, FALSE)</f>
        <v>Is there enough supervision over the Mossad and the Shin-Beit</v>
      </c>
      <c r="L190">
        <f>VLOOKUP($F190, codebooks_data_reordered!$A:$I, 7, FALSE)</f>
        <v>0</v>
      </c>
      <c r="M190" t="str">
        <f>VLOOKUP($F190, codebooks_data_reordered!$A:$I, 9, FALSE)</f>
        <v>1: Too much supervision; 2: Enough supervision; 3: Not enough supervision</v>
      </c>
      <c r="O190" s="2" t="str">
        <f t="shared" si="2"/>
        <v>1: Too much supervision
 2: Enough supervision
 3: Not enough supervision</v>
      </c>
    </row>
    <row r="191" spans="1:15" ht="158.4" hidden="1" x14ac:dyDescent="0.3">
      <c r="A191" t="s">
        <v>6205</v>
      </c>
      <c r="B191" t="s">
        <v>6348</v>
      </c>
      <c r="C191" s="2" t="s">
        <v>6349</v>
      </c>
      <c r="D191" t="s">
        <v>5843</v>
      </c>
      <c r="E191" s="2" t="s">
        <v>6350</v>
      </c>
      <c r="F191" t="s">
        <v>3164</v>
      </c>
      <c r="G191" t="str">
        <f>VLOOKUP($F191, codebooks_data_reordered!$A:$I, 2, FALSE)</f>
        <v>1988_Panel_N=416</v>
      </c>
      <c r="H191" t="str">
        <f>VLOOKUP($F191, codebooks_data_reordered!$A:$I, 3, FALSE)</f>
        <v>THE EXTENT OF APPROVAL OF THE FOLLOWING</v>
      </c>
      <c r="I191" t="str">
        <f>VLOOKUP($F191, codebooks_data_reordered!$A:$I, 4, FALSE)</f>
        <v>1</v>
      </c>
      <c r="J191" t="str">
        <f>VLOOKUP($F191, codebooks_data_reordered!$A:$I, 5, FALSE)</f>
        <v>125</v>
      </c>
      <c r="K191" t="str">
        <f>VLOOKUP($F191, codebooks_data_reordered!$A:$I, 6, FALSE)</f>
        <v>Military victory enhances the peace process</v>
      </c>
      <c r="L191">
        <f>VLOOKUP($F191, codebooks_data_reordered!$A:$I, 7, FALSE)</f>
        <v>0</v>
      </c>
      <c r="M191" t="str">
        <f>VLOOKUP($F191, codebooks_data_reordered!$A:$I, 9, FALSE)</f>
        <v>1: Definitely agrees; 2: Agrees; 3: Disagrees; 4: Definitely disagrees</v>
      </c>
      <c r="O191" s="2" t="str">
        <f t="shared" si="2"/>
        <v>1: Definitely agrees
 2: Agrees
 3: Disagrees
 4: Definitely disagrees</v>
      </c>
    </row>
    <row r="192" spans="1:15" ht="201.6" hidden="1" x14ac:dyDescent="0.3">
      <c r="A192" t="s">
        <v>6205</v>
      </c>
      <c r="B192" t="s">
        <v>6118</v>
      </c>
      <c r="C192" s="2" t="s">
        <v>6351</v>
      </c>
      <c r="D192" t="s">
        <v>5843</v>
      </c>
      <c r="E192" s="2" t="s">
        <v>6352</v>
      </c>
      <c r="F192" t="s">
        <v>3167</v>
      </c>
      <c r="G192" t="str">
        <f>VLOOKUP($F192, codebooks_data_reordered!$A:$I, 2, FALSE)</f>
        <v>1988_Panel_N=416</v>
      </c>
      <c r="H192" t="str">
        <f>VLOOKUP($F192, codebooks_data_reordered!$A:$I, 3, FALSE)</f>
        <v>THE EXTENT OF APPROVAL OF THE FOLLOWING</v>
      </c>
      <c r="I192" t="str">
        <f>VLOOKUP($F192, codebooks_data_reordered!$A:$I, 4, FALSE)</f>
        <v>1</v>
      </c>
      <c r="J192" t="str">
        <f>VLOOKUP($F192, codebooks_data_reordered!$A:$I, 5, FALSE)</f>
        <v>126</v>
      </c>
      <c r="K192" t="str">
        <f>VLOOKUP($F192, codebooks_data_reordered!$A:$I, 6, FALSE)</f>
        <v>The keeper of Israel shall not sleep-who is the keeper of Israel</v>
      </c>
      <c r="L192">
        <f>VLOOKUP($F192, codebooks_data_reordered!$A:$I, 7, FALSE)</f>
        <v>0</v>
      </c>
      <c r="M192" t="str">
        <f>VLOOKUP($F192, codebooks_data_reordered!$A:$I, 9, FALSE)</f>
        <v>1: God; 2: IDF; 3: USA; 4: The state of Israel; 5: The people of Israel; 6: Every man to himself; 7: Other</v>
      </c>
      <c r="O192" s="2" t="str">
        <f t="shared" si="2"/>
        <v>1: God
 2: IDF
 3: USA
 4: The state of Israel
 5: The people of Israel
 6: Every man to himself
 7: Other</v>
      </c>
    </row>
    <row r="193" spans="1:15" ht="100.8" hidden="1" x14ac:dyDescent="0.3">
      <c r="A193" t="s">
        <v>6205</v>
      </c>
      <c r="B193" t="s">
        <v>6353</v>
      </c>
      <c r="C193" s="2" t="s">
        <v>6333</v>
      </c>
      <c r="D193" t="s">
        <v>5843</v>
      </c>
      <c r="E193" s="2" t="s">
        <v>6334</v>
      </c>
      <c r="F193" t="s">
        <v>77</v>
      </c>
      <c r="G193" t="str">
        <f>VLOOKUP($F193, codebooks_data_reordered!$A:$I, 2, FALSE)</f>
        <v>2006</v>
      </c>
      <c r="H193" t="str">
        <f>VLOOKUP($F193, codebooks_data_reordered!$A:$I, 3, FALSE)</f>
        <v>Pre-Election Survey</v>
      </c>
      <c r="I193" t="str">
        <f>VLOOKUP($F193, codebooks_data_reordered!$A:$I, 4, FALSE)</f>
        <v>1</v>
      </c>
      <c r="J193" t="str">
        <f>VLOOKUP($F193, codebooks_data_reordered!$A:$I, 5, FALSE)</f>
        <v>22</v>
      </c>
      <c r="K193" t="str">
        <f>VLOOKUP($F193, codebooks_data_reordered!$A:$I, 6, FALSE)</f>
        <v>Chances of peace between Israel and Arabs in next 3 years</v>
      </c>
      <c r="L193" t="str">
        <f>VLOOKUP($F193, codebooks_data_reordered!$A:$I, 7, FALSE)</f>
        <v>18. What are the odds that the peace between Israel and the Arab states will grow stronger in the next 3 years?</v>
      </c>
      <c r="M193" t="str">
        <f>VLOOKUP($F193, codebooks_data_reordered!$A:$I, 9, FALSE)</f>
        <v>1: Great odds; 2: Medium odds; 3: Low odds; 4: Very low odds</v>
      </c>
      <c r="O193" s="2" t="str">
        <f t="shared" si="2"/>
        <v>1: Great odds
 2: Medium odds
 3: Low odds
 4: Very low odds</v>
      </c>
    </row>
    <row r="194" spans="1:15" ht="72" hidden="1" x14ac:dyDescent="0.3">
      <c r="A194" t="s">
        <v>6205</v>
      </c>
      <c r="B194" t="s">
        <v>6354</v>
      </c>
      <c r="C194" s="2" t="s">
        <v>6355</v>
      </c>
      <c r="D194" t="s">
        <v>5843</v>
      </c>
      <c r="E194" s="2" t="s">
        <v>6356</v>
      </c>
      <c r="F194" t="s">
        <v>130</v>
      </c>
      <c r="G194" t="str">
        <f>VLOOKUP($F194, codebooks_data_reordered!$A:$I, 2, FALSE)</f>
        <v>2006</v>
      </c>
      <c r="H194" t="str">
        <f>VLOOKUP($F194, codebooks_data_reordered!$A:$I, 3, FALSE)</f>
        <v>Threat of Different Issues</v>
      </c>
      <c r="I194" t="str">
        <f>VLOOKUP($F194, codebooks_data_reordered!$A:$I, 4, FALSE)</f>
        <v>1</v>
      </c>
      <c r="J194" t="str">
        <f>VLOOKUP($F194, codebooks_data_reordered!$A:$I, 5, FALSE)</f>
        <v>35</v>
      </c>
      <c r="K194" t="str">
        <f>VLOOKUP($F194, codebooks_data_reordered!$A:$I, 6, FALSE)</f>
        <v>Threat of enemies having biological weapons</v>
      </c>
      <c r="L194" t="str">
        <f>VLOOKUP($F194, codebooks_data_reordered!$A:$I, 7, FALSE)</f>
        <v>To what extent do you consider each of the following situations as a threat?</v>
      </c>
      <c r="M194" t="str">
        <f>VLOOKUP($F194, codebooks_data_reordered!$A:$I, 9, FALSE)</f>
        <v>1: Not at all threatening; 7: Very threatening</v>
      </c>
      <c r="O194" s="2" t="str">
        <f t="shared" ref="O194:O257" si="3">SUBSTITUTE(M194, ";", CHAR(10))</f>
        <v>1: Not at all threatening
 7: Very threatening</v>
      </c>
    </row>
    <row r="195" spans="1:15" ht="72" hidden="1" x14ac:dyDescent="0.3">
      <c r="A195" t="s">
        <v>6205</v>
      </c>
      <c r="B195" t="s">
        <v>6357</v>
      </c>
      <c r="C195" s="2" t="s">
        <v>6358</v>
      </c>
      <c r="D195" t="s">
        <v>5843</v>
      </c>
      <c r="E195" s="2" t="s">
        <v>6359</v>
      </c>
      <c r="F195" t="s">
        <v>133</v>
      </c>
      <c r="G195" t="str">
        <f>VLOOKUP($F195, codebooks_data_reordered!$A:$I, 2, FALSE)</f>
        <v>2006</v>
      </c>
      <c r="H195" t="str">
        <f>VLOOKUP($F195, codebooks_data_reordered!$A:$I, 3, FALSE)</f>
        <v>Threat of Different Issues</v>
      </c>
      <c r="I195" t="str">
        <f>VLOOKUP($F195, codebooks_data_reordered!$A:$I, 4, FALSE)</f>
        <v>1</v>
      </c>
      <c r="J195" t="str">
        <f>VLOOKUP($F195, codebooks_data_reordered!$A:$I, 5, FALSE)</f>
        <v>36</v>
      </c>
      <c r="K195" t="str">
        <f>VLOOKUP($F195, codebooks_data_reordered!$A:$I, 6, FALSE)</f>
        <v>Threat of no democracy in Israel</v>
      </c>
      <c r="L195" t="str">
        <f>VLOOKUP($F195, codebooks_data_reordered!$A:$I, 7, FALSE)</f>
        <v>To what extent do you consider each of the following situations as a threat?</v>
      </c>
      <c r="M195" t="str">
        <f>VLOOKUP($F195, codebooks_data_reordered!$A:$I, 9, FALSE)</f>
        <v>1: Not at all threatening; 7: Very threatening</v>
      </c>
      <c r="O195" s="2" t="str">
        <f t="shared" si="3"/>
        <v>1: Not at all threatening
 7: Very threatening</v>
      </c>
    </row>
    <row r="196" spans="1:15" ht="158.4" hidden="1" x14ac:dyDescent="0.3">
      <c r="A196" t="s">
        <v>6205</v>
      </c>
      <c r="B196" t="s">
        <v>6360</v>
      </c>
      <c r="C196" s="2" t="s">
        <v>6361</v>
      </c>
      <c r="D196" t="s">
        <v>5843</v>
      </c>
      <c r="E196" s="2" t="s">
        <v>6362</v>
      </c>
      <c r="F196" t="s">
        <v>136</v>
      </c>
      <c r="G196" t="str">
        <f>VLOOKUP($F196, codebooks_data_reordered!$A:$I, 2, FALSE)</f>
        <v>2006</v>
      </c>
      <c r="H196" t="str">
        <f>VLOOKUP($F196, codebooks_data_reordered!$A:$I, 3, FALSE)</f>
        <v>Threat of Different Issues</v>
      </c>
      <c r="I196" t="str">
        <f>VLOOKUP($F196, codebooks_data_reordered!$A:$I, 4, FALSE)</f>
        <v>1</v>
      </c>
      <c r="J196" t="str">
        <f>VLOOKUP($F196, codebooks_data_reordered!$A:$I, 5, FALSE)</f>
        <v>37</v>
      </c>
      <c r="K196" t="str">
        <f>VLOOKUP($F196, codebooks_data_reordered!$A:$I, 6, FALSE)</f>
        <v>Threat of disengagement from Palestinians</v>
      </c>
      <c r="L196" t="str">
        <f>VLOOKUP($F196, codebooks_data_reordered!$A:$I, 7, FALSE)</f>
        <v>To what extent do you consider each of the following situations as a threat?</v>
      </c>
      <c r="M196" t="str">
        <f>VLOOKUP($F196, codebooks_data_reordered!$A:$I, 9, FALSE)</f>
        <v>1: Not at all threatening; 7: Very threatening</v>
      </c>
      <c r="O196" s="2" t="str">
        <f t="shared" si="3"/>
        <v>1: Not at all threatening
 7: Very threatening</v>
      </c>
    </row>
    <row r="197" spans="1:15" ht="100.8" hidden="1" x14ac:dyDescent="0.3">
      <c r="A197" t="s">
        <v>6205</v>
      </c>
      <c r="B197" t="s">
        <v>6363</v>
      </c>
      <c r="C197" s="2" t="s">
        <v>6333</v>
      </c>
      <c r="D197" t="s">
        <v>5843</v>
      </c>
      <c r="E197" s="2" t="s">
        <v>6334</v>
      </c>
      <c r="F197" t="s">
        <v>145</v>
      </c>
      <c r="G197" t="str">
        <f>VLOOKUP($F197, codebooks_data_reordered!$A:$I, 2, FALSE)</f>
        <v>2006</v>
      </c>
      <c r="H197" t="str">
        <f>VLOOKUP($F197, codebooks_data_reordered!$A:$I, 3, FALSE)</f>
        <v>Threat of Different Issues</v>
      </c>
      <c r="I197" t="str">
        <f>VLOOKUP($F197, codebooks_data_reordered!$A:$I, 4, FALSE)</f>
        <v>1</v>
      </c>
      <c r="J197" t="str">
        <f>VLOOKUP($F197, codebooks_data_reordered!$A:$I, 5, FALSE)</f>
        <v>40</v>
      </c>
      <c r="K197" t="str">
        <f>VLOOKUP($F197, codebooks_data_reordered!$A:$I, 6, FALSE)</f>
        <v>Threat of continued intifada</v>
      </c>
      <c r="L197" t="str">
        <f>VLOOKUP($F197, codebooks_data_reordered!$A:$I, 7, FALSE)</f>
        <v>To what extent do you consider each of the following situations as a threat?</v>
      </c>
      <c r="M197" t="str">
        <f>VLOOKUP($F197, codebooks_data_reordered!$A:$I, 9, FALSE)</f>
        <v>1: Not at all threatening; 7: Very threatening</v>
      </c>
      <c r="O197" s="2" t="str">
        <f t="shared" si="3"/>
        <v>1: Not at all threatening
 7: Very threatening</v>
      </c>
    </row>
    <row r="198" spans="1:15" ht="158.4" hidden="1" x14ac:dyDescent="0.3">
      <c r="A198" t="s">
        <v>6205</v>
      </c>
      <c r="B198" t="s">
        <v>6156</v>
      </c>
      <c r="C198" s="2" t="s">
        <v>6364</v>
      </c>
      <c r="D198" t="s">
        <v>5843</v>
      </c>
      <c r="E198" s="2" t="s">
        <v>6365</v>
      </c>
      <c r="F198" t="s">
        <v>188</v>
      </c>
      <c r="G198" t="str">
        <f>VLOOKUP($F198, codebooks_data_reordered!$A:$I, 2, FALSE)</f>
        <v>2006</v>
      </c>
      <c r="H198" t="str">
        <f>VLOOKUP($F198, codebooks_data_reordered!$A:$I, 3, FALSE)</f>
        <v>Threat of Different Issues</v>
      </c>
      <c r="I198" t="str">
        <f>VLOOKUP($F198, codebooks_data_reordered!$A:$I, 4, FALSE)</f>
        <v>1</v>
      </c>
      <c r="J198" t="str">
        <f>VLOOKUP($F198, codebooks_data_reordered!$A:$I, 5, FALSE)</f>
        <v>49</v>
      </c>
      <c r="K198" t="str">
        <f>VLOOKUP($F198, codebooks_data_reordered!$A:$I, 6, FALSE)</f>
        <v>Public life according to Halacha</v>
      </c>
      <c r="L198" t="str">
        <f>VLOOKUP($F198, codebooks_data_reordered!$A:$I, 7, FALSE)</f>
        <v>44. (not asked of Arabs): Do you think the Israeli government should or should not see to it that public life in Israel be conducted according to Jewish religious tradition?</v>
      </c>
      <c r="M198" t="str">
        <f>VLOOKUP($F198, codebooks_data_reordered!$A:$I, 9, FALSE)</f>
        <v>1: Should definitely see to it; 2: Maybe should see to it; 3: I do not think the government should see to it; 4: The government should definitely not see to it</v>
      </c>
      <c r="O198" s="2" t="str">
        <f t="shared" si="3"/>
        <v>1: Should definitely see to it
 2: Maybe should see to it
 3: I do not think the government should see to it
 4: The government should definitely not see to it</v>
      </c>
    </row>
    <row r="199" spans="1:15" ht="72" hidden="1" x14ac:dyDescent="0.3">
      <c r="A199" t="s">
        <v>6205</v>
      </c>
      <c r="B199" t="s">
        <v>6366</v>
      </c>
      <c r="C199" s="2" t="s">
        <v>6367</v>
      </c>
      <c r="D199" t="s">
        <v>7439</v>
      </c>
      <c r="E199" s="2" t="s">
        <v>6368</v>
      </c>
      <c r="F199" t="s">
        <v>9194</v>
      </c>
      <c r="G199" t="e">
        <f>VLOOKUP($F199, codebooks_data_reordered!$A:$I, 2, FALSE)</f>
        <v>#N/A</v>
      </c>
      <c r="H199" t="e">
        <f>VLOOKUP($F199, codebooks_data_reordered!$A:$I, 3, FALSE)</f>
        <v>#N/A</v>
      </c>
      <c r="I199" t="e">
        <f>VLOOKUP($F199, codebooks_data_reordered!$A:$I, 4, FALSE)</f>
        <v>#N/A</v>
      </c>
      <c r="J199" t="e">
        <f>VLOOKUP($F199, codebooks_data_reordered!$A:$I, 5, FALSE)</f>
        <v>#N/A</v>
      </c>
      <c r="K199" t="e">
        <f>VLOOKUP($F199, codebooks_data_reordered!$A:$I, 6, FALSE)</f>
        <v>#N/A</v>
      </c>
      <c r="L199" t="e">
        <f>VLOOKUP($F199, codebooks_data_reordered!$A:$I, 7, FALSE)</f>
        <v>#N/A</v>
      </c>
      <c r="M199" t="e">
        <f>VLOOKUP($F199, codebooks_data_reordered!$A:$I, 9, FALSE)</f>
        <v>#N/A</v>
      </c>
      <c r="O199" t="e">
        <f t="shared" si="3"/>
        <v>#N/A</v>
      </c>
    </row>
    <row r="200" spans="1:15" ht="115.2" hidden="1" x14ac:dyDescent="0.3">
      <c r="A200" t="s">
        <v>6205</v>
      </c>
      <c r="B200" t="s">
        <v>6159</v>
      </c>
      <c r="C200" s="2" t="s">
        <v>6369</v>
      </c>
      <c r="D200" t="s">
        <v>5843</v>
      </c>
      <c r="E200" s="2" t="s">
        <v>6370</v>
      </c>
      <c r="F200" t="s">
        <v>194</v>
      </c>
      <c r="G200" t="str">
        <f>VLOOKUP($F200, codebooks_data_reordered!$A:$I, 2, FALSE)</f>
        <v>2006</v>
      </c>
      <c r="H200" t="str">
        <f>VLOOKUP($F200, codebooks_data_reordered!$A:$I, 3, FALSE)</f>
        <v>Threat of Different Issues</v>
      </c>
      <c r="I200" t="str">
        <f>VLOOKUP($F200, codebooks_data_reordered!$A:$I, 4, FALSE)</f>
        <v>1</v>
      </c>
      <c r="J200" t="str">
        <f>VLOOKUP($F200, codebooks_data_reordered!$A:$I, 5, FALSE)</f>
        <v>50</v>
      </c>
      <c r="K200" t="str">
        <f>VLOOKUP($F200, codebooks_data_reordered!$A:$I, 6, FALSE)</f>
        <v>Israel's economic structure (socialist or capitalist)</v>
      </c>
      <c r="L200" t="str">
        <f>VLOOKUP($F200, codebooks_data_reordered!$A:$I, 7, FALSE)</f>
        <v>45. Regarding the economic structure of life in Israel, do you support a more socialist approach or a more capitalist one?</v>
      </c>
      <c r="M200" t="str">
        <f>VLOOKUP($F200, codebooks_data_reordered!$A:$I, 9, FALSE)</f>
        <v>1: Definitely capitalist; 2: More capitalist than socialist; 3: More socialist than capitalist; 4: Definitely socialist; 5: Socialist and capitalist; 6: Other</v>
      </c>
      <c r="O200" s="2" t="str">
        <f t="shared" si="3"/>
        <v>1: Definitely capitalist
 2: More capitalist than socialist
 3: More socialist than capitalist
 4: Definitely socialist
 5: Socialist and capitalist
 6: Other</v>
      </c>
    </row>
    <row r="201" spans="1:15" ht="115.2" hidden="1" x14ac:dyDescent="0.3">
      <c r="A201" t="s">
        <v>6205</v>
      </c>
      <c r="B201" t="s">
        <v>6162</v>
      </c>
      <c r="C201" s="2" t="s">
        <v>6371</v>
      </c>
      <c r="D201" t="s">
        <v>5843</v>
      </c>
      <c r="E201" s="2" t="s">
        <v>6372</v>
      </c>
      <c r="F201" t="s">
        <v>224</v>
      </c>
      <c r="G201" t="str">
        <f>VLOOKUP($F201, codebooks_data_reordered!$A:$I, 2, FALSE)</f>
        <v>2006</v>
      </c>
      <c r="H201" t="str">
        <f>VLOOKUP($F201, codebooks_data_reordered!$A:$I, 3, FALSE)</f>
        <v>Agree/Disagree with the Different Statements</v>
      </c>
      <c r="I201" t="str">
        <f>VLOOKUP($F201, codebooks_data_reordered!$A:$I, 4, FALSE)</f>
        <v>1</v>
      </c>
      <c r="J201" t="str">
        <f>VLOOKUP($F201, codebooks_data_reordered!$A:$I, 5, FALSE)</f>
        <v>57</v>
      </c>
      <c r="K201" t="str">
        <f>VLOOKUP($F201, codebooks_data_reordered!$A:$I, 6, FALSE)</f>
        <v>Talking about political issues</v>
      </c>
      <c r="L201" t="str">
        <f>VLOOKUP($F201, codebooks_data_reordered!$A:$I, 7, FALSE)</f>
        <v>53. To what extent do you talk with your friends and family about political issues?</v>
      </c>
      <c r="M201" t="str">
        <f>VLOOKUP($F201, codebooks_data_reordered!$A:$I, 9, FALSE)</f>
        <v>1: A great amount; 2: A certain amount; 3: A small amount; 4: Not at all</v>
      </c>
      <c r="O201" s="2" t="str">
        <f t="shared" si="3"/>
        <v>1: A great amount
 2: A certain amount
 3: A small amount
 4: Not at all</v>
      </c>
    </row>
    <row r="202" spans="1:15" ht="115.2" hidden="1" x14ac:dyDescent="0.3">
      <c r="A202" t="s">
        <v>6205</v>
      </c>
      <c r="B202" t="s">
        <v>6163</v>
      </c>
      <c r="C202" s="2" t="s">
        <v>6373</v>
      </c>
      <c r="D202" t="s">
        <v>5843</v>
      </c>
      <c r="E202" s="2" t="s">
        <v>6374</v>
      </c>
      <c r="F202" t="s">
        <v>309</v>
      </c>
      <c r="G202" t="str">
        <f>VLOOKUP($F202, codebooks_data_reordered!$A:$I, 2, FALSE)</f>
        <v>2006</v>
      </c>
      <c r="H202" t="str">
        <f>VLOOKUP($F202, codebooks_data_reordered!$A:$I, 3, FALSE)</f>
        <v>Support/Rejection of a Group or a Person</v>
      </c>
      <c r="I202" t="str">
        <f>VLOOKUP($F202, codebooks_data_reordered!$A:$I, 4, FALSE)</f>
        <v>1</v>
      </c>
      <c r="J202" t="str">
        <f>VLOOKUP($F202, codebooks_data_reordered!$A:$I, 5, FALSE)</f>
        <v>99</v>
      </c>
      <c r="K202" t="str">
        <f>VLOOKUP($F202, codebooks_data_reordered!$A:$I, 6, FALSE)</f>
        <v>Party leaders to deal best with economy</v>
      </c>
      <c r="L202" t="str">
        <f>VLOOKUP($F202, codebooks_data_reordered!$A:$I, 7, FALSE)</f>
        <v>78  79. Who do you think will deal best with the economic problems of Israel: Kadima leaders, the Likud leaders, to Labor's leaders? Who is in second place?</v>
      </c>
      <c r="M202" t="str">
        <f>VLOOKUP($F202, codebooks_data_reordered!$A:$I, 9, FALSE)</f>
        <v>1: Kadima leaders; 2: Likud leaders; 3: Avoda leaders; 4: All of them to the same deggree; 5: None of them; 6: Another party</v>
      </c>
      <c r="O202" s="2" t="str">
        <f t="shared" si="3"/>
        <v>1: Kadima leaders
 2: Likud leaders
 3: Avoda leaders
 4: All of them to the same deggree
 5: None of them
 6: Another party</v>
      </c>
    </row>
    <row r="203" spans="1:15" ht="129.6" hidden="1" x14ac:dyDescent="0.3">
      <c r="A203" t="s">
        <v>6205</v>
      </c>
      <c r="B203" t="s">
        <v>6375</v>
      </c>
      <c r="C203" s="2" t="s">
        <v>6376</v>
      </c>
      <c r="D203" t="s">
        <v>5843</v>
      </c>
      <c r="E203" s="2" t="s">
        <v>6377</v>
      </c>
      <c r="F203" t="s">
        <v>313</v>
      </c>
      <c r="G203" t="str">
        <f>VLOOKUP($F203, codebooks_data_reordered!$A:$I, 2, FALSE)</f>
        <v>2006</v>
      </c>
      <c r="H203" t="str">
        <f>VLOOKUP($F203, codebooks_data_reordered!$A:$I, 3, FALSE)</f>
        <v>Support/Rejection of a Group or a Person</v>
      </c>
      <c r="I203" t="str">
        <f>VLOOKUP($F203, codebooks_data_reordered!$A:$I, 4, FALSE)</f>
        <v>1</v>
      </c>
      <c r="J203" t="str">
        <f>VLOOKUP($F203, codebooks_data_reordered!$A:$I, 5, FALSE)</f>
        <v>100</v>
      </c>
      <c r="K203" t="str">
        <f>VLOOKUP($F203, codebooks_data_reordered!$A:$I, 6, FALSE)</f>
        <v>In second place</v>
      </c>
      <c r="L203" t="str">
        <f>VLOOKUP($F203, codebooks_data_reordered!$A:$I, 7, FALSE)</f>
        <v>79  79. Who do you think will deal best with the economic problems of Israel: Kadima leaders, the Likud leaders, to Labor's leaders? Who is in second place?</v>
      </c>
      <c r="M203" t="str">
        <f>VLOOKUP($F203, codebooks_data_reordered!$A:$I, 9, FALSE)</f>
        <v>1: Kadima leaders; 2: Likud leaders; 3: Avoda leaders; 4: All of them to the same deggree; 5: None of them; 6: Another party</v>
      </c>
      <c r="O203" s="2" t="str">
        <f t="shared" si="3"/>
        <v>1: Kadima leaders
 2: Likud leaders
 3: Avoda leaders
 4: All of them to the same deggree
 5: None of them
 6: Another party</v>
      </c>
    </row>
    <row r="204" spans="1:15" ht="172.8" hidden="1" x14ac:dyDescent="0.3">
      <c r="A204" t="s">
        <v>6205</v>
      </c>
      <c r="B204" t="s">
        <v>6378</v>
      </c>
      <c r="C204" s="2" t="s">
        <v>6379</v>
      </c>
      <c r="D204" t="s">
        <v>5843</v>
      </c>
      <c r="E204" s="2" t="s">
        <v>6380</v>
      </c>
      <c r="F204" t="s">
        <v>317</v>
      </c>
      <c r="G204" t="str">
        <f>VLOOKUP($F204, codebooks_data_reordered!$A:$I, 2, FALSE)</f>
        <v>2006</v>
      </c>
      <c r="H204" t="str">
        <f>VLOOKUP($F204, codebooks_data_reordered!$A:$I, 3, FALSE)</f>
        <v>Support/Rejection of a Group or a Person</v>
      </c>
      <c r="I204" t="str">
        <f>VLOOKUP($F204, codebooks_data_reordered!$A:$I, 4, FALSE)</f>
        <v>1</v>
      </c>
      <c r="J204" t="str">
        <f>VLOOKUP($F204, codebooks_data_reordered!$A:$I, 5, FALSE)</f>
        <v>101</v>
      </c>
      <c r="K204" t="str">
        <f>VLOOKUP($F204, codebooks_data_reordered!$A:$I, 6, FALSE)</f>
        <v>Party leaders to deal best with the social problems</v>
      </c>
      <c r="L204" t="str">
        <f>VLOOKUP($F204, codebooks_data_reordered!$A:$I, 7, FALSE)</f>
        <v>80  81. And regarding the social problems in Israel?</v>
      </c>
      <c r="M204" t="str">
        <f>VLOOKUP($F204, codebooks_data_reordered!$A:$I, 9, FALSE)</f>
        <v>1: Kadima leaders; 2: Likud leaders; 3: Avoda leaders; 4: All of them to the same deggree; 5: None of them; 6: Another party</v>
      </c>
      <c r="O204" s="2" t="str">
        <f t="shared" si="3"/>
        <v>1: Kadima leaders
 2: Likud leaders
 3: Avoda leaders
 4: All of them to the same deggree
 5: None of them
 6: Another party</v>
      </c>
    </row>
    <row r="205" spans="1:15" ht="100.8" hidden="1" x14ac:dyDescent="0.3">
      <c r="A205" t="s">
        <v>6205</v>
      </c>
      <c r="B205" t="s">
        <v>6381</v>
      </c>
      <c r="C205" s="2" t="s">
        <v>6382</v>
      </c>
      <c r="D205" t="s">
        <v>5843</v>
      </c>
      <c r="E205" s="2" t="s">
        <v>6383</v>
      </c>
      <c r="F205" t="s">
        <v>320</v>
      </c>
      <c r="G205" t="str">
        <f>VLOOKUP($F205, codebooks_data_reordered!$A:$I, 2, FALSE)</f>
        <v>2006</v>
      </c>
      <c r="H205" t="str">
        <f>VLOOKUP($F205, codebooks_data_reordered!$A:$I, 3, FALSE)</f>
        <v>Support/Rejection of a Group or a Person</v>
      </c>
      <c r="I205" t="str">
        <f>VLOOKUP($F205, codebooks_data_reordered!$A:$I, 4, FALSE)</f>
        <v>1</v>
      </c>
      <c r="J205" t="str">
        <f>VLOOKUP($F205, codebooks_data_reordered!$A:$I, 5, FALSE)</f>
        <v>102</v>
      </c>
      <c r="K205" t="str">
        <f>VLOOKUP($F205, codebooks_data_reordered!$A:$I, 6, FALSE)</f>
        <v>In second place</v>
      </c>
      <c r="L205" t="str">
        <f>VLOOKUP($F205, codebooks_data_reordered!$A:$I, 7, FALSE)</f>
        <v>81  81. And regarding the social problems in Israel?</v>
      </c>
      <c r="M205" t="str">
        <f>VLOOKUP($F205, codebooks_data_reordered!$A:$I, 9, FALSE)</f>
        <v>1: Kadima leaders; 2: Likud leaders; 3: Avoda leaders; 4: All of them to the same deggree; 5: None of them; 6: Another party</v>
      </c>
      <c r="O205" s="2" t="str">
        <f t="shared" si="3"/>
        <v>1: Kadima leaders
 2: Likud leaders
 3: Avoda leaders
 4: All of them to the same deggree
 5: None of them
 6: Another party</v>
      </c>
    </row>
    <row r="206" spans="1:15" ht="115.2" hidden="1" x14ac:dyDescent="0.3">
      <c r="A206" t="s">
        <v>6205</v>
      </c>
      <c r="B206" t="s">
        <v>6384</v>
      </c>
      <c r="C206" s="2" t="s">
        <v>6385</v>
      </c>
      <c r="D206" t="s">
        <v>5843</v>
      </c>
      <c r="E206" s="2" t="s">
        <v>6386</v>
      </c>
      <c r="F206" t="s">
        <v>359</v>
      </c>
      <c r="G206" t="str">
        <f>VLOOKUP($F206, codebooks_data_reordered!$A:$I, 2, FALSE)</f>
        <v>2006</v>
      </c>
      <c r="H206" t="str">
        <f>VLOOKUP($F206, codebooks_data_reordered!$A:$I, 3, FALSE)</f>
        <v>Influence of Different Issues on Vote</v>
      </c>
      <c r="I206" t="str">
        <f>VLOOKUP($F206, codebooks_data_reordered!$A:$I, 4, FALSE)</f>
        <v>1</v>
      </c>
      <c r="J206" t="str">
        <f>VLOOKUP($F206, codebooks_data_reordered!$A:$I, 5, FALSE)</f>
        <v>112</v>
      </c>
      <c r="K206" t="str">
        <f>VLOOKUP($F206, codebooks_data_reordered!$A:$I, 6, FALSE)</f>
        <v>Influence the following have on your vote:Jerusalem</v>
      </c>
      <c r="L206" t="str">
        <f>VLOOKUP($F206, codebooks_data_reordered!$A:$I, 7, FALSE)</f>
        <v>To what extent do each of the following issues effect or not effect your voting?</v>
      </c>
      <c r="M206" t="str">
        <f>VLOOKUP($F206, codebooks_data_reordered!$A:$I, 9, FALSE)</f>
        <v>1: A great deal; 2: Some; 3: Little; 4: Not at all</v>
      </c>
      <c r="O206" s="2" t="str">
        <f t="shared" si="3"/>
        <v>1: A great deal
 2: Some
 3: Little
 4: Not at all</v>
      </c>
    </row>
    <row r="207" spans="1:15" ht="216" hidden="1" x14ac:dyDescent="0.3">
      <c r="A207" t="s">
        <v>6205</v>
      </c>
      <c r="B207" t="s">
        <v>6387</v>
      </c>
      <c r="C207" s="2" t="s">
        <v>6388</v>
      </c>
      <c r="D207" t="s">
        <v>5843</v>
      </c>
      <c r="E207" s="2" t="s">
        <v>6389</v>
      </c>
      <c r="F207" t="s">
        <v>362</v>
      </c>
      <c r="G207" t="str">
        <f>VLOOKUP($F207, codebooks_data_reordered!$A:$I, 2, FALSE)</f>
        <v>2006</v>
      </c>
      <c r="H207" t="str">
        <f>VLOOKUP($F207, codebooks_data_reordered!$A:$I, 3, FALSE)</f>
        <v>Influence of Different Issues on Vote</v>
      </c>
      <c r="I207" t="str">
        <f>VLOOKUP($F207, codebooks_data_reordered!$A:$I, 4, FALSE)</f>
        <v>1</v>
      </c>
      <c r="J207" t="str">
        <f>VLOOKUP($F207, codebooks_data_reordered!$A:$I, 5, FALSE)</f>
        <v>113</v>
      </c>
      <c r="K207" t="str">
        <f>VLOOKUP($F207, codebooks_data_reordered!$A:$I, 6, FALSE)</f>
        <v>Influence the following have on your vote:'Economy</v>
      </c>
      <c r="L207" t="str">
        <f>VLOOKUP($F207, codebooks_data_reordered!$A:$I, 7, FALSE)</f>
        <v>To what extent do each of the following issues effect or not effect your voting?</v>
      </c>
      <c r="M207" t="str">
        <f>VLOOKUP($F207, codebooks_data_reordered!$A:$I, 9, FALSE)</f>
        <v>1: A great deal; 2: Some; 3: Little; 4: Not at all</v>
      </c>
      <c r="O207" s="2" t="str">
        <f t="shared" si="3"/>
        <v>1: A great deal
 2: Some
 3: Little
 4: Not at all</v>
      </c>
    </row>
    <row r="208" spans="1:15" ht="57.6" hidden="1" x14ac:dyDescent="0.3">
      <c r="A208" t="s">
        <v>6205</v>
      </c>
      <c r="B208" t="s">
        <v>6390</v>
      </c>
      <c r="C208" s="2" t="s">
        <v>5947</v>
      </c>
      <c r="D208" t="s">
        <v>5843</v>
      </c>
      <c r="E208" s="2" t="s">
        <v>5948</v>
      </c>
      <c r="F208" t="s">
        <v>365</v>
      </c>
      <c r="G208" t="str">
        <f>VLOOKUP($F208, codebooks_data_reordered!$A:$I, 2, FALSE)</f>
        <v>2006</v>
      </c>
      <c r="H208" t="str">
        <f>VLOOKUP($F208, codebooks_data_reordered!$A:$I, 3, FALSE)</f>
        <v>Influence of Different Issues on Vote</v>
      </c>
      <c r="I208" t="str">
        <f>VLOOKUP($F208, codebooks_data_reordered!$A:$I, 4, FALSE)</f>
        <v>1</v>
      </c>
      <c r="J208" t="str">
        <f>VLOOKUP($F208, codebooks_data_reordered!$A:$I, 5, FALSE)</f>
        <v>114</v>
      </c>
      <c r="K208" t="str">
        <f>VLOOKUP($F208, codebooks_data_reordered!$A:$I, 6, FALSE)</f>
        <v>Influence the following have on your vote:Social policy</v>
      </c>
      <c r="L208" t="str">
        <f>VLOOKUP($F208, codebooks_data_reordered!$A:$I, 7, FALSE)</f>
        <v>To what extent do each of the following issues effect or not effect your voting?</v>
      </c>
      <c r="M208" t="str">
        <f>VLOOKUP($F208, codebooks_data_reordered!$A:$I, 9, FALSE)</f>
        <v>1: A great deal; 2: Some; 3: Little; 4: Not at all</v>
      </c>
      <c r="O208" s="2" t="str">
        <f t="shared" si="3"/>
        <v>1: A great deal
 2: Some
 3: Little
 4: Not at all</v>
      </c>
    </row>
    <row r="209" spans="1:15" ht="216" hidden="1" x14ac:dyDescent="0.3">
      <c r="A209" t="s">
        <v>6205</v>
      </c>
      <c r="B209" t="s">
        <v>6391</v>
      </c>
      <c r="C209" s="2" t="s">
        <v>6392</v>
      </c>
      <c r="D209" t="s">
        <v>5843</v>
      </c>
      <c r="E209" s="2" t="s">
        <v>6393</v>
      </c>
      <c r="F209" t="s">
        <v>2846</v>
      </c>
      <c r="G209" t="str">
        <f>VLOOKUP($F209, codebooks_data_reordered!$A:$I, 2, FALSE)</f>
        <v>1992</v>
      </c>
      <c r="H209">
        <f>VLOOKUP($F209, codebooks_data_reordered!$A:$I, 3, FALSE)</f>
        <v>0</v>
      </c>
      <c r="I209" t="str">
        <f>VLOOKUP($F209, codebooks_data_reordered!$A:$I, 4, FALSE)</f>
        <v>1</v>
      </c>
      <c r="J209" t="str">
        <f>VLOOKUP($F209, codebooks_data_reordered!$A:$I, 5, FALSE)</f>
        <v>118</v>
      </c>
      <c r="K209" t="str">
        <f>VLOOKUP($F209, codebooks_data_reordered!$A:$I, 6, FALSE)</f>
        <v>Places benefit of the country before party</v>
      </c>
      <c r="L209">
        <f>VLOOKUP($F209, codebooks_data_reordered!$A:$I, 7, FALSE)</f>
        <v>0</v>
      </c>
      <c r="M209" t="str">
        <f>VLOOKUP($F209, codebooks_data_reordered!$A:$I, 9, FALSE)</f>
        <v>1: Suits Yitzhak Shamir; 2: Suits Yitzhak Rabin; 3: Both leaders; 4: Neither</v>
      </c>
      <c r="O209" s="2" t="str">
        <f t="shared" si="3"/>
        <v>1: Suits Yitzhak Shamir
 2: Suits Yitzhak Rabin
 3: Both leaders
 4: Neither</v>
      </c>
    </row>
    <row r="210" spans="1:15" ht="57.6" hidden="1" x14ac:dyDescent="0.3">
      <c r="A210" t="s">
        <v>6205</v>
      </c>
      <c r="B210" t="s">
        <v>6394</v>
      </c>
      <c r="C210" s="2" t="s">
        <v>5947</v>
      </c>
      <c r="D210" t="s">
        <v>5843</v>
      </c>
      <c r="E210" s="2" t="s">
        <v>5948</v>
      </c>
      <c r="F210" t="s">
        <v>2848</v>
      </c>
      <c r="G210" t="str">
        <f>VLOOKUP($F210, codebooks_data_reordered!$A:$I, 2, FALSE)</f>
        <v>1992</v>
      </c>
      <c r="H210">
        <f>VLOOKUP($F210, codebooks_data_reordered!$A:$I, 3, FALSE)</f>
        <v>0</v>
      </c>
      <c r="I210" t="str">
        <f>VLOOKUP($F210, codebooks_data_reordered!$A:$I, 4, FALSE)</f>
        <v>1</v>
      </c>
      <c r="J210" t="str">
        <f>VLOOKUP($F210, codebooks_data_reordered!$A:$I, 5, FALSE)</f>
        <v>119</v>
      </c>
      <c r="K210" t="str">
        <f>VLOOKUP($F210, codebooks_data_reordered!$A:$I, 6, FALSE)</f>
        <v>Initiates and move things</v>
      </c>
      <c r="L210">
        <f>VLOOKUP($F210, codebooks_data_reordered!$A:$I, 7, FALSE)</f>
        <v>0</v>
      </c>
      <c r="M210" t="str">
        <f>VLOOKUP($F210, codebooks_data_reordered!$A:$I, 9, FALSE)</f>
        <v>1: Suits Yitzhak Shamir; 2: Suits Yitzhak Rabin; 3: Both leaders; 4: Neither</v>
      </c>
      <c r="O210" s="2" t="str">
        <f t="shared" si="3"/>
        <v>1: Suits Yitzhak Shamir
 2: Suits Yitzhak Rabin
 3: Both leaders
 4: Neither</v>
      </c>
    </row>
    <row r="211" spans="1:15" ht="115.2" hidden="1" x14ac:dyDescent="0.3">
      <c r="A211" t="s">
        <v>6205</v>
      </c>
      <c r="B211" t="s">
        <v>6395</v>
      </c>
      <c r="C211" s="2" t="s">
        <v>6373</v>
      </c>
      <c r="D211" t="s">
        <v>5843</v>
      </c>
      <c r="E211" s="2" t="s">
        <v>6374</v>
      </c>
      <c r="F211" t="s">
        <v>2837</v>
      </c>
      <c r="G211" t="str">
        <f>VLOOKUP($F211, codebooks_data_reordered!$A:$I, 2, FALSE)</f>
        <v>1992</v>
      </c>
      <c r="H211">
        <f>VLOOKUP($F211, codebooks_data_reordered!$A:$I, 3, FALSE)</f>
        <v>0</v>
      </c>
      <c r="I211" t="str">
        <f>VLOOKUP($F211, codebooks_data_reordered!$A:$I, 4, FALSE)</f>
        <v>1</v>
      </c>
      <c r="J211" t="str">
        <f>VLOOKUP($F211, codebooks_data_reordered!$A:$I, 5, FALSE)</f>
        <v>113</v>
      </c>
      <c r="K211" t="str">
        <f>VLOOKUP($F211, codebooks_data_reordered!$A:$I, 6, FALSE)</f>
        <v>Self rating on right-left scale</v>
      </c>
      <c r="L211">
        <f>VLOOKUP($F211, codebooks_data_reordered!$A:$I, 7, FALSE)</f>
        <v>0</v>
      </c>
      <c r="M211" t="str">
        <f>VLOOKUP($F211, codebooks_data_reordered!$A:$I, 9, FALSE)</f>
        <v>1: Extreme right; 7: Extreme left</v>
      </c>
      <c r="O211" s="2" t="str">
        <f t="shared" si="3"/>
        <v>1: Extreme right
 7: Extreme left</v>
      </c>
    </row>
    <row r="212" spans="1:15" ht="57.6" hidden="1" x14ac:dyDescent="0.3">
      <c r="A212" t="s">
        <v>6205</v>
      </c>
      <c r="B212" t="s">
        <v>6396</v>
      </c>
      <c r="C212" s="2" t="s">
        <v>5947</v>
      </c>
      <c r="D212" t="s">
        <v>5843</v>
      </c>
      <c r="E212" s="2" t="s">
        <v>5948</v>
      </c>
      <c r="F212" t="s">
        <v>2842</v>
      </c>
      <c r="G212" t="str">
        <f>VLOOKUP($F212, codebooks_data_reordered!$A:$I, 2, FALSE)</f>
        <v>1992</v>
      </c>
      <c r="H212">
        <f>VLOOKUP($F212, codebooks_data_reordered!$A:$I, 3, FALSE)</f>
        <v>0</v>
      </c>
      <c r="I212" t="str">
        <f>VLOOKUP($F212, codebooks_data_reordered!$A:$I, 4, FALSE)</f>
        <v>1</v>
      </c>
      <c r="J212" t="str">
        <f>VLOOKUP($F212, codebooks_data_reordered!$A:$I, 5, FALSE)</f>
        <v>115</v>
      </c>
      <c r="K212" t="str">
        <f>VLOOKUP($F212, codebooks_data_reordered!$A:$I, 6, FALSE)</f>
        <v>Strong</v>
      </c>
      <c r="L212">
        <f>VLOOKUP($F212, codebooks_data_reordered!$A:$I, 7, FALSE)</f>
        <v>0</v>
      </c>
      <c r="M212" t="str">
        <f>VLOOKUP($F212, codebooks_data_reordered!$A:$I, 9, FALSE)</f>
        <v>1: Suits Yitzhak Shamir; 2: Suits Yitzhak Rabin; 3: Both leaders; 4: Neither</v>
      </c>
      <c r="O212" s="2" t="str">
        <f t="shared" si="3"/>
        <v>1: Suits Yitzhak Shamir
 2: Suits Yitzhak Rabin
 3: Both leaders
 4: Neither</v>
      </c>
    </row>
    <row r="213" spans="1:15" ht="57.6" hidden="1" x14ac:dyDescent="0.3">
      <c r="A213" t="s">
        <v>6205</v>
      </c>
      <c r="B213" t="s">
        <v>6397</v>
      </c>
      <c r="C213" s="2" t="s">
        <v>6398</v>
      </c>
      <c r="D213" t="s">
        <v>5843</v>
      </c>
      <c r="E213" s="2" t="s">
        <v>6399</v>
      </c>
      <c r="F213" t="s">
        <v>2843</v>
      </c>
      <c r="G213" t="str">
        <f>VLOOKUP($F213, codebooks_data_reordered!$A:$I, 2, FALSE)</f>
        <v>1992</v>
      </c>
      <c r="H213">
        <f>VLOOKUP($F213, codebooks_data_reordered!$A:$I, 3, FALSE)</f>
        <v>0</v>
      </c>
      <c r="I213" t="str">
        <f>VLOOKUP($F213, codebooks_data_reordered!$A:$I, 4, FALSE)</f>
        <v>1</v>
      </c>
      <c r="J213" t="str">
        <f>VLOOKUP($F213, codebooks_data_reordered!$A:$I, 5, FALSE)</f>
        <v>116</v>
      </c>
      <c r="K213" t="str">
        <f>VLOOKUP($F213, codebooks_data_reordered!$A:$I, 6, FALSE)</f>
        <v>Reliable</v>
      </c>
      <c r="L213">
        <f>VLOOKUP($F213, codebooks_data_reordered!$A:$I, 7, FALSE)</f>
        <v>0</v>
      </c>
      <c r="M213" t="str">
        <f>VLOOKUP($F213, codebooks_data_reordered!$A:$I, 9, FALSE)</f>
        <v>1: Suits Yitzhak Shamir; 2: Suits Yitzhak Rabin; 3: Both leaders; 4: Neither</v>
      </c>
      <c r="O213" s="2" t="str">
        <f t="shared" si="3"/>
        <v>1: Suits Yitzhak Shamir
 2: Suits Yitzhak Rabin
 3: Both leaders
 4: Neither</v>
      </c>
    </row>
    <row r="214" spans="1:15" ht="57.6" hidden="1" x14ac:dyDescent="0.3">
      <c r="A214" t="s">
        <v>6205</v>
      </c>
      <c r="B214" t="s">
        <v>6400</v>
      </c>
      <c r="C214" s="2" t="s">
        <v>5947</v>
      </c>
      <c r="D214" t="s">
        <v>5843</v>
      </c>
      <c r="E214" s="2" t="s">
        <v>5948</v>
      </c>
      <c r="F214" t="s">
        <v>2844</v>
      </c>
      <c r="G214" t="str">
        <f>VLOOKUP($F214, codebooks_data_reordered!$A:$I, 2, FALSE)</f>
        <v>1992</v>
      </c>
      <c r="H214">
        <f>VLOOKUP($F214, codebooks_data_reordered!$A:$I, 3, FALSE)</f>
        <v>0</v>
      </c>
      <c r="I214" t="str">
        <f>VLOOKUP($F214, codebooks_data_reordered!$A:$I, 4, FALSE)</f>
        <v>1</v>
      </c>
      <c r="J214" t="str">
        <f>VLOOKUP($F214, codebooks_data_reordered!$A:$I, 5, FALSE)</f>
        <v>117</v>
      </c>
      <c r="K214" t="str">
        <f>VLOOKUP($F214, codebooks_data_reordered!$A:$I, 6, FALSE)</f>
        <v>Decisive</v>
      </c>
      <c r="L214">
        <f>VLOOKUP($F214, codebooks_data_reordered!$A:$I, 7, FALSE)</f>
        <v>0</v>
      </c>
      <c r="M214" t="str">
        <f>VLOOKUP($F214, codebooks_data_reordered!$A:$I, 9, FALSE)</f>
        <v>1: Suits Yitzhak Shamir; 2: Suits Yitzhak Rabin; 3: Both leaders; 4: Neither</v>
      </c>
      <c r="O214" s="2" t="str">
        <f t="shared" si="3"/>
        <v>1: Suits Yitzhak Shamir
 2: Suits Yitzhak Rabin
 3: Both leaders
 4: Neither</v>
      </c>
    </row>
    <row r="215" spans="1:15" ht="129.6" hidden="1" x14ac:dyDescent="0.3">
      <c r="A215" t="s">
        <v>6205</v>
      </c>
      <c r="B215" t="s">
        <v>6401</v>
      </c>
      <c r="C215" s="2" t="s">
        <v>6402</v>
      </c>
      <c r="D215" t="s">
        <v>5843</v>
      </c>
      <c r="E215" s="2" t="s">
        <v>6403</v>
      </c>
      <c r="F215" t="s">
        <v>72</v>
      </c>
      <c r="G215" t="str">
        <f>VLOOKUP($F215, codebooks_data_reordered!$A:$I, 2, FALSE)</f>
        <v>2006</v>
      </c>
      <c r="H215" t="str">
        <f>VLOOKUP($F215, codebooks_data_reordered!$A:$I, 3, FALSE)</f>
        <v>Pre-Election Survey</v>
      </c>
      <c r="I215" t="str">
        <f>VLOOKUP($F215, codebooks_data_reordered!$A:$I, 4, FALSE)</f>
        <v>1</v>
      </c>
      <c r="J215" t="str">
        <f>VLOOKUP($F215, codebooks_data_reordered!$A:$I, 5, FALSE)</f>
        <v>20-21</v>
      </c>
      <c r="K215" t="str">
        <f>VLOOKUP($F215, codebooks_data_reordered!$A:$I, 6, FALSE)</f>
        <v>Chances of Olmert's disengagement</v>
      </c>
      <c r="L215" t="str">
        <f>VLOOKUP($F215, codebooks_data_reordered!$A:$I, 7, FALSE)</f>
        <v>17. If Ehud Olmert will be elected prime minister, what are the chances odds that he would undertake unilateral separation in Judea and Samaria?</v>
      </c>
      <c r="M215" t="str">
        <f>VLOOKUP($F215, codebooks_data_reordered!$A:$I, 9, FALSE)</f>
        <v>1: Great odds; 2: Medium odds; 3: Low odds; 4: No chance</v>
      </c>
      <c r="O215" s="2" t="str">
        <f t="shared" si="3"/>
        <v>1: Great odds
 2: Medium odds
 3: Low odds
 4: No chance</v>
      </c>
    </row>
    <row r="216" spans="1:15" ht="144" hidden="1" x14ac:dyDescent="0.3">
      <c r="A216" t="s">
        <v>6205</v>
      </c>
      <c r="B216" t="s">
        <v>6404</v>
      </c>
      <c r="C216" s="2" t="s">
        <v>6405</v>
      </c>
      <c r="D216" t="s">
        <v>5843</v>
      </c>
      <c r="E216" s="2" t="s">
        <v>6406</v>
      </c>
      <c r="F216" t="s">
        <v>5396</v>
      </c>
      <c r="G216" t="str">
        <f>VLOOKUP($F216, codebooks_data_reordered!$A:$I, 2, FALSE)</f>
        <v>1973_5</v>
      </c>
      <c r="H216" t="str">
        <f>VLOOKUP($F216, codebooks_data_reordered!$A:$I, 3, FALSE)</f>
        <v>POLITICAL LEADERS AND HOW INTERVIEWEE RELATES TO THEM, HOW IMPORTANT THIS FACTOR WAS TO INTERVIEWEE'S VOTE</v>
      </c>
      <c r="I216" t="str">
        <f>VLOOKUP($F216, codebooks_data_reordered!$A:$I, 4, FALSE)</f>
        <v>1</v>
      </c>
      <c r="J216" t="str">
        <f>VLOOKUP($F216, codebooks_data_reordered!$A:$I, 5, FALSE)</f>
        <v>47</v>
      </c>
      <c r="K216" t="str">
        <f>VLOOKUP($F216, codebooks_data_reordered!$A:$I, 6, FALSE)</f>
        <v>In their campaigns, the parties deal with the most important problems of the nation</v>
      </c>
      <c r="L216">
        <f>VLOOKUP($F216, codebooks_data_reordered!$A:$I, 7, FALSE)</f>
        <v>0</v>
      </c>
      <c r="M216" t="str">
        <f>VLOOKUP($F216, codebooks_data_reordered!$A:$I, 9, FALSE)</f>
        <v>1: To a great extent; 2: To a certain extent; 3: To a small extent; 4: Not at all</v>
      </c>
      <c r="O216" s="2" t="str">
        <f t="shared" si="3"/>
        <v>1: To a great extent
 2: To a certain extent
 3: To a small extent
 4: Not at all</v>
      </c>
    </row>
    <row r="217" spans="1:15" ht="288" hidden="1" x14ac:dyDescent="0.3">
      <c r="A217" t="s">
        <v>6205</v>
      </c>
      <c r="B217" t="s">
        <v>6407</v>
      </c>
      <c r="C217" s="2" t="s">
        <v>6408</v>
      </c>
      <c r="D217" t="s">
        <v>5843</v>
      </c>
      <c r="E217" s="2" t="s">
        <v>6409</v>
      </c>
      <c r="F217" t="s">
        <v>5419</v>
      </c>
      <c r="G217" t="str">
        <f>VLOOKUP($F217, codebooks_data_reordered!$A:$I, 2, FALSE)</f>
        <v>1973_5</v>
      </c>
      <c r="H217" t="str">
        <f>VLOOKUP($F217, codebooks_data_reordered!$A:$I, 3, FALSE)</f>
        <v>POLITICAL LEADERS AND HOW INTERVIEWEE RELATES TO THEM, HOW IMPORTANT THIS FACTOR WAS TO INTERVIEWEE'S VOTE</v>
      </c>
      <c r="I217" t="str">
        <f>VLOOKUP($F217, codebooks_data_reordered!$A:$I, 4, FALSE)</f>
        <v>1</v>
      </c>
      <c r="J217" t="str">
        <f>VLOOKUP($F217, codebooks_data_reordered!$A:$I, 5, FALSE)</f>
        <v>62</v>
      </c>
      <c r="K217" t="str">
        <f>VLOOKUP($F217, codebooks_data_reordered!$A:$I, 6, FALSE)</f>
        <v>Sex</v>
      </c>
      <c r="L217">
        <f>VLOOKUP($F217, codebooks_data_reordered!$A:$I, 7, FALSE)</f>
        <v>0</v>
      </c>
      <c r="M217" t="str">
        <f>VLOOKUP($F217, codebooks_data_reordered!$A:$I, 9, FALSE)</f>
        <v>1: Male; 2: Female</v>
      </c>
      <c r="O217" s="2" t="str">
        <f t="shared" si="3"/>
        <v>1: Male
 2: Female</v>
      </c>
    </row>
    <row r="218" spans="1:15" ht="158.4" hidden="1" x14ac:dyDescent="0.3">
      <c r="A218" t="s">
        <v>6205</v>
      </c>
      <c r="B218" t="s">
        <v>6410</v>
      </c>
      <c r="C218" s="2" t="s">
        <v>6411</v>
      </c>
      <c r="D218" t="s">
        <v>5843</v>
      </c>
      <c r="E218" s="2" t="s">
        <v>6412</v>
      </c>
      <c r="F218" t="s">
        <v>5186</v>
      </c>
      <c r="G218" t="str">
        <f>VLOOKUP($F218, codebooks_data_reordered!$A:$I, 2, FALSE)</f>
        <v>1973_4</v>
      </c>
      <c r="H218" t="str">
        <f>VLOOKUP($F218, codebooks_data_reordered!$A:$I, 3, FALSE)</f>
        <v>December 1973</v>
      </c>
      <c r="I218" t="str">
        <f>VLOOKUP($F218, codebooks_data_reordered!$A:$I, 4, FALSE)</f>
        <v>1</v>
      </c>
      <c r="J218" t="str">
        <f>VLOOKUP($F218, codebooks_data_reordered!$A:$I, 5, FALSE)</f>
        <v>6</v>
      </c>
      <c r="K218" t="str">
        <f>VLOOKUP($F218, codebooks_data_reordered!$A:$I, 6, FALSE)</f>
        <v>The second problem</v>
      </c>
      <c r="L218">
        <f>VLOOKUP($F218, codebooks_data_reordered!$A:$I, 7, FALSE)</f>
        <v>0</v>
      </c>
      <c r="M218" t="str">
        <f>VLOOKUP($F218, codebooks_data_reordered!$A:$I, 9, FALSE)</f>
        <v>1: Security; 2: Peace; 3: Economy; 4: Immigration and absorption; 5: Education; 6: Social inequality; 7: Housing for young couples; 8: Other domestic problems</v>
      </c>
      <c r="O218" s="2" t="str">
        <f t="shared" si="3"/>
        <v>1: Security
 2: Peace
 3: Economy
 4: Immigration and absorption
 5: Education
 6: Social inequality
 7: Housing for young couples
 8: Other domestic problems</v>
      </c>
    </row>
    <row r="219" spans="1:15" ht="115.2" hidden="1" x14ac:dyDescent="0.3">
      <c r="A219" t="s">
        <v>6205</v>
      </c>
      <c r="B219" t="s">
        <v>6413</v>
      </c>
      <c r="C219" s="2" t="s">
        <v>6414</v>
      </c>
      <c r="D219" t="s">
        <v>5843</v>
      </c>
      <c r="E219" s="2" t="s">
        <v>6415</v>
      </c>
      <c r="F219" t="s">
        <v>629</v>
      </c>
      <c r="G219" t="str">
        <f>VLOOKUP($F219, codebooks_data_reordered!$A:$I, 2, FALSE)</f>
        <v>2006</v>
      </c>
      <c r="H219" t="str">
        <f>VLOOKUP($F219, codebooks_data_reordered!$A:$I, 3, FALSE)</f>
        <v>Chance the Party to be in the Next Government</v>
      </c>
      <c r="I219" t="str">
        <f>VLOOKUP($F219, codebooks_data_reordered!$A:$I, 4, FALSE)</f>
        <v>1</v>
      </c>
      <c r="J219" t="str">
        <f>VLOOKUP($F219, codebooks_data_reordered!$A:$I, 5, FALSE)</f>
        <v>207-209</v>
      </c>
      <c r="K219" t="str">
        <f>VLOOKUP($F219, codebooks_data_reordered!$A:$I, 6, FALSE)</f>
        <v>Number of seats you think the party you vote will win</v>
      </c>
      <c r="L219" t="str">
        <f>VLOOKUP($F219, codebooks_data_reordered!$A:$I, 7, FALSE)</f>
        <v>And what about the number of MKs these parties will have in the next Knesset? How many MKs willhave? And (the party he said he will vote for in the previous question)</v>
      </c>
      <c r="M219">
        <f>VLOOKUP($F219, codebooks_data_reordered!$A:$I, 9, FALSE)</f>
        <v>0</v>
      </c>
      <c r="O219" s="2" t="str">
        <f t="shared" si="3"/>
        <v>0</v>
      </c>
    </row>
    <row r="220" spans="1:15" ht="129.6" hidden="1" x14ac:dyDescent="0.3">
      <c r="A220" t="s">
        <v>6205</v>
      </c>
      <c r="B220" t="s">
        <v>6416</v>
      </c>
      <c r="C220" s="2" t="s">
        <v>6417</v>
      </c>
      <c r="D220" t="s">
        <v>5843</v>
      </c>
      <c r="E220" s="2" t="s">
        <v>6418</v>
      </c>
      <c r="F220" t="s">
        <v>889</v>
      </c>
      <c r="G220" t="str">
        <f>VLOOKUP($F220, codebooks_data_reordered!$A:$I, 2, FALSE)</f>
        <v>2006</v>
      </c>
      <c r="H220" t="str">
        <f>VLOOKUP($F220, codebooks_data_reordered!$A:$I, 3, FALSE)</f>
        <v>Post-Election Survey</v>
      </c>
      <c r="I220" t="str">
        <f>VLOOKUP($F220, codebooks_data_reordered!$A:$I, 4, FALSE)</f>
        <v>1</v>
      </c>
      <c r="J220" t="str">
        <f>VLOOKUP($F220, codebooks_data_reordered!$A:$I, 5, FALSE)</f>
        <v>323</v>
      </c>
      <c r="K220" t="str">
        <f>VLOOKUP($F220, codebooks_data_reordered!$A:$I, 6, FALSE)</f>
        <v>Pleased with election results</v>
      </c>
      <c r="L220" t="str">
        <f>VLOOKUP($F220, codebooks_data_reordered!$A:$I, 7, FALSE)</f>
        <v>10. In general, are you pleased or not pleased with the election results?</v>
      </c>
      <c r="M220" t="str">
        <f>VLOOKUP($F220, codebooks_data_reordered!$A:$I, 9, FALSE)</f>
        <v>1: Very pleased; 2: Pleased; 3: Not very pleased; 4: Not pleased at all</v>
      </c>
      <c r="O220" s="2" t="str">
        <f t="shared" si="3"/>
        <v>1: Very pleased
 2: Pleased
 3: Not very pleased
 4: Not pleased at all</v>
      </c>
    </row>
    <row r="221" spans="1:15" ht="129.6" hidden="1" x14ac:dyDescent="0.3">
      <c r="A221" t="s">
        <v>6205</v>
      </c>
      <c r="B221" t="s">
        <v>6419</v>
      </c>
      <c r="C221" s="2" t="s">
        <v>6417</v>
      </c>
      <c r="D221" t="s">
        <v>5843</v>
      </c>
      <c r="E221" s="2" t="s">
        <v>6418</v>
      </c>
      <c r="F221" t="s">
        <v>4954</v>
      </c>
      <c r="G221" t="str">
        <f>VLOOKUP($F221, codebooks_data_reordered!$A:$I, 2, FALSE)</f>
        <v>1973_2</v>
      </c>
      <c r="H221" t="str">
        <f>VLOOKUP($F221, codebooks_data_reordered!$A:$I, 3, FALSE)</f>
        <v>DO YOU AGREE WITH THE FOLLOWING STATEMENT</v>
      </c>
      <c r="I221" t="str">
        <f>VLOOKUP($F221, codebooks_data_reordered!$A:$I, 4, FALSE)</f>
        <v>2</v>
      </c>
      <c r="J221" t="str">
        <f>VLOOKUP($F221, codebooks_data_reordered!$A:$I, 5, FALSE)</f>
        <v>15</v>
      </c>
      <c r="K221" t="str">
        <f>VLOOKUP($F221, codebooks_data_reordered!$A:$I, 6, FALSE)</f>
        <v>To what extent does being active in campaign make you more respected by your friends</v>
      </c>
      <c r="L221">
        <f>VLOOKUP($F221, codebooks_data_reordered!$A:$I, 7, FALSE)</f>
        <v>0</v>
      </c>
      <c r="M221" t="str">
        <f>VLOOKUP($F221, codebooks_data_reordered!$A:$I, 9, FALSE)</f>
        <v>0: No answer; 1: To a great extent; 2: To a certain extent; 3: To a small extent; 4: Not at all; 9: Not active</v>
      </c>
      <c r="O221" s="2" t="str">
        <f t="shared" si="3"/>
        <v>0: No answer
 1: To a great extent
 2: To a certain extent
 3: To a small extent
 4: Not at all
 9: Not active</v>
      </c>
    </row>
    <row r="222" spans="1:15" ht="28.8" hidden="1" x14ac:dyDescent="0.3">
      <c r="A222" t="s">
        <v>6205</v>
      </c>
      <c r="B222" t="s">
        <v>6420</v>
      </c>
      <c r="C222" s="2" t="s">
        <v>6421</v>
      </c>
      <c r="D222" t="s">
        <v>6422</v>
      </c>
      <c r="E222" s="2" t="s">
        <v>6423</v>
      </c>
      <c r="F222" t="s">
        <v>9195</v>
      </c>
      <c r="G222" t="e">
        <f>VLOOKUP($F222, codebooks_data_reordered!$A:$I, 2, FALSE)</f>
        <v>#N/A</v>
      </c>
      <c r="H222" t="e">
        <f>VLOOKUP($F222, codebooks_data_reordered!$A:$I, 3, FALSE)</f>
        <v>#N/A</v>
      </c>
      <c r="I222" t="e">
        <f>VLOOKUP($F222, codebooks_data_reordered!$A:$I, 4, FALSE)</f>
        <v>#N/A</v>
      </c>
      <c r="J222" t="e">
        <f>VLOOKUP($F222, codebooks_data_reordered!$A:$I, 5, FALSE)</f>
        <v>#N/A</v>
      </c>
      <c r="K222" t="e">
        <f>VLOOKUP($F222, codebooks_data_reordered!$A:$I, 6, FALSE)</f>
        <v>#N/A</v>
      </c>
      <c r="L222" t="e">
        <f>VLOOKUP($F222, codebooks_data_reordered!$A:$I, 7, FALSE)</f>
        <v>#N/A</v>
      </c>
      <c r="M222" t="e">
        <f>VLOOKUP($F222, codebooks_data_reordered!$A:$I, 9, FALSE)</f>
        <v>#N/A</v>
      </c>
      <c r="O222" t="e">
        <f t="shared" si="3"/>
        <v>#N/A</v>
      </c>
    </row>
    <row r="223" spans="1:15" ht="144" hidden="1" x14ac:dyDescent="0.3">
      <c r="A223" t="s">
        <v>6205</v>
      </c>
      <c r="B223" t="s">
        <v>6424</v>
      </c>
      <c r="C223" s="2" t="s">
        <v>6425</v>
      </c>
      <c r="D223" t="s">
        <v>5843</v>
      </c>
      <c r="E223" s="2" t="s">
        <v>6426</v>
      </c>
      <c r="F223" t="s">
        <v>3817</v>
      </c>
      <c r="G223" t="str">
        <f>VLOOKUP($F223, codebooks_data_reordered!$A:$I, 2, FALSE)</f>
        <v>1988_N=873</v>
      </c>
      <c r="H223" t="str">
        <f>VLOOKUP($F223, codebooks_data_reordered!$A:$I, 3, FALSE)</f>
        <v>FOR WHICH PARTIES WOULD YOU VOTE FOR IF NO LIMITATION IS POSED</v>
      </c>
      <c r="I223" t="str">
        <f>VLOOKUP($F223, codebooks_data_reordered!$A:$I, 4, FALSE)</f>
        <v>1</v>
      </c>
      <c r="J223" t="str">
        <f>VLOOKUP($F223, codebooks_data_reordered!$A:$I, 5, FALSE)</f>
        <v>173-174</v>
      </c>
      <c r="K223" t="str">
        <f>VLOOKUP($F223, codebooks_data_reordered!$A:$I, 6, FALSE)</f>
        <v>Estimate of percentage of public thinking that above is fair</v>
      </c>
      <c r="L223">
        <f>VLOOKUP($F223, codebooks_data_reordered!$A:$I, 7, FALSE)</f>
        <v>0</v>
      </c>
      <c r="M223" t="str">
        <f>VLOOKUP($F223, codebooks_data_reordered!$A:$I, 9, FALSE)</f>
        <v>0: Minority; 99: Majority</v>
      </c>
      <c r="O223" s="2" t="str">
        <f t="shared" si="3"/>
        <v>0: Minority
 99: Majority</v>
      </c>
    </row>
    <row r="224" spans="1:15" ht="187.2" hidden="1" x14ac:dyDescent="0.3">
      <c r="A224" t="s">
        <v>6205</v>
      </c>
      <c r="B224" t="s">
        <v>6427</v>
      </c>
      <c r="C224" s="2" t="s">
        <v>6428</v>
      </c>
      <c r="D224" t="s">
        <v>5843</v>
      </c>
      <c r="E224" s="2" t="s">
        <v>6429</v>
      </c>
      <c r="F224" t="s">
        <v>5096</v>
      </c>
      <c r="G224" t="str">
        <f>VLOOKUP($F224, codebooks_data_reordered!$A:$I, 2, FALSE)</f>
        <v>1973_3</v>
      </c>
      <c r="H224" t="str">
        <f>VLOOKUP($F224, codebooks_data_reordered!$A:$I, 3, FALSE)</f>
        <v>November 1973</v>
      </c>
      <c r="I224" t="str">
        <f>VLOOKUP($F224, codebooks_data_reordered!$A:$I, 4, FALSE)</f>
        <v>1</v>
      </c>
      <c r="J224" t="str">
        <f>VLOOKUP($F224, codebooks_data_reordered!$A:$I, 5, FALSE)</f>
        <v>1-4</v>
      </c>
      <c r="K224" t="str">
        <f>VLOOKUP($F224, codebooks_data_reordered!$A:$I, 6, FALSE)</f>
        <v>Identity number</v>
      </c>
      <c r="L224">
        <f>VLOOKUP($F224, codebooks_data_reordered!$A:$I, 7, FALSE)</f>
        <v>0</v>
      </c>
      <c r="M224">
        <f>VLOOKUP($F224, codebooks_data_reordered!$A:$I, 9, FALSE)</f>
        <v>0</v>
      </c>
      <c r="O224" s="2" t="str">
        <f t="shared" si="3"/>
        <v>0</v>
      </c>
    </row>
    <row r="225" spans="1:15" ht="115.2" hidden="1" x14ac:dyDescent="0.3">
      <c r="A225" t="s">
        <v>6205</v>
      </c>
      <c r="B225" t="s">
        <v>6430</v>
      </c>
      <c r="C225" s="2" t="s">
        <v>6431</v>
      </c>
      <c r="D225" t="s">
        <v>5843</v>
      </c>
      <c r="E225" s="2" t="s">
        <v>6432</v>
      </c>
      <c r="F225" t="s">
        <v>5099</v>
      </c>
      <c r="G225" t="str">
        <f>VLOOKUP($F225, codebooks_data_reordered!$A:$I, 2, FALSE)</f>
        <v>1973_3</v>
      </c>
      <c r="H225" t="str">
        <f>VLOOKUP($F225, codebooks_data_reordered!$A:$I, 3, FALSE)</f>
        <v>November 1973</v>
      </c>
      <c r="I225" t="str">
        <f>VLOOKUP($F225, codebooks_data_reordered!$A:$I, 4, FALSE)</f>
        <v>1</v>
      </c>
      <c r="J225" t="str">
        <f>VLOOKUP($F225, codebooks_data_reordered!$A:$I, 5, FALSE)</f>
        <v>5</v>
      </c>
      <c r="K225" t="str">
        <f>VLOOKUP($F225, codebooks_data_reordered!$A:$I, 6, FALSE)</f>
        <v>To what extent Israel's situation changed for better or for worse as a consequence of the Yom Kippur War</v>
      </c>
      <c r="L225">
        <f>VLOOKUP($F225, codebooks_data_reordered!$A:$I, 7, FALSE)</f>
        <v>0</v>
      </c>
      <c r="M225" t="str">
        <f>VLOOKUP($F225, codebooks_data_reordered!$A:$I, 9, FALSE)</f>
        <v>1: Changed a lot for better; 2: Changed for better; 3: Did not change; 4: Changed for worse; 5: Changed a lot for worse</v>
      </c>
      <c r="O225" s="2" t="str">
        <f t="shared" si="3"/>
        <v>1: Changed a lot for better
 2: Changed for better
 3: Did not change
 4: Changed for worse
 5: Changed a lot for worse</v>
      </c>
    </row>
    <row r="226" spans="1:15" ht="115.2" hidden="1" x14ac:dyDescent="0.3">
      <c r="A226" t="s">
        <v>6205</v>
      </c>
      <c r="B226" t="s">
        <v>6433</v>
      </c>
      <c r="C226" s="2" t="s">
        <v>6431</v>
      </c>
      <c r="D226" t="s">
        <v>5843</v>
      </c>
      <c r="E226" s="2" t="s">
        <v>6432</v>
      </c>
      <c r="F226" t="s">
        <v>3672</v>
      </c>
      <c r="G226" t="str">
        <f>VLOOKUP($F226, codebooks_data_reordered!$A:$I, 2, FALSE)</f>
        <v>1988_N=873</v>
      </c>
      <c r="H226" t="str">
        <f>VLOOKUP($F226, codebooks_data_reordered!$A:$I, 3, FALSE)</f>
        <v>ISRAEL'S CAPABILITY OF COPING WITH VARIOUS SITUATIONS</v>
      </c>
      <c r="I226" t="str">
        <f>VLOOKUP($F226, codebooks_data_reordered!$A:$I, 4, FALSE)</f>
        <v>1</v>
      </c>
      <c r="J226" t="str">
        <f>VLOOKUP($F226, codebooks_data_reordered!$A:$I, 5, FALSE)</f>
        <v>35</v>
      </c>
      <c r="K226" t="str">
        <f>VLOOKUP($F226, codebooks_data_reordered!$A:$I, 6, FALSE)</f>
        <v>Evaluation of the necessity of national security overriding other issues</v>
      </c>
      <c r="L226">
        <f>VLOOKUP($F226, codebooks_data_reordered!$A:$I, 7, FALSE)</f>
        <v>0</v>
      </c>
      <c r="M226" t="str">
        <f>VLOOKUP($F226, codebooks_data_reordered!$A:$I, 9, FALSE)</f>
        <v>1: Primary preference over all other issues; 7: Security must not be reached at any price</v>
      </c>
      <c r="O226" s="2" t="str">
        <f t="shared" si="3"/>
        <v>1: Primary preference over all other issues
 7: Security must not be reached at any price</v>
      </c>
    </row>
    <row r="227" spans="1:15" ht="129.6" hidden="1" x14ac:dyDescent="0.3">
      <c r="A227" t="s">
        <v>6205</v>
      </c>
      <c r="B227" t="s">
        <v>6434</v>
      </c>
      <c r="C227" s="2" t="s">
        <v>6435</v>
      </c>
      <c r="D227" t="s">
        <v>5843</v>
      </c>
      <c r="E227" s="2" t="s">
        <v>6436</v>
      </c>
      <c r="F227" t="s">
        <v>651</v>
      </c>
      <c r="G227" t="str">
        <f>VLOOKUP($F227, codebooks_data_reordered!$A:$I, 2, FALSE)</f>
        <v>2006</v>
      </c>
      <c r="H227" t="str">
        <f>VLOOKUP($F227, codebooks_data_reordered!$A:$I, 3, FALSE)</f>
        <v>Different Coalitions after the Elections</v>
      </c>
      <c r="I227" t="str">
        <f>VLOOKUP($F227, codebooks_data_reordered!$A:$I, 4, FALSE)</f>
        <v>1</v>
      </c>
      <c r="J227" t="str">
        <f>VLOOKUP($F227, codebooks_data_reordered!$A:$I, 5, FALSE)</f>
        <v>228-230</v>
      </c>
      <c r="K227" t="str">
        <f>VLOOKUP($F227, codebooks_data_reordered!$A:$I, 6, FALSE)</f>
        <v>Chances for Kadima-Labor-Likud-Right parties and Haredim coalition</v>
      </c>
      <c r="L227" t="str">
        <f>VLOOKUP($F227,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227">
        <f>VLOOKUP($F227, codebooks_data_reordered!$A:$I, 9, FALSE)</f>
        <v>0</v>
      </c>
      <c r="O227" s="2" t="str">
        <f t="shared" si="3"/>
        <v>0</v>
      </c>
    </row>
    <row r="228" spans="1:15" ht="115.2" hidden="1" x14ac:dyDescent="0.3">
      <c r="A228" t="s">
        <v>6205</v>
      </c>
      <c r="B228" t="s">
        <v>6437</v>
      </c>
      <c r="C228" s="2" t="s">
        <v>6431</v>
      </c>
      <c r="D228" t="s">
        <v>5843</v>
      </c>
      <c r="E228" s="2" t="s">
        <v>6432</v>
      </c>
      <c r="F228" t="s">
        <v>709</v>
      </c>
      <c r="G228" t="str">
        <f>VLOOKUP($F228, codebooks_data_reordered!$A:$I, 2, FALSE)</f>
        <v>2006</v>
      </c>
      <c r="H228" t="str">
        <f>VLOOKUP($F228, codebooks_data_reordered!$A:$I, 3, FALSE)</f>
        <v>Self-identity</v>
      </c>
      <c r="I228" t="str">
        <f>VLOOKUP($F228, codebooks_data_reordered!$A:$I, 4, FALSE)</f>
        <v>1</v>
      </c>
      <c r="J228" t="str">
        <f>VLOOKUP($F228, codebooks_data_reordered!$A:$I, 5, FALSE)</f>
        <v>259</v>
      </c>
      <c r="K228" t="str">
        <f>VLOOKUP($F228, codebooks_data_reordered!$A:$I, 6, FALSE)</f>
        <v>Self-identity for Jews (second)</v>
      </c>
      <c r="L228" t="str">
        <f>VLOOKUP($F228, codebooks_data_reordered!$A:$I, 7, FALSE)</f>
        <v>(for Jews) Which of the following concepts best defines your identity? (read) and the second? And the third? And the fourth?</v>
      </c>
      <c r="M228" t="str">
        <f>VLOOKUP($F228, codebooks_data_reordered!$A:$I, 9, FALSE)</f>
        <v>1: Israeli; 2: Jewish; 3: Ashkenazi/Sfaradi; 4: Religious/Secular; 5: Russian</v>
      </c>
      <c r="O228" s="2" t="str">
        <f t="shared" si="3"/>
        <v>1: Israeli
 2: Jewish
 3: Ashkenazi/Sfaradi
 4: Religious/Secular
 5: Russian</v>
      </c>
    </row>
    <row r="229" spans="1:15" ht="115.2" hidden="1" x14ac:dyDescent="0.3">
      <c r="A229" t="s">
        <v>6205</v>
      </c>
      <c r="B229" t="s">
        <v>6438</v>
      </c>
      <c r="C229" s="2" t="s">
        <v>6431</v>
      </c>
      <c r="D229" t="s">
        <v>5843</v>
      </c>
      <c r="E229" s="2" t="s">
        <v>6432</v>
      </c>
      <c r="F229" t="s">
        <v>4967</v>
      </c>
      <c r="G229" t="str">
        <f>VLOOKUP($F229, codebooks_data_reordered!$A:$I, 2, FALSE)</f>
        <v>1973_2</v>
      </c>
      <c r="H229" t="str">
        <f>VLOOKUP($F229, codebooks_data_reordered!$A:$I, 3, FALSE)</f>
        <v>DO YOU AGREE WITH THE FOLLOWING STATEMENT</v>
      </c>
      <c r="I229" t="str">
        <f>VLOOKUP($F229, codebooks_data_reordered!$A:$I, 4, FALSE)</f>
        <v>2</v>
      </c>
      <c r="J229" t="str">
        <f>VLOOKUP($F229, codebooks_data_reordered!$A:$I, 5, FALSE)</f>
        <v>25</v>
      </c>
      <c r="K229" t="str">
        <f>VLOOKUP($F229, codebooks_data_reordered!$A:$I, 6, FALSE)</f>
        <v>Do you think that if the voter doesn't support any specific party he shouldn't vote</v>
      </c>
      <c r="L229">
        <f>VLOOKUP($F229, codebooks_data_reordered!$A:$I, 7, FALSE)</f>
        <v>0</v>
      </c>
      <c r="M229" t="str">
        <f>VLOOKUP($F229, codebooks_data_reordered!$A:$I, 9, FALSE)</f>
        <v>0: No answer; 1: He shouldn't vote; 2: He should; 3: He should vote for some party</v>
      </c>
      <c r="O229" s="2" t="str">
        <f t="shared" si="3"/>
        <v>0: No answer
 1: He shouldn't vote
 2: He should
 3: He should vote for some party</v>
      </c>
    </row>
    <row r="230" spans="1:15" ht="115.2" hidden="1" x14ac:dyDescent="0.3">
      <c r="A230" t="s">
        <v>6205</v>
      </c>
      <c r="B230" t="s">
        <v>6439</v>
      </c>
      <c r="C230" s="2" t="s">
        <v>6431</v>
      </c>
      <c r="D230" t="s">
        <v>5843</v>
      </c>
      <c r="E230" s="2" t="s">
        <v>6432</v>
      </c>
      <c r="F230" t="s">
        <v>721</v>
      </c>
      <c r="G230" t="str">
        <f>VLOOKUP($F230, codebooks_data_reordered!$A:$I, 2, FALSE)</f>
        <v>2006</v>
      </c>
      <c r="H230" t="str">
        <f>VLOOKUP($F230, codebooks_data_reordered!$A:$I, 3, FALSE)</f>
        <v>Self-identity</v>
      </c>
      <c r="I230" t="str">
        <f>VLOOKUP($F230, codebooks_data_reordered!$A:$I, 4, FALSE)</f>
        <v>1</v>
      </c>
      <c r="J230" t="str">
        <f>VLOOKUP($F230, codebooks_data_reordered!$A:$I, 5, FALSE)</f>
        <v>262</v>
      </c>
      <c r="K230" t="str">
        <f>VLOOKUP($F230, codebooks_data_reordered!$A:$I, 6, FALSE)</f>
        <v>Self-identity for Arabs (first)</v>
      </c>
      <c r="L230" t="str">
        <f>VLOOKUP($F230, codebooks_data_reordered!$A:$I, 7, FALSE)</f>
        <v>(for Arabs): Which of the following concepts best defines your identity? (read) and the second? And the third? And the fourth?</v>
      </c>
      <c r="M230" t="str">
        <f>VLOOKUP($F230, codebooks_data_reordered!$A:$I, 9, FALSE)</f>
        <v>1: Israeli; 2: Palestinian; 3: Arab; 4: Muslim/Christian/Druze</v>
      </c>
      <c r="O230" s="2" t="str">
        <f t="shared" si="3"/>
        <v>1: Israeli
 2: Palestinian
 3: Arab
 4: Muslim/Christian/Druze</v>
      </c>
    </row>
    <row r="231" spans="1:15" ht="115.2" hidden="1" x14ac:dyDescent="0.3">
      <c r="A231" t="s">
        <v>6205</v>
      </c>
      <c r="B231" t="s">
        <v>6440</v>
      </c>
      <c r="C231" s="2" t="s">
        <v>6431</v>
      </c>
      <c r="D231" t="s">
        <v>5843</v>
      </c>
      <c r="E231" s="2" t="s">
        <v>6432</v>
      </c>
      <c r="F231" t="s">
        <v>943</v>
      </c>
      <c r="G231" t="str">
        <f>VLOOKUP($F231, codebooks_data_reordered!$A:$I, 2, FALSE)</f>
        <v>2006</v>
      </c>
      <c r="H231" t="str">
        <f>VLOOKUP($F231, codebooks_data_reordered!$A:$I, 3, FALSE)</f>
        <v>Reason for not Vote</v>
      </c>
      <c r="I231" t="str">
        <f>VLOOKUP($F231, codebooks_data_reordered!$A:$I, 4, FALSE)</f>
        <v>1</v>
      </c>
      <c r="J231" t="str">
        <f>VLOOKUP($F231, codebooks_data_reordered!$A:$I, 5, FALSE)</f>
        <v>337</v>
      </c>
      <c r="K231" t="str">
        <f>VLOOKUP($F231, codebooks_data_reordered!$A:$I, 6, FALSE)</f>
        <v>Disengagement plan and the future of the settlements in the territories</v>
      </c>
      <c r="L231" t="str">
        <f>VLOOKUP($F231, codebooks_data_reordered!$A:$I, 7, FALSE)</f>
        <v>24. About the disengagement plan and the future of the settlements in the territories</v>
      </c>
      <c r="M231" t="str">
        <f>VLOOKUP($F231, codebooks_data_reordered!$A:$I, 9, FALSE)</f>
        <v>1: Strongly disagree; 2: Disagree; 3: Not certain; 4: Agree; 5: Strongly agree</v>
      </c>
      <c r="O231" s="2" t="str">
        <f t="shared" si="3"/>
        <v>1: Strongly disagree
 2: Disagree
 3: Not certain
 4: Agree
 5: Strongly agree</v>
      </c>
    </row>
    <row r="232" spans="1:15" ht="115.2" hidden="1" x14ac:dyDescent="0.3">
      <c r="A232" t="s">
        <v>6205</v>
      </c>
      <c r="B232" t="s">
        <v>6441</v>
      </c>
      <c r="C232" s="2" t="s">
        <v>6431</v>
      </c>
      <c r="D232" t="s">
        <v>5843</v>
      </c>
      <c r="E232" s="2" t="s">
        <v>6432</v>
      </c>
      <c r="F232" t="s">
        <v>727</v>
      </c>
      <c r="G232" t="str">
        <f>VLOOKUP($F232, codebooks_data_reordered!$A:$I, 2, FALSE)</f>
        <v>2006</v>
      </c>
      <c r="H232" t="str">
        <f>VLOOKUP($F232, codebooks_data_reordered!$A:$I, 3, FALSE)</f>
        <v>Self-identity</v>
      </c>
      <c r="I232" t="str">
        <f>VLOOKUP($F232, codebooks_data_reordered!$A:$I, 4, FALSE)</f>
        <v>1</v>
      </c>
      <c r="J232" t="str">
        <f>VLOOKUP($F232, codebooks_data_reordered!$A:$I, 5, FALSE)</f>
        <v>264</v>
      </c>
      <c r="K232" t="str">
        <f>VLOOKUP($F232, codebooks_data_reordered!$A:$I, 6, FALSE)</f>
        <v>Self-identity for Arabs (third)</v>
      </c>
      <c r="L232" t="str">
        <f>VLOOKUP($F232, codebooks_data_reordered!$A:$I, 7, FALSE)</f>
        <v>(for Arabs): Which of the following concepts best defines your identity? (read) and the second? And the third? And the fourth?</v>
      </c>
      <c r="M232" t="str">
        <f>VLOOKUP($F232, codebooks_data_reordered!$A:$I, 9, FALSE)</f>
        <v>1: Israeli; 2: Palestinian; 3: Arab; 4: Muslim/Christian/Druze</v>
      </c>
      <c r="O232" s="2" t="str">
        <f t="shared" si="3"/>
        <v>1: Israeli
 2: Palestinian
 3: Arab
 4: Muslim/Christian/Druze</v>
      </c>
    </row>
    <row r="233" spans="1:15" ht="115.2" hidden="1" x14ac:dyDescent="0.3">
      <c r="A233" t="s">
        <v>6205</v>
      </c>
      <c r="B233" t="s">
        <v>6442</v>
      </c>
      <c r="C233" s="2" t="s">
        <v>6431</v>
      </c>
      <c r="D233" t="s">
        <v>5843</v>
      </c>
      <c r="E233" s="2" t="s">
        <v>6432</v>
      </c>
      <c r="F233" t="s">
        <v>951</v>
      </c>
      <c r="G233" t="str">
        <f>VLOOKUP($F233, codebooks_data_reordered!$A:$I, 2, FALSE)</f>
        <v>2006</v>
      </c>
      <c r="H233" t="str">
        <f>VLOOKUP($F233, codebooks_data_reordered!$A:$I, 3, FALSE)</f>
        <v>Reason for not Vote</v>
      </c>
      <c r="I233" t="str">
        <f>VLOOKUP($F233, codebooks_data_reordered!$A:$I, 4, FALSE)</f>
        <v>1</v>
      </c>
      <c r="J233" t="str">
        <f>VLOOKUP($F233, codebooks_data_reordered!$A:$I, 5, FALSE)</f>
        <v>339</v>
      </c>
      <c r="K233" t="str">
        <f>VLOOKUP($F233, codebooks_data_reordered!$A:$I, 6, FALSE)</f>
        <v>Elections were about: Dealling with security challenges</v>
      </c>
      <c r="L233" t="str">
        <f>VLOOKUP($F233, codebooks_data_reordered!$A:$I, 7, FALSE)</f>
        <v>26. About who will deal better with security challenges (Hamas election, the threat from Iran)</v>
      </c>
      <c r="M233" t="str">
        <f>VLOOKUP($F233, codebooks_data_reordered!$A:$I, 9, FALSE)</f>
        <v>1: Strongly disagree; 2: Disagree; 3: Not certain; 4: Agree; 5: Strongly agree</v>
      </c>
      <c r="O233" s="2" t="str">
        <f t="shared" si="3"/>
        <v>1: Strongly disagree
 2: Disagree
 3: Not certain
 4: Agree
 5: Strongly agree</v>
      </c>
    </row>
    <row r="234" spans="1:15" ht="115.2" hidden="1" x14ac:dyDescent="0.3">
      <c r="A234" t="s">
        <v>6205</v>
      </c>
      <c r="B234" t="s">
        <v>6443</v>
      </c>
      <c r="C234" s="2" t="s">
        <v>6431</v>
      </c>
      <c r="D234" t="s">
        <v>5843</v>
      </c>
      <c r="E234" s="2" t="s">
        <v>6432</v>
      </c>
      <c r="F234" t="s">
        <v>955</v>
      </c>
      <c r="G234" t="str">
        <f>VLOOKUP($F234, codebooks_data_reordered!$A:$I, 2, FALSE)</f>
        <v>2006</v>
      </c>
      <c r="H234" t="str">
        <f>VLOOKUP($F234, codebooks_data_reordered!$A:$I, 3, FALSE)</f>
        <v>Reason for not Vote</v>
      </c>
      <c r="I234" t="str">
        <f>VLOOKUP($F234, codebooks_data_reordered!$A:$I, 4, FALSE)</f>
        <v>1</v>
      </c>
      <c r="J234" t="str">
        <f>VLOOKUP($F234, codebooks_data_reordered!$A:$I, 5, FALSE)</f>
        <v>340</v>
      </c>
      <c r="K234" t="str">
        <f>VLOOKUP($F234, codebooks_data_reordered!$A:$I, 6, FALSE)</f>
        <v>Elections were a protest against the establishment</v>
      </c>
      <c r="L234" t="str">
        <f>VLOOKUP($F234, codebooks_data_reordered!$A:$I, 7, FALSE)</f>
        <v>27. The elections were a protest against the establishment</v>
      </c>
      <c r="M234" t="str">
        <f>VLOOKUP($F234, codebooks_data_reordered!$A:$I, 9, FALSE)</f>
        <v>1: Strongly disagree; 2: Disagree; 3: Not certain; 4: Agree; 5: Strongly agree</v>
      </c>
      <c r="O234" s="2" t="str">
        <f t="shared" si="3"/>
        <v>1: Strongly disagree
 2: Disagree
 3: Not certain
 4: Agree
 5: Strongly agree</v>
      </c>
    </row>
    <row r="235" spans="1:15" ht="129.6" hidden="1" x14ac:dyDescent="0.3">
      <c r="A235" t="s">
        <v>6205</v>
      </c>
      <c r="B235" t="s">
        <v>6444</v>
      </c>
      <c r="C235" s="2" t="s">
        <v>6445</v>
      </c>
      <c r="D235" t="s">
        <v>5843</v>
      </c>
      <c r="E235" s="2" t="s">
        <v>6446</v>
      </c>
      <c r="F235" t="s">
        <v>336</v>
      </c>
      <c r="G235" t="str">
        <f>VLOOKUP($F235, codebooks_data_reordered!$A:$I, 2, FALSE)</f>
        <v>2006</v>
      </c>
      <c r="H235" t="str">
        <f>VLOOKUP($F235, codebooks_data_reordered!$A:$I, 3, FALSE)</f>
        <v>Party Differences</v>
      </c>
      <c r="I235" t="str">
        <f>VLOOKUP($F235, codebooks_data_reordered!$A:$I, 4, FALSE)</f>
        <v>1</v>
      </c>
      <c r="J235" t="str">
        <f>VLOOKUP($F235, codebooks_data_reordered!$A:$I, 5, FALSE)</f>
        <v>106</v>
      </c>
      <c r="K235" t="str">
        <f>VLOOKUP($F235, codebooks_data_reordered!$A:$I, 6, FALSE)</f>
        <v>Party differences on the following issue:Economy</v>
      </c>
      <c r="L235" t="str">
        <f>VLOOKUP($F235, codebooks_data_reordered!$A:$I, 7, FALSE)</f>
        <v>Do you think there are or are not differences among the parties on the following issues?</v>
      </c>
      <c r="M235" t="str">
        <f>VLOOKUP($F235, codebooks_data_reordered!$A:$I, 9, FALSE)</f>
        <v>1: Great differences; 5: Almost no differences</v>
      </c>
      <c r="O235" s="2" t="str">
        <f t="shared" si="3"/>
        <v>1: Great differences
 5: Almost no differences</v>
      </c>
    </row>
    <row r="236" spans="1:15" ht="115.2" hidden="1" x14ac:dyDescent="0.3">
      <c r="A236" t="s">
        <v>6205</v>
      </c>
      <c r="B236" t="s">
        <v>6447</v>
      </c>
      <c r="C236" s="2" t="s">
        <v>6448</v>
      </c>
      <c r="D236" t="s">
        <v>5843</v>
      </c>
      <c r="E236" s="2" t="s">
        <v>6449</v>
      </c>
      <c r="F236" t="s">
        <v>5072</v>
      </c>
      <c r="G236" t="str">
        <f>VLOOKUP($F236, codebooks_data_reordered!$A:$I, 2, FALSE)</f>
        <v>1973_2</v>
      </c>
      <c r="H236" t="str">
        <f>VLOOKUP($F236, codebooks_data_reordered!$A:$I, 3, FALSE)</f>
        <v>HOW WOULD YOU CLASSFIFY THE OTHER PARTIES BY PROXIMITY TO YOUR VIEWPOINTS</v>
      </c>
      <c r="I236" t="str">
        <f>VLOOKUP($F236, codebooks_data_reordered!$A:$I, 4, FALSE)</f>
        <v>3</v>
      </c>
      <c r="J236" t="str">
        <f>VLOOKUP($F236, codebooks_data_reordered!$A:$I, 5, FALSE)</f>
        <v>17</v>
      </c>
      <c r="K236" t="str">
        <f>VLOOKUP($F236, codebooks_data_reordered!$A:$I, 6, FALSE)</f>
        <v>If no, why did you change your mind</v>
      </c>
      <c r="L236">
        <f>VLOOKUP($F236, codebooks_data_reordered!$A:$I, 7, FALSE)</f>
        <v>0</v>
      </c>
      <c r="M236" t="str">
        <f>VLOOKUP($F236, codebooks_data_reordered!$A:$I, 9, FALSE)</f>
        <v>0: No answer; 1: Disappointment with the party; 2: Emergence of a new party; 3: Other</v>
      </c>
      <c r="O236" s="2" t="str">
        <f t="shared" si="3"/>
        <v>0: No answer
 1: Disappointment with the party
 2: Emergence of a new party
 3: Other</v>
      </c>
    </row>
    <row r="237" spans="1:15" ht="100.8" hidden="1" x14ac:dyDescent="0.3">
      <c r="A237" t="s">
        <v>6205</v>
      </c>
      <c r="B237" t="s">
        <v>6450</v>
      </c>
      <c r="C237" s="2" t="s">
        <v>6451</v>
      </c>
      <c r="D237" t="s">
        <v>5843</v>
      </c>
      <c r="E237" s="2" t="s">
        <v>6452</v>
      </c>
      <c r="F237" t="s">
        <v>339</v>
      </c>
      <c r="G237" t="str">
        <f>VLOOKUP($F237, codebooks_data_reordered!$A:$I, 2, FALSE)</f>
        <v>2006</v>
      </c>
      <c r="H237" t="str">
        <f>VLOOKUP($F237, codebooks_data_reordered!$A:$I, 3, FALSE)</f>
        <v>Party Differences</v>
      </c>
      <c r="I237" t="str">
        <f>VLOOKUP($F237, codebooks_data_reordered!$A:$I, 4, FALSE)</f>
        <v>1</v>
      </c>
      <c r="J237" t="str">
        <f>VLOOKUP($F237, codebooks_data_reordered!$A:$I, 5, FALSE)</f>
        <v>107</v>
      </c>
      <c r="K237" t="str">
        <f>VLOOKUP($F237, codebooks_data_reordered!$A:$I, 6, FALSE)</f>
        <v>Party differences on the following issue:Social policy</v>
      </c>
      <c r="L237" t="str">
        <f>VLOOKUP($F237, codebooks_data_reordered!$A:$I, 7, FALSE)</f>
        <v>Do you think there are or are not differences among the parties on the following issues?</v>
      </c>
      <c r="M237" t="str">
        <f>VLOOKUP($F237, codebooks_data_reordered!$A:$I, 9, FALSE)</f>
        <v>1: Great differences; 5: Almost no differences</v>
      </c>
      <c r="O237" s="2" t="str">
        <f t="shared" si="3"/>
        <v>1: Great differences
 5: Almost no differences</v>
      </c>
    </row>
    <row r="238" spans="1:15" ht="244.8" hidden="1" x14ac:dyDescent="0.3">
      <c r="A238" t="s">
        <v>6205</v>
      </c>
      <c r="B238" t="s">
        <v>6453</v>
      </c>
      <c r="C238" s="2" t="s">
        <v>6454</v>
      </c>
      <c r="D238" t="s">
        <v>5843</v>
      </c>
      <c r="E238" s="2" t="s">
        <v>6455</v>
      </c>
      <c r="F238" t="s">
        <v>5078</v>
      </c>
      <c r="G238" t="str">
        <f>VLOOKUP($F238, codebooks_data_reordered!$A:$I, 2, FALSE)</f>
        <v>1973_2</v>
      </c>
      <c r="H238" t="str">
        <f>VLOOKUP($F238, codebooks_data_reordered!$A:$I, 3, FALSE)</f>
        <v>HOW WOULD YOU CLASSFIFY THE OTHER PARTIES BY PROXIMITY TO YOUR VIEWPOINTS</v>
      </c>
      <c r="I238" t="str">
        <f>VLOOKUP($F238, codebooks_data_reordered!$A:$I, 4, FALSE)</f>
        <v>3</v>
      </c>
      <c r="J238" t="str">
        <f>VLOOKUP($F238, codebooks_data_reordered!$A:$I, 5, FALSE)</f>
        <v>19-20</v>
      </c>
      <c r="K238" t="str">
        <f>VLOOKUP($F238, codebooks_data_reordered!$A:$I, 6, FALSE)</f>
        <v>What party is capable of solving the city's most important problem</v>
      </c>
      <c r="L238">
        <f>VLOOKUP($F238, codebooks_data_reordered!$A:$I, 7, FALSE)</f>
        <v>0</v>
      </c>
      <c r="M238" t="str">
        <f>VLOOKUP($F238, codebooks_data_reordered!$A:$I, 9, FALSE)</f>
        <v>0: No answer; 1: Independant Liberals; 2: Alignment Labor-Mapam; 3: Poalei Agudat Israel; 4: National Religious Party; 5: Agudat Israel; 6: Moked; 7: Rakah; 8: Meri; 9: Israeli Democrats; 10: Likud; 11: Gahal; 12: Reshima Mamlachtit; 13: Free Center; 14: Other; 15: No party can solve it</v>
      </c>
      <c r="O238" s="2" t="str">
        <f t="shared" si="3"/>
        <v>0: No answer
 1: Independant Liberals
 2: Alignment Labor-Mapam
 3: Poalei Agudat Israel
 4: National Religious Party
 5: Agudat Israel
 6: Moked
 7: Rakah
 8: Meri
 9: Israeli Democrats
 10: Likud
 11: Gahal
 12: Reshima Mamlachtit
 13: Free Center
 14: Other
 15: No party can solve it</v>
      </c>
    </row>
    <row r="239" spans="1:15" ht="100.8" hidden="1" x14ac:dyDescent="0.3">
      <c r="A239" t="s">
        <v>6205</v>
      </c>
      <c r="B239" t="s">
        <v>6456</v>
      </c>
      <c r="C239" s="2" t="s">
        <v>6457</v>
      </c>
      <c r="D239" t="s">
        <v>5843</v>
      </c>
      <c r="E239" s="2" t="s">
        <v>6458</v>
      </c>
      <c r="F239" t="s">
        <v>5080</v>
      </c>
      <c r="G239" t="str">
        <f>VLOOKUP($F239, codebooks_data_reordered!$A:$I, 2, FALSE)</f>
        <v>1973_2</v>
      </c>
      <c r="H239" t="str">
        <f>VLOOKUP($F239, codebooks_data_reordered!$A:$I, 3, FALSE)</f>
        <v>HOW WOULD YOU CLASSFIFY THE OTHER PARTIES BY PROXIMITY TO YOUR VIEWPOINTS</v>
      </c>
      <c r="I239" t="str">
        <f>VLOOKUP($F239, codebooks_data_reordered!$A:$I, 4, FALSE)</f>
        <v>3</v>
      </c>
      <c r="J239" t="str">
        <f>VLOOKUP($F239, codebooks_data_reordered!$A:$I, 5, FALSE)</f>
        <v>21</v>
      </c>
      <c r="K239" t="str">
        <f>VLOOKUP($F239, codebooks_data_reordered!$A:$I, 6, FALSE)</f>
        <v>To what extent are you satisfied with the services you receive from city hall</v>
      </c>
      <c r="L239">
        <f>VLOOKUP($F239, codebooks_data_reordered!$A:$I, 7, FALSE)</f>
        <v>0</v>
      </c>
      <c r="M239" t="str">
        <f>VLOOKUP($F239, codebooks_data_reordered!$A:$I, 9, FALSE)</f>
        <v>0: No answer; 1: To a great extent; 2: To a certain extent; 3: To a small extent; 4: Not at all</v>
      </c>
      <c r="O239" s="2" t="str">
        <f t="shared" si="3"/>
        <v>0: No answer
 1: To a great extent
 2: To a certain extent
 3: To a small extent
 4: Not at all</v>
      </c>
    </row>
    <row r="240" spans="1:15" ht="172.8" hidden="1" x14ac:dyDescent="0.3">
      <c r="A240" t="s">
        <v>6205</v>
      </c>
      <c r="B240" t="s">
        <v>6459</v>
      </c>
      <c r="C240" s="2" t="s">
        <v>6460</v>
      </c>
      <c r="D240" t="s">
        <v>5843</v>
      </c>
      <c r="E240" s="2" t="s">
        <v>6461</v>
      </c>
      <c r="F240" t="s">
        <v>1643</v>
      </c>
      <c r="G240" t="str">
        <f>VLOOKUP($F240, codebooks_data_reordered!$A:$I, 2, FALSE)</f>
        <v>2003</v>
      </c>
      <c r="H240" t="str">
        <f>VLOOKUP($F240, codebooks_data_reordered!$A:$I, 3, FALSE)</f>
        <v>Likelihood for parties to be in the coalition</v>
      </c>
      <c r="I240" t="str">
        <f>VLOOKUP($F240, codebooks_data_reordered!$A:$I, 4, FALSE)</f>
        <v>1</v>
      </c>
      <c r="J240" t="str">
        <f>VLOOKUP($F240, codebooks_data_reordered!$A:$I, 5, FALSE)</f>
        <v>116-118</v>
      </c>
      <c r="K240" t="str">
        <f>VLOOKUP($F240, codebooks_data_reordered!$A:$I, 6, FALSE)</f>
        <v>Likelihood for the Likud to be in the coalition (%)</v>
      </c>
      <c r="L240" t="str">
        <f>VLOOKUP($F240, codebooks_data_reordered!$A:$I, 7, FALSE)</f>
        <v>On a scale from 0 -100, how likely is it that the Likud will be in the governing coalition? Asked only in first survey</v>
      </c>
      <c r="M240">
        <f>VLOOKUP($F240, codebooks_data_reordered!$A:$I, 9, FALSE)</f>
        <v>0</v>
      </c>
      <c r="O240" s="2" t="str">
        <f t="shared" si="3"/>
        <v>0</v>
      </c>
    </row>
    <row r="241" spans="1:15" ht="72" hidden="1" x14ac:dyDescent="0.3">
      <c r="A241" t="s">
        <v>6205</v>
      </c>
      <c r="B241" t="s">
        <v>6462</v>
      </c>
      <c r="C241" s="2" t="s">
        <v>6463</v>
      </c>
      <c r="D241" t="s">
        <v>5843</v>
      </c>
      <c r="E241" s="2" t="s">
        <v>6464</v>
      </c>
      <c r="F241" t="s">
        <v>1787</v>
      </c>
      <c r="G241" t="str">
        <f>VLOOKUP($F241, codebooks_data_reordered!$A:$I, 2, FALSE)</f>
        <v>1999_1</v>
      </c>
      <c r="H241" t="str">
        <f>VLOOKUP($F241, codebooks_data_reordered!$A:$I, 3, FALSE)</f>
        <v>GENERAL POLITICAL ATTITUDE</v>
      </c>
      <c r="I241" t="str">
        <f>VLOOKUP($F241, codebooks_data_reordered!$A:$I, 4, FALSE)</f>
        <v>1</v>
      </c>
      <c r="J241" t="str">
        <f>VLOOKUP($F241, codebooks_data_reordered!$A:$I, 5, FALSE)</f>
        <v>22</v>
      </c>
      <c r="K241" t="str">
        <f>VLOOKUP($F241, codebooks_data_reordered!$A:$I, 6, FALSE)</f>
        <v>Personal Security of Israeli citizens since Peace process began</v>
      </c>
      <c r="L241">
        <f>VLOOKUP($F241, codebooks_data_reordered!$A:$I, 7, FALSE)</f>
        <v>0</v>
      </c>
      <c r="M241" t="str">
        <f>VLOOKUP($F241, codebooks_data_reordered!$A:$I, 9, FALSE)</f>
        <v>1: Much better; 2: Better; 3: Worse; 4: Much worse</v>
      </c>
      <c r="O241" s="2" t="str">
        <f t="shared" si="3"/>
        <v>1: Much better
 2: Better
 3: Worse
 4: Much worse</v>
      </c>
    </row>
    <row r="242" spans="1:15" ht="115.2" hidden="1" x14ac:dyDescent="0.3">
      <c r="A242" t="s">
        <v>6205</v>
      </c>
      <c r="B242" t="s">
        <v>6465</v>
      </c>
      <c r="C242" s="2" t="s">
        <v>6466</v>
      </c>
      <c r="D242" t="s">
        <v>5843</v>
      </c>
      <c r="E242" s="2" t="s">
        <v>6467</v>
      </c>
      <c r="F242" t="s">
        <v>3382</v>
      </c>
      <c r="G242" t="str">
        <f>VLOOKUP($F242, codebooks_data_reordered!$A:$I, 2, FALSE)</f>
        <v>2003</v>
      </c>
      <c r="H242" t="str">
        <f>VLOOKUP($F242, codebooks_data_reordered!$A:$I, 3, FALSE)</f>
        <v>Likelihood for parties to be in the coalition</v>
      </c>
      <c r="I242" t="str">
        <f>VLOOKUP($F242, codebooks_data_reordered!$A:$I, 4, FALSE)</f>
        <v>1</v>
      </c>
      <c r="J242" t="str">
        <f>VLOOKUP($F242, codebooks_data_reordered!$A:$I, 5, FALSE)</f>
        <v>128-130</v>
      </c>
      <c r="K242" t="str">
        <f>VLOOKUP($F242, codebooks_data_reordered!$A:$I, 6, FALSE)</f>
        <v>Likelihood for Shinui to be in the coalition (%)</v>
      </c>
      <c r="L242" t="str">
        <f>VLOOKUP($F242, codebooks_data_reordered!$A:$I, 7, FALSE)</f>
        <v>On a scale from 0 -100, how likely is it that Shinui will be in the governing coalition? Asked only in first survey</v>
      </c>
      <c r="M242">
        <f>VLOOKUP($F242, codebooks_data_reordered!$A:$I, 9, FALSE)</f>
        <v>0</v>
      </c>
      <c r="O242" s="2" t="str">
        <f t="shared" si="3"/>
        <v>0</v>
      </c>
    </row>
    <row r="243" spans="1:15" ht="115.2" hidden="1" x14ac:dyDescent="0.3">
      <c r="A243" t="s">
        <v>6205</v>
      </c>
      <c r="B243" t="s">
        <v>6468</v>
      </c>
      <c r="C243" s="2" t="s">
        <v>6466</v>
      </c>
      <c r="D243" t="s">
        <v>5843</v>
      </c>
      <c r="E243" s="2" t="s">
        <v>6467</v>
      </c>
      <c r="F243" t="s">
        <v>328</v>
      </c>
      <c r="G243" t="str">
        <f>VLOOKUP($F243, codebooks_data_reordered!$A:$I, 2, FALSE)</f>
        <v>2006</v>
      </c>
      <c r="H243" t="str">
        <f>VLOOKUP($F243, codebooks_data_reordered!$A:$I, 3, FALSE)</f>
        <v>Support/Rejection of a Group or a Person</v>
      </c>
      <c r="I243" t="str">
        <f>VLOOKUP($F243, codebooks_data_reordered!$A:$I, 4, FALSE)</f>
        <v>1</v>
      </c>
      <c r="J243" t="str">
        <f>VLOOKUP($F243, codebooks_data_reordered!$A:$I, 5, FALSE)</f>
        <v>104</v>
      </c>
      <c r="K243" t="str">
        <f>VLOOKUP($F243, codebooks_data_reordered!$A:$I, 6, FALSE)</f>
        <v>In second place</v>
      </c>
      <c r="L243" t="str">
        <f>VLOOKUP($F243, codebooks_data_reordered!$A:$I, 7, FALSE)</f>
        <v>83  83. And regarding the foreign and security issues in Israel?</v>
      </c>
      <c r="M243" t="str">
        <f>VLOOKUP($F243, codebooks_data_reordered!$A:$I, 9, FALSE)</f>
        <v>1: Kadima leaders; 2: Likud leaders; 3: Avoda leaders; 4: All of them to the same deggree; 5: None of them; 6: Another party</v>
      </c>
      <c r="O243" s="2" t="str">
        <f t="shared" si="3"/>
        <v>1: Kadima leaders
 2: Likud leaders
 3: Avoda leaders
 4: All of them to the same deggree
 5: None of them
 6: Another party</v>
      </c>
    </row>
    <row r="244" spans="1:15" ht="288" hidden="1" x14ac:dyDescent="0.3">
      <c r="A244" t="s">
        <v>6205</v>
      </c>
      <c r="B244" t="s">
        <v>6469</v>
      </c>
      <c r="C244" s="2" t="s">
        <v>6246</v>
      </c>
      <c r="D244" t="s">
        <v>5843</v>
      </c>
      <c r="E244" s="2" t="s">
        <v>6247</v>
      </c>
      <c r="F244" t="s">
        <v>421</v>
      </c>
      <c r="G244" t="str">
        <f>VLOOKUP($F244, codebooks_data_reordered!$A:$I, 2, FALSE)</f>
        <v>2006</v>
      </c>
      <c r="H244" t="str">
        <f>VLOOKUP($F244, codebooks_data_reordered!$A:$I, 3, FALSE)</f>
        <v>State expenditures on Different Issues</v>
      </c>
      <c r="I244" t="str">
        <f>VLOOKUP($F244, codebooks_data_reordered!$A:$I, 4, FALSE)</f>
        <v>1</v>
      </c>
      <c r="J244" t="str">
        <f>VLOOKUP($F244, codebooks_data_reordered!$A:$I, 5, FALSE)</f>
        <v>137</v>
      </c>
      <c r="K244" t="str">
        <f>VLOOKUP($F244, codebooks_data_reordered!$A:$I, 6, FALSE)</f>
        <v>State expenditures on Education</v>
      </c>
      <c r="L244" t="str">
        <f>VLOOKUP($F244, codebooks_data_reordered!$A:$I, 7, FALSE)</f>
        <v>Should the country spend more money, less money or the same as it does today on the following issues:</v>
      </c>
      <c r="M244" t="str">
        <f>VLOOKUP($F244, codebooks_data_reordered!$A:$I, 9, FALSE)</f>
        <v>1: More; 2: Less; 3: The same as today</v>
      </c>
      <c r="O244" s="2" t="str">
        <f t="shared" si="3"/>
        <v>1: More
 2: Less
 3: The same as today</v>
      </c>
    </row>
    <row r="245" spans="1:15" ht="86.4" hidden="1" x14ac:dyDescent="0.3">
      <c r="A245" t="s">
        <v>6205</v>
      </c>
      <c r="B245" t="s">
        <v>6470</v>
      </c>
      <c r="C245" s="2" t="s">
        <v>6471</v>
      </c>
      <c r="D245" t="s">
        <v>5843</v>
      </c>
      <c r="E245" s="2" t="s">
        <v>6472</v>
      </c>
      <c r="F245" t="s">
        <v>575</v>
      </c>
      <c r="G245" t="str">
        <f>VLOOKUP($F245, codebooks_data_reordered!$A:$I, 2, FALSE)</f>
        <v>2006</v>
      </c>
      <c r="H245" t="str">
        <f>VLOOKUP($F245, codebooks_data_reordered!$A:$I, 3, FALSE)</f>
        <v>Newspaper/TV</v>
      </c>
      <c r="I245" t="str">
        <f>VLOOKUP($F245, codebooks_data_reordered!$A:$I, 4, FALSE)</f>
        <v>1</v>
      </c>
      <c r="J245" t="str">
        <f>VLOOKUP($F245, codebooks_data_reordered!$A:$I, 5, FALSE)</f>
        <v>180</v>
      </c>
      <c r="K245" t="str">
        <f>VLOOKUP($F245, codebooks_data_reordered!$A:$I, 6, FALSE)</f>
        <v>Election campaign broadcasts on TV</v>
      </c>
      <c r="L245" t="str">
        <f>VLOOKUP($F245, codebooks_data_reordered!$A:$I, 7, FALSE)</f>
        <v>69. Do you usually watch the election campaign broadcasts on TV?(for interviews before the beginning of broadcasts (March 7, 2006): Do you intend to watch the campaign broadcasts on TV?)</v>
      </c>
      <c r="M245" t="str">
        <f>VLOOKUP($F245, codebooks_data_reordered!$A:$I, 9, FALSE)</f>
        <v>1: Every day; 2: Usually; 3: Sometimes; 4: Not very often; 5: Never</v>
      </c>
      <c r="O245" s="2" t="str">
        <f t="shared" si="3"/>
        <v>1: Every day
 2: Usually
 3: Sometimes
 4: Not very often
 5: Never</v>
      </c>
    </row>
    <row r="246" spans="1:15" ht="115.2" hidden="1" x14ac:dyDescent="0.3">
      <c r="A246" t="s">
        <v>6205</v>
      </c>
      <c r="B246" t="s">
        <v>6473</v>
      </c>
      <c r="C246" s="2" t="s">
        <v>6474</v>
      </c>
      <c r="D246" t="s">
        <v>5843</v>
      </c>
      <c r="E246" s="2" t="s">
        <v>6475</v>
      </c>
      <c r="F246" t="s">
        <v>580</v>
      </c>
      <c r="G246" t="str">
        <f>VLOOKUP($F246, codebooks_data_reordered!$A:$I, 2, FALSE)</f>
        <v>2006</v>
      </c>
      <c r="H246" t="str">
        <f>VLOOKUP($F246, codebooks_data_reordered!$A:$I, 3, FALSE)</f>
        <v>Newspaper/TV</v>
      </c>
      <c r="I246" t="str">
        <f>VLOOKUP($F246, codebooks_data_reordered!$A:$I, 4, FALSE)</f>
        <v>1</v>
      </c>
      <c r="J246" t="str">
        <f>VLOOKUP($F246, codebooks_data_reordered!$A:$I, 5, FALSE)</f>
        <v>181</v>
      </c>
      <c r="K246" t="str">
        <f>VLOOKUP($F246, codebooks_data_reordered!$A:$I, 6, FALSE)</f>
        <v>Sites of political parties</v>
      </c>
      <c r="L246" t="str">
        <f>VLOOKUP($F246, codebooks_data_reordered!$A:$I, 7, FALSE)</f>
        <v>70. Do you surf sites of political parties?</v>
      </c>
      <c r="M246" t="str">
        <f>VLOOKUP($F246, codebooks_data_reordered!$A:$I, 9, FALSE)</f>
        <v>1: Do not surf the internet at all; 2: Surf but not sites of parties; 3: Surf once in a while the sites of parties; 4: Yes quite often</v>
      </c>
      <c r="O246" s="2" t="str">
        <f t="shared" si="3"/>
        <v>1: Do not surf the internet at all
 2: Surf but not sites of parties
 3: Surf once in a while the sites of parties
 4: Yes quite often</v>
      </c>
    </row>
    <row r="247" spans="1:15" ht="100.8" hidden="1" x14ac:dyDescent="0.3">
      <c r="A247" t="s">
        <v>6205</v>
      </c>
      <c r="B247" t="s">
        <v>6476</v>
      </c>
      <c r="C247" s="2" t="s">
        <v>6477</v>
      </c>
      <c r="D247" t="s">
        <v>5843</v>
      </c>
      <c r="E247" s="2" t="s">
        <v>6478</v>
      </c>
      <c r="F247" t="s">
        <v>586</v>
      </c>
      <c r="G247" t="str">
        <f>VLOOKUP($F247, codebooks_data_reordered!$A:$I, 2, FALSE)</f>
        <v>2006</v>
      </c>
      <c r="H247" t="str">
        <f>VLOOKUP($F247, codebooks_data_reordered!$A:$I, 3, FALSE)</f>
        <v>Newspaper/TV</v>
      </c>
      <c r="I247" t="str">
        <f>VLOOKUP($F247, codebooks_data_reordered!$A:$I, 4, FALSE)</f>
        <v>1</v>
      </c>
      <c r="J247" t="str">
        <f>VLOOKUP($F247, codebooks_data_reordered!$A:$I, 5, FALSE)</f>
        <v>182</v>
      </c>
      <c r="K247" t="str">
        <f>VLOOKUP($F247, codebooks_data_reordered!$A:$I, 6, FALSE)</f>
        <v>Which paties' sites</v>
      </c>
      <c r="L247" t="str">
        <f>VLOOKUP($F247, codebooks_data_reordered!$A:$I, 7, FALSE)</f>
        <v>71. Those who answered 3 or 4 ask: Which parties' sites do you surf?</v>
      </c>
      <c r="M247" t="str">
        <f>VLOOKUP($F247, codebooks_data_reordered!$A:$I, 9, FALSE)</f>
        <v>1: The ones which I support; 2: Only parties which I dislike; 3: All kinds of parties</v>
      </c>
      <c r="O247" s="2" t="str">
        <f t="shared" si="3"/>
        <v>1: The ones which I support
 2: Only parties which I dislike
 3: All kinds of parties</v>
      </c>
    </row>
    <row r="248" spans="1:15" ht="100.8" hidden="1" x14ac:dyDescent="0.3">
      <c r="A248" t="s">
        <v>6205</v>
      </c>
      <c r="B248" t="s">
        <v>6479</v>
      </c>
      <c r="C248" s="2" t="s">
        <v>6471</v>
      </c>
      <c r="D248" t="s">
        <v>5843</v>
      </c>
      <c r="E248" s="2" t="s">
        <v>6472</v>
      </c>
      <c r="F248" t="s">
        <v>1724</v>
      </c>
      <c r="G248" t="str">
        <f>VLOOKUP($F248, codebooks_data_reordered!$A:$I, 2, FALSE)</f>
        <v>2003</v>
      </c>
      <c r="H248" t="str">
        <f>VLOOKUP($F248, codebooks_data_reordered!$A:$I, 3, FALSE)</f>
        <v>Preference for each of the following coalitions</v>
      </c>
      <c r="I248" t="str">
        <f>VLOOKUP($F248, codebooks_data_reordered!$A:$I, 4, FALSE)</f>
        <v>1</v>
      </c>
      <c r="J248" t="str">
        <f>VLOOKUP($F248, codebooks_data_reordered!$A:$I, 5, FALSE)</f>
        <v>182</v>
      </c>
      <c r="K248" t="str">
        <f>VLOOKUP($F248, codebooks_data_reordered!$A:$I, 6, FALSE)</f>
        <v>Political identification</v>
      </c>
      <c r="L248" t="str">
        <f>VLOOKUP($F248, codebooks_data_reordered!$A:$I, 7, FALSE)</f>
        <v>With which political tendency do you identify?</v>
      </c>
      <c r="M248" t="str">
        <f>VLOOKUP($F248, codebooks_data_reordered!$A:$I, 9, FALSE)</f>
        <v>1: Left; 2: Moderate left; 3: Center; 4: Moderate right; 5: Right; 6: Religious; 7: None</v>
      </c>
      <c r="O248" s="2" t="str">
        <f t="shared" si="3"/>
        <v>1: Left
 2: Moderate left
 3: Center
 4: Moderate right
 5: Right
 6: Religious
 7: None</v>
      </c>
    </row>
    <row r="249" spans="1:15" ht="403.2" hidden="1" x14ac:dyDescent="0.3">
      <c r="A249" t="s">
        <v>6205</v>
      </c>
      <c r="B249" t="s">
        <v>6480</v>
      </c>
      <c r="C249" s="2" t="s">
        <v>6474</v>
      </c>
      <c r="D249" t="s">
        <v>5843</v>
      </c>
      <c r="E249" s="2" t="s">
        <v>6475</v>
      </c>
      <c r="F249" t="s">
        <v>596</v>
      </c>
      <c r="G249" t="str">
        <f>VLOOKUP($F249, codebooks_data_reordered!$A:$I, 2, FALSE)</f>
        <v>2006</v>
      </c>
      <c r="H249" t="str">
        <f>VLOOKUP($F249, codebooks_data_reordered!$A:$I, 3, FALSE)</f>
        <v>Chance the Party to be in the Next Government</v>
      </c>
      <c r="I249" t="str">
        <f>VLOOKUP($F249, codebooks_data_reordered!$A:$I, 4, FALSE)</f>
        <v>1</v>
      </c>
      <c r="J249" t="str">
        <f>VLOOKUP($F249, codebooks_data_reordered!$A:$I, 5, FALSE)</f>
        <v>184-185</v>
      </c>
      <c r="K249" t="str">
        <f>VLOOKUP($F249, codebooks_data_reordered!$A:$I, 6, FALSE)</f>
        <v>Respondent party vote if elections were held today</v>
      </c>
      <c r="L249" t="str">
        <f>VLOOKUP($F249, codebooks_data_reordered!$A:$I, 7, FALSE)</f>
        <v>73. If the elections for Knesset were held today, for which party would you vote for? (do not read answers)</v>
      </c>
      <c r="M249" t="str">
        <f>VLOOKUP($F249, codebooks_data_reordered!$A:$I, 9, FALSE)</f>
        <v>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v>
      </c>
      <c r="O249" s="2" t="str">
        <f t="shared" si="3"/>
        <v>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v>
      </c>
    </row>
    <row r="250" spans="1:15" ht="100.8" hidden="1" x14ac:dyDescent="0.3">
      <c r="A250" t="s">
        <v>6205</v>
      </c>
      <c r="B250" t="s">
        <v>6481</v>
      </c>
      <c r="C250" s="2" t="s">
        <v>6477</v>
      </c>
      <c r="D250" t="s">
        <v>5843</v>
      </c>
      <c r="E250" s="2" t="s">
        <v>6478</v>
      </c>
      <c r="F250" t="s">
        <v>1727</v>
      </c>
      <c r="G250" t="str">
        <f>VLOOKUP($F250, codebooks_data_reordered!$A:$I, 2, FALSE)</f>
        <v>2003</v>
      </c>
      <c r="H250" t="str">
        <f>VLOOKUP($F250, codebooks_data_reordered!$A:$I, 3, FALSE)</f>
        <v>Respondent's demographic details</v>
      </c>
      <c r="I250" t="str">
        <f>VLOOKUP($F250, codebooks_data_reordered!$A:$I, 4, FALSE)</f>
        <v>1</v>
      </c>
      <c r="J250" t="str">
        <f>VLOOKUP($F250, codebooks_data_reordered!$A:$I, 5, FALSE)</f>
        <v>183-184</v>
      </c>
      <c r="K250" t="str">
        <f>VLOOKUP($F250, codebooks_data_reordered!$A:$I, 6, FALSE)</f>
        <v>Age</v>
      </c>
      <c r="L250" t="str">
        <f>VLOOKUP($F250, codebooks_data_reordered!$A:$I, 7, FALSE)</f>
        <v>How old are you?</v>
      </c>
      <c r="M250">
        <f>VLOOKUP($F250, codebooks_data_reordered!$A:$I, 9, FALSE)</f>
        <v>0</v>
      </c>
      <c r="O250" s="2" t="str">
        <f t="shared" si="3"/>
        <v>0</v>
      </c>
    </row>
    <row r="251" spans="1:15" ht="86.4" hidden="1" x14ac:dyDescent="0.3">
      <c r="A251" t="s">
        <v>6205</v>
      </c>
      <c r="B251" t="s">
        <v>6482</v>
      </c>
      <c r="C251" s="2" t="s">
        <v>6471</v>
      </c>
      <c r="D251" t="s">
        <v>5843</v>
      </c>
      <c r="E251" s="2" t="s">
        <v>6472</v>
      </c>
      <c r="F251" t="s">
        <v>600</v>
      </c>
      <c r="G251" t="str">
        <f>VLOOKUP($F251, codebooks_data_reordered!$A:$I, 2, FALSE)</f>
        <v>2006</v>
      </c>
      <c r="H251" t="str">
        <f>VLOOKUP($F251, codebooks_data_reordered!$A:$I, 3, FALSE)</f>
        <v>Chance the Party to be in the Next Government</v>
      </c>
      <c r="I251" t="str">
        <f>VLOOKUP($F251, codebooks_data_reordered!$A:$I, 4, FALSE)</f>
        <v>1</v>
      </c>
      <c r="J251" t="str">
        <f>VLOOKUP($F251, codebooks_data_reordered!$A:$I, 5, FALSE)</f>
        <v>186-188</v>
      </c>
      <c r="K251" t="str">
        <f>VLOOKUP($F251, codebooks_data_reordered!$A:$I, 6, FALSE)</f>
        <v>Likelihood of Kadima to be in the coalition</v>
      </c>
      <c r="L251" t="str">
        <f>VLOOKUP($F251, codebooks_data_reordered!$A:$I, 7, FALSE)</f>
        <v>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What's the chance that Kadima will be in the next government?</v>
      </c>
      <c r="M251">
        <f>VLOOKUP($F251, codebooks_data_reordered!$A:$I, 9, FALSE)</f>
        <v>0</v>
      </c>
      <c r="O251" s="2" t="str">
        <f t="shared" si="3"/>
        <v>0</v>
      </c>
    </row>
    <row r="252" spans="1:15" ht="244.8" hidden="1" x14ac:dyDescent="0.3">
      <c r="A252" t="s">
        <v>6205</v>
      </c>
      <c r="B252" t="s">
        <v>6483</v>
      </c>
      <c r="C252" s="2" t="s">
        <v>6474</v>
      </c>
      <c r="D252" t="s">
        <v>5843</v>
      </c>
      <c r="E252" s="2" t="s">
        <v>6475</v>
      </c>
      <c r="F252" t="s">
        <v>1731</v>
      </c>
      <c r="G252" t="str">
        <f>VLOOKUP($F252, codebooks_data_reordered!$A:$I, 2, FALSE)</f>
        <v>2003</v>
      </c>
      <c r="H252" t="str">
        <f>VLOOKUP($F252, codebooks_data_reordered!$A:$I, 3, FALSE)</f>
        <v>Respondent's demographic details</v>
      </c>
      <c r="I252" t="str">
        <f>VLOOKUP($F252, codebooks_data_reordered!$A:$I, 4, FALSE)</f>
        <v>1</v>
      </c>
      <c r="J252" t="str">
        <f>VLOOKUP($F252, codebooks_data_reordered!$A:$I, 5, FALSE)</f>
        <v>186-187</v>
      </c>
      <c r="K252" t="str">
        <f>VLOOKUP($F252, codebooks_data_reordered!$A:$I, 6, FALSE)</f>
        <v>Place of birth</v>
      </c>
      <c r="L252" t="str">
        <f>VLOOKUP($F252, codebooks_data_reordered!$A:$I, 7, FALSE)</f>
        <v>Continent of birth (and fathers continent of birth for Israeli-born)</v>
      </c>
      <c r="M252" t="str">
        <f>VLOOKUP($F252, codebooks_data_reordered!$A:$I, 9, FALSE)</f>
        <v>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v>
      </c>
      <c r="O252" s="2" t="str">
        <f t="shared" si="3"/>
        <v>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v>
      </c>
    </row>
    <row r="253" spans="1:15" ht="100.8" hidden="1" x14ac:dyDescent="0.3">
      <c r="A253" t="s">
        <v>6205</v>
      </c>
      <c r="B253" t="s">
        <v>6484</v>
      </c>
      <c r="C253" s="2" t="s">
        <v>6477</v>
      </c>
      <c r="D253" t="s">
        <v>5843</v>
      </c>
      <c r="E253" s="2" t="s">
        <v>6478</v>
      </c>
      <c r="F253" t="s">
        <v>3461</v>
      </c>
      <c r="G253" t="str">
        <f>VLOOKUP($F253, codebooks_data_reordered!$A:$I, 2, FALSE)</f>
        <v>1988_Panel_N=416</v>
      </c>
      <c r="H253" t="str">
        <f>VLOOKUP($F253, codebooks_data_reordered!$A:$I, 3, FALSE)</f>
        <v>APPROVAL OF FOLLOWING SAYINGS WITH RESPECT TO ABOVE SPECIFIED GROUP</v>
      </c>
      <c r="I253" t="str">
        <f>VLOOKUP($F253, codebooks_data_reordered!$A:$I, 4, FALSE)</f>
        <v>3</v>
      </c>
      <c r="J253" t="str">
        <f>VLOOKUP($F253, codebooks_data_reordered!$A:$I, 5, FALSE)</f>
        <v>82</v>
      </c>
      <c r="K253" t="str">
        <f>VLOOKUP($F253, codebooks_data_reordered!$A:$I, 6, FALSE)</f>
        <v>The group members' phones should be tapped</v>
      </c>
      <c r="L253">
        <f>VLOOKUP($F253, codebooks_data_reordered!$A:$I, 7, FALSE)</f>
        <v>0</v>
      </c>
      <c r="M253" t="str">
        <f>VLOOKUP($F253, codebooks_data_reordered!$A:$I, 9, FALSE)</f>
        <v>1: Definitely agree; 2: Agree; 3: Not certain; 4: Disagree; 5: Definitely disagree</v>
      </c>
      <c r="O253" s="2" t="str">
        <f t="shared" si="3"/>
        <v>1: Definitely agree
 2: Agree
 3: Not certain
 4: Disagree
 5: Definitely disagree</v>
      </c>
    </row>
    <row r="254" spans="1:15" ht="360" hidden="1" x14ac:dyDescent="0.3">
      <c r="A254" t="s">
        <v>6205</v>
      </c>
      <c r="B254" t="s">
        <v>6485</v>
      </c>
      <c r="C254" s="2" t="s">
        <v>6486</v>
      </c>
      <c r="D254" t="s">
        <v>5843</v>
      </c>
      <c r="E254" s="2" t="s">
        <v>6487</v>
      </c>
      <c r="F254" t="s">
        <v>2147</v>
      </c>
      <c r="G254" t="str">
        <f>VLOOKUP($F254, codebooks_data_reordered!$A:$I, 2, FALSE)</f>
        <v>1999_1</v>
      </c>
      <c r="H254" t="str">
        <f>VLOOKUP($F254, codebooks_data_reordered!$A:$I, 3, FALSE)</f>
        <v>IMPACT OF MEDIA</v>
      </c>
      <c r="I254" t="str">
        <f>VLOOKUP($F254, codebooks_data_reordered!$A:$I, 4, FALSE)</f>
        <v>3</v>
      </c>
      <c r="J254" t="str">
        <f>VLOOKUP($F254, codebooks_data_reordered!$A:$I, 5, FALSE)</f>
        <v>10</v>
      </c>
      <c r="K254" t="str">
        <f>VLOOKUP($F254, codebooks_data_reordered!$A:$I, 6, FALSE)</f>
        <v>Intentions to watch election ads on TV</v>
      </c>
      <c r="L254">
        <f>VLOOKUP($F254, codebooks_data_reordered!$A:$I, 7, FALSE)</f>
        <v>0</v>
      </c>
      <c r="M254" t="str">
        <f>VLOOKUP($F254, codebooks_data_reordered!$A:$I, 9, FALSE)</f>
        <v>1: Daily; 2: Frequently; 3: Sometimes; 4: Rarely; 5: Never</v>
      </c>
      <c r="O254" s="2" t="str">
        <f t="shared" si="3"/>
        <v>1: Daily
 2: Frequently
 3: Sometimes
 4: Rarely
 5: Never</v>
      </c>
    </row>
    <row r="255" spans="1:15" ht="288" hidden="1" x14ac:dyDescent="0.3">
      <c r="A255" t="s">
        <v>6205</v>
      </c>
      <c r="B255" t="s">
        <v>6488</v>
      </c>
      <c r="C255" s="2" t="s">
        <v>5902</v>
      </c>
      <c r="D255" t="s">
        <v>5843</v>
      </c>
      <c r="E255" s="2" t="s">
        <v>5903</v>
      </c>
      <c r="F255" t="s">
        <v>645</v>
      </c>
      <c r="G255" t="str">
        <f>VLOOKUP($F255, codebooks_data_reordered!$A:$I, 2, FALSE)</f>
        <v>2006</v>
      </c>
      <c r="H255" t="str">
        <f>VLOOKUP($F255, codebooks_data_reordered!$A:$I, 3, FALSE)</f>
        <v>Different Coalitions after the Elections</v>
      </c>
      <c r="I255" t="str">
        <f>VLOOKUP($F255, codebooks_data_reordered!$A:$I, 4, FALSE)</f>
        <v>1</v>
      </c>
      <c r="J255" t="str">
        <f>VLOOKUP($F255, codebooks_data_reordered!$A:$I, 5, FALSE)</f>
        <v>222-224</v>
      </c>
      <c r="K255" t="str">
        <f>VLOOKUP($F255, codebooks_data_reordered!$A:$I, 6, FALSE)</f>
        <v>Chances for Kadima-Likud-Right coalition</v>
      </c>
      <c r="L255" t="str">
        <f>VLOOKUP($F255,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255">
        <f>VLOOKUP($F255, codebooks_data_reordered!$A:$I, 9, FALSE)</f>
        <v>0</v>
      </c>
      <c r="O255" s="2" t="str">
        <f t="shared" si="3"/>
        <v>0</v>
      </c>
    </row>
    <row r="256" spans="1:15" ht="216" hidden="1" x14ac:dyDescent="0.3">
      <c r="A256" t="s">
        <v>6205</v>
      </c>
      <c r="B256" t="s">
        <v>6489</v>
      </c>
      <c r="C256" s="2" t="s">
        <v>6092</v>
      </c>
      <c r="D256" t="s">
        <v>5843</v>
      </c>
      <c r="E256" s="2" t="s">
        <v>6093</v>
      </c>
      <c r="F256" t="s">
        <v>2179</v>
      </c>
      <c r="G256" t="str">
        <f>VLOOKUP($F256, codebooks_data_reordered!$A:$I, 2, FALSE)</f>
        <v>1999_1</v>
      </c>
      <c r="H256" t="str">
        <f>VLOOKUP($F256, codebooks_data_reordered!$A:$I, 3, FALSE)</f>
        <v>RESPONDENT'S DEMOGRAPHIC DETAILS</v>
      </c>
      <c r="I256" t="str">
        <f>VLOOKUP($F256, codebooks_data_reordered!$A:$I, 4, FALSE)</f>
        <v>3</v>
      </c>
      <c r="J256" t="str">
        <f>VLOOKUP($F256, codebooks_data_reordered!$A:$I, 5, FALSE)</f>
        <v>27</v>
      </c>
      <c r="K256" t="str">
        <f>VLOOKUP($F256, codebooks_data_reordered!$A:$I, 6, FALSE)</f>
        <v>Conduct life according to religious tradition</v>
      </c>
      <c r="L256">
        <f>VLOOKUP($F256, codebooks_data_reordered!$A:$I, 7, FALSE)</f>
        <v>0</v>
      </c>
      <c r="M256" t="str">
        <f>VLOOKUP($F256, codebooks_data_reordered!$A:$I, 9, FALSE)</f>
        <v>1: Thoroughly; 2: Significantly; 3: A little; 4: Not at all</v>
      </c>
      <c r="O256" s="2" t="str">
        <f t="shared" si="3"/>
        <v>1: Thoroughly
 2: Significantly
 3: A little
 4: Not at all</v>
      </c>
    </row>
    <row r="257" spans="1:15" ht="172.8" hidden="1" x14ac:dyDescent="0.3">
      <c r="A257" t="s">
        <v>6205</v>
      </c>
      <c r="B257" t="s">
        <v>6490</v>
      </c>
      <c r="C257" s="2" t="s">
        <v>6491</v>
      </c>
      <c r="D257" t="s">
        <v>5843</v>
      </c>
      <c r="E257" s="2" t="s">
        <v>6492</v>
      </c>
      <c r="F257" t="s">
        <v>2181</v>
      </c>
      <c r="G257" t="str">
        <f>VLOOKUP($F257, codebooks_data_reordered!$A:$I, 2, FALSE)</f>
        <v>1999_1</v>
      </c>
      <c r="H257" t="str">
        <f>VLOOKUP($F257, codebooks_data_reordered!$A:$I, 3, FALSE)</f>
        <v>RESPONDENT'S DEMOGRAPHIC DETAILS</v>
      </c>
      <c r="I257" t="str">
        <f>VLOOKUP($F257, codebooks_data_reordered!$A:$I, 4, FALSE)</f>
        <v>3</v>
      </c>
      <c r="J257" t="str">
        <f>VLOOKUP($F257, codebooks_data_reordered!$A:$I, 5, FALSE)</f>
        <v>28</v>
      </c>
      <c r="K257" t="str">
        <f>VLOOKUP($F257, codebooks_data_reordered!$A:$I, 6, FALSE)</f>
        <v>First label to define identity</v>
      </c>
      <c r="L257">
        <f>VLOOKUP($F257, codebooks_data_reordered!$A:$I, 7, FALSE)</f>
        <v>0</v>
      </c>
      <c r="M257" t="str">
        <f>VLOOKUP($F257, codebooks_data_reordered!$A:$I, 9, FALSE)</f>
        <v>1: Israeli; 2: Jewish; 3: Ethnic group(Ashkenazi/Sefaradi); 4: Religious/Secular</v>
      </c>
      <c r="O257" s="2" t="str">
        <f t="shared" si="3"/>
        <v>1: Israeli
 2: Jewish
 3: Ethnic group(Ashkenazi/Sefaradi)
 4: Religious/Secular</v>
      </c>
    </row>
    <row r="258" spans="1:15" ht="288" hidden="1" x14ac:dyDescent="0.3">
      <c r="A258" t="s">
        <v>6205</v>
      </c>
      <c r="B258" t="s">
        <v>6493</v>
      </c>
      <c r="C258" s="2" t="s">
        <v>5902</v>
      </c>
      <c r="D258" t="s">
        <v>5843</v>
      </c>
      <c r="E258" s="2" t="s">
        <v>5903</v>
      </c>
      <c r="F258" t="s">
        <v>2182</v>
      </c>
      <c r="G258" t="str">
        <f>VLOOKUP($F258, codebooks_data_reordered!$A:$I, 2, FALSE)</f>
        <v>1999_1</v>
      </c>
      <c r="H258" t="str">
        <f>VLOOKUP($F258, codebooks_data_reordered!$A:$I, 3, FALSE)</f>
        <v>RESPONDENT'S DEMOGRAPHIC DETAILS</v>
      </c>
      <c r="I258" t="str">
        <f>VLOOKUP($F258, codebooks_data_reordered!$A:$I, 4, FALSE)</f>
        <v>3</v>
      </c>
      <c r="J258" t="str">
        <f>VLOOKUP($F258, codebooks_data_reordered!$A:$I, 5, FALSE)</f>
        <v>30</v>
      </c>
      <c r="K258" t="str">
        <f>VLOOKUP($F258, codebooks_data_reordered!$A:$I, 6, FALSE)</f>
        <v>Third label to define identity</v>
      </c>
      <c r="L258">
        <f>VLOOKUP($F258, codebooks_data_reordered!$A:$I, 7, FALSE)</f>
        <v>0</v>
      </c>
      <c r="M258" t="str">
        <f>VLOOKUP($F258, codebooks_data_reordered!$A:$I, 9, FALSE)</f>
        <v>1: Israeli; 2: Jewish; 3: Ethnic group(Ashkenazi/Sefaradi); 4: Religious/Secular</v>
      </c>
      <c r="O258" s="2" t="str">
        <f t="shared" ref="O258:O321" si="4">SUBSTITUTE(M258, ";", CHAR(10))</f>
        <v>1: Israeli
 2: Jewish
 3: Ethnic group(Ashkenazi/Sefaradi)
 4: Religious/Secular</v>
      </c>
    </row>
    <row r="259" spans="1:15" ht="216" hidden="1" x14ac:dyDescent="0.3">
      <c r="A259" t="s">
        <v>6205</v>
      </c>
      <c r="B259" t="s">
        <v>6494</v>
      </c>
      <c r="C259" s="2" t="s">
        <v>6092</v>
      </c>
      <c r="D259" t="s">
        <v>5843</v>
      </c>
      <c r="E259" s="2" t="s">
        <v>6093</v>
      </c>
      <c r="F259" t="s">
        <v>2184</v>
      </c>
      <c r="G259" t="str">
        <f>VLOOKUP($F259, codebooks_data_reordered!$A:$I, 2, FALSE)</f>
        <v>1999_1</v>
      </c>
      <c r="H259" t="str">
        <f>VLOOKUP($F259, codebooks_data_reordered!$A:$I, 3, FALSE)</f>
        <v>RESPONDENT'S DEMOGRAPHIC DETAILS</v>
      </c>
      <c r="I259" t="str">
        <f>VLOOKUP($F259, codebooks_data_reordered!$A:$I, 4, FALSE)</f>
        <v>3</v>
      </c>
      <c r="J259" t="str">
        <f>VLOOKUP($F259, codebooks_data_reordered!$A:$I, 5, FALSE)</f>
        <v>31</v>
      </c>
      <c r="K259" t="str">
        <f>VLOOKUP($F259, codebooks_data_reordered!$A:$I, 6, FALSE)</f>
        <v>Fourth label to define identity</v>
      </c>
      <c r="L259">
        <f>VLOOKUP($F259, codebooks_data_reordered!$A:$I, 7, FALSE)</f>
        <v>0</v>
      </c>
      <c r="M259" t="str">
        <f>VLOOKUP($F259, codebooks_data_reordered!$A:$I, 9, FALSE)</f>
        <v>1: Israeli; 2: Jewish; 3: Ethnic group(Ashkenazi/Sefaradi); 4: Religious/Secular</v>
      </c>
      <c r="O259" s="2" t="str">
        <f t="shared" si="4"/>
        <v>1: Israeli
 2: Jewish
 3: Ethnic group(Ashkenazi/Sefaradi)
 4: Religious/Secular</v>
      </c>
    </row>
    <row r="260" spans="1:15" ht="158.4" hidden="1" x14ac:dyDescent="0.3">
      <c r="A260" t="s">
        <v>6205</v>
      </c>
      <c r="B260" t="s">
        <v>6495</v>
      </c>
      <c r="C260" s="2" t="s">
        <v>6496</v>
      </c>
      <c r="D260" t="s">
        <v>5843</v>
      </c>
      <c r="E260" s="2" t="s">
        <v>6497</v>
      </c>
      <c r="F260" t="s">
        <v>651</v>
      </c>
      <c r="G260" t="str">
        <f>VLOOKUP($F260, codebooks_data_reordered!$A:$I, 2, FALSE)</f>
        <v>2006</v>
      </c>
      <c r="H260" t="str">
        <f>VLOOKUP($F260, codebooks_data_reordered!$A:$I, 3, FALSE)</f>
        <v>Different Coalitions after the Elections</v>
      </c>
      <c r="I260" t="str">
        <f>VLOOKUP($F260, codebooks_data_reordered!$A:$I, 4, FALSE)</f>
        <v>1</v>
      </c>
      <c r="J260" t="str">
        <f>VLOOKUP($F260, codebooks_data_reordered!$A:$I, 5, FALSE)</f>
        <v>228-230</v>
      </c>
      <c r="K260" t="str">
        <f>VLOOKUP($F260, codebooks_data_reordered!$A:$I, 6, FALSE)</f>
        <v>Chances for Kadima-Labor-Likud-Right parties and Haredim coalition</v>
      </c>
      <c r="L260" t="str">
        <f>VLOOKUP($F260,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260">
        <f>VLOOKUP($F260, codebooks_data_reordered!$A:$I, 9, FALSE)</f>
        <v>0</v>
      </c>
      <c r="O260" s="2" t="str">
        <f t="shared" si="4"/>
        <v>0</v>
      </c>
    </row>
    <row r="261" spans="1:15" ht="115.2" hidden="1" x14ac:dyDescent="0.3">
      <c r="A261" t="s">
        <v>6205</v>
      </c>
      <c r="B261" t="s">
        <v>6498</v>
      </c>
      <c r="C261" s="2" t="s">
        <v>6431</v>
      </c>
      <c r="D261" t="s">
        <v>5843</v>
      </c>
      <c r="E261" s="2" t="s">
        <v>6432</v>
      </c>
      <c r="F261" t="s">
        <v>309</v>
      </c>
      <c r="G261" t="str">
        <f>VLOOKUP($F261, codebooks_data_reordered!$A:$I, 2, FALSE)</f>
        <v>2006</v>
      </c>
      <c r="H261" t="str">
        <f>VLOOKUP($F261, codebooks_data_reordered!$A:$I, 3, FALSE)</f>
        <v>Support/Rejection of a Group or a Person</v>
      </c>
      <c r="I261" t="str">
        <f>VLOOKUP($F261, codebooks_data_reordered!$A:$I, 4, FALSE)</f>
        <v>1</v>
      </c>
      <c r="J261" t="str">
        <f>VLOOKUP($F261, codebooks_data_reordered!$A:$I, 5, FALSE)</f>
        <v>99</v>
      </c>
      <c r="K261" t="str">
        <f>VLOOKUP($F261, codebooks_data_reordered!$A:$I, 6, FALSE)</f>
        <v>Party leaders to deal best with economy</v>
      </c>
      <c r="L261" t="str">
        <f>VLOOKUP($F261, codebooks_data_reordered!$A:$I, 7, FALSE)</f>
        <v>78  79. Who do you think will deal best with the economic problems of Israel: Kadima leaders, the Likud leaders, to Labor's leaders? Who is in second place?</v>
      </c>
      <c r="M261" t="str">
        <f>VLOOKUP($F261, codebooks_data_reordered!$A:$I, 9, FALSE)</f>
        <v>1: Kadima leaders; 2: Likud leaders; 3: Avoda leaders; 4: All of them to the same deggree; 5: None of them; 6: Another party</v>
      </c>
      <c r="O261" s="2" t="str">
        <f t="shared" si="4"/>
        <v>1: Kadima leaders
 2: Likud leaders
 3: Avoda leaders
 4: All of them to the same deggree
 5: None of them
 6: Another party</v>
      </c>
    </row>
    <row r="262" spans="1:15" ht="115.2" hidden="1" x14ac:dyDescent="0.3">
      <c r="A262" t="s">
        <v>6205</v>
      </c>
      <c r="B262" t="s">
        <v>6499</v>
      </c>
      <c r="C262" s="2" t="s">
        <v>6431</v>
      </c>
      <c r="D262" t="s">
        <v>5843</v>
      </c>
      <c r="E262" s="2" t="s">
        <v>6432</v>
      </c>
      <c r="F262" t="s">
        <v>317</v>
      </c>
      <c r="G262" t="str">
        <f>VLOOKUP($F262, codebooks_data_reordered!$A:$I, 2, FALSE)</f>
        <v>2006</v>
      </c>
      <c r="H262" t="str">
        <f>VLOOKUP($F262, codebooks_data_reordered!$A:$I, 3, FALSE)</f>
        <v>Support/Rejection of a Group or a Person</v>
      </c>
      <c r="I262" t="str">
        <f>VLOOKUP($F262, codebooks_data_reordered!$A:$I, 4, FALSE)</f>
        <v>1</v>
      </c>
      <c r="J262" t="str">
        <f>VLOOKUP($F262, codebooks_data_reordered!$A:$I, 5, FALSE)</f>
        <v>101</v>
      </c>
      <c r="K262" t="str">
        <f>VLOOKUP($F262, codebooks_data_reordered!$A:$I, 6, FALSE)</f>
        <v>Party leaders to deal best with the social problems</v>
      </c>
      <c r="L262" t="str">
        <f>VLOOKUP($F262, codebooks_data_reordered!$A:$I, 7, FALSE)</f>
        <v>80  81. And regarding the social problems in Israel?</v>
      </c>
      <c r="M262" t="str">
        <f>VLOOKUP($F262, codebooks_data_reordered!$A:$I, 9, FALSE)</f>
        <v>1: Kadima leaders; 2: Likud leaders; 3: Avoda leaders; 4: All of them to the same deggree; 5: None of them; 6: Another party</v>
      </c>
      <c r="O262" s="2" t="str">
        <f t="shared" si="4"/>
        <v>1: Kadima leaders
 2: Likud leaders
 3: Avoda leaders
 4: All of them to the same deggree
 5: None of them
 6: Another party</v>
      </c>
    </row>
    <row r="263" spans="1:15" ht="144" hidden="1" x14ac:dyDescent="0.3">
      <c r="A263" t="s">
        <v>6205</v>
      </c>
      <c r="B263" t="s">
        <v>6500</v>
      </c>
      <c r="C263" s="2" t="s">
        <v>6501</v>
      </c>
      <c r="D263" t="s">
        <v>5843</v>
      </c>
      <c r="E263" s="2" t="s">
        <v>6502</v>
      </c>
      <c r="F263" t="s">
        <v>3361</v>
      </c>
      <c r="G263" t="str">
        <f>VLOOKUP($F263, codebooks_data_reordered!$A:$I, 2, FALSE)</f>
        <v>1988_Panel_N=416</v>
      </c>
      <c r="H263" t="str">
        <f>VLOOKUP($F263, codebooks_data_reordered!$A:$I, 3, FALSE)</f>
        <v>DO YOU HAVE CHILDREN IN EACH OF THE FOLLOWING AGE GROUPS</v>
      </c>
      <c r="I263" t="str">
        <f>VLOOKUP($F263, codebooks_data_reordered!$A:$I, 4, FALSE)</f>
        <v>3</v>
      </c>
      <c r="J263" t="str">
        <f>VLOOKUP($F263, codebooks_data_reordered!$A:$I, 5, FALSE)</f>
        <v>6</v>
      </c>
      <c r="K263" t="str">
        <f>VLOOKUP($F263, codebooks_data_reordered!$A:$I, 6, FALSE)</f>
        <v>General situation in Israel today</v>
      </c>
      <c r="L263">
        <f>VLOOKUP($F263, codebooks_data_reordered!$A:$I, 7, FALSE)</f>
        <v>0</v>
      </c>
      <c r="M263" t="str">
        <f>VLOOKUP($F263, codebooks_data_reordered!$A:$I, 9, FALSE)</f>
        <v>1: Very good; 2: Good; 3: Not so good; 4: Not good; 5: Bad</v>
      </c>
      <c r="O263" s="2" t="str">
        <f t="shared" si="4"/>
        <v>1: Very good
 2: Good
 3: Not so good
 4: Not good
 5: Bad</v>
      </c>
    </row>
    <row r="264" spans="1:15" ht="100.8" hidden="1" x14ac:dyDescent="0.3">
      <c r="A264" t="s">
        <v>6205</v>
      </c>
      <c r="B264" t="s">
        <v>6503</v>
      </c>
      <c r="C264" s="2" t="s">
        <v>6504</v>
      </c>
      <c r="D264" t="s">
        <v>5843</v>
      </c>
      <c r="E264" s="2" t="s">
        <v>6505</v>
      </c>
      <c r="F264" t="s">
        <v>9196</v>
      </c>
      <c r="G264" t="e">
        <f>VLOOKUP($F264, codebooks_data_reordered!$A:$I, 2, FALSE)</f>
        <v>#N/A</v>
      </c>
      <c r="H264" t="e">
        <f>VLOOKUP($F264, codebooks_data_reordered!$A:$I, 3, FALSE)</f>
        <v>#N/A</v>
      </c>
      <c r="I264" t="e">
        <f>VLOOKUP($F264, codebooks_data_reordered!$A:$I, 4, FALSE)</f>
        <v>#N/A</v>
      </c>
      <c r="J264" t="e">
        <f>VLOOKUP($F264, codebooks_data_reordered!$A:$I, 5, FALSE)</f>
        <v>#N/A</v>
      </c>
      <c r="K264" t="e">
        <f>VLOOKUP($F264, codebooks_data_reordered!$A:$I, 6, FALSE)</f>
        <v>#N/A</v>
      </c>
      <c r="L264" t="e">
        <f>VLOOKUP($F264, codebooks_data_reordered!$A:$I, 7, FALSE)</f>
        <v>#N/A</v>
      </c>
      <c r="M264" t="e">
        <f>VLOOKUP($F264, codebooks_data_reordered!$A:$I, 9, FALSE)</f>
        <v>#N/A</v>
      </c>
      <c r="O264" t="e">
        <f t="shared" si="4"/>
        <v>#N/A</v>
      </c>
    </row>
    <row r="265" spans="1:15" ht="115.2" hidden="1" x14ac:dyDescent="0.3">
      <c r="A265" t="s">
        <v>6506</v>
      </c>
      <c r="B265" t="s">
        <v>6206</v>
      </c>
      <c r="C265" s="2" t="s">
        <v>6318</v>
      </c>
      <c r="D265" t="s">
        <v>5843</v>
      </c>
      <c r="E265" s="2" t="s">
        <v>6319</v>
      </c>
      <c r="F265" t="s">
        <v>1857</v>
      </c>
      <c r="G265" t="str">
        <f>VLOOKUP($F265, codebooks_data_reordered!$A:$I, 2, FALSE)</f>
        <v>1999_1</v>
      </c>
      <c r="H265" t="str">
        <f>VLOOKUP($F265, codebooks_data_reordered!$A:$I, 3, FALSE)</f>
        <v>ATTITUDES TOWARD CANDIDATES AND PARTIES</v>
      </c>
      <c r="I265" t="str">
        <f>VLOOKUP($F265, codebooks_data_reordered!$A:$I, 4, FALSE)</f>
        <v>1</v>
      </c>
      <c r="J265" t="str">
        <f>VLOOKUP($F265, codebooks_data_reordered!$A:$I, 5, FALSE)</f>
        <v>51</v>
      </c>
      <c r="K265" t="str">
        <f>VLOOKUP($F265, codebooks_data_reordered!$A:$I, 6, FALSE)</f>
        <v>Extend of support for religious people</v>
      </c>
      <c r="L265" t="str">
        <f>VLOOKUP($F265, codebooks_data_reordered!$A:$I, 7, FALSE)</f>
        <v>Extent of support on 1-10 scale, 1=total rejection, 10=strong support</v>
      </c>
      <c r="M265" t="str">
        <f>VLOOKUP($F265, codebooks_data_reordered!$A:$I, 9, FALSE)</f>
        <v>1: Totally reject; 10: Strongly support</v>
      </c>
      <c r="O265" s="2" t="str">
        <f t="shared" si="4"/>
        <v>1: Totally reject
 10: Strongly support</v>
      </c>
    </row>
    <row r="266" spans="1:15" ht="115.2" hidden="1" x14ac:dyDescent="0.3">
      <c r="A266" t="s">
        <v>6506</v>
      </c>
      <c r="B266" t="s">
        <v>6209</v>
      </c>
      <c r="C266" s="2" t="s">
        <v>6507</v>
      </c>
      <c r="D266" t="s">
        <v>5843</v>
      </c>
      <c r="E266" s="2" t="s">
        <v>6508</v>
      </c>
      <c r="F266" t="s">
        <v>292</v>
      </c>
      <c r="G266" t="str">
        <f>VLOOKUP($F266, codebooks_data_reordered!$A:$I, 2, FALSE)</f>
        <v>2006</v>
      </c>
      <c r="H266" t="str">
        <f>VLOOKUP($F266, codebooks_data_reordered!$A:$I, 3, FALSE)</f>
        <v>Support/Rejection of a Group or a Person</v>
      </c>
      <c r="I266" t="str">
        <f>VLOOKUP($F266, codebooks_data_reordered!$A:$I, 4, FALSE)</f>
        <v>1</v>
      </c>
      <c r="J266" t="str">
        <f>VLOOKUP($F266, codebooks_data_reordered!$A:$I, 5, FALSE)</f>
        <v>89-90</v>
      </c>
      <c r="K266" t="str">
        <f>VLOOKUP($F266, codebooks_data_reordered!$A:$I, 6, FALSE)</f>
        <v>Support: Sharon</v>
      </c>
      <c r="L266">
        <f>VLOOKUP($F266, codebooks_data_reordered!$A:$I, 7, FALSE)</f>
        <v>0</v>
      </c>
      <c r="M266" t="str">
        <f>VLOOKUP($F266, codebooks_data_reordered!$A:$I, 9, FALSE)</f>
        <v>1: Hate/rejection; 10: Love/support</v>
      </c>
      <c r="O266" s="2" t="str">
        <f t="shared" si="4"/>
        <v>1: Hate/rejection
 10: Love/support</v>
      </c>
    </row>
    <row r="267" spans="1:15" ht="115.2" hidden="1" x14ac:dyDescent="0.3">
      <c r="A267" t="s">
        <v>6506</v>
      </c>
      <c r="B267" t="s">
        <v>6212</v>
      </c>
      <c r="C267" s="2" t="s">
        <v>6318</v>
      </c>
      <c r="D267" t="s">
        <v>5843</v>
      </c>
      <c r="E267" s="2" t="s">
        <v>6319</v>
      </c>
      <c r="F267" t="s">
        <v>2061</v>
      </c>
      <c r="G267" t="str">
        <f>VLOOKUP($F267, codebooks_data_reordered!$A:$I, 2, FALSE)</f>
        <v>1999_1</v>
      </c>
      <c r="H267" t="str">
        <f>VLOOKUP($F267, codebooks_data_reordered!$A:$I, 3, FALSE)</f>
        <v>MAIN POLITICAL ISSUES</v>
      </c>
      <c r="I267" t="str">
        <f>VLOOKUP($F267, codebooks_data_reordered!$A:$I, 4, FALSE)</f>
        <v>2</v>
      </c>
      <c r="J267" t="str">
        <f>VLOOKUP($F267, codebooks_data_reordered!$A:$I, 5, FALSE)</f>
        <v>59</v>
      </c>
      <c r="K267" t="str">
        <f>VLOOKUP($F267, codebooks_data_reordered!$A:$I, 6, FALSE)</f>
        <v>Discussing political issues with friends/family</v>
      </c>
      <c r="L267">
        <f>VLOOKUP($F267, codebooks_data_reordered!$A:$I, 7, FALSE)</f>
        <v>0</v>
      </c>
      <c r="M267" t="str">
        <f>VLOOKUP($F267, codebooks_data_reordered!$A:$I, 9, FALSE)</f>
        <v>1: Often; 2: Sometimes; 3: Rarely; 4: Never</v>
      </c>
      <c r="O267" s="2" t="str">
        <f t="shared" si="4"/>
        <v>1: Often
 2: Sometimes
 3: Rarely
 4: Never</v>
      </c>
    </row>
    <row r="268" spans="1:15" ht="72" hidden="1" x14ac:dyDescent="0.3">
      <c r="A268" t="s">
        <v>6506</v>
      </c>
      <c r="B268" t="s">
        <v>6509</v>
      </c>
      <c r="C268" s="2" t="s">
        <v>6510</v>
      </c>
      <c r="D268" t="s">
        <v>5843</v>
      </c>
      <c r="E268" s="2" t="s">
        <v>6511</v>
      </c>
      <c r="F268" t="s">
        <v>62</v>
      </c>
      <c r="G268" t="str">
        <f>VLOOKUP($F268, codebooks_data_reordered!$A:$I, 2, FALSE)</f>
        <v>2006</v>
      </c>
      <c r="H268" t="str">
        <f>VLOOKUP($F268, codebooks_data_reordered!$A:$I, 3, FALSE)</f>
        <v>Pre-Election Survey</v>
      </c>
      <c r="I268" t="str">
        <f>VLOOKUP($F268, codebooks_data_reordered!$A:$I, 4, FALSE)</f>
        <v>1</v>
      </c>
      <c r="J268" t="str">
        <f>VLOOKUP($F268, codebooks_data_reordered!$A:$I, 5, FALSE)</f>
        <v>18</v>
      </c>
      <c r="K268" t="str">
        <f>VLOOKUP($F268, codebooks_data_reordered!$A:$I, 6, FALSE)</f>
        <v>Territories should be exchanged for peace</v>
      </c>
      <c r="L268" t="str">
        <f>VLOOKUP($F268, codebooks_data_reordered!$A:$I, 7, FALSE)</f>
        <v>15. In a peace agreement with the Palestinians, should Israel agree or disagree to a territorial compromise and to the evacuation of settlements in Judea and Samaria?</v>
      </c>
      <c r="M268" t="str">
        <f>VLOOKUP($F268, codebooks_data_reordered!$A:$I, 9, FALSE)</f>
        <v>1: Should definitely agree; 2: Should agree; 3: Should disagree; 4: Should definitely disagree</v>
      </c>
      <c r="O268" s="2" t="str">
        <f t="shared" si="4"/>
        <v>1: Should definitely agree
 2: Should agree
 3: Should disagree
 4: Should definitely disagree</v>
      </c>
    </row>
    <row r="269" spans="1:15" ht="115.2" hidden="1" x14ac:dyDescent="0.3">
      <c r="A269" t="s">
        <v>6506</v>
      </c>
      <c r="B269" t="s">
        <v>6512</v>
      </c>
      <c r="C269" s="2" t="s">
        <v>6431</v>
      </c>
      <c r="D269" t="s">
        <v>5843</v>
      </c>
      <c r="E269" s="2" t="s">
        <v>6432</v>
      </c>
      <c r="F269" t="s">
        <v>1824</v>
      </c>
      <c r="G269" t="str">
        <f>VLOOKUP($F269, codebooks_data_reordered!$A:$I, 2, FALSE)</f>
        <v>1999_1</v>
      </c>
      <c r="H269" t="str">
        <f>VLOOKUP($F269, codebooks_data_reordered!$A:$I, 3, FALSE)</f>
        <v>VALUES AND TRUST</v>
      </c>
      <c r="I269" t="str">
        <f>VLOOKUP($F269, codebooks_data_reordered!$A:$I, 4, FALSE)</f>
        <v>1</v>
      </c>
      <c r="J269" t="str">
        <f>VLOOKUP($F269, codebooks_data_reordered!$A:$I, 5, FALSE)</f>
        <v>37</v>
      </c>
      <c r="K269" t="str">
        <f>VLOOKUP($F269, codebooks_data_reordered!$A:$I, 6, FALSE)</f>
        <v>Extend of faith in State Advocacy</v>
      </c>
      <c r="L269">
        <f>VLOOKUP($F269, codebooks_data_reordered!$A:$I, 7, FALSE)</f>
        <v>0</v>
      </c>
      <c r="M269" t="str">
        <f>VLOOKUP($F269, codebooks_data_reordered!$A:$I, 9, FALSE)</f>
        <v>1: Not at all; 2: A little faith; 3: Some faith; 4: Strong faith</v>
      </c>
      <c r="O269" s="2" t="str">
        <f t="shared" si="4"/>
        <v>1: Not at all
 2: A little faith
 3: Some faith
 4: Strong faith</v>
      </c>
    </row>
    <row r="270" spans="1:15" ht="115.2" hidden="1" x14ac:dyDescent="0.3">
      <c r="A270" t="s">
        <v>6506</v>
      </c>
      <c r="B270" t="s">
        <v>6513</v>
      </c>
      <c r="C270" s="2" t="s">
        <v>6318</v>
      </c>
      <c r="D270" t="s">
        <v>5843</v>
      </c>
      <c r="E270" s="2" t="s">
        <v>6319</v>
      </c>
      <c r="F270" t="s">
        <v>1855</v>
      </c>
      <c r="G270" t="str">
        <f>VLOOKUP($F270, codebooks_data_reordered!$A:$I, 2, FALSE)</f>
        <v>1999_1</v>
      </c>
      <c r="H270" t="str">
        <f>VLOOKUP($F270, codebooks_data_reordered!$A:$I, 3, FALSE)</f>
        <v>ATTITUDES TOWARD CANDIDATES AND PARTIES</v>
      </c>
      <c r="I270" t="str">
        <f>VLOOKUP($F270, codebooks_data_reordered!$A:$I, 4, FALSE)</f>
        <v>1</v>
      </c>
      <c r="J270" t="str">
        <f>VLOOKUP($F270, codebooks_data_reordered!$A:$I, 5, FALSE)</f>
        <v>50</v>
      </c>
      <c r="K270" t="str">
        <f>VLOOKUP($F270, codebooks_data_reordered!$A:$I, 6, FALSE)</f>
        <v>Extend of support for Meretz</v>
      </c>
      <c r="L270" t="str">
        <f>VLOOKUP($F270, codebooks_data_reordered!$A:$I, 7, FALSE)</f>
        <v>Extent of support on 1-10 scale, 1=total rejection, 10=strong support</v>
      </c>
      <c r="M270" t="str">
        <f>VLOOKUP($F270, codebooks_data_reordered!$A:$I, 9, FALSE)</f>
        <v>1: Totally reject; 10: Strongly support</v>
      </c>
      <c r="O270" s="2" t="str">
        <f t="shared" si="4"/>
        <v>1: Totally reject
 10: Strongly support</v>
      </c>
    </row>
    <row r="271" spans="1:15" ht="115.2" hidden="1" x14ac:dyDescent="0.3">
      <c r="A271" t="s">
        <v>6506</v>
      </c>
      <c r="B271" t="s">
        <v>5841</v>
      </c>
      <c r="C271" s="2" t="s">
        <v>6507</v>
      </c>
      <c r="D271" t="s">
        <v>5843</v>
      </c>
      <c r="E271" s="2" t="s">
        <v>6508</v>
      </c>
      <c r="F271" t="s">
        <v>289</v>
      </c>
      <c r="G271" t="str">
        <f>VLOOKUP($F271, codebooks_data_reordered!$A:$I, 2, FALSE)</f>
        <v>2006</v>
      </c>
      <c r="H271" t="str">
        <f>VLOOKUP($F271, codebooks_data_reordered!$A:$I, 3, FALSE)</f>
        <v>Support/Rejection of a Group or a Person</v>
      </c>
      <c r="I271" t="str">
        <f>VLOOKUP($F271, codebooks_data_reordered!$A:$I, 4, FALSE)</f>
        <v>1</v>
      </c>
      <c r="J271" t="str">
        <f>VLOOKUP($F271, codebooks_data_reordered!$A:$I, 5, FALSE)</f>
        <v>87-88</v>
      </c>
      <c r="K271" t="str">
        <f>VLOOKUP($F271, codebooks_data_reordered!$A:$I, 6, FALSE)</f>
        <v>Support: Yishai</v>
      </c>
      <c r="L271">
        <f>VLOOKUP($F271, codebooks_data_reordered!$A:$I, 7, FALSE)</f>
        <v>0</v>
      </c>
      <c r="M271" t="str">
        <f>VLOOKUP($F271, codebooks_data_reordered!$A:$I, 9, FALSE)</f>
        <v>1: Hate/rejection; 10: Love/support</v>
      </c>
      <c r="O271" s="2" t="str">
        <f t="shared" si="4"/>
        <v>1: Hate/rejection
 10: Love/support</v>
      </c>
    </row>
    <row r="272" spans="1:15" ht="115.2" hidden="1" x14ac:dyDescent="0.3">
      <c r="A272" t="s">
        <v>6506</v>
      </c>
      <c r="B272" t="s">
        <v>6220</v>
      </c>
      <c r="C272" s="2" t="s">
        <v>6318</v>
      </c>
      <c r="D272" t="s">
        <v>5843</v>
      </c>
      <c r="E272" s="2" t="s">
        <v>6319</v>
      </c>
      <c r="F272" t="s">
        <v>2058</v>
      </c>
      <c r="G272" t="str">
        <f>VLOOKUP($F272, codebooks_data_reordered!$A:$I, 2, FALSE)</f>
        <v>1999_1</v>
      </c>
      <c r="H272" t="str">
        <f>VLOOKUP($F272, codebooks_data_reordered!$A:$I, 3, FALSE)</f>
        <v>MAIN POLITICAL ISSUES</v>
      </c>
      <c r="I272" t="str">
        <f>VLOOKUP($F272, codebooks_data_reordered!$A:$I, 4, FALSE)</f>
        <v>2</v>
      </c>
      <c r="J272" t="str">
        <f>VLOOKUP($F272, codebooks_data_reordered!$A:$I, 5, FALSE)</f>
        <v>58</v>
      </c>
      <c r="K272" t="str">
        <f>VLOOKUP($F272, codebooks_data_reordered!$A:$I, 6, FALSE)</f>
        <v>Citizens' personal interests vs. national interests</v>
      </c>
      <c r="L272">
        <f>VLOOKUP($F272, codebooks_data_reordered!$A:$I, 7, FALSE)</f>
        <v>0</v>
      </c>
      <c r="M272" t="str">
        <f>VLOOKUP($F272, codebooks_data_reordered!$A:$I, 9, FALSE)</f>
        <v>1: National interests are more important; 2: Equally important; 3: Personal interests are more important</v>
      </c>
      <c r="O272" s="2" t="str">
        <f t="shared" si="4"/>
        <v>1: National interests are more important
 2: Equally important
 3: Personal interests are more important</v>
      </c>
    </row>
    <row r="273" spans="1:15" ht="129.6" hidden="1" x14ac:dyDescent="0.3">
      <c r="A273" t="s">
        <v>6506</v>
      </c>
      <c r="B273" t="s">
        <v>6514</v>
      </c>
      <c r="C273" s="2" t="s">
        <v>6515</v>
      </c>
      <c r="D273" t="s">
        <v>5843</v>
      </c>
      <c r="E273" s="2" t="s">
        <v>6516</v>
      </c>
      <c r="F273" t="s">
        <v>295</v>
      </c>
      <c r="G273" t="str">
        <f>VLOOKUP($F273, codebooks_data_reordered!$A:$I, 2, FALSE)</f>
        <v>2006</v>
      </c>
      <c r="H273" t="str">
        <f>VLOOKUP($F273, codebooks_data_reordered!$A:$I, 3, FALSE)</f>
        <v>Support/Rejection of a Group or a Person</v>
      </c>
      <c r="I273" t="str">
        <f>VLOOKUP($F273, codebooks_data_reordered!$A:$I, 4, FALSE)</f>
        <v>1</v>
      </c>
      <c r="J273" t="str">
        <f>VLOOKUP($F273, codebooks_data_reordered!$A:$I, 5, FALSE)</f>
        <v>91-92</v>
      </c>
      <c r="K273" t="str">
        <f>VLOOKUP($F273, codebooks_data_reordered!$A:$I, 6, FALSE)</f>
        <v>Support: Liberman</v>
      </c>
      <c r="L273">
        <f>VLOOKUP($F273, codebooks_data_reordered!$A:$I, 7, FALSE)</f>
        <v>0</v>
      </c>
      <c r="M273" t="str">
        <f>VLOOKUP($F273, codebooks_data_reordered!$A:$I, 9, FALSE)</f>
        <v>1: Hate/rejection; 10: Love/support</v>
      </c>
      <c r="O273" s="2" t="str">
        <f t="shared" si="4"/>
        <v>1: Hate/rejection
 10: Love/support</v>
      </c>
    </row>
    <row r="274" spans="1:15" ht="115.2" hidden="1" x14ac:dyDescent="0.3">
      <c r="A274" t="s">
        <v>6506</v>
      </c>
      <c r="B274" t="s">
        <v>6517</v>
      </c>
      <c r="C274" s="2" t="s">
        <v>6518</v>
      </c>
      <c r="D274" t="s">
        <v>5843</v>
      </c>
      <c r="E274" s="2" t="s">
        <v>6519</v>
      </c>
      <c r="F274" t="s">
        <v>130</v>
      </c>
      <c r="G274" t="str">
        <f>VLOOKUP($F274, codebooks_data_reordered!$A:$I, 2, FALSE)</f>
        <v>2006</v>
      </c>
      <c r="H274" t="str">
        <f>VLOOKUP($F274, codebooks_data_reordered!$A:$I, 3, FALSE)</f>
        <v>Threat of Different Issues</v>
      </c>
      <c r="I274" t="str">
        <f>VLOOKUP($F274, codebooks_data_reordered!$A:$I, 4, FALSE)</f>
        <v>1</v>
      </c>
      <c r="J274" t="str">
        <f>VLOOKUP($F274, codebooks_data_reordered!$A:$I, 5, FALSE)</f>
        <v>35</v>
      </c>
      <c r="K274" t="str">
        <f>VLOOKUP($F274, codebooks_data_reordered!$A:$I, 6, FALSE)</f>
        <v>Threat of enemies having biological weapons</v>
      </c>
      <c r="L274" t="str">
        <f>VLOOKUP($F274, codebooks_data_reordered!$A:$I, 7, FALSE)</f>
        <v>To what extent do you consider each of the following situations as a threat?</v>
      </c>
      <c r="M274" t="str">
        <f>VLOOKUP($F274, codebooks_data_reordered!$A:$I, 9, FALSE)</f>
        <v>1: Not at all threatening; 7: Very threatening</v>
      </c>
      <c r="O274" s="2" t="str">
        <f t="shared" si="4"/>
        <v>1: Not at all threatening
 7: Very threatening</v>
      </c>
    </row>
    <row r="275" spans="1:15" ht="57.6" hidden="1" x14ac:dyDescent="0.3">
      <c r="A275" t="s">
        <v>6506</v>
      </c>
      <c r="B275" t="s">
        <v>6520</v>
      </c>
      <c r="C275" s="2" t="s">
        <v>6521</v>
      </c>
      <c r="D275" t="s">
        <v>5843</v>
      </c>
      <c r="E275" s="2" t="s">
        <v>6522</v>
      </c>
      <c r="F275" t="s">
        <v>1768</v>
      </c>
      <c r="G275" t="str">
        <f>VLOOKUP($F275, codebooks_data_reordered!$A:$I, 2, FALSE)</f>
        <v>1999_1</v>
      </c>
      <c r="H275" t="str">
        <f>VLOOKUP($F275, codebooks_data_reordered!$A:$I, 3, FALSE)</f>
        <v>GENERAL POLITICAL ATTITUDE</v>
      </c>
      <c r="I275" t="str">
        <f>VLOOKUP($F275, codebooks_data_reordered!$A:$I, 4, FALSE)</f>
        <v>1</v>
      </c>
      <c r="J275" t="str">
        <f>VLOOKUP($F275, codebooks_data_reordered!$A:$I, 5, FALSE)</f>
        <v>15</v>
      </c>
      <c r="K275" t="str">
        <f>VLOOKUP($F275, codebooks_data_reordered!$A:$I, 6, FALSE)</f>
        <v>Danger of conflict with Arab world compared to pre-Peace-process</v>
      </c>
      <c r="L275">
        <f>VLOOKUP($F275, codebooks_data_reordered!$A:$I, 7, FALSE)</f>
        <v>0</v>
      </c>
      <c r="M275" t="str">
        <f>VLOOKUP($F275, codebooks_data_reordered!$A:$I, 9, FALSE)</f>
        <v>1: Greatly increased; 2: Increased; 3: Decreased; 4: Greatly decreased</v>
      </c>
      <c r="O275" s="2" t="str">
        <f t="shared" si="4"/>
        <v>1: Greatly increased
 2: Increased
 3: Decreased
 4: Greatly decreased</v>
      </c>
    </row>
    <row r="276" spans="1:15" ht="115.2" hidden="1" x14ac:dyDescent="0.3">
      <c r="A276" t="s">
        <v>6506</v>
      </c>
      <c r="B276" t="s">
        <v>6523</v>
      </c>
      <c r="C276" s="2" t="s">
        <v>6373</v>
      </c>
      <c r="D276" t="s">
        <v>5843</v>
      </c>
      <c r="E276" s="2" t="s">
        <v>6374</v>
      </c>
      <c r="F276" t="s">
        <v>2840</v>
      </c>
      <c r="G276" t="str">
        <f>VLOOKUP($F276, codebooks_data_reordered!$A:$I, 2, FALSE)</f>
        <v>1992</v>
      </c>
      <c r="H276">
        <f>VLOOKUP($F276, codebooks_data_reordered!$A:$I, 3, FALSE)</f>
        <v>0</v>
      </c>
      <c r="I276" t="str">
        <f>VLOOKUP($F276, codebooks_data_reordered!$A:$I, 4, FALSE)</f>
        <v>1</v>
      </c>
      <c r="J276" t="str">
        <f>VLOOKUP($F276, codebooks_data_reordered!$A:$I, 5, FALSE)</f>
        <v>114</v>
      </c>
      <c r="K276" t="str">
        <f>VLOOKUP($F276, codebooks_data_reordered!$A:$I, 6, FALSE)</f>
        <v>Has leadership characteristics</v>
      </c>
      <c r="L276">
        <f>VLOOKUP($F276, codebooks_data_reordered!$A:$I, 7, FALSE)</f>
        <v>0</v>
      </c>
      <c r="M276" t="str">
        <f>VLOOKUP($F276, codebooks_data_reordered!$A:$I, 9, FALSE)</f>
        <v>1: Suits Yitzhak Shamir; 2: Suits Yitzhak Rabin; 3: Both leaders; 4: Neither</v>
      </c>
      <c r="O276" s="2" t="str">
        <f t="shared" si="4"/>
        <v>1: Suits Yitzhak Shamir
 2: Suits Yitzhak Rabin
 3: Both leaders
 4: Neither</v>
      </c>
    </row>
    <row r="277" spans="1:15" ht="115.2" hidden="1" x14ac:dyDescent="0.3">
      <c r="A277" t="s">
        <v>6506</v>
      </c>
      <c r="B277" t="s">
        <v>6524</v>
      </c>
      <c r="C277" s="2" t="s">
        <v>6518</v>
      </c>
      <c r="D277" t="s">
        <v>5843</v>
      </c>
      <c r="E277" s="2" t="s">
        <v>6519</v>
      </c>
      <c r="F277" t="s">
        <v>580</v>
      </c>
      <c r="G277" t="str">
        <f>VLOOKUP($F277, codebooks_data_reordered!$A:$I, 2, FALSE)</f>
        <v>2006</v>
      </c>
      <c r="H277" t="str">
        <f>VLOOKUP($F277, codebooks_data_reordered!$A:$I, 3, FALSE)</f>
        <v>Newspaper/TV</v>
      </c>
      <c r="I277" t="str">
        <f>VLOOKUP($F277, codebooks_data_reordered!$A:$I, 4, FALSE)</f>
        <v>1</v>
      </c>
      <c r="J277" t="str">
        <f>VLOOKUP($F277, codebooks_data_reordered!$A:$I, 5, FALSE)</f>
        <v>181</v>
      </c>
      <c r="K277" t="str">
        <f>VLOOKUP($F277, codebooks_data_reordered!$A:$I, 6, FALSE)</f>
        <v>Sites of political parties</v>
      </c>
      <c r="L277" t="str">
        <f>VLOOKUP($F277, codebooks_data_reordered!$A:$I, 7, FALSE)</f>
        <v>70. Do you surf sites of political parties?</v>
      </c>
      <c r="M277" t="str">
        <f>VLOOKUP($F277, codebooks_data_reordered!$A:$I, 9, FALSE)</f>
        <v>1: Do not surf the internet at all; 2: Surf but not sites of parties; 3: Surf once in a while the sites of parties; 4: Yes quite often</v>
      </c>
      <c r="O277" s="2" t="str">
        <f t="shared" si="4"/>
        <v>1: Do not surf the internet at all
 2: Surf but not sites of parties
 3: Surf once in a while the sites of parties
 4: Yes quite often</v>
      </c>
    </row>
    <row r="278" spans="1:15" ht="115.2" hidden="1" x14ac:dyDescent="0.3">
      <c r="A278" t="s">
        <v>6506</v>
      </c>
      <c r="B278" t="s">
        <v>6525</v>
      </c>
      <c r="C278" s="2" t="s">
        <v>6526</v>
      </c>
      <c r="D278" t="s">
        <v>5843</v>
      </c>
      <c r="E278" s="2" t="s">
        <v>6527</v>
      </c>
      <c r="F278" t="s">
        <v>57</v>
      </c>
      <c r="G278" t="str">
        <f>VLOOKUP($F278, codebooks_data_reordered!$A:$I, 2, FALSE)</f>
        <v>2006</v>
      </c>
      <c r="H278" t="str">
        <f>VLOOKUP($F278, codebooks_data_reordered!$A:$I, 3, FALSE)</f>
        <v>Pre-Election Survey</v>
      </c>
      <c r="I278" t="str">
        <f>VLOOKUP($F278, codebooks_data_reordered!$A:$I, 4, FALSE)</f>
        <v>1</v>
      </c>
      <c r="J278" t="str">
        <f>VLOOKUP($F278, codebooks_data_reordered!$A:$I, 5, FALSE)</f>
        <v>17</v>
      </c>
      <c r="K278" t="str">
        <f>VLOOKUP($F278, codebooks_data_reordered!$A:$I, 6, FALSE)</f>
        <v>National security in next 5 years</v>
      </c>
      <c r="L278" t="str">
        <f>VLOOKUP($F278,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278" t="str">
        <f>VLOOKUP($F278, codebooks_data_reordered!$A:$I, 9, FALSE)</f>
        <v>1: Worst situation; 9: Best situation</v>
      </c>
      <c r="O278" s="2" t="str">
        <f t="shared" si="4"/>
        <v>1: Worst situation
 9: Best situation</v>
      </c>
    </row>
    <row r="279" spans="1:15" ht="115.2" hidden="1" x14ac:dyDescent="0.3">
      <c r="A279" t="s">
        <v>6506</v>
      </c>
      <c r="B279" t="s">
        <v>6528</v>
      </c>
      <c r="C279" s="2" t="s">
        <v>6431</v>
      </c>
      <c r="D279" t="s">
        <v>5843</v>
      </c>
      <c r="E279" s="2" t="s">
        <v>6432</v>
      </c>
      <c r="F279" t="s">
        <v>713</v>
      </c>
      <c r="G279" t="str">
        <f>VLOOKUP($F279, codebooks_data_reordered!$A:$I, 2, FALSE)</f>
        <v>2006</v>
      </c>
      <c r="H279" t="str">
        <f>VLOOKUP($F279, codebooks_data_reordered!$A:$I, 3, FALSE)</f>
        <v>Self-identity</v>
      </c>
      <c r="I279" t="str">
        <f>VLOOKUP($F279, codebooks_data_reordered!$A:$I, 4, FALSE)</f>
        <v>1</v>
      </c>
      <c r="J279" t="str">
        <f>VLOOKUP($F279, codebooks_data_reordered!$A:$I, 5, FALSE)</f>
        <v>260</v>
      </c>
      <c r="K279" t="str">
        <f>VLOOKUP($F279, codebooks_data_reordered!$A:$I, 6, FALSE)</f>
        <v>Self-identity for Jews (third)</v>
      </c>
      <c r="L279" t="str">
        <f>VLOOKUP($F279, codebooks_data_reordered!$A:$I, 7, FALSE)</f>
        <v>(for Jews) Which of the following concepts best defines your identity? (read) and the second? And the third? And the fourth?</v>
      </c>
      <c r="M279" t="str">
        <f>VLOOKUP($F279, codebooks_data_reordered!$A:$I, 9, FALSE)</f>
        <v>1: Israeli; 2: Jewish; 3: Ashkenazi/Sfaradi; 4: Religious/Secular</v>
      </c>
      <c r="O279" s="2" t="str">
        <f t="shared" si="4"/>
        <v>1: Israeli
 2: Jewish
 3: Ashkenazi/Sfaradi
 4: Religious/Secular</v>
      </c>
    </row>
    <row r="280" spans="1:15" ht="345.6" hidden="1" x14ac:dyDescent="0.3">
      <c r="A280" t="s">
        <v>6506</v>
      </c>
      <c r="B280" t="s">
        <v>6248</v>
      </c>
      <c r="C280" s="2" t="s">
        <v>6431</v>
      </c>
      <c r="D280" t="s">
        <v>5843</v>
      </c>
      <c r="E280" s="2" t="s">
        <v>6432</v>
      </c>
      <c r="F280" t="s">
        <v>934</v>
      </c>
      <c r="G280" t="str">
        <f>VLOOKUP($F280, codebooks_data_reordered!$A:$I, 2, FALSE)</f>
        <v>2006</v>
      </c>
      <c r="H280" t="str">
        <f>VLOOKUP($F280, codebooks_data_reordered!$A:$I, 3, FALSE)</f>
        <v>Reason for not Vote</v>
      </c>
      <c r="I280" t="str">
        <f>VLOOKUP($F280, codebooks_data_reordered!$A:$I, 4, FALSE)</f>
        <v>1</v>
      </c>
      <c r="J280" t="str">
        <f>VLOOKUP($F280, codebooks_data_reordered!$A:$I, 5, FALSE)</f>
        <v>334-335</v>
      </c>
      <c r="K280" t="str">
        <f>VLOOKUP($F280, codebooks_data_reordered!$A:$I, 6, FALSE)</f>
        <v>The most important reason for not voted</v>
      </c>
      <c r="L280" t="str">
        <f>VLOOKUP($F280, codebooks_data_reordered!$A:$I, 7, FALSE)</f>
        <v>21. And among those reasons, which in your opinion was the most important for the low turnout?(Interviewer: Review answers 15-20 in a varying order)</v>
      </c>
      <c r="M280" t="str">
        <f>VLOOKUP($F280, codebooks_data_reordered!$A:$I, 9, FALSE)</f>
        <v>15: No difference between the parties; 16: It was clear who would win; 17: It makes no difference for whom you vote because nothing changes; 18: The public is sick of politics and politicians; 19: People felt they did not have for whom to vote; 20: People don't care, they're apathetic; 21: No leader; 22: Laziness to go to the polling station; 23: Place of polling station unknown; 24: New immigrants were not told about elections; 90: Unknown; 95: Several reasons; 99: None of the reasons</v>
      </c>
      <c r="O280" s="2" t="str">
        <f t="shared" si="4"/>
        <v>15: No difference between the parties
 16: It was clear who would win
 17: It makes no difference for whom you vote because nothing changes
 18: The public is sick of politics and politicians
 19: People felt they did not have for whom to vote
 20: People don't care, they're apathetic
 21: No leader
 22: Laziness to go to the polling station
 23: Place of polling station unknown
 24: New immigrants were not told about elections
 90: Unknown
 95: Several reasons
 99: None of the reasons</v>
      </c>
    </row>
    <row r="281" spans="1:15" ht="288" hidden="1" x14ac:dyDescent="0.3">
      <c r="A281" t="s">
        <v>6506</v>
      </c>
      <c r="B281" t="s">
        <v>6529</v>
      </c>
      <c r="C281" s="2" t="s">
        <v>6530</v>
      </c>
      <c r="D281" t="s">
        <v>5843</v>
      </c>
      <c r="E281" s="2" t="s">
        <v>6531</v>
      </c>
      <c r="F281" t="s">
        <v>529</v>
      </c>
      <c r="G281" t="str">
        <f>VLOOKUP($F281, codebooks_data_reordered!$A:$I, 2, FALSE)</f>
        <v>2006</v>
      </c>
      <c r="H281" t="str">
        <f>VLOOKUP($F281, codebooks_data_reordered!$A:$I, 3, FALSE)</f>
        <v>Most/Less Suitable Characteristic of the Party</v>
      </c>
      <c r="I281" t="str">
        <f>VLOOKUP($F281, codebooks_data_reordered!$A:$I, 4, FALSE)</f>
        <v>1</v>
      </c>
      <c r="J281" t="str">
        <f>VLOOKUP($F281, codebooks_data_reordered!$A:$I, 5, FALSE)</f>
        <v>168</v>
      </c>
      <c r="K281" t="str">
        <f>VLOOKUP($F281, codebooks_data_reordered!$A:$I, 6, FALSE)</f>
        <v>Least suitable characteristic of the party: Good Negotiating Skills</v>
      </c>
      <c r="L281" t="str">
        <f>VLOOKUP($F281,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Good negotiating capability</v>
      </c>
      <c r="M281" t="str">
        <f>VLOOKUP($F281, codebooks_data_reordered!$A:$I, 9, FALSE)</f>
        <v>1: Olmert; 2: Netanyahu; 3: Peretz; 4: All; 5: None</v>
      </c>
      <c r="O281" s="2" t="str">
        <f t="shared" si="4"/>
        <v>1: Olmert
 2: Netanyahu
 3: Peretz
 4: All
 5: None</v>
      </c>
    </row>
    <row r="282" spans="1:15" ht="216" hidden="1" x14ac:dyDescent="0.3">
      <c r="A282" t="s">
        <v>6506</v>
      </c>
      <c r="B282" t="s">
        <v>6532</v>
      </c>
      <c r="C282" s="2" t="s">
        <v>6533</v>
      </c>
      <c r="D282" t="s">
        <v>5843</v>
      </c>
      <c r="E282" s="2" t="s">
        <v>6534</v>
      </c>
      <c r="F282" t="s">
        <v>298</v>
      </c>
      <c r="G282" t="str">
        <f>VLOOKUP($F282, codebooks_data_reordered!$A:$I, 2, FALSE)</f>
        <v>2006</v>
      </c>
      <c r="H282" t="str">
        <f>VLOOKUP($F282, codebooks_data_reordered!$A:$I, 3, FALSE)</f>
        <v>Support/Rejection of a Group or a Person</v>
      </c>
      <c r="I282" t="str">
        <f>VLOOKUP($F282, codebooks_data_reordered!$A:$I, 4, FALSE)</f>
        <v>1</v>
      </c>
      <c r="J282" t="str">
        <f>VLOOKUP($F282, codebooks_data_reordered!$A:$I, 5, FALSE)</f>
        <v>93-94</v>
      </c>
      <c r="K282" t="str">
        <f>VLOOKUP($F282, codebooks_data_reordered!$A:$I, 6, FALSE)</f>
        <v>Support: Beilin</v>
      </c>
      <c r="L282">
        <f>VLOOKUP($F282, codebooks_data_reordered!$A:$I, 7, FALSE)</f>
        <v>0</v>
      </c>
      <c r="M282" t="str">
        <f>VLOOKUP($F282, codebooks_data_reordered!$A:$I, 9, FALSE)</f>
        <v>1: Hate/rejection; 10: Love/support</v>
      </c>
      <c r="O282" s="2" t="str">
        <f t="shared" si="4"/>
        <v>1: Hate/rejection
 10: Love/support</v>
      </c>
    </row>
    <row r="283" spans="1:15" ht="230.4" hidden="1" x14ac:dyDescent="0.3">
      <c r="A283" t="s">
        <v>6506</v>
      </c>
      <c r="B283" t="s">
        <v>6535</v>
      </c>
      <c r="C283" s="2" t="s">
        <v>6536</v>
      </c>
      <c r="D283" t="s">
        <v>5843</v>
      </c>
      <c r="E283" s="2" t="s">
        <v>6537</v>
      </c>
      <c r="F283" t="s">
        <v>301</v>
      </c>
      <c r="G283" t="str">
        <f>VLOOKUP($F283, codebooks_data_reordered!$A:$I, 2, FALSE)</f>
        <v>2006</v>
      </c>
      <c r="H283" t="str">
        <f>VLOOKUP($F283, codebooks_data_reordered!$A:$I, 3, FALSE)</f>
        <v>Support/Rejection of a Group or a Person</v>
      </c>
      <c r="I283" t="str">
        <f>VLOOKUP($F283, codebooks_data_reordered!$A:$I, 4, FALSE)</f>
        <v>1</v>
      </c>
      <c r="J283" t="str">
        <f>VLOOKUP($F283, codebooks_data_reordered!$A:$I, 5, FALSE)</f>
        <v>95-96</v>
      </c>
      <c r="K283" t="str">
        <f>VLOOKUP($F283, codebooks_data_reordered!$A:$I, 6, FALSE)</f>
        <v>Support: Eylon</v>
      </c>
      <c r="L283">
        <f>VLOOKUP($F283, codebooks_data_reordered!$A:$I, 7, FALSE)</f>
        <v>0</v>
      </c>
      <c r="M283" t="str">
        <f>VLOOKUP($F283, codebooks_data_reordered!$A:$I, 9, FALSE)</f>
        <v>1: Hate/rejection; 10: Love/support</v>
      </c>
      <c r="O283" s="2" t="str">
        <f t="shared" si="4"/>
        <v>1: Hate/rejection
 10: Love/support</v>
      </c>
    </row>
    <row r="284" spans="1:15" ht="158.4" hidden="1" x14ac:dyDescent="0.3">
      <c r="A284" t="s">
        <v>6506</v>
      </c>
      <c r="B284" t="s">
        <v>6538</v>
      </c>
      <c r="C284" s="2" t="s">
        <v>6539</v>
      </c>
      <c r="D284" t="s">
        <v>5843</v>
      </c>
      <c r="E284" s="2" t="s">
        <v>6540</v>
      </c>
      <c r="F284" t="s">
        <v>1793</v>
      </c>
      <c r="G284" t="str">
        <f>VLOOKUP($F284, codebooks_data_reordered!$A:$I, 2, FALSE)</f>
        <v>1999_1</v>
      </c>
      <c r="H284" t="str">
        <f>VLOOKUP($F284, codebooks_data_reordered!$A:$I, 3, FALSE)</f>
        <v>GENERAL POLITICAL ATTITUDE</v>
      </c>
      <c r="I284" t="str">
        <f>VLOOKUP($F284, codebooks_data_reordered!$A:$I, 4, FALSE)</f>
        <v>1</v>
      </c>
      <c r="J284" t="str">
        <f>VLOOKUP($F284, codebooks_data_reordered!$A:$I, 5, FALSE)</f>
        <v>24</v>
      </c>
      <c r="K284" t="str">
        <f>VLOOKUP($F284, codebooks_data_reordered!$A:$I, 6, FALSE)</f>
        <v>Opinion on the establishment of a Palestinian state</v>
      </c>
      <c r="L284">
        <f>VLOOKUP($F284, codebooks_data_reordered!$A:$I, 7, FALSE)</f>
        <v>0</v>
      </c>
      <c r="M284" t="str">
        <f>VLOOKUP($F284, codebooks_data_reordered!$A:$I, 9, FALSE)</f>
        <v>1: Definitely agree; 2: Agree; 3: Disagree; 4: Definitely disagree</v>
      </c>
      <c r="O284" s="2" t="str">
        <f t="shared" si="4"/>
        <v>1: Definitely agree
 2: Agree
 3: Disagree
 4: Definitely disagree</v>
      </c>
    </row>
    <row r="285" spans="1:15" ht="201.6" hidden="1" x14ac:dyDescent="0.3">
      <c r="A285" t="s">
        <v>6506</v>
      </c>
      <c r="B285" t="s">
        <v>6541</v>
      </c>
      <c r="C285" s="2" t="s">
        <v>6542</v>
      </c>
      <c r="D285" t="s">
        <v>5843</v>
      </c>
      <c r="E285" s="2" t="s">
        <v>6543</v>
      </c>
      <c r="F285" t="s">
        <v>3064</v>
      </c>
      <c r="G285" t="str">
        <f>VLOOKUP($F285, codebooks_data_reordered!$A:$I, 2, FALSE)</f>
        <v>1988_Panel_N=416</v>
      </c>
      <c r="H285" t="str">
        <f>VLOOKUP($F285, codebooks_data_reordered!$A:$I, 3, FALSE)</f>
        <v>ISRAEL'S CAPABILITY OF COPING WITH VARIOUS SITUATIONS</v>
      </c>
      <c r="I285" t="str">
        <f>VLOOKUP($F285, codebooks_data_reordered!$A:$I, 4, FALSE)</f>
        <v>1</v>
      </c>
      <c r="J285" t="str">
        <f>VLOOKUP($F285, codebooks_data_reordered!$A:$I, 5, FALSE)</f>
        <v>86</v>
      </c>
      <c r="K285" t="str">
        <f>VLOOKUP($F285, codebooks_data_reordered!$A:$I, 6, FALSE)</f>
        <v>What probability does respondent attach to Israel's destruction</v>
      </c>
      <c r="L285">
        <f>VLOOKUP($F285, codebooks_data_reordered!$A:$I, 7, FALSE)</f>
        <v>0</v>
      </c>
      <c r="M285" t="str">
        <f>VLOOKUP($F285, codebooks_data_reordered!$A:$I, 9, FALSE)</f>
        <v>1: High; 2: Medium; 3: Low; 4: Non-existent</v>
      </c>
      <c r="O285" s="2" t="str">
        <f t="shared" si="4"/>
        <v>1: High
 2: Medium
 3: Low
 4: Non-existent</v>
      </c>
    </row>
    <row r="286" spans="1:15" ht="187.2" hidden="1" x14ac:dyDescent="0.3">
      <c r="A286" t="s">
        <v>6506</v>
      </c>
      <c r="B286" t="s">
        <v>6544</v>
      </c>
      <c r="C286" s="2" t="s">
        <v>6545</v>
      </c>
      <c r="D286" t="s">
        <v>5843</v>
      </c>
      <c r="E286" s="2" t="s">
        <v>6546</v>
      </c>
      <c r="F286" t="s">
        <v>4441</v>
      </c>
      <c r="G286" t="str">
        <f>VLOOKUP($F286, codebooks_data_reordered!$A:$I, 2, FALSE)</f>
        <v>1981_3</v>
      </c>
      <c r="H286" t="str">
        <f>VLOOKUP($F286, codebooks_data_reordered!$A:$I, 3, FALSE)</f>
        <v>INTERVIEWEE EVALUATION OF THE STATE OF ISRAEL</v>
      </c>
      <c r="I286" t="str">
        <f>VLOOKUP($F286, codebooks_data_reordered!$A:$I, 4, FALSE)</f>
        <v>1</v>
      </c>
      <c r="J286" t="str">
        <f>VLOOKUP($F286, codebooks_data_reordered!$A:$I, 5, FALSE)</f>
        <v>166</v>
      </c>
      <c r="K286" t="str">
        <f>VLOOKUP($F286, codebooks_data_reordered!$A:$I, 6, FALSE)</f>
        <v>Radio station interviewee especially listens to</v>
      </c>
      <c r="L286">
        <f>VLOOKUP($F286, codebooks_data_reordered!$A:$I, 7, FALSE)</f>
        <v>0</v>
      </c>
      <c r="M286" t="str">
        <f>VLOOKUP($F286, codebooks_data_reordered!$A:$I, 9, FALSE)</f>
        <v>1: HaGal HaKal; 2: Reshet Gimel; 3: Galei Tzahal; 4: Reshet Aleph; 5: Kol HaShalom; 6: Does not listen to the radio</v>
      </c>
      <c r="O286" s="2" t="str">
        <f t="shared" si="4"/>
        <v>1: HaGal HaKal
 2: Reshet Gimel
 3: Galei Tzahal
 4: Reshet Aleph
 5: Kol HaShalom
 6: Does not listen to the radio</v>
      </c>
    </row>
    <row r="287" spans="1:15" ht="129.6" hidden="1" x14ac:dyDescent="0.3">
      <c r="A287" t="s">
        <v>6506</v>
      </c>
      <c r="B287" t="s">
        <v>6547</v>
      </c>
      <c r="C287" s="2" t="s">
        <v>6548</v>
      </c>
      <c r="D287" t="s">
        <v>5843</v>
      </c>
      <c r="E287" s="2" t="s">
        <v>6549</v>
      </c>
      <c r="F287" t="s">
        <v>1784</v>
      </c>
      <c r="G287" t="str">
        <f>VLOOKUP($F287, codebooks_data_reordered!$A:$I, 2, FALSE)</f>
        <v>1999_1</v>
      </c>
      <c r="H287" t="str">
        <f>VLOOKUP($F287, codebooks_data_reordered!$A:$I, 3, FALSE)</f>
        <v>GENERAL POLITICAL ATTITUDE</v>
      </c>
      <c r="I287" t="str">
        <f>VLOOKUP($F287, codebooks_data_reordered!$A:$I, 4, FALSE)</f>
        <v>1</v>
      </c>
      <c r="J287" t="str">
        <f>VLOOKUP($F287, codebooks_data_reordered!$A:$I, 5, FALSE)</f>
        <v>21</v>
      </c>
      <c r="K287" t="str">
        <f>VLOOKUP($F287, codebooks_data_reordered!$A:$I, 6, FALSE)</f>
        <v>Attitude towards Oslo Accord</v>
      </c>
      <c r="L287">
        <f>VLOOKUP($F287, codebooks_data_reordered!$A:$I, 7, FALSE)</f>
        <v>0</v>
      </c>
      <c r="M287" t="str">
        <f>VLOOKUP($F287, codebooks_data_reordered!$A:$I, 9, FALSE)</f>
        <v>1: Strongly support; 2: Support; 3: Object; 4: Strongly object</v>
      </c>
      <c r="O287" s="2" t="str">
        <f t="shared" si="4"/>
        <v>1: Strongly support
 2: Support
 3: Object
 4: Strongly object</v>
      </c>
    </row>
    <row r="288" spans="1:15" ht="115.2" hidden="1" x14ac:dyDescent="0.3">
      <c r="A288" t="s">
        <v>6506</v>
      </c>
      <c r="B288" t="s">
        <v>6550</v>
      </c>
      <c r="C288" s="2" t="s">
        <v>6551</v>
      </c>
      <c r="D288" t="s">
        <v>5843</v>
      </c>
      <c r="E288" s="2" t="s">
        <v>6552</v>
      </c>
      <c r="F288" t="s">
        <v>1754</v>
      </c>
      <c r="G288" t="str">
        <f>VLOOKUP($F288, codebooks_data_reordered!$A:$I, 2, FALSE)</f>
        <v>1999_1</v>
      </c>
      <c r="H288" t="str">
        <f>VLOOKUP($F288, codebooks_data_reordered!$A:$I, 3, FALSE)</f>
        <v>GENERAL POLITICAL ATTITUDE</v>
      </c>
      <c r="I288" t="str">
        <f>VLOOKUP($F288, codebooks_data_reordered!$A:$I, 4, FALSE)</f>
        <v>1</v>
      </c>
      <c r="J288" t="str">
        <f>VLOOKUP($F288, codebooks_data_reordered!$A:$I, 5, FALSE)</f>
        <v>8-9</v>
      </c>
      <c r="K288" t="str">
        <f>VLOOKUP($F288, codebooks_data_reordered!$A:$I, 6, FALSE)</f>
        <v>Main problem government has to deal with</v>
      </c>
      <c r="L288">
        <f>VLOOKUP($F288, codebooks_data_reordered!$A:$I, 7, FALSE)</f>
        <v>0</v>
      </c>
      <c r="M288">
        <f>VLOOKUP($F288, codebooks_data_reordered!$A:$I, 9, FALSE)</f>
        <v>0</v>
      </c>
      <c r="O288" s="2" t="str">
        <f t="shared" si="4"/>
        <v>0</v>
      </c>
    </row>
    <row r="289" spans="1:15" ht="129.6" hidden="1" x14ac:dyDescent="0.3">
      <c r="A289" t="s">
        <v>6506</v>
      </c>
      <c r="B289" t="s">
        <v>6553</v>
      </c>
      <c r="C289" s="2" t="s">
        <v>6548</v>
      </c>
      <c r="D289" t="s">
        <v>5843</v>
      </c>
      <c r="E289" s="2" t="s">
        <v>6549</v>
      </c>
      <c r="F289" t="s">
        <v>1787</v>
      </c>
      <c r="G289" t="str">
        <f>VLOOKUP($F289, codebooks_data_reordered!$A:$I, 2, FALSE)</f>
        <v>1999_1</v>
      </c>
      <c r="H289" t="str">
        <f>VLOOKUP($F289, codebooks_data_reordered!$A:$I, 3, FALSE)</f>
        <v>GENERAL POLITICAL ATTITUDE</v>
      </c>
      <c r="I289" t="str">
        <f>VLOOKUP($F289, codebooks_data_reordered!$A:$I, 4, FALSE)</f>
        <v>1</v>
      </c>
      <c r="J289" t="str">
        <f>VLOOKUP($F289, codebooks_data_reordered!$A:$I, 5, FALSE)</f>
        <v>22</v>
      </c>
      <c r="K289" t="str">
        <f>VLOOKUP($F289, codebooks_data_reordered!$A:$I, 6, FALSE)</f>
        <v>Personal Security of Israeli citizens since Peace process began</v>
      </c>
      <c r="L289">
        <f>VLOOKUP($F289, codebooks_data_reordered!$A:$I, 7, FALSE)</f>
        <v>0</v>
      </c>
      <c r="M289" t="str">
        <f>VLOOKUP($F289, codebooks_data_reordered!$A:$I, 9, FALSE)</f>
        <v>1: Much better; 2: Better; 3: Worse; 4: Much worse</v>
      </c>
      <c r="O289" s="2" t="str">
        <f t="shared" si="4"/>
        <v>1: Much better
 2: Better
 3: Worse
 4: Much worse</v>
      </c>
    </row>
    <row r="290" spans="1:15" ht="72" hidden="1" x14ac:dyDescent="0.3">
      <c r="A290" t="s">
        <v>6506</v>
      </c>
      <c r="B290" t="s">
        <v>6554</v>
      </c>
      <c r="C290" s="2" t="s">
        <v>5947</v>
      </c>
      <c r="D290" t="s">
        <v>5843</v>
      </c>
      <c r="E290" s="2" t="s">
        <v>5948</v>
      </c>
      <c r="F290" t="s">
        <v>2181</v>
      </c>
      <c r="G290" t="str">
        <f>VLOOKUP($F290, codebooks_data_reordered!$A:$I, 2, FALSE)</f>
        <v>1999_1</v>
      </c>
      <c r="H290" t="str">
        <f>VLOOKUP($F290, codebooks_data_reordered!$A:$I, 3, FALSE)</f>
        <v>RESPONDENT'S DEMOGRAPHIC DETAILS</v>
      </c>
      <c r="I290" t="str">
        <f>VLOOKUP($F290, codebooks_data_reordered!$A:$I, 4, FALSE)</f>
        <v>3</v>
      </c>
      <c r="J290" t="str">
        <f>VLOOKUP($F290, codebooks_data_reordered!$A:$I, 5, FALSE)</f>
        <v>28</v>
      </c>
      <c r="K290" t="str">
        <f>VLOOKUP($F290, codebooks_data_reordered!$A:$I, 6, FALSE)</f>
        <v>First label to define identity</v>
      </c>
      <c r="L290">
        <f>VLOOKUP($F290, codebooks_data_reordered!$A:$I, 7, FALSE)</f>
        <v>0</v>
      </c>
      <c r="M290" t="str">
        <f>VLOOKUP($F290, codebooks_data_reordered!$A:$I, 9, FALSE)</f>
        <v>1: Israeli; 2: Jewish; 3: Ethnic group(Ashkenazi/Sefaradi); 4: Religious/Secular</v>
      </c>
      <c r="O290" s="2" t="str">
        <f t="shared" si="4"/>
        <v>1: Israeli
 2: Jewish
 3: Ethnic group(Ashkenazi/Sefaradi)
 4: Religious/Secular</v>
      </c>
    </row>
    <row r="291" spans="1:15" ht="100.8" hidden="1" x14ac:dyDescent="0.3">
      <c r="A291" t="s">
        <v>6506</v>
      </c>
      <c r="B291" t="s">
        <v>6555</v>
      </c>
      <c r="C291" s="2" t="s">
        <v>6556</v>
      </c>
      <c r="D291" t="s">
        <v>5843</v>
      </c>
      <c r="E291" s="2" t="s">
        <v>6557</v>
      </c>
      <c r="F291" t="s">
        <v>2679</v>
      </c>
      <c r="G291" t="str">
        <f>VLOOKUP($F291, codebooks_data_reordered!$A:$I, 2, FALSE)</f>
        <v>1992</v>
      </c>
      <c r="H291">
        <f>VLOOKUP($F291, codebooks_data_reordered!$A:$I, 3, FALSE)</f>
        <v>0</v>
      </c>
      <c r="I291" t="str">
        <f>VLOOKUP($F291, codebooks_data_reordered!$A:$I, 4, FALSE)</f>
        <v>1</v>
      </c>
      <c r="J291" t="str">
        <f>VLOOKUP($F291, codebooks_data_reordered!$A:$I, 5, FALSE)</f>
        <v>8</v>
      </c>
      <c r="K291" t="str">
        <f>VLOOKUP($F291, codebooks_data_reordered!$A:$I, 6, FALSE)</f>
        <v>Evaluation of Israel's present national security</v>
      </c>
      <c r="L291">
        <f>VLOOKUP($F291, codebooks_data_reordered!$A:$I, 7, FALSE)</f>
        <v>0</v>
      </c>
      <c r="M291" t="str">
        <f>VLOOKUP($F291, codebooks_data_reordered!$A:$I, 9, FALSE)</f>
        <v>1: Worst possible; 9: Best possible</v>
      </c>
      <c r="O291" s="2" t="str">
        <f t="shared" si="4"/>
        <v>1: Worst possible
 9: Best possible</v>
      </c>
    </row>
    <row r="292" spans="1:15" ht="100.8" hidden="1" x14ac:dyDescent="0.3">
      <c r="A292" t="s">
        <v>6506</v>
      </c>
      <c r="B292" t="s">
        <v>6558</v>
      </c>
      <c r="C292" s="2" t="s">
        <v>6556</v>
      </c>
      <c r="D292" t="s">
        <v>5843</v>
      </c>
      <c r="E292" s="2" t="s">
        <v>6557</v>
      </c>
      <c r="F292" t="s">
        <v>23</v>
      </c>
      <c r="G292" t="str">
        <f>VLOOKUP($F292, codebooks_data_reordered!$A:$I, 2, FALSE)</f>
        <v>2006</v>
      </c>
      <c r="H292" t="str">
        <f>VLOOKUP($F292, codebooks_data_reordered!$A:$I, 3, FALSE)</f>
        <v>Case Identification</v>
      </c>
      <c r="I292" t="str">
        <f>VLOOKUP($F292, codebooks_data_reordered!$A:$I, 4, FALSE)</f>
        <v>1</v>
      </c>
      <c r="J292" t="str">
        <f>VLOOKUP($F292, codebooks_data_reordered!$A:$I, 5, FALSE)</f>
        <v>5-8</v>
      </c>
      <c r="K292" t="str">
        <f>VLOOKUP($F292, codebooks_data_reordered!$A:$I, 6, FALSE)</f>
        <v>Respondent's ID in all consecutive surveys</v>
      </c>
      <c r="L292">
        <f>VLOOKUP($F292, codebooks_data_reordered!$A:$I, 7, FALSE)</f>
        <v>0</v>
      </c>
      <c r="M292">
        <f>VLOOKUP($F292, codebooks_data_reordered!$A:$I, 9, FALSE)</f>
        <v>0</v>
      </c>
      <c r="O292" s="2" t="str">
        <f t="shared" si="4"/>
        <v>0</v>
      </c>
    </row>
    <row r="293" spans="1:15" ht="316.8" hidden="1" x14ac:dyDescent="0.3">
      <c r="A293" t="s">
        <v>6506</v>
      </c>
      <c r="B293" t="s">
        <v>6559</v>
      </c>
      <c r="C293" s="2" t="s">
        <v>6431</v>
      </c>
      <c r="D293" t="s">
        <v>5843</v>
      </c>
      <c r="E293" s="2" t="s">
        <v>6432</v>
      </c>
      <c r="F293" t="s">
        <v>3783</v>
      </c>
      <c r="G293" t="str">
        <f>VLOOKUP($F293, codebooks_data_reordered!$A:$I, 2, FALSE)</f>
        <v>1988_N=873</v>
      </c>
      <c r="H293" t="str">
        <f>VLOOKUP($F293, codebooks_data_reordered!$A:$I, 3, FALSE)</f>
        <v>APPROVAL OF FOLLOWING SAYINGS ON SOCIAL AND STATE MATTERS</v>
      </c>
      <c r="I293" t="str">
        <f>VLOOKUP($F293, codebooks_data_reordered!$A:$I, 4, FALSE)</f>
        <v>1</v>
      </c>
      <c r="J293" t="str">
        <f>VLOOKUP($F293, codebooks_data_reordered!$A:$I, 5, FALSE)</f>
        <v>139-140</v>
      </c>
      <c r="K293" t="str">
        <f>VLOOKUP($F293, codebooks_data_reordered!$A:$I, 6, FALSE)</f>
        <v>Interviewee's vote at last elections on July,1984</v>
      </c>
      <c r="L293">
        <f>VLOOKUP($F293, codebooks_data_reordered!$A:$I, 7, FALSE)</f>
        <v>0</v>
      </c>
      <c r="M293" t="str">
        <f>VLOOKUP($F293, codebooks_data_reordered!$A:$I, 9, FALSE)</f>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c r="O293" s="2" t="str">
        <f t="shared" si="4"/>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row>
    <row r="294" spans="1:15" ht="115.2" hidden="1" x14ac:dyDescent="0.3">
      <c r="A294" t="s">
        <v>6506</v>
      </c>
      <c r="B294" t="s">
        <v>6560</v>
      </c>
      <c r="C294" s="2" t="s">
        <v>6561</v>
      </c>
      <c r="D294" t="s">
        <v>5843</v>
      </c>
      <c r="E294" s="2" t="s">
        <v>6562</v>
      </c>
      <c r="F294" t="s">
        <v>5223</v>
      </c>
      <c r="G294" t="str">
        <f>VLOOKUP($F294, codebooks_data_reordered!$A:$I, 2, FALSE)</f>
        <v>1973_4</v>
      </c>
      <c r="H294" t="str">
        <f>VLOOKUP($F294, codebooks_data_reordered!$A:$I, 3, FALSE)</f>
        <v>December 1973</v>
      </c>
      <c r="I294" t="str">
        <f>VLOOKUP($F294, codebooks_data_reordered!$A:$I, 4, FALSE)</f>
        <v>1</v>
      </c>
      <c r="J294" t="str">
        <f>VLOOKUP($F294, codebooks_data_reordered!$A:$I, 5, FALSE)</f>
        <v>31</v>
      </c>
      <c r="K294" t="str">
        <f>VLOOKUP($F294, codebooks_data_reordered!$A:$I, 6, FALSE)</f>
        <v>To what extent interviewee is interested in the election campaign because of its similarity to a sports competition</v>
      </c>
      <c r="L294">
        <f>VLOOKUP($F294, codebooks_data_reordered!$A:$I, 7, FALSE)</f>
        <v>0</v>
      </c>
      <c r="M294" t="str">
        <f>VLOOKUP($F294, codebooks_data_reordered!$A:$I, 9, FALSE)</f>
        <v>1: To a great extent; 2: To a certain extent; 3: To a small extent; 4: Not at all</v>
      </c>
      <c r="O294" s="2" t="str">
        <f t="shared" si="4"/>
        <v>1: To a great extent
 2: To a certain extent
 3: To a small extent
 4: Not at all</v>
      </c>
    </row>
    <row r="295" spans="1:15" ht="100.8" hidden="1" x14ac:dyDescent="0.3">
      <c r="A295" t="s">
        <v>6506</v>
      </c>
      <c r="B295" t="s">
        <v>6563</v>
      </c>
      <c r="C295" s="2" t="s">
        <v>6564</v>
      </c>
      <c r="D295" t="s">
        <v>5843</v>
      </c>
      <c r="E295" s="2" t="s">
        <v>6565</v>
      </c>
      <c r="F295" t="s">
        <v>4654</v>
      </c>
      <c r="G295" t="str">
        <f>VLOOKUP($F295, codebooks_data_reordered!$A:$I, 2, FALSE)</f>
        <v>1977_4</v>
      </c>
      <c r="H295">
        <f>VLOOKUP($F295, codebooks_data_reordered!$A:$I, 3, FALSE)</f>
        <v>0</v>
      </c>
      <c r="I295" t="str">
        <f>VLOOKUP($F295, codebooks_data_reordered!$A:$I, 4, FALSE)</f>
        <v>1</v>
      </c>
      <c r="J295" t="str">
        <f>VLOOKUP($F295, codebooks_data_reordered!$A:$I, 5, FALSE)</f>
        <v>1-4</v>
      </c>
      <c r="K295" t="str">
        <f>VLOOKUP($F295, codebooks_data_reordered!$A:$I, 6, FALSE)</f>
        <v>Identity number</v>
      </c>
      <c r="L295">
        <f>VLOOKUP($F295, codebooks_data_reordered!$A:$I, 7, FALSE)</f>
        <v>0</v>
      </c>
      <c r="M295">
        <f>VLOOKUP($F295, codebooks_data_reordered!$A:$I, 9, FALSE)</f>
        <v>0</v>
      </c>
      <c r="O295" s="2" t="str">
        <f t="shared" si="4"/>
        <v>0</v>
      </c>
    </row>
    <row r="296" spans="1:15" ht="115.2" hidden="1" x14ac:dyDescent="0.3">
      <c r="A296" t="s">
        <v>6506</v>
      </c>
      <c r="B296" t="s">
        <v>6566</v>
      </c>
      <c r="C296" s="2" t="s">
        <v>6318</v>
      </c>
      <c r="D296" t="s">
        <v>5843</v>
      </c>
      <c r="E296" s="2" t="s">
        <v>6319</v>
      </c>
      <c r="F296" t="s">
        <v>2136</v>
      </c>
      <c r="G296" t="str">
        <f>VLOOKUP($F296, codebooks_data_reordered!$A:$I, 2, FALSE)</f>
        <v>1999_1</v>
      </c>
      <c r="H296" t="str">
        <f>VLOOKUP($F296, codebooks_data_reordered!$A:$I, 3, FALSE)</f>
        <v>EVALUATE PARTIES AND CANDIDATES</v>
      </c>
      <c r="I296" t="str">
        <f>VLOOKUP($F296, codebooks_data_reordered!$A:$I, 4, FALSE)</f>
        <v>2</v>
      </c>
      <c r="J296" t="str">
        <f>VLOOKUP($F296, codebooks_data_reordered!$A:$I, 5, FALSE)</f>
        <v>94</v>
      </c>
      <c r="K296" t="str">
        <f>VLOOKUP($F296, codebooks_data_reordered!$A:$I, 6, FALSE)</f>
        <v>Candidate who won't narrow social gaps</v>
      </c>
      <c r="L296">
        <f>VLOOKUP($F296, codebooks_data_reordered!$A:$I, 7, FALSE)</f>
        <v>0</v>
      </c>
      <c r="M296" t="str">
        <f>VLOOKUP($F296, codebooks_data_reordered!$A:$I, 9, FALSE)</f>
        <v>1: Netanyahu; 2: Barak; 3: Mordechai</v>
      </c>
      <c r="O296" s="2" t="str">
        <f t="shared" si="4"/>
        <v>1: Netanyahu
 2: Barak
 3: Mordechai</v>
      </c>
    </row>
    <row r="297" spans="1:15" ht="28.8" hidden="1" x14ac:dyDescent="0.3">
      <c r="A297" t="s">
        <v>6506</v>
      </c>
      <c r="B297" t="s">
        <v>6567</v>
      </c>
      <c r="C297" s="2" t="s">
        <v>5895</v>
      </c>
      <c r="D297" t="s">
        <v>5896</v>
      </c>
      <c r="E297" s="2" t="s">
        <v>5897</v>
      </c>
      <c r="F297" t="s">
        <v>633</v>
      </c>
      <c r="G297" t="str">
        <f>VLOOKUP($F297, codebooks_data_reordered!$A:$I, 2, FALSE)</f>
        <v>2006</v>
      </c>
      <c r="H297" t="str">
        <f>VLOOKUP($F297, codebooks_data_reordered!$A:$I, 3, FALSE)</f>
        <v>Different Coalitions after the Elections</v>
      </c>
      <c r="I297" t="str">
        <f>VLOOKUP($F297, codebooks_data_reordered!$A:$I, 4, FALSE)</f>
        <v>1</v>
      </c>
      <c r="J297" t="str">
        <f>VLOOKUP($F297, codebooks_data_reordered!$A:$I, 5, FALSE)</f>
        <v>210-212</v>
      </c>
      <c r="K297" t="str">
        <f>VLOOKUP($F297, codebooks_data_reordered!$A:$I, 6, FALSE)</f>
        <v>Chances for Kadima-Labor coalition</v>
      </c>
      <c r="L297" t="str">
        <f>VLOOKUP($F297,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297">
        <f>VLOOKUP($F297, codebooks_data_reordered!$A:$I, 9, FALSE)</f>
        <v>0</v>
      </c>
      <c r="O297" s="2" t="str">
        <f t="shared" si="4"/>
        <v>0</v>
      </c>
    </row>
    <row r="298" spans="1:15" ht="115.2" hidden="1" x14ac:dyDescent="0.3">
      <c r="A298" t="s">
        <v>6506</v>
      </c>
      <c r="B298" t="s">
        <v>6568</v>
      </c>
      <c r="C298" s="2" t="s">
        <v>6431</v>
      </c>
      <c r="D298" t="s">
        <v>5843</v>
      </c>
      <c r="E298" s="2" t="s">
        <v>6432</v>
      </c>
      <c r="F298" t="s">
        <v>2184</v>
      </c>
      <c r="G298" t="str">
        <f>VLOOKUP($F298, codebooks_data_reordered!$A:$I, 2, FALSE)</f>
        <v>1999_1</v>
      </c>
      <c r="H298" t="str">
        <f>VLOOKUP($F298, codebooks_data_reordered!$A:$I, 3, FALSE)</f>
        <v>RESPONDENT'S DEMOGRAPHIC DETAILS</v>
      </c>
      <c r="I298" t="str">
        <f>VLOOKUP($F298, codebooks_data_reordered!$A:$I, 4, FALSE)</f>
        <v>3</v>
      </c>
      <c r="J298" t="str">
        <f>VLOOKUP($F298, codebooks_data_reordered!$A:$I, 5, FALSE)</f>
        <v>31</v>
      </c>
      <c r="K298" t="str">
        <f>VLOOKUP($F298, codebooks_data_reordered!$A:$I, 6, FALSE)</f>
        <v>Fourth label to define identity</v>
      </c>
      <c r="L298">
        <f>VLOOKUP($F298, codebooks_data_reordered!$A:$I, 7, FALSE)</f>
        <v>0</v>
      </c>
      <c r="M298" t="str">
        <f>VLOOKUP($F298, codebooks_data_reordered!$A:$I, 9, FALSE)</f>
        <v>1: Israeli; 2: Jewish; 3: Ethnic group(Ashkenazi/Sefaradi); 4: Religious/Secular</v>
      </c>
      <c r="O298" s="2" t="str">
        <f t="shared" si="4"/>
        <v>1: Israeli
 2: Jewish
 3: Ethnic group(Ashkenazi/Sefaradi)
 4: Religious/Secular</v>
      </c>
    </row>
    <row r="299" spans="1:15" ht="86.4" hidden="1" x14ac:dyDescent="0.3">
      <c r="A299" t="s">
        <v>6506</v>
      </c>
      <c r="B299" t="s">
        <v>6569</v>
      </c>
      <c r="C299" s="2" t="s">
        <v>6570</v>
      </c>
      <c r="D299" t="s">
        <v>5843</v>
      </c>
      <c r="E299" s="2" t="s">
        <v>6571</v>
      </c>
      <c r="F299" t="s">
        <v>1752</v>
      </c>
      <c r="G299" t="str">
        <f>VLOOKUP($F299, codebooks_data_reordered!$A:$I, 2, FALSE)</f>
        <v>1999_1</v>
      </c>
      <c r="H299" t="str">
        <f>VLOOKUP($F299, codebooks_data_reordered!$A:$I, 3, FALSE)</f>
        <v>GENERAL POLITICAL ATTITUDE</v>
      </c>
      <c r="I299" t="str">
        <f>VLOOKUP($F299, codebooks_data_reordered!$A:$I, 4, FALSE)</f>
        <v>1</v>
      </c>
      <c r="J299" t="str">
        <f>VLOOKUP($F299, codebooks_data_reordered!$A:$I, 5, FALSE)</f>
        <v>7</v>
      </c>
      <c r="K299" t="str">
        <f>VLOOKUP($F299, codebooks_data_reordered!$A:$I, 6, FALSE)</f>
        <v>Government treatment of current national issues</v>
      </c>
      <c r="L299">
        <f>VLOOKUP($F299, codebooks_data_reordered!$A:$I, 7, FALSE)</f>
        <v>0</v>
      </c>
      <c r="M299" t="str">
        <f>VLOOKUP($F299, codebooks_data_reordered!$A:$I, 9, FALSE)</f>
        <v>1: Very good; 2: Good; 3: Not so good; 4: Not good at all</v>
      </c>
      <c r="O299" s="2" t="str">
        <f t="shared" si="4"/>
        <v>1: Very good
 2: Good
 3: Not so good
 4: Not good at all</v>
      </c>
    </row>
    <row r="300" spans="1:15" ht="129.6" hidden="1" x14ac:dyDescent="0.3">
      <c r="A300" t="s">
        <v>6506</v>
      </c>
      <c r="B300" t="s">
        <v>6572</v>
      </c>
      <c r="C300" s="2" t="s">
        <v>6573</v>
      </c>
      <c r="D300" t="s">
        <v>5843</v>
      </c>
      <c r="E300" s="2" t="s">
        <v>6574</v>
      </c>
      <c r="F300" t="s">
        <v>5001</v>
      </c>
      <c r="G300" t="str">
        <f>VLOOKUP($F300, codebooks_data_reordered!$A:$I, 2, FALSE)</f>
        <v>1973_2</v>
      </c>
      <c r="H300" t="str">
        <f>VLOOKUP($F300, codebooks_data_reordered!$A:$I, 3, FALSE)</f>
        <v>DO YOU AGREE WITH THE FOLLOWING STATEMENT</v>
      </c>
      <c r="I300" t="str">
        <f>VLOOKUP($F300, codebooks_data_reordered!$A:$I, 4, FALSE)</f>
        <v>2</v>
      </c>
      <c r="J300" t="str">
        <f>VLOOKUP($F300, codebooks_data_reordered!$A:$I, 5, FALSE)</f>
        <v>46</v>
      </c>
      <c r="K300" t="str">
        <f>VLOOKUP($F300, codebooks_data_reordered!$A:$I, 6, FALSE)</f>
        <v>Do you support a party,are you a member of one or do you hold a job in one</v>
      </c>
      <c r="L300">
        <f>VLOOKUP($F300, codebooks_data_reordered!$A:$I, 7, FALSE)</f>
        <v>0</v>
      </c>
      <c r="M300" t="str">
        <f>VLOOKUP($F300, codebooks_data_reordered!$A:$I, 9, FALSE)</f>
        <v>0: No answer; 1: Member and holds a job; 2: Member and holds a non-paying job; 3: Member; 4: Supporter; 5: Doesn't support any party</v>
      </c>
      <c r="O300" s="2" t="str">
        <f t="shared" si="4"/>
        <v>0: No answer
 1: Member and holds a job
 2: Member and holds a non-paying job
 3: Member
 4: Supporter
 5: Doesn't support any party</v>
      </c>
    </row>
    <row r="301" spans="1:15" ht="115.2" hidden="1" x14ac:dyDescent="0.3">
      <c r="A301" t="s">
        <v>6506</v>
      </c>
      <c r="B301" t="s">
        <v>6575</v>
      </c>
      <c r="C301" s="2" t="s">
        <v>6431</v>
      </c>
      <c r="D301" t="s">
        <v>5843</v>
      </c>
      <c r="E301" s="2" t="s">
        <v>6432</v>
      </c>
      <c r="F301" t="s">
        <v>2210</v>
      </c>
      <c r="G301" t="str">
        <f>VLOOKUP($F301, codebooks_data_reordered!$A:$I, 2, FALSE)</f>
        <v>1999_1</v>
      </c>
      <c r="H301" t="str">
        <f>VLOOKUP($F301, codebooks_data_reordered!$A:$I, 3, FALSE)</f>
        <v>RESPONDENT'S DEMOGRAPHIC DETAILS</v>
      </c>
      <c r="I301" t="str">
        <f>VLOOKUP($F301, codebooks_data_reordered!$A:$I, 4, FALSE)</f>
        <v>3</v>
      </c>
      <c r="J301" t="str">
        <f>VLOOKUP($F301, codebooks_data_reordered!$A:$I, 5, FALSE)</f>
        <v>49</v>
      </c>
      <c r="K301" t="str">
        <f>VLOOKUP($F301, codebooks_data_reordered!$A:$I, 6, FALSE)</f>
        <v>Sex</v>
      </c>
      <c r="L301">
        <f>VLOOKUP($F301, codebooks_data_reordered!$A:$I, 7, FALSE)</f>
        <v>0</v>
      </c>
      <c r="M301" t="str">
        <f>VLOOKUP($F301, codebooks_data_reordered!$A:$I, 9, FALSE)</f>
        <v>1: Female; 2: Male</v>
      </c>
      <c r="O301" s="2" t="str">
        <f t="shared" si="4"/>
        <v>1: Female
 2: Male</v>
      </c>
    </row>
    <row r="302" spans="1:15" ht="115.2" hidden="1" x14ac:dyDescent="0.3">
      <c r="A302" t="s">
        <v>6506</v>
      </c>
      <c r="B302" t="s">
        <v>6576</v>
      </c>
      <c r="C302" s="2" t="s">
        <v>6431</v>
      </c>
      <c r="D302" t="s">
        <v>5843</v>
      </c>
      <c r="E302" s="2" t="s">
        <v>6432</v>
      </c>
      <c r="F302" t="s">
        <v>3757</v>
      </c>
      <c r="G302" t="str">
        <f>VLOOKUP($F302, codebooks_data_reordered!$A:$I, 2, FALSE)</f>
        <v>1988_N=873</v>
      </c>
      <c r="H302" t="str">
        <f>VLOOKUP($F302, codebooks_data_reordered!$A:$I, 3, FALSE)</f>
        <v>THERMOMETER SCALE TOWARDS PERSONS OR GROUPS (0-10 scale)</v>
      </c>
      <c r="I302" t="str">
        <f>VLOOKUP($F302, codebooks_data_reordered!$A:$I, 4, FALSE)</f>
        <v>1</v>
      </c>
      <c r="J302" t="str">
        <f>VLOOKUP($F302, codebooks_data_reordered!$A:$I, 5, FALSE)</f>
        <v>120</v>
      </c>
      <c r="K302" t="str">
        <f>VLOOKUP($F302, codebooks_data_reordered!$A:$I, 6, FALSE)</f>
        <v>Self-evaluation as leftist or rightist</v>
      </c>
      <c r="L302">
        <f>VLOOKUP($F302, codebooks_data_reordered!$A:$I, 7, FALSE)</f>
        <v>0</v>
      </c>
      <c r="M302" t="str">
        <f>VLOOKUP($F302, codebooks_data_reordered!$A:$I, 9, FALSE)</f>
        <v>1: Right; 7: Left</v>
      </c>
      <c r="O302" s="2" t="str">
        <f t="shared" si="4"/>
        <v>1: Right
 7: Left</v>
      </c>
    </row>
    <row r="303" spans="1:15" ht="115.2" hidden="1" x14ac:dyDescent="0.3">
      <c r="A303" t="s">
        <v>6506</v>
      </c>
      <c r="B303" t="s">
        <v>6577</v>
      </c>
      <c r="C303" s="2" t="s">
        <v>6431</v>
      </c>
      <c r="D303" t="s">
        <v>5843</v>
      </c>
      <c r="E303" s="2" t="s">
        <v>6432</v>
      </c>
      <c r="F303" t="s">
        <v>2208</v>
      </c>
      <c r="G303" t="str">
        <f>VLOOKUP($F303, codebooks_data_reordered!$A:$I, 2, FALSE)</f>
        <v>1999_1</v>
      </c>
      <c r="H303" t="str">
        <f>VLOOKUP($F303, codebooks_data_reordered!$A:$I, 3, FALSE)</f>
        <v>RESPONDENT'S DEMOGRAPHIC DETAILS</v>
      </c>
      <c r="I303" t="str">
        <f>VLOOKUP($F303, codebooks_data_reordered!$A:$I, 4, FALSE)</f>
        <v>3</v>
      </c>
      <c r="J303" t="str">
        <f>VLOOKUP($F303, codebooks_data_reordered!$A:$I, 5, FALSE)</f>
        <v>48</v>
      </c>
      <c r="K303" t="str">
        <f>VLOOKUP($F303, codebooks_data_reordered!$A:$I, 6, FALSE)</f>
        <v>Self-definition of religious identity</v>
      </c>
      <c r="L303">
        <f>VLOOKUP($F303, codebooks_data_reordered!$A:$I, 7, FALSE)</f>
        <v>0</v>
      </c>
      <c r="M303" t="str">
        <f>VLOOKUP($F303, codebooks_data_reordered!$A:$I, 9, FALSE)</f>
        <v>1: Secular; 2: Traditional; 3: Orthodox; 4: Ultra orthodox</v>
      </c>
      <c r="O303" s="2" t="str">
        <f t="shared" si="4"/>
        <v>1: Secular
 2: Traditional
 3: Orthodox
 4: Ultra orthodox</v>
      </c>
    </row>
    <row r="304" spans="1:15" ht="172.8" hidden="1" x14ac:dyDescent="0.3">
      <c r="A304" t="s">
        <v>6506</v>
      </c>
      <c r="B304" t="s">
        <v>6578</v>
      </c>
      <c r="C304" s="2" t="s">
        <v>6579</v>
      </c>
      <c r="D304" t="s">
        <v>5843</v>
      </c>
      <c r="E304" s="2" t="s">
        <v>6580</v>
      </c>
      <c r="F304" t="s">
        <v>1789</v>
      </c>
      <c r="G304" t="str">
        <f>VLOOKUP($F304, codebooks_data_reordered!$A:$I, 2, FALSE)</f>
        <v>1999_1</v>
      </c>
      <c r="H304" t="str">
        <f>VLOOKUP($F304, codebooks_data_reordered!$A:$I, 3, FALSE)</f>
        <v>GENERAL POLITICAL ATTITUDE</v>
      </c>
      <c r="I304" t="str">
        <f>VLOOKUP($F304, codebooks_data_reordered!$A:$I, 4, FALSE)</f>
        <v>1</v>
      </c>
      <c r="J304" t="str">
        <f>VLOOKUP($F304, codebooks_data_reordered!$A:$I, 5, FALSE)</f>
        <v>23</v>
      </c>
      <c r="K304" t="str">
        <f>VLOOKUP($F304, codebooks_data_reordered!$A:$I, 6, FALSE)</f>
        <v>Personal security of Israelis during Netanyahu's government</v>
      </c>
      <c r="L304" t="str">
        <f>VLOOKUP($F304, codebooks_data_reordered!$A:$I, 7, FALSE)</f>
        <v>Compared to Rabin and Peres' post-Oslo government</v>
      </c>
      <c r="M304" t="str">
        <f>VLOOKUP($F304, codebooks_data_reordered!$A:$I, 9, FALSE)</f>
        <v>1: Much better; 2: Better; 3: Worse; 4: Much worse</v>
      </c>
      <c r="O304" s="2" t="str">
        <f t="shared" si="4"/>
        <v>1: Much better
 2: Better
 3: Worse
 4: Much worse</v>
      </c>
    </row>
    <row r="305" spans="1:15" ht="115.2" hidden="1" x14ac:dyDescent="0.3">
      <c r="A305" t="s">
        <v>6506</v>
      </c>
      <c r="B305" t="s">
        <v>6581</v>
      </c>
      <c r="C305" s="2" t="s">
        <v>6582</v>
      </c>
      <c r="D305" t="s">
        <v>5843</v>
      </c>
      <c r="E305" s="2" t="s">
        <v>6583</v>
      </c>
      <c r="F305" t="s">
        <v>1843</v>
      </c>
      <c r="G305" t="str">
        <f>VLOOKUP($F305, codebooks_data_reordered!$A:$I, 2, FALSE)</f>
        <v>1999_1</v>
      </c>
      <c r="H305" t="str">
        <f>VLOOKUP($F305, codebooks_data_reordered!$A:$I, 3, FALSE)</f>
        <v>VALUES AND TRUST</v>
      </c>
      <c r="I305" t="str">
        <f>VLOOKUP($F305, codebooks_data_reordered!$A:$I, 4, FALSE)</f>
        <v>1</v>
      </c>
      <c r="J305" t="str">
        <f>VLOOKUP($F305, codebooks_data_reordered!$A:$I, 5, FALSE)</f>
        <v>45</v>
      </c>
      <c r="K305" t="str">
        <f>VLOOKUP($F305, codebooks_data_reordered!$A:$I, 6, FALSE)</f>
        <v>Peace as a significant value</v>
      </c>
      <c r="L305">
        <f>VLOOKUP($F305, codebooks_data_reordered!$A:$I, 7, FALSE)</f>
        <v>0</v>
      </c>
      <c r="M305" t="str">
        <f>VLOOKUP($F305, codebooks_data_reordered!$A:$I, 9, FALSE)</f>
        <v>1: Most important value; 2: Second value; 3: Third value; 4: Fourth value</v>
      </c>
      <c r="O305" s="2" t="str">
        <f t="shared" si="4"/>
        <v>1: Most important value
 2: Second value
 3: Third value
 4: Fourth value</v>
      </c>
    </row>
    <row r="306" spans="1:15" ht="115.2" hidden="1" x14ac:dyDescent="0.3">
      <c r="A306" t="s">
        <v>6506</v>
      </c>
      <c r="B306" t="s">
        <v>6584</v>
      </c>
      <c r="C306" s="2" t="s">
        <v>6518</v>
      </c>
      <c r="D306" t="s">
        <v>5843</v>
      </c>
      <c r="E306" s="2" t="s">
        <v>6519</v>
      </c>
      <c r="F306" t="s">
        <v>388</v>
      </c>
      <c r="G306" t="str">
        <f>VLOOKUP($F306, codebooks_data_reordered!$A:$I, 2, FALSE)</f>
        <v>2006</v>
      </c>
      <c r="H306" t="str">
        <f>VLOOKUP($F306, codebooks_data_reordered!$A:$I, 3, FALSE)</f>
        <v>Ranking on a Right/Left Political Scale</v>
      </c>
      <c r="I306" t="str">
        <f>VLOOKUP($F306, codebooks_data_reordered!$A:$I, 4, FALSE)</f>
        <v>1</v>
      </c>
      <c r="J306" t="str">
        <f>VLOOKUP($F306, codebooks_data_reordered!$A:$I, 5, FALSE)</f>
        <v>120-121</v>
      </c>
      <c r="K306" t="str">
        <f>VLOOKUP($F306, codebooks_data_reordered!$A:$I, 6, FALSE)</f>
        <v>Self-ranking on a right/left political scale</v>
      </c>
      <c r="L306" t="str">
        <f>VLOOKUP($F306, codebooks_data_reordered!$A:$I, 7, FALSE)</f>
        <v>7. There is a lot of talk about left and right in politics. How would you rank yourself from 0 to 10, 0 means left and 10 means right and 5 is in the middle.</v>
      </c>
      <c r="M306" t="str">
        <f>VLOOKUP($F306, codebooks_data_reordered!$A:$I, 9, FALSE)</f>
        <v>0: Left; 10: Right</v>
      </c>
      <c r="O306" s="2" t="str">
        <f t="shared" si="4"/>
        <v>0: Left
 10: Right</v>
      </c>
    </row>
    <row r="307" spans="1:15" ht="115.2" hidden="1" x14ac:dyDescent="0.3">
      <c r="A307" t="s">
        <v>6506</v>
      </c>
      <c r="B307" t="s">
        <v>6585</v>
      </c>
      <c r="C307" s="2" t="s">
        <v>6586</v>
      </c>
      <c r="D307" t="s">
        <v>5843</v>
      </c>
      <c r="E307" s="2" t="s">
        <v>6587</v>
      </c>
      <c r="F307" t="s">
        <v>1861</v>
      </c>
      <c r="G307" t="str">
        <f>VLOOKUP($F307, codebooks_data_reordered!$A:$I, 2, FALSE)</f>
        <v>1999_1</v>
      </c>
      <c r="H307" t="str">
        <f>VLOOKUP($F307, codebooks_data_reordered!$A:$I, 3, FALSE)</f>
        <v>ATTITUDES TOWARD CANDIDATES AND PARTIES</v>
      </c>
      <c r="I307" t="str">
        <f>VLOOKUP($F307, codebooks_data_reordered!$A:$I, 4, FALSE)</f>
        <v>1</v>
      </c>
      <c r="J307" t="str">
        <f>VLOOKUP($F307, codebooks_data_reordered!$A:$I, 5, FALSE)</f>
        <v>53</v>
      </c>
      <c r="K307" t="str">
        <f>VLOOKUP($F307, codebooks_data_reordered!$A:$I, 6, FALSE)</f>
        <v>Extend of support for Yasser Arafat</v>
      </c>
      <c r="L307" t="str">
        <f>VLOOKUP($F307, codebooks_data_reordered!$A:$I, 7, FALSE)</f>
        <v>Extent of support on 1-10 scale, 1=total rejection, 10=strong support</v>
      </c>
      <c r="M307" t="str">
        <f>VLOOKUP($F307, codebooks_data_reordered!$A:$I, 9, FALSE)</f>
        <v>1: Totally reject; 10: Strongly support</v>
      </c>
      <c r="O307" s="2" t="str">
        <f t="shared" si="4"/>
        <v>1: Totally reject
 10: Strongly support</v>
      </c>
    </row>
    <row r="308" spans="1:15" ht="115.2" hidden="1" x14ac:dyDescent="0.3">
      <c r="A308" t="s">
        <v>6506</v>
      </c>
      <c r="B308" t="s">
        <v>6588</v>
      </c>
      <c r="C308" s="2" t="s">
        <v>6431</v>
      </c>
      <c r="D308" t="s">
        <v>5843</v>
      </c>
      <c r="E308" s="2" t="s">
        <v>6432</v>
      </c>
      <c r="F308" t="s">
        <v>254</v>
      </c>
      <c r="G308" t="str">
        <f>VLOOKUP($F308, codebooks_data_reordered!$A:$I, 2, FALSE)</f>
        <v>2006</v>
      </c>
      <c r="H308" t="str">
        <f>VLOOKUP($F308, codebooks_data_reordered!$A:$I, 3, FALSE)</f>
        <v>Support/Rejection of a Group or a Person</v>
      </c>
      <c r="I308" t="str">
        <f>VLOOKUP($F308, codebooks_data_reordered!$A:$I, 4, FALSE)</f>
        <v>1</v>
      </c>
      <c r="J308" t="str">
        <f>VLOOKUP($F308, codebooks_data_reordered!$A:$I, 5, FALSE)</f>
        <v>65-66</v>
      </c>
      <c r="K308" t="str">
        <f>VLOOKUP($F308, codebooks_data_reordered!$A:$I, 6, FALSE)</f>
        <v>Support: Avoda</v>
      </c>
      <c r="L308" t="str">
        <f>VLOOKUP($F308, codebooks_data_reordered!$A:$I, 7, FALSE)</f>
        <v>Here is a scale from 1 to 10 to express support or rejection of a group or a person. '1' describes strong rejection/ hate, and '10' describes strong support/ love.</v>
      </c>
      <c r="M308" t="str">
        <f>VLOOKUP($F308, codebooks_data_reordered!$A:$I, 9, FALSE)</f>
        <v>1: Hate/rejection; 10: Love/support</v>
      </c>
      <c r="O308" s="2" t="str">
        <f t="shared" si="4"/>
        <v>1: Hate/rejection
 10: Love/support</v>
      </c>
    </row>
    <row r="309" spans="1:15" ht="409.6" hidden="1" x14ac:dyDescent="0.3">
      <c r="A309" t="s">
        <v>6506</v>
      </c>
      <c r="B309" t="s">
        <v>6021</v>
      </c>
      <c r="C309" s="2" t="s">
        <v>6589</v>
      </c>
      <c r="D309" t="s">
        <v>5843</v>
      </c>
      <c r="E309" s="2" t="s">
        <v>6590</v>
      </c>
      <c r="F309" t="s">
        <v>2159</v>
      </c>
      <c r="G309" t="str">
        <f>VLOOKUP($F309, codebooks_data_reordered!$A:$I, 2, FALSE)</f>
        <v>1999_1</v>
      </c>
      <c r="H309" t="str">
        <f>VLOOKUP($F309, codebooks_data_reordered!$A:$I, 3, FALSE)</f>
        <v>VOTING PATTERNS</v>
      </c>
      <c r="I309" t="str">
        <f>VLOOKUP($F309, codebooks_data_reordered!$A:$I, 4, FALSE)</f>
        <v>3</v>
      </c>
      <c r="J309" t="str">
        <f>VLOOKUP($F309, codebooks_data_reordered!$A:$I, 5, FALSE)</f>
        <v>15-16</v>
      </c>
      <c r="K309" t="str">
        <f>VLOOKUP($F309, codebooks_data_reordered!$A:$I, 6, FALSE)</f>
        <v>Party vote, if elections were held today</v>
      </c>
      <c r="L309">
        <f>VLOOKUP($F309, codebooks_data_reordered!$A:$I, 7, FALSE)</f>
        <v>0</v>
      </c>
      <c r="M309" t="str">
        <f>VLOOKUP($F309, codebooks_data_reordered!$A:$I, 9, FALSE)</f>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c r="O309" s="2" t="str">
        <f t="shared" si="4"/>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row>
    <row r="310" spans="1:15" ht="115.2" hidden="1" x14ac:dyDescent="0.3">
      <c r="A310" t="s">
        <v>6506</v>
      </c>
      <c r="B310" t="s">
        <v>6591</v>
      </c>
      <c r="C310" s="2" t="s">
        <v>6431</v>
      </c>
      <c r="D310" t="s">
        <v>5843</v>
      </c>
      <c r="E310" s="2" t="s">
        <v>6432</v>
      </c>
      <c r="F310" t="s">
        <v>1647</v>
      </c>
      <c r="G310" t="str">
        <f>VLOOKUP($F310, codebooks_data_reordered!$A:$I, 2, FALSE)</f>
        <v>2001</v>
      </c>
      <c r="H310" t="str">
        <f>VLOOKUP($F310, codebooks_data_reordered!$A:$I, 3, FALSE)</f>
        <v>General political attitudes and behavior</v>
      </c>
      <c r="I310" t="str">
        <f>VLOOKUP($F310, codebooks_data_reordered!$A:$I, 4, FALSE)</f>
        <v>1</v>
      </c>
      <c r="J310" t="str">
        <f>VLOOKUP($F310, codebooks_data_reordered!$A:$I, 5, FALSE)</f>
        <v>103</v>
      </c>
      <c r="K310" t="str">
        <f>VLOOKUP($F310, codebooks_data_reordered!$A:$I, 6, FALSE)</f>
        <v>Will election ads influence your vote decision?</v>
      </c>
      <c r="L310">
        <f>VLOOKUP($F310, codebooks_data_reordered!$A:$I, 7, FALSE)</f>
        <v>0</v>
      </c>
      <c r="M310" t="str">
        <f>VLOOKUP($F310, codebooks_data_reordered!$A:$I, 9, FALSE)</f>
        <v>0: Do not see; 1: Not at all; 2: Small extent; 3: Certain extent; 4: Great extent</v>
      </c>
      <c r="O310" s="2" t="str">
        <f t="shared" si="4"/>
        <v>0: Do not see
 1: Not at all
 2: Small extent
 3: Certain extent
 4: Great extent</v>
      </c>
    </row>
    <row r="311" spans="1:15" ht="144" hidden="1" x14ac:dyDescent="0.3">
      <c r="A311" t="s">
        <v>6506</v>
      </c>
      <c r="B311" t="s">
        <v>6592</v>
      </c>
      <c r="C311" s="2" t="s">
        <v>6593</v>
      </c>
      <c r="D311" t="s">
        <v>5843</v>
      </c>
      <c r="E311" s="2" t="s">
        <v>6594</v>
      </c>
      <c r="F311" t="s">
        <v>257</v>
      </c>
      <c r="G311" t="str">
        <f>VLOOKUP($F311, codebooks_data_reordered!$A:$I, 2, FALSE)</f>
        <v>2006</v>
      </c>
      <c r="H311" t="str">
        <f>VLOOKUP($F311, codebooks_data_reordered!$A:$I, 3, FALSE)</f>
        <v>Support/Rejection of a Group or a Person</v>
      </c>
      <c r="I311" t="str">
        <f>VLOOKUP($F311, codebooks_data_reordered!$A:$I, 4, FALSE)</f>
        <v>1</v>
      </c>
      <c r="J311" t="str">
        <f>VLOOKUP($F311, codebooks_data_reordered!$A:$I, 5, FALSE)</f>
        <v>67-68</v>
      </c>
      <c r="K311" t="str">
        <f>VLOOKUP($F311, codebooks_data_reordered!$A:$I, 6, FALSE)</f>
        <v>Support: Likud</v>
      </c>
      <c r="L311" t="str">
        <f>VLOOKUP($F311, codebooks_data_reordered!$A:$I, 7, FALSE)</f>
        <v>Here is a scale from 1 to 10 to express support or rejection of a group or a person. '1' describes strong rejection/ hate, and '10' describes strong support/ love.</v>
      </c>
      <c r="M311" t="str">
        <f>VLOOKUP($F311, codebooks_data_reordered!$A:$I, 9, FALSE)</f>
        <v>1: Hate/rejection; 10: Love/support</v>
      </c>
      <c r="O311" s="2" t="str">
        <f t="shared" si="4"/>
        <v>1: Hate/rejection
 10: Love/support</v>
      </c>
    </row>
    <row r="312" spans="1:15" ht="115.2" hidden="1" x14ac:dyDescent="0.3">
      <c r="A312" t="s">
        <v>6506</v>
      </c>
      <c r="B312" t="s">
        <v>6595</v>
      </c>
      <c r="C312" s="2" t="s">
        <v>6431</v>
      </c>
      <c r="D312" t="s">
        <v>5843</v>
      </c>
      <c r="E312" s="2" t="s">
        <v>6432</v>
      </c>
      <c r="F312" t="s">
        <v>1610</v>
      </c>
      <c r="G312" t="str">
        <f>VLOOKUP($F312, codebooks_data_reordered!$A:$I, 2, FALSE)</f>
        <v>2003</v>
      </c>
      <c r="H312" t="str">
        <f>VLOOKUP($F312, codebooks_data_reordered!$A:$I, 3, FALSE)</f>
        <v>Should the State spend more/less money in the following domains</v>
      </c>
      <c r="I312" t="str">
        <f>VLOOKUP($F312, codebooks_data_reordered!$A:$I, 4, FALSE)</f>
        <v>1</v>
      </c>
      <c r="J312" t="str">
        <f>VLOOKUP($F312, codebooks_data_reordered!$A:$I, 5, FALSE)</f>
        <v>86</v>
      </c>
      <c r="K312" t="str">
        <f>VLOOKUP($F312, codebooks_data_reordered!$A:$I, 6, FALSE)</f>
        <v>State expenditures on ecology should be:</v>
      </c>
      <c r="L312" t="str">
        <f>VLOOKUP($F312, codebooks_data_reordered!$A:$I, 7, FALSE)</f>
        <v>Should the state spend more, less, or the same amount as now on preserving nature and ecology? Asked only in second survey</v>
      </c>
      <c r="M312" t="str">
        <f>VLOOKUP($F312, codebooks_data_reordered!$A:$I, 9, FALSE)</f>
        <v>1: More; 2: Less; 3: Same as now</v>
      </c>
      <c r="O312" s="2" t="str">
        <f t="shared" si="4"/>
        <v>1: More
 2: Less
 3: Same as now</v>
      </c>
    </row>
    <row r="313" spans="1:15" ht="144" hidden="1" x14ac:dyDescent="0.3">
      <c r="A313" t="s">
        <v>6506</v>
      </c>
      <c r="B313" t="s">
        <v>6596</v>
      </c>
      <c r="C313" s="2" t="s">
        <v>6593</v>
      </c>
      <c r="D313" t="s">
        <v>5843</v>
      </c>
      <c r="E313" s="2" t="s">
        <v>6594</v>
      </c>
      <c r="F313" t="s">
        <v>274</v>
      </c>
      <c r="G313" t="str">
        <f>VLOOKUP($F313, codebooks_data_reordered!$A:$I, 2, FALSE)</f>
        <v>2006</v>
      </c>
      <c r="H313" t="str">
        <f>VLOOKUP($F313, codebooks_data_reordered!$A:$I, 3, FALSE)</f>
        <v>Support/Rejection of a Group or a Person</v>
      </c>
      <c r="I313" t="str">
        <f>VLOOKUP($F313, codebooks_data_reordered!$A:$I, 4, FALSE)</f>
        <v>1</v>
      </c>
      <c r="J313" t="str">
        <f>VLOOKUP($F313, codebooks_data_reordered!$A:$I, 5, FALSE)</f>
        <v>77-78</v>
      </c>
      <c r="K313" t="str">
        <f>VLOOKUP($F313, codebooks_data_reordered!$A:$I, 6, FALSE)</f>
        <v>Your favorite party</v>
      </c>
      <c r="L313" t="str">
        <f>VLOOKUP($F313, codebooks_data_reordered!$A:$I, 7, FALSE)</f>
        <v>66. In sum, among these parties, which one do you support most?</v>
      </c>
      <c r="M313" t="str">
        <f>VLOOKUP($F313, codebooks_data_reordered!$A:$I, 9, FALSE)</f>
        <v>59: Kadima; 60: Avoda; 61: Likud; 62: Meretz; 63: Ihud Leumi Mafdal; 64: Israel Beitenu; 65: Shas; 66: Another Party; 67: No Favorite Party</v>
      </c>
      <c r="O313" s="2" t="str">
        <f t="shared" si="4"/>
        <v>59: Kadima
 60: Avoda
 61: Likud
 62: Meretz
 63: Ihud Leumi Mafdal
 64: Israel Beitenu
 65: Shas
 66: Another Party
 67: No Favorite Party</v>
      </c>
    </row>
    <row r="314" spans="1:15" ht="115.2" hidden="1" x14ac:dyDescent="0.3">
      <c r="A314" t="s">
        <v>6506</v>
      </c>
      <c r="B314" t="s">
        <v>6597</v>
      </c>
      <c r="C314" s="2" t="s">
        <v>6431</v>
      </c>
      <c r="D314" t="s">
        <v>5843</v>
      </c>
      <c r="E314" s="2" t="s">
        <v>6432</v>
      </c>
      <c r="F314" t="s">
        <v>280</v>
      </c>
      <c r="G314" t="str">
        <f>VLOOKUP($F314, codebooks_data_reordered!$A:$I, 2, FALSE)</f>
        <v>2006</v>
      </c>
      <c r="H314" t="str">
        <f>VLOOKUP($F314, codebooks_data_reordered!$A:$I, 3, FALSE)</f>
        <v>Support/Rejection of a Group or a Person</v>
      </c>
      <c r="I314" t="str">
        <f>VLOOKUP($F314, codebooks_data_reordered!$A:$I, 4, FALSE)</f>
        <v>1</v>
      </c>
      <c r="J314" t="str">
        <f>VLOOKUP($F314, codebooks_data_reordered!$A:$I, 5, FALSE)</f>
        <v>81-82</v>
      </c>
      <c r="K314" t="str">
        <f>VLOOKUP($F314, codebooks_data_reordered!$A:$I, 6, FALSE)</f>
        <v>Support: Peretz</v>
      </c>
      <c r="L314">
        <f>VLOOKUP($F314, codebooks_data_reordered!$A:$I, 7, FALSE)</f>
        <v>0</v>
      </c>
      <c r="M314" t="str">
        <f>VLOOKUP($F314, codebooks_data_reordered!$A:$I, 9, FALSE)</f>
        <v>1: Hate/rejection; 10: Love/support</v>
      </c>
      <c r="O314" s="2" t="str">
        <f t="shared" si="4"/>
        <v>1: Hate/rejection
 10: Love/support</v>
      </c>
    </row>
    <row r="315" spans="1:15" ht="144" hidden="1" x14ac:dyDescent="0.3">
      <c r="A315" t="s">
        <v>6506</v>
      </c>
      <c r="B315" t="s">
        <v>6598</v>
      </c>
      <c r="C315" s="2" t="s">
        <v>6593</v>
      </c>
      <c r="D315" t="s">
        <v>5843</v>
      </c>
      <c r="E315" s="2" t="s">
        <v>6594</v>
      </c>
      <c r="F315" t="s">
        <v>283</v>
      </c>
      <c r="G315" t="str">
        <f>VLOOKUP($F315, codebooks_data_reordered!$A:$I, 2, FALSE)</f>
        <v>2006</v>
      </c>
      <c r="H315" t="str">
        <f>VLOOKUP($F315, codebooks_data_reordered!$A:$I, 3, FALSE)</f>
        <v>Support/Rejection of a Group or a Person</v>
      </c>
      <c r="I315" t="str">
        <f>VLOOKUP($F315, codebooks_data_reordered!$A:$I, 4, FALSE)</f>
        <v>1</v>
      </c>
      <c r="J315" t="str">
        <f>VLOOKUP($F315, codebooks_data_reordered!$A:$I, 5, FALSE)</f>
        <v>83-84</v>
      </c>
      <c r="K315" t="str">
        <f>VLOOKUP($F315, codebooks_data_reordered!$A:$I, 6, FALSE)</f>
        <v>Support: Netanyahu</v>
      </c>
      <c r="L315">
        <f>VLOOKUP($F315, codebooks_data_reordered!$A:$I, 7, FALSE)</f>
        <v>0</v>
      </c>
      <c r="M315" t="str">
        <f>VLOOKUP($F315, codebooks_data_reordered!$A:$I, 9, FALSE)</f>
        <v>1: Hate/rejection; 10: Love/support</v>
      </c>
      <c r="O315" s="2" t="str">
        <f t="shared" si="4"/>
        <v>1: Hate/rejection
 10: Love/support</v>
      </c>
    </row>
    <row r="316" spans="1:15" ht="115.2" hidden="1" x14ac:dyDescent="0.3">
      <c r="A316" t="s">
        <v>6506</v>
      </c>
      <c r="B316" t="s">
        <v>6599</v>
      </c>
      <c r="C316" s="2" t="s">
        <v>6600</v>
      </c>
      <c r="D316" t="s">
        <v>5843</v>
      </c>
      <c r="E316" s="2" t="s">
        <v>6601</v>
      </c>
      <c r="F316" t="s">
        <v>298</v>
      </c>
      <c r="G316" t="str">
        <f>VLOOKUP($F316, codebooks_data_reordered!$A:$I, 2, FALSE)</f>
        <v>2006</v>
      </c>
      <c r="H316" t="str">
        <f>VLOOKUP($F316, codebooks_data_reordered!$A:$I, 3, FALSE)</f>
        <v>Support/Rejection of a Group or a Person</v>
      </c>
      <c r="I316" t="str">
        <f>VLOOKUP($F316, codebooks_data_reordered!$A:$I, 4, FALSE)</f>
        <v>1</v>
      </c>
      <c r="J316" t="str">
        <f>VLOOKUP($F316, codebooks_data_reordered!$A:$I, 5, FALSE)</f>
        <v>93-94</v>
      </c>
      <c r="K316" t="str">
        <f>VLOOKUP($F316, codebooks_data_reordered!$A:$I, 6, FALSE)</f>
        <v>Support: Beilin</v>
      </c>
      <c r="L316">
        <f>VLOOKUP($F316, codebooks_data_reordered!$A:$I, 7, FALSE)</f>
        <v>0</v>
      </c>
      <c r="M316" t="str">
        <f>VLOOKUP($F316, codebooks_data_reordered!$A:$I, 9, FALSE)</f>
        <v>1: Hate/rejection; 10: Love/support</v>
      </c>
      <c r="O316" s="2" t="str">
        <f t="shared" si="4"/>
        <v>1: Hate/rejection
 10: Love/support</v>
      </c>
    </row>
    <row r="317" spans="1:15" ht="100.8" hidden="1" x14ac:dyDescent="0.3">
      <c r="A317" t="s">
        <v>6506</v>
      </c>
      <c r="B317" t="s">
        <v>6602</v>
      </c>
      <c r="C317" s="2" t="s">
        <v>6603</v>
      </c>
      <c r="D317" t="s">
        <v>5843</v>
      </c>
      <c r="E317" s="2" t="s">
        <v>6604</v>
      </c>
      <c r="F317" t="s">
        <v>342</v>
      </c>
      <c r="G317" t="str">
        <f>VLOOKUP($F317, codebooks_data_reordered!$A:$I, 2, FALSE)</f>
        <v>2006</v>
      </c>
      <c r="H317" t="str">
        <f>VLOOKUP($F317, codebooks_data_reordered!$A:$I, 3, FALSE)</f>
        <v>Party Differences</v>
      </c>
      <c r="I317" t="str">
        <f>VLOOKUP($F317, codebooks_data_reordered!$A:$I, 4, FALSE)</f>
        <v>1</v>
      </c>
      <c r="J317" t="str">
        <f>VLOOKUP($F317, codebooks_data_reordered!$A:$I, 5, FALSE)</f>
        <v>108</v>
      </c>
      <c r="K317" t="str">
        <f>VLOOKUP($F317, codebooks_data_reordered!$A:$I, 6, FALSE)</f>
        <v>Party differences on the following issue:State and Religion</v>
      </c>
      <c r="L317" t="str">
        <f>VLOOKUP($F317, codebooks_data_reordered!$A:$I, 7, FALSE)</f>
        <v>Do you think there are or are not differences among the parties on the following issues?</v>
      </c>
      <c r="M317" t="str">
        <f>VLOOKUP($F317, codebooks_data_reordered!$A:$I, 9, FALSE)</f>
        <v>1: Great differences; 5: Almost no differences</v>
      </c>
      <c r="O317" s="2" t="str">
        <f t="shared" si="4"/>
        <v>1: Great differences
 5: Almost no differences</v>
      </c>
    </row>
    <row r="318" spans="1:15" ht="144" hidden="1" x14ac:dyDescent="0.3">
      <c r="A318" t="s">
        <v>6506</v>
      </c>
      <c r="B318" t="s">
        <v>6605</v>
      </c>
      <c r="C318" s="2" t="s">
        <v>6606</v>
      </c>
      <c r="D318" t="s">
        <v>5843</v>
      </c>
      <c r="E318" s="2" t="s">
        <v>6607</v>
      </c>
      <c r="F318" t="s">
        <v>2510</v>
      </c>
      <c r="G318" t="str">
        <f>VLOOKUP($F318, codebooks_data_reordered!$A:$I, 2, FALSE)</f>
        <v>1996_Jews</v>
      </c>
      <c r="H318" t="str">
        <f>VLOOKUP($F318, codebooks_data_reordered!$A:$I, 3, FALSE)</f>
        <v>WHICH PM CANDID. BEST SUITS EACH DESCRIPTION?</v>
      </c>
      <c r="I318" t="str">
        <f>VLOOKUP($F318, codebooks_data_reordered!$A:$I, 4, FALSE)</f>
        <v>1</v>
      </c>
      <c r="J318" t="str">
        <f>VLOOKUP($F318, codebooks_data_reordered!$A:$I, 5, FALSE)</f>
        <v>164</v>
      </c>
      <c r="K318" t="str">
        <f>VLOOKUP($F318, codebooks_data_reordered!$A:$I, 6, FALSE)</f>
        <v>National- unity government after the elections</v>
      </c>
      <c r="L318">
        <f>VLOOKUP($F318, codebooks_data_reordered!$A:$I, 7, FALSE)</f>
        <v>0</v>
      </c>
      <c r="M318" t="str">
        <f>VLOOKUP($F318, codebooks_data_reordered!$A:$I, 9, FALSE)</f>
        <v>1: Strongly support; 2: Support; 3: Object; 4: Strongly object; 5: Only under the leadership of the Likud (not read); 6: Only under the leadership of the Labor (not read)</v>
      </c>
      <c r="O318" s="2" t="str">
        <f t="shared" si="4"/>
        <v>1: Strongly support
 2: Support
 3: Object
 4: Strongly object
 5: Only under the leadership of the Likud (not read)
 6: Only under the leadership of the Labor (not read)</v>
      </c>
    </row>
    <row r="319" spans="1:15" ht="100.8" hidden="1" x14ac:dyDescent="0.3">
      <c r="A319" t="s">
        <v>6506</v>
      </c>
      <c r="B319" t="s">
        <v>6608</v>
      </c>
      <c r="C319" s="2" t="s">
        <v>6606</v>
      </c>
      <c r="D319" t="s">
        <v>5843</v>
      </c>
      <c r="E319" s="2" t="s">
        <v>6607</v>
      </c>
      <c r="F319" t="s">
        <v>2513</v>
      </c>
      <c r="G319" t="str">
        <f>VLOOKUP($F319, codebooks_data_reordered!$A:$I, 2, FALSE)</f>
        <v>1996_Jews</v>
      </c>
      <c r="H319" t="str">
        <f>VLOOKUP($F319, codebooks_data_reordered!$A:$I, 3, FALSE)</f>
        <v>WHICH PM CANDID. BEST SUITS EACH DESCRIPTION?</v>
      </c>
      <c r="I319" t="str">
        <f>VLOOKUP($F319, codebooks_data_reordered!$A:$I, 4, FALSE)</f>
        <v>1</v>
      </c>
      <c r="J319" t="str">
        <f>VLOOKUP($F319, codebooks_data_reordered!$A:$I, 5, FALSE)</f>
        <v>165</v>
      </c>
      <c r="K319" t="str">
        <f>VLOOKUP($F319, codebooks_data_reordered!$A:$I, 6, FALSE)</f>
        <v>Participated in demonstrations for peace during last 2 years?</v>
      </c>
      <c r="L319">
        <f>VLOOKUP($F319, codebooks_data_reordered!$A:$I, 7, FALSE)</f>
        <v>0</v>
      </c>
      <c r="M319" t="str">
        <f>VLOOKUP($F319, codebooks_data_reordered!$A:$I, 9, FALSE)</f>
        <v>1: Never; 2: Only once or twice; 3: Three times or more</v>
      </c>
      <c r="O319" s="2" t="str">
        <f t="shared" si="4"/>
        <v>1: Never
 2: Only once or twice
 3: Three times or more</v>
      </c>
    </row>
    <row r="320" spans="1:15" ht="158.4" hidden="1" x14ac:dyDescent="0.3">
      <c r="A320" t="s">
        <v>6506</v>
      </c>
      <c r="B320" t="s">
        <v>6609</v>
      </c>
      <c r="C320" s="2" t="s">
        <v>6610</v>
      </c>
      <c r="D320" t="s">
        <v>5843</v>
      </c>
      <c r="E320" s="2" t="s">
        <v>6611</v>
      </c>
      <c r="F320" t="s">
        <v>9197</v>
      </c>
      <c r="G320" t="e">
        <f>VLOOKUP($F320, codebooks_data_reordered!$A:$I, 2, FALSE)</f>
        <v>#N/A</v>
      </c>
      <c r="H320" t="e">
        <f>VLOOKUP($F320, codebooks_data_reordered!$A:$I, 3, FALSE)</f>
        <v>#N/A</v>
      </c>
      <c r="I320" t="e">
        <f>VLOOKUP($F320, codebooks_data_reordered!$A:$I, 4, FALSE)</f>
        <v>#N/A</v>
      </c>
      <c r="J320" t="e">
        <f>VLOOKUP($F320, codebooks_data_reordered!$A:$I, 5, FALSE)</f>
        <v>#N/A</v>
      </c>
      <c r="K320" t="e">
        <f>VLOOKUP($F320, codebooks_data_reordered!$A:$I, 6, FALSE)</f>
        <v>#N/A</v>
      </c>
      <c r="L320" t="e">
        <f>VLOOKUP($F320, codebooks_data_reordered!$A:$I, 7, FALSE)</f>
        <v>#N/A</v>
      </c>
      <c r="M320" t="e">
        <f>VLOOKUP($F320, codebooks_data_reordered!$A:$I, 9, FALSE)</f>
        <v>#N/A</v>
      </c>
      <c r="O320" t="e">
        <f t="shared" si="4"/>
        <v>#N/A</v>
      </c>
    </row>
    <row r="321" spans="1:15" ht="158.4" hidden="1" x14ac:dyDescent="0.3">
      <c r="A321" t="s">
        <v>6612</v>
      </c>
      <c r="B321" t="s">
        <v>6206</v>
      </c>
      <c r="C321" s="2" t="s">
        <v>6613</v>
      </c>
      <c r="D321" t="s">
        <v>5843</v>
      </c>
      <c r="E321" s="2" t="s">
        <v>6614</v>
      </c>
      <c r="F321" t="s">
        <v>9198</v>
      </c>
      <c r="G321" t="e">
        <f>VLOOKUP($F321, codebooks_data_reordered!$A:$I, 2, FALSE)</f>
        <v>#N/A</v>
      </c>
      <c r="H321" t="e">
        <f>VLOOKUP($F321, codebooks_data_reordered!$A:$I, 3, FALSE)</f>
        <v>#N/A</v>
      </c>
      <c r="I321" t="e">
        <f>VLOOKUP($F321, codebooks_data_reordered!$A:$I, 4, FALSE)</f>
        <v>#N/A</v>
      </c>
      <c r="J321" t="e">
        <f>VLOOKUP($F321, codebooks_data_reordered!$A:$I, 5, FALSE)</f>
        <v>#N/A</v>
      </c>
      <c r="K321" t="e">
        <f>VLOOKUP($F321, codebooks_data_reordered!$A:$I, 6, FALSE)</f>
        <v>#N/A</v>
      </c>
      <c r="L321" t="e">
        <f>VLOOKUP($F321, codebooks_data_reordered!$A:$I, 7, FALSE)</f>
        <v>#N/A</v>
      </c>
      <c r="M321" t="e">
        <f>VLOOKUP($F321, codebooks_data_reordered!$A:$I, 9, FALSE)</f>
        <v>#N/A</v>
      </c>
      <c r="O321" t="e">
        <f t="shared" si="4"/>
        <v>#N/A</v>
      </c>
    </row>
    <row r="322" spans="1:15" ht="144" hidden="1" x14ac:dyDescent="0.3">
      <c r="A322" t="s">
        <v>6612</v>
      </c>
      <c r="B322" t="s">
        <v>6615</v>
      </c>
      <c r="C322" s="2" t="s">
        <v>6616</v>
      </c>
      <c r="D322" t="s">
        <v>5843</v>
      </c>
      <c r="E322" s="2" t="s">
        <v>6617</v>
      </c>
      <c r="F322" t="s">
        <v>9199</v>
      </c>
      <c r="G322" t="e">
        <f>VLOOKUP($F322, codebooks_data_reordered!$A:$I, 2, FALSE)</f>
        <v>#N/A</v>
      </c>
      <c r="H322" t="e">
        <f>VLOOKUP($F322, codebooks_data_reordered!$A:$I, 3, FALSE)</f>
        <v>#N/A</v>
      </c>
      <c r="I322" t="e">
        <f>VLOOKUP($F322, codebooks_data_reordered!$A:$I, 4, FALSE)</f>
        <v>#N/A</v>
      </c>
      <c r="J322" t="e">
        <f>VLOOKUP($F322, codebooks_data_reordered!$A:$I, 5, FALSE)</f>
        <v>#N/A</v>
      </c>
      <c r="K322" t="e">
        <f>VLOOKUP($F322, codebooks_data_reordered!$A:$I, 6, FALSE)</f>
        <v>#N/A</v>
      </c>
      <c r="L322" t="e">
        <f>VLOOKUP($F322, codebooks_data_reordered!$A:$I, 7, FALSE)</f>
        <v>#N/A</v>
      </c>
      <c r="M322" t="e">
        <f>VLOOKUP($F322, codebooks_data_reordered!$A:$I, 9, FALSE)</f>
        <v>#N/A</v>
      </c>
      <c r="O322" t="e">
        <f t="shared" ref="O322:O385" si="5">SUBSTITUTE(M322, ";", CHAR(10))</f>
        <v>#N/A</v>
      </c>
    </row>
    <row r="323" spans="1:15" ht="158.4" hidden="1" x14ac:dyDescent="0.3">
      <c r="A323" t="s">
        <v>6612</v>
      </c>
      <c r="B323" t="s">
        <v>6513</v>
      </c>
      <c r="C323" s="2" t="s">
        <v>6618</v>
      </c>
      <c r="D323" t="s">
        <v>5843</v>
      </c>
      <c r="E323" s="2" t="s">
        <v>6619</v>
      </c>
      <c r="F323" t="s">
        <v>9200</v>
      </c>
      <c r="G323" t="e">
        <f>VLOOKUP($F323, codebooks_data_reordered!$A:$I, 2, FALSE)</f>
        <v>#N/A</v>
      </c>
      <c r="H323" t="e">
        <f>VLOOKUP($F323, codebooks_data_reordered!$A:$I, 3, FALSE)</f>
        <v>#N/A</v>
      </c>
      <c r="I323" t="e">
        <f>VLOOKUP($F323, codebooks_data_reordered!$A:$I, 4, FALSE)</f>
        <v>#N/A</v>
      </c>
      <c r="J323" t="e">
        <f>VLOOKUP($F323, codebooks_data_reordered!$A:$I, 5, FALSE)</f>
        <v>#N/A</v>
      </c>
      <c r="K323" t="e">
        <f>VLOOKUP($F323, codebooks_data_reordered!$A:$I, 6, FALSE)</f>
        <v>#N/A</v>
      </c>
      <c r="L323" t="e">
        <f>VLOOKUP($F323, codebooks_data_reordered!$A:$I, 7, FALSE)</f>
        <v>#N/A</v>
      </c>
      <c r="M323" t="e">
        <f>VLOOKUP($F323, codebooks_data_reordered!$A:$I, 9, FALSE)</f>
        <v>#N/A</v>
      </c>
      <c r="O323" t="e">
        <f t="shared" si="5"/>
        <v>#N/A</v>
      </c>
    </row>
    <row r="324" spans="1:15" ht="144" hidden="1" x14ac:dyDescent="0.3">
      <c r="A324" t="s">
        <v>6612</v>
      </c>
      <c r="B324" t="s">
        <v>6620</v>
      </c>
      <c r="C324" s="2" t="s">
        <v>6621</v>
      </c>
      <c r="D324" t="s">
        <v>5843</v>
      </c>
      <c r="E324" s="2" t="s">
        <v>6622</v>
      </c>
      <c r="F324" t="s">
        <v>9201</v>
      </c>
      <c r="G324" t="e">
        <f>VLOOKUP($F324, codebooks_data_reordered!$A:$I, 2, FALSE)</f>
        <v>#N/A</v>
      </c>
      <c r="H324" t="e">
        <f>VLOOKUP($F324, codebooks_data_reordered!$A:$I, 3, FALSE)</f>
        <v>#N/A</v>
      </c>
      <c r="I324" t="e">
        <f>VLOOKUP($F324, codebooks_data_reordered!$A:$I, 4, FALSE)</f>
        <v>#N/A</v>
      </c>
      <c r="J324" t="e">
        <f>VLOOKUP($F324, codebooks_data_reordered!$A:$I, 5, FALSE)</f>
        <v>#N/A</v>
      </c>
      <c r="K324" t="e">
        <f>VLOOKUP($F324, codebooks_data_reordered!$A:$I, 6, FALSE)</f>
        <v>#N/A</v>
      </c>
      <c r="L324" t="e">
        <f>VLOOKUP($F324, codebooks_data_reordered!$A:$I, 7, FALSE)</f>
        <v>#N/A</v>
      </c>
      <c r="M324" t="e">
        <f>VLOOKUP($F324, codebooks_data_reordered!$A:$I, 9, FALSE)</f>
        <v>#N/A</v>
      </c>
      <c r="O324" t="e">
        <f t="shared" si="5"/>
        <v>#N/A</v>
      </c>
    </row>
    <row r="325" spans="1:15" ht="100.8" hidden="1" x14ac:dyDescent="0.3">
      <c r="A325" t="s">
        <v>6612</v>
      </c>
      <c r="B325" t="s">
        <v>6223</v>
      </c>
      <c r="C325" s="2" t="s">
        <v>6623</v>
      </c>
      <c r="D325" t="s">
        <v>5843</v>
      </c>
      <c r="E325" s="2" t="s">
        <v>6624</v>
      </c>
      <c r="F325" t="s">
        <v>1871</v>
      </c>
      <c r="G325" t="str">
        <f>VLOOKUP($F325, codebooks_data_reordered!$A:$I, 2, FALSE)</f>
        <v>1999_1</v>
      </c>
      <c r="H325" t="str">
        <f>VLOOKUP($F325, codebooks_data_reordered!$A:$I, 3, FALSE)</f>
        <v>ATTITUDES TOWARD CANDIDATES AND PARTIES</v>
      </c>
      <c r="I325" t="str">
        <f>VLOOKUP($F325, codebooks_data_reordered!$A:$I, 4, FALSE)</f>
        <v>1</v>
      </c>
      <c r="J325" t="str">
        <f>VLOOKUP($F325, codebooks_data_reordered!$A:$I, 5, FALSE)</f>
        <v>58</v>
      </c>
      <c r="K325" t="str">
        <f>VLOOKUP($F325, codebooks_data_reordered!$A:$I, 6, FALSE)</f>
        <v>Extend of support for Arieh Deri</v>
      </c>
      <c r="L325" t="str">
        <f>VLOOKUP($F325, codebooks_data_reordered!$A:$I, 7, FALSE)</f>
        <v>Extent of support on 1-10 scale, 1=total rejection, 10=strong support</v>
      </c>
      <c r="M325" t="str">
        <f>VLOOKUP($F325, codebooks_data_reordered!$A:$I, 9, FALSE)</f>
        <v>1: Totally reject; 10: Strongly support</v>
      </c>
      <c r="O325" s="2" t="str">
        <f t="shared" si="5"/>
        <v>1: Totally reject
 10: Strongly support</v>
      </c>
    </row>
    <row r="326" spans="1:15" ht="172.8" hidden="1" x14ac:dyDescent="0.3">
      <c r="A326" t="s">
        <v>6612</v>
      </c>
      <c r="B326" t="s">
        <v>6233</v>
      </c>
      <c r="C326" s="2" t="s">
        <v>6625</v>
      </c>
      <c r="D326" t="s">
        <v>5843</v>
      </c>
      <c r="E326" s="2" t="s">
        <v>6626</v>
      </c>
      <c r="F326" t="s">
        <v>1871</v>
      </c>
      <c r="G326" t="str">
        <f>VLOOKUP($F326, codebooks_data_reordered!$A:$I, 2, FALSE)</f>
        <v>1999_1</v>
      </c>
      <c r="H326" t="str">
        <f>VLOOKUP($F326, codebooks_data_reordered!$A:$I, 3, FALSE)</f>
        <v>ATTITUDES TOWARD CANDIDATES AND PARTIES</v>
      </c>
      <c r="I326" t="str">
        <f>VLOOKUP($F326, codebooks_data_reordered!$A:$I, 4, FALSE)</f>
        <v>1</v>
      </c>
      <c r="J326" t="str">
        <f>VLOOKUP($F326, codebooks_data_reordered!$A:$I, 5, FALSE)</f>
        <v>58</v>
      </c>
      <c r="K326" t="str">
        <f>VLOOKUP($F326, codebooks_data_reordered!$A:$I, 6, FALSE)</f>
        <v>Extend of support for Arieh Deri</v>
      </c>
      <c r="L326" t="str">
        <f>VLOOKUP($F326, codebooks_data_reordered!$A:$I, 7, FALSE)</f>
        <v>Extent of support on 1-10 scale, 1=total rejection, 10=strong support</v>
      </c>
      <c r="M326" t="str">
        <f>VLOOKUP($F326, codebooks_data_reordered!$A:$I, 9, FALSE)</f>
        <v>1: Totally reject; 10: Strongly support</v>
      </c>
      <c r="O326" s="2" t="str">
        <f t="shared" si="5"/>
        <v>1: Totally reject
 10: Strongly support</v>
      </c>
    </row>
    <row r="327" spans="1:15" ht="129.6" hidden="1" x14ac:dyDescent="0.3">
      <c r="A327" t="s">
        <v>6612</v>
      </c>
      <c r="B327" t="s">
        <v>6627</v>
      </c>
      <c r="C327" s="2" t="s">
        <v>6628</v>
      </c>
      <c r="D327" t="s">
        <v>5843</v>
      </c>
      <c r="E327" s="2" t="s">
        <v>6629</v>
      </c>
      <c r="F327" t="s">
        <v>9202</v>
      </c>
      <c r="G327" t="e">
        <f>VLOOKUP($F327, codebooks_data_reordered!$A:$I, 2, FALSE)</f>
        <v>#N/A</v>
      </c>
      <c r="H327" t="e">
        <f>VLOOKUP($F327, codebooks_data_reordered!$A:$I, 3, FALSE)</f>
        <v>#N/A</v>
      </c>
      <c r="I327" t="e">
        <f>VLOOKUP($F327, codebooks_data_reordered!$A:$I, 4, FALSE)</f>
        <v>#N/A</v>
      </c>
      <c r="J327" t="e">
        <f>VLOOKUP($F327, codebooks_data_reordered!$A:$I, 5, FALSE)</f>
        <v>#N/A</v>
      </c>
      <c r="K327" t="e">
        <f>VLOOKUP($F327, codebooks_data_reordered!$A:$I, 6, FALSE)</f>
        <v>#N/A</v>
      </c>
      <c r="L327" t="e">
        <f>VLOOKUP($F327, codebooks_data_reordered!$A:$I, 7, FALSE)</f>
        <v>#N/A</v>
      </c>
      <c r="M327" t="e">
        <f>VLOOKUP($F327, codebooks_data_reordered!$A:$I, 9, FALSE)</f>
        <v>#N/A</v>
      </c>
      <c r="O327" t="e">
        <f t="shared" si="5"/>
        <v>#N/A</v>
      </c>
    </row>
    <row r="328" spans="1:15" ht="72" hidden="1" x14ac:dyDescent="0.3">
      <c r="A328" t="s">
        <v>6612</v>
      </c>
      <c r="B328" t="s">
        <v>6630</v>
      </c>
      <c r="C328" s="2" t="s">
        <v>6631</v>
      </c>
      <c r="D328" t="s">
        <v>5843</v>
      </c>
      <c r="E328" s="2" t="s">
        <v>6632</v>
      </c>
      <c r="F328" t="s">
        <v>3119</v>
      </c>
      <c r="G328" t="str">
        <f>VLOOKUP($F328, codebooks_data_reordered!$A:$I, 2, FALSE)</f>
        <v>1988_Panel_N=416</v>
      </c>
      <c r="H328" t="str">
        <f>VLOOKUP($F328, codebooks_data_reordered!$A:$I, 3, FALSE)</f>
        <v>WHICH OF THE FOLLOWING WOULD YOU BE WILLING TO GIVE TO MAINTAIN/STRENGTHEN THE SECURITY</v>
      </c>
      <c r="I328" t="str">
        <f>VLOOKUP($F328, codebooks_data_reordered!$A:$I, 4, FALSE)</f>
        <v>1</v>
      </c>
      <c r="J328" t="str">
        <f>VLOOKUP($F328, codebooks_data_reordered!$A:$I, 5, FALSE)</f>
        <v>107</v>
      </c>
      <c r="K328" t="str">
        <f>VLOOKUP($F328, codebooks_data_reordered!$A:$I, 6, FALSE)</f>
        <v>What do you think of IDF increasing/decreasing its power in last 5 years</v>
      </c>
      <c r="L328">
        <f>VLOOKUP($F328, codebooks_data_reordered!$A:$I, 7, FALSE)</f>
        <v>0</v>
      </c>
      <c r="M328" t="str">
        <f>VLOOKUP($F328, codebooks_data_reordered!$A:$I, 9, FALSE)</f>
        <v>1: Significant decrease; 2: Some decrease; 3: No change; 4: Some increase; 5: Significant increase</v>
      </c>
      <c r="O328" s="2" t="str">
        <f t="shared" si="5"/>
        <v>1: Significant decrease
 2: Some decrease
 3: No change
 4: Some increase
 5: Significant increase</v>
      </c>
    </row>
    <row r="329" spans="1:15" ht="72" hidden="1" x14ac:dyDescent="0.3">
      <c r="A329" t="s">
        <v>6612</v>
      </c>
      <c r="B329" t="s">
        <v>6633</v>
      </c>
      <c r="C329" s="2" t="s">
        <v>6634</v>
      </c>
      <c r="D329" t="s">
        <v>5843</v>
      </c>
      <c r="E329" s="2" t="s">
        <v>6635</v>
      </c>
      <c r="F329" t="s">
        <v>9203</v>
      </c>
      <c r="G329" t="e">
        <f>VLOOKUP($F329, codebooks_data_reordered!$A:$I, 2, FALSE)</f>
        <v>#N/A</v>
      </c>
      <c r="H329" t="e">
        <f>VLOOKUP($F329, codebooks_data_reordered!$A:$I, 3, FALSE)</f>
        <v>#N/A</v>
      </c>
      <c r="I329" t="e">
        <f>VLOOKUP($F329, codebooks_data_reordered!$A:$I, 4, FALSE)</f>
        <v>#N/A</v>
      </c>
      <c r="J329" t="e">
        <f>VLOOKUP($F329, codebooks_data_reordered!$A:$I, 5, FALSE)</f>
        <v>#N/A</v>
      </c>
      <c r="K329" t="e">
        <f>VLOOKUP($F329, codebooks_data_reordered!$A:$I, 6, FALSE)</f>
        <v>#N/A</v>
      </c>
      <c r="L329" t="e">
        <f>VLOOKUP($F329, codebooks_data_reordered!$A:$I, 7, FALSE)</f>
        <v>#N/A</v>
      </c>
      <c r="M329" t="e">
        <f>VLOOKUP($F329, codebooks_data_reordered!$A:$I, 9, FALSE)</f>
        <v>#N/A</v>
      </c>
      <c r="O329" t="e">
        <f t="shared" si="5"/>
        <v>#N/A</v>
      </c>
    </row>
    <row r="330" spans="1:15" ht="100.8" hidden="1" x14ac:dyDescent="0.3">
      <c r="A330" t="s">
        <v>6612</v>
      </c>
      <c r="B330" t="s">
        <v>6636</v>
      </c>
      <c r="C330" s="2" t="s">
        <v>6637</v>
      </c>
      <c r="D330" t="s">
        <v>5843</v>
      </c>
      <c r="E330" s="2" t="s">
        <v>6638</v>
      </c>
      <c r="F330" t="s">
        <v>1975</v>
      </c>
      <c r="G330" t="str">
        <f>VLOOKUP($F330, codebooks_data_reordered!$A:$I, 2, FALSE)</f>
        <v>1999_1</v>
      </c>
      <c r="H330" t="str">
        <f>VLOOKUP($F330, codebooks_data_reordered!$A:$I, 3, FALSE)</f>
        <v>POLITICAL SELF-DEFINITION</v>
      </c>
      <c r="I330" t="str">
        <f>VLOOKUP($F330, codebooks_data_reordered!$A:$I, 4, FALSE)</f>
        <v>2</v>
      </c>
      <c r="J330" t="str">
        <f>VLOOKUP($F330, codebooks_data_reordered!$A:$I, 5, FALSE)</f>
        <v>22</v>
      </c>
      <c r="K330" t="str">
        <f>VLOOKUP($F330, codebooks_data_reordered!$A:$I, 6, FALSE)</f>
        <v>Self-ranking on a left/right political scale</v>
      </c>
      <c r="L330" t="str">
        <f>VLOOKUP($F330, codebooks_data_reordered!$A:$I, 7, FALSE)</f>
        <v>on a 1-7 scale where 1= strong right wing and 7=strong left wing</v>
      </c>
      <c r="M330" t="str">
        <f>VLOOKUP($F330, codebooks_data_reordered!$A:$I, 9, FALSE)</f>
        <v>1: Strong right wing; 7: Strong left wing</v>
      </c>
      <c r="O330" s="2" t="str">
        <f t="shared" si="5"/>
        <v>1: Strong right wing
 7: Strong left wing</v>
      </c>
    </row>
    <row r="331" spans="1:15" ht="72" hidden="1" x14ac:dyDescent="0.3">
      <c r="A331" t="s">
        <v>6612</v>
      </c>
      <c r="B331" t="s">
        <v>6639</v>
      </c>
      <c r="C331" s="2" t="s">
        <v>6640</v>
      </c>
      <c r="D331" t="s">
        <v>7439</v>
      </c>
      <c r="E331" s="2" t="s">
        <v>6641</v>
      </c>
      <c r="F331" t="s">
        <v>9204</v>
      </c>
      <c r="G331" t="e">
        <f>VLOOKUP($F331, codebooks_data_reordered!$A:$I, 2, FALSE)</f>
        <v>#N/A</v>
      </c>
      <c r="H331" t="e">
        <f>VLOOKUP($F331, codebooks_data_reordered!$A:$I, 3, FALSE)</f>
        <v>#N/A</v>
      </c>
      <c r="I331" t="e">
        <f>VLOOKUP($F331, codebooks_data_reordered!$A:$I, 4, FALSE)</f>
        <v>#N/A</v>
      </c>
      <c r="J331" t="e">
        <f>VLOOKUP($F331, codebooks_data_reordered!$A:$I, 5, FALSE)</f>
        <v>#N/A</v>
      </c>
      <c r="K331" t="e">
        <f>VLOOKUP($F331, codebooks_data_reordered!$A:$I, 6, FALSE)</f>
        <v>#N/A</v>
      </c>
      <c r="L331" t="e">
        <f>VLOOKUP($F331, codebooks_data_reordered!$A:$I, 7, FALSE)</f>
        <v>#N/A</v>
      </c>
      <c r="M331" t="e">
        <f>VLOOKUP($F331, codebooks_data_reordered!$A:$I, 9, FALSE)</f>
        <v>#N/A</v>
      </c>
      <c r="O331" t="e">
        <f t="shared" si="5"/>
        <v>#N/A</v>
      </c>
    </row>
    <row r="332" spans="1:15" ht="100.8" hidden="1" x14ac:dyDescent="0.3">
      <c r="A332" t="s">
        <v>6612</v>
      </c>
      <c r="B332" t="s">
        <v>6642</v>
      </c>
      <c r="C332" s="2" t="s">
        <v>6643</v>
      </c>
      <c r="D332" t="s">
        <v>5843</v>
      </c>
      <c r="E332" s="2" t="s">
        <v>6644</v>
      </c>
      <c r="F332" t="s">
        <v>1979</v>
      </c>
      <c r="G332" t="str">
        <f>VLOOKUP($F332, codebooks_data_reordered!$A:$I, 2, FALSE)</f>
        <v>1999_1</v>
      </c>
      <c r="H332" t="str">
        <f>VLOOKUP($F332, codebooks_data_reordered!$A:$I, 3, FALSE)</f>
        <v>POLITICAL SELF-DEFINITION</v>
      </c>
      <c r="I332" t="str">
        <f>VLOOKUP($F332, codebooks_data_reordered!$A:$I, 4, FALSE)</f>
        <v>2</v>
      </c>
      <c r="J332" t="str">
        <f>VLOOKUP($F332, codebooks_data_reordered!$A:$I, 5, FALSE)</f>
        <v>23</v>
      </c>
      <c r="K332" t="str">
        <f>VLOOKUP($F332, codebooks_data_reordered!$A:$I, 6, FALSE)</f>
        <v>Possible shift to either right or left wing</v>
      </c>
      <c r="L332" t="str">
        <f>VLOOKUP($F332, codebooks_data_reordered!$A:$I, 7, FALSE)</f>
        <v>For those who answer 4 to var. i19</v>
      </c>
      <c r="M332" t="str">
        <f>VLOOKUP($F332, codebooks_data_reordered!$A:$I, 9, FALSE)</f>
        <v>1: To the Right wing; 2: To the Left wing; 3: To either of them according to circumstances; 4: Won't move</v>
      </c>
      <c r="O332" s="2" t="str">
        <f t="shared" si="5"/>
        <v>1: To the Right wing
 2: To the Left wing
 3: To either of them according to circumstances
 4: Won't move</v>
      </c>
    </row>
    <row r="333" spans="1:15" ht="86.4" hidden="1" x14ac:dyDescent="0.3">
      <c r="A333" t="s">
        <v>6612</v>
      </c>
      <c r="B333" t="s">
        <v>5854</v>
      </c>
      <c r="C333" s="2" t="s">
        <v>6645</v>
      </c>
      <c r="D333" t="s">
        <v>5843</v>
      </c>
      <c r="E333" s="2" t="s">
        <v>6646</v>
      </c>
      <c r="F333" t="s">
        <v>3067</v>
      </c>
      <c r="G333" t="str">
        <f>VLOOKUP($F333, codebooks_data_reordered!$A:$I, 2, FALSE)</f>
        <v>1988_Panel_N=416</v>
      </c>
      <c r="H333" t="str">
        <f>VLOOKUP($F333, codebooks_data_reordered!$A:$I, 3, FALSE)</f>
        <v>ISRAEL'S CAPABILITY OF COPING WITH VARIOUS SITUATIONS</v>
      </c>
      <c r="I333" t="str">
        <f>VLOOKUP($F333, codebooks_data_reordered!$A:$I, 4, FALSE)</f>
        <v>1</v>
      </c>
      <c r="J333" t="str">
        <f>VLOOKUP($F333, codebooks_data_reordered!$A:$I, 5, FALSE)</f>
        <v>87</v>
      </c>
      <c r="K333" t="str">
        <f>VLOOKUP($F333, codebooks_data_reordered!$A:$I, 6, FALSE)</f>
        <v>Level of rationality of Israel's foreign and security policy</v>
      </c>
      <c r="L333">
        <f>VLOOKUP($F333, codebooks_data_reordered!$A:$I, 7, FALSE)</f>
        <v>0</v>
      </c>
      <c r="M333" t="str">
        <f>VLOOKUP($F333, codebooks_data_reordered!$A:$I, 9, FALSE)</f>
        <v>1: Always rational; 2: Usually rational; 3: Some times rational at others not; 4: Usually irrational; 5: Always irrational</v>
      </c>
      <c r="O333" s="2" t="str">
        <f t="shared" si="5"/>
        <v>1: Always rational
 2: Usually rational
 3: Some times rational at others not
 4: Usually irrational
 5: Always irrational</v>
      </c>
    </row>
    <row r="334" spans="1:15" ht="86.4" hidden="1" x14ac:dyDescent="0.3">
      <c r="A334" t="s">
        <v>6612</v>
      </c>
      <c r="B334" t="s">
        <v>6647</v>
      </c>
      <c r="C334" s="2" t="s">
        <v>6648</v>
      </c>
      <c r="D334" t="s">
        <v>5843</v>
      </c>
      <c r="E334" s="2" t="s">
        <v>6649</v>
      </c>
      <c r="F334" t="s">
        <v>1909</v>
      </c>
      <c r="G334" t="str">
        <f>VLOOKUP($F334, codebooks_data_reordered!$A:$I, 2, FALSE)</f>
        <v>1999_1</v>
      </c>
      <c r="H334" t="str">
        <f>VLOOKUP($F334, codebooks_data_reordered!$A:$I, 3, FALSE)</f>
        <v>MORE ATTITUDES TOWARD PARTIES AND CANDIDATES</v>
      </c>
      <c r="I334" t="str">
        <f>VLOOKUP($F334, codebooks_data_reordered!$A:$I, 4, FALSE)</f>
        <v>1</v>
      </c>
      <c r="J334" t="str">
        <f>VLOOKUP($F334, codebooks_data_reordered!$A:$I, 5, FALSE)</f>
        <v>72</v>
      </c>
      <c r="K334" t="str">
        <f>VLOOKUP($F334, codebooks_data_reordered!$A:$I, 6, FALSE)</f>
        <v>Effect of Lebanon issue's effect on vote for PM</v>
      </c>
      <c r="L334">
        <f>VLOOKUP($F334, codebooks_data_reordered!$A:$I, 7, FALSE)</f>
        <v>0</v>
      </c>
      <c r="M334" t="str">
        <f>VLOOKUP($F334, codebooks_data_reordered!$A:$I, 9, FALSE)</f>
        <v>1: Not at all; 2: A small effect; 3: Some effect; 4: A great effect</v>
      </c>
      <c r="O334" s="2" t="str">
        <f t="shared" si="5"/>
        <v>1: Not at all
 2: A small effect
 3: Some effect
 4: A great effect</v>
      </c>
    </row>
    <row r="335" spans="1:15" ht="100.8" hidden="1" x14ac:dyDescent="0.3">
      <c r="A335" t="s">
        <v>6612</v>
      </c>
      <c r="B335" t="s">
        <v>6532</v>
      </c>
      <c r="C335" s="2" t="s">
        <v>6650</v>
      </c>
      <c r="D335" t="s">
        <v>5843</v>
      </c>
      <c r="E335" s="2" t="s">
        <v>6651</v>
      </c>
      <c r="F335" t="s">
        <v>1886</v>
      </c>
      <c r="G335" t="str">
        <f>VLOOKUP($F335, codebooks_data_reordered!$A:$I, 2, FALSE)</f>
        <v>1999_1</v>
      </c>
      <c r="H335" t="str">
        <f>VLOOKUP($F335, codebooks_data_reordered!$A:$I, 3, FALSE)</f>
        <v>MORE ATTITUDES TOWARD PARTIES AND CANDIDATES</v>
      </c>
      <c r="I335" t="str">
        <f>VLOOKUP($F335, codebooks_data_reordered!$A:$I, 4, FALSE)</f>
        <v>1</v>
      </c>
      <c r="J335" t="str">
        <f>VLOOKUP($F335, codebooks_data_reordered!$A:$I, 5, FALSE)</f>
        <v>63</v>
      </c>
      <c r="K335" t="str">
        <f>VLOOKUP($F335, codebooks_data_reordered!$A:$I, 6, FALSE)</f>
        <v>Participation of Israeli Arabs in critical decisions</v>
      </c>
      <c r="L335">
        <f>VLOOKUP($F335, codebooks_data_reordered!$A:$I, 7, FALSE)</f>
        <v>0</v>
      </c>
      <c r="M335" t="str">
        <f>VLOOKUP($F335, codebooks_data_reordered!$A:$I, 9, FALSE)</f>
        <v>1: Decisions should be made by Jewish majority only; 2: Decisions should be made by Jewish majority; 3: Arabs should take part; 4: Arabs should take part</v>
      </c>
      <c r="O335" s="2" t="str">
        <f t="shared" si="5"/>
        <v>1: Decisions should be made by Jewish majority only
 2: Decisions should be made by Jewish majority
 3: Arabs should take part
 4: Arabs should take part</v>
      </c>
    </row>
    <row r="336" spans="1:15" ht="57.6" hidden="1" x14ac:dyDescent="0.3">
      <c r="A336" t="s">
        <v>6612</v>
      </c>
      <c r="B336" t="s">
        <v>6652</v>
      </c>
      <c r="C336" s="2" t="s">
        <v>6653</v>
      </c>
      <c r="D336" t="s">
        <v>5843</v>
      </c>
      <c r="E336" s="2" t="s">
        <v>6654</v>
      </c>
      <c r="F336" t="s">
        <v>1855</v>
      </c>
      <c r="G336" t="str">
        <f>VLOOKUP($F336, codebooks_data_reordered!$A:$I, 2, FALSE)</f>
        <v>1999_1</v>
      </c>
      <c r="H336" t="str">
        <f>VLOOKUP($F336, codebooks_data_reordered!$A:$I, 3, FALSE)</f>
        <v>ATTITUDES TOWARD CANDIDATES AND PARTIES</v>
      </c>
      <c r="I336" t="str">
        <f>VLOOKUP($F336, codebooks_data_reordered!$A:$I, 4, FALSE)</f>
        <v>1</v>
      </c>
      <c r="J336" t="str">
        <f>VLOOKUP($F336, codebooks_data_reordered!$A:$I, 5, FALSE)</f>
        <v>50</v>
      </c>
      <c r="K336" t="str">
        <f>VLOOKUP($F336, codebooks_data_reordered!$A:$I, 6, FALSE)</f>
        <v>Extend of support for Meretz</v>
      </c>
      <c r="L336" t="str">
        <f>VLOOKUP($F336, codebooks_data_reordered!$A:$I, 7, FALSE)</f>
        <v>Extent of support on 1-10 scale, 1=total rejection, 10=strong support</v>
      </c>
      <c r="M336" t="str">
        <f>VLOOKUP($F336, codebooks_data_reordered!$A:$I, 9, FALSE)</f>
        <v>1: Totally reject; 10: Strongly support</v>
      </c>
      <c r="O336" s="2" t="str">
        <f t="shared" si="5"/>
        <v>1: Totally reject
 10: Strongly support</v>
      </c>
    </row>
    <row r="337" spans="1:15" ht="115.2" hidden="1" x14ac:dyDescent="0.3">
      <c r="A337" t="s">
        <v>6612</v>
      </c>
      <c r="B337" t="s">
        <v>6655</v>
      </c>
      <c r="C337" s="2" t="s">
        <v>6656</v>
      </c>
      <c r="D337" t="s">
        <v>5843</v>
      </c>
      <c r="E337" s="2" t="s">
        <v>6657</v>
      </c>
      <c r="F337" t="s">
        <v>1873</v>
      </c>
      <c r="G337" t="str">
        <f>VLOOKUP($F337, codebooks_data_reordered!$A:$I, 2, FALSE)</f>
        <v>1999_1</v>
      </c>
      <c r="H337" t="str">
        <f>VLOOKUP($F337, codebooks_data_reordered!$A:$I, 3, FALSE)</f>
        <v>ATTITUDES TOWARD CANDIDATES AND PARTIES</v>
      </c>
      <c r="I337" t="str">
        <f>VLOOKUP($F337, codebooks_data_reordered!$A:$I, 4, FALSE)</f>
        <v>1</v>
      </c>
      <c r="J337" t="str">
        <f>VLOOKUP($F337, codebooks_data_reordered!$A:$I, 5, FALSE)</f>
        <v>59</v>
      </c>
      <c r="K337" t="str">
        <f>VLOOKUP($F337, codebooks_data_reordered!$A:$I, 6, FALSE)</f>
        <v>Extend of support for Israel ACHAT party</v>
      </c>
      <c r="L337" t="str">
        <f>VLOOKUP($F337, codebooks_data_reordered!$A:$I, 7, FALSE)</f>
        <v>Extent of support on 1-10 scale, 1=total rejection, 10=strong support</v>
      </c>
      <c r="M337" t="str">
        <f>VLOOKUP($F337, codebooks_data_reordered!$A:$I, 9, FALSE)</f>
        <v>1: Totally reject; 10: Strongly support</v>
      </c>
      <c r="O337" s="2" t="str">
        <f t="shared" si="5"/>
        <v>1: Totally reject
 10: Strongly support</v>
      </c>
    </row>
    <row r="338" spans="1:15" ht="115.2" hidden="1" x14ac:dyDescent="0.3">
      <c r="A338" t="s">
        <v>6612</v>
      </c>
      <c r="B338" t="s">
        <v>6658</v>
      </c>
      <c r="C338" s="2" t="s">
        <v>6659</v>
      </c>
      <c r="D338" t="s">
        <v>5843</v>
      </c>
      <c r="E338" s="2" t="s">
        <v>6660</v>
      </c>
      <c r="F338" t="s">
        <v>1875</v>
      </c>
      <c r="G338" t="str">
        <f>VLOOKUP($F338, codebooks_data_reordered!$A:$I, 2, FALSE)</f>
        <v>1999_1</v>
      </c>
      <c r="H338" t="str">
        <f>VLOOKUP($F338, codebooks_data_reordered!$A:$I, 3, FALSE)</f>
        <v>ATTITUDES TOWARD CANDIDATES AND PARTIES</v>
      </c>
      <c r="I338" t="str">
        <f>VLOOKUP($F338, codebooks_data_reordered!$A:$I, 4, FALSE)</f>
        <v>1</v>
      </c>
      <c r="J338" t="str">
        <f>VLOOKUP($F338, codebooks_data_reordered!$A:$I, 5, FALSE)</f>
        <v>60</v>
      </c>
      <c r="K338" t="str">
        <f>VLOOKUP($F338, codebooks_data_reordered!$A:$I, 6, FALSE)</f>
        <v>Extend of support for ultra-orthodoxy</v>
      </c>
      <c r="L338" t="str">
        <f>VLOOKUP($F338, codebooks_data_reordered!$A:$I, 7, FALSE)</f>
        <v>Extent of support on 1-10 scale, 1=total rejection, 10=strong support</v>
      </c>
      <c r="M338" t="str">
        <f>VLOOKUP($F338, codebooks_data_reordered!$A:$I, 9, FALSE)</f>
        <v>1: Totally reject; 10: Strongly support</v>
      </c>
      <c r="O338" s="2" t="str">
        <f t="shared" si="5"/>
        <v>1: Totally reject
 10: Strongly support</v>
      </c>
    </row>
    <row r="339" spans="1:15" ht="144" hidden="1" x14ac:dyDescent="0.3">
      <c r="A339" t="s">
        <v>6612</v>
      </c>
      <c r="B339" t="s">
        <v>6661</v>
      </c>
      <c r="C339" s="2" t="s">
        <v>6662</v>
      </c>
      <c r="D339" t="s">
        <v>5843</v>
      </c>
      <c r="E339" s="2" t="s">
        <v>6663</v>
      </c>
      <c r="F339" t="s">
        <v>9205</v>
      </c>
      <c r="G339" t="e">
        <f>VLOOKUP($F339, codebooks_data_reordered!$A:$I, 2, FALSE)</f>
        <v>#N/A</v>
      </c>
      <c r="H339" t="e">
        <f>VLOOKUP($F339, codebooks_data_reordered!$A:$I, 3, FALSE)</f>
        <v>#N/A</v>
      </c>
      <c r="I339" t="e">
        <f>VLOOKUP($F339, codebooks_data_reordered!$A:$I, 4, FALSE)</f>
        <v>#N/A</v>
      </c>
      <c r="J339" t="e">
        <f>VLOOKUP($F339, codebooks_data_reordered!$A:$I, 5, FALSE)</f>
        <v>#N/A</v>
      </c>
      <c r="K339" t="e">
        <f>VLOOKUP($F339, codebooks_data_reordered!$A:$I, 6, FALSE)</f>
        <v>#N/A</v>
      </c>
      <c r="L339" t="e">
        <f>VLOOKUP($F339, codebooks_data_reordered!$A:$I, 7, FALSE)</f>
        <v>#N/A</v>
      </c>
      <c r="M339" t="e">
        <f>VLOOKUP($F339, codebooks_data_reordered!$A:$I, 9, FALSE)</f>
        <v>#N/A</v>
      </c>
      <c r="O339" t="e">
        <f t="shared" si="5"/>
        <v>#N/A</v>
      </c>
    </row>
    <row r="340" spans="1:15" ht="187.2" hidden="1" x14ac:dyDescent="0.3">
      <c r="A340" t="s">
        <v>6612</v>
      </c>
      <c r="B340" t="s">
        <v>6664</v>
      </c>
      <c r="C340" s="2" t="s">
        <v>6665</v>
      </c>
      <c r="D340" t="s">
        <v>5843</v>
      </c>
      <c r="E340" s="2" t="s">
        <v>6666</v>
      </c>
      <c r="F340" t="s">
        <v>1752</v>
      </c>
      <c r="G340" t="str">
        <f>VLOOKUP($F340, codebooks_data_reordered!$A:$I, 2, FALSE)</f>
        <v>1999_1</v>
      </c>
      <c r="H340" t="str">
        <f>VLOOKUP($F340, codebooks_data_reordered!$A:$I, 3, FALSE)</f>
        <v>GENERAL POLITICAL ATTITUDE</v>
      </c>
      <c r="I340" t="str">
        <f>VLOOKUP($F340, codebooks_data_reordered!$A:$I, 4, FALSE)</f>
        <v>1</v>
      </c>
      <c r="J340" t="str">
        <f>VLOOKUP($F340, codebooks_data_reordered!$A:$I, 5, FALSE)</f>
        <v>7</v>
      </c>
      <c r="K340" t="str">
        <f>VLOOKUP($F340, codebooks_data_reordered!$A:$I, 6, FALSE)</f>
        <v>Government treatment of current national issues</v>
      </c>
      <c r="L340">
        <f>VLOOKUP($F340, codebooks_data_reordered!$A:$I, 7, FALSE)</f>
        <v>0</v>
      </c>
      <c r="M340" t="str">
        <f>VLOOKUP($F340, codebooks_data_reordered!$A:$I, 9, FALSE)</f>
        <v>1: Very good; 2: Good; 3: Not so good; 4: Not good at all</v>
      </c>
      <c r="O340" s="2" t="str">
        <f t="shared" si="5"/>
        <v>1: Very good
 2: Good
 3: Not so good
 4: Not good at all</v>
      </c>
    </row>
    <row r="341" spans="1:15" ht="72" hidden="1" x14ac:dyDescent="0.3">
      <c r="A341" t="s">
        <v>6612</v>
      </c>
      <c r="B341" t="s">
        <v>6667</v>
      </c>
      <c r="C341" s="2" t="s">
        <v>6668</v>
      </c>
      <c r="D341" t="s">
        <v>5843</v>
      </c>
      <c r="E341" s="2" t="s">
        <v>6669</v>
      </c>
      <c r="F341" t="s">
        <v>746</v>
      </c>
      <c r="G341" t="str">
        <f>VLOOKUP($F341, codebooks_data_reordered!$A:$I, 2, FALSE)</f>
        <v>2006</v>
      </c>
      <c r="H341" t="str">
        <f>VLOOKUP($F341, codebooks_data_reordered!$A:$I, 3, FALSE)</f>
        <v>Self-identity</v>
      </c>
      <c r="I341" t="str">
        <f>VLOOKUP($F341, codebooks_data_reordered!$A:$I, 4, FALSE)</f>
        <v>1</v>
      </c>
      <c r="J341" t="str">
        <f>VLOOKUP($F341, codebooks_data_reordered!$A:$I, 5, FALSE)</f>
        <v>268</v>
      </c>
      <c r="K341" t="str">
        <f>VLOOKUP($F341, codebooks_data_reordered!$A:$I, 6, FALSE)</f>
        <v>The Knesset's chairman</v>
      </c>
      <c r="L341" t="str">
        <f>VLOOKUP($F341, codebooks_data_reordered!$A:$I, 7, FALSE)</f>
        <v>53. To the best of your knowledge, who is the Knesset's chairman? (do not read answers)</v>
      </c>
      <c r="M341" t="str">
        <f>VLOOKUP($F341, codebooks_data_reordered!$A:$I, 9, FALSE)</f>
        <v>1: Rivlin; 2: Wrong answer; 8: Do not know</v>
      </c>
      <c r="O341" s="2" t="str">
        <f t="shared" si="5"/>
        <v>1: Rivlin
 2: Wrong answer
 8: Do not know</v>
      </c>
    </row>
    <row r="342" spans="1:15" ht="72" hidden="1" x14ac:dyDescent="0.3">
      <c r="A342" t="s">
        <v>6612</v>
      </c>
      <c r="B342" t="s">
        <v>6670</v>
      </c>
      <c r="C342" s="2" t="s">
        <v>6671</v>
      </c>
      <c r="D342" t="s">
        <v>5843</v>
      </c>
      <c r="E342" s="2" t="s">
        <v>6672</v>
      </c>
      <c r="F342" t="s">
        <v>662</v>
      </c>
      <c r="G342" t="str">
        <f>VLOOKUP($F342, codebooks_data_reordered!$A:$I, 2, FALSE)</f>
        <v>2006</v>
      </c>
      <c r="H342" t="str">
        <f>VLOOKUP($F342, codebooks_data_reordered!$A:$I, 3, FALSE)</f>
        <v>Different Coalitions after the Elections</v>
      </c>
      <c r="I342" t="str">
        <f>VLOOKUP($F342, codebooks_data_reordered!$A:$I, 4, FALSE)</f>
        <v>1</v>
      </c>
      <c r="J342" t="str">
        <f>VLOOKUP($F342, codebooks_data_reordered!$A:$I, 5, FALSE)</f>
        <v>235-237</v>
      </c>
      <c r="K342" t="str">
        <f>VLOOKUP($F342, codebooks_data_reordered!$A:$I, 6, FALSE)</f>
        <v>Will support Kadima-Likud-Haredim coalition</v>
      </c>
      <c r="L342" t="str">
        <f>VLOOKUP($F342,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342" t="str">
        <f>VLOOKUP($F342, codebooks_data_reordered!$A:$I, 9, FALSE)</f>
        <v>1: Reject; 10: Support</v>
      </c>
      <c r="O342" s="2" t="str">
        <f t="shared" si="5"/>
        <v>1: Reject
 10: Support</v>
      </c>
    </row>
    <row r="343" spans="1:15" ht="409.6" hidden="1" x14ac:dyDescent="0.3">
      <c r="A343" t="s">
        <v>6612</v>
      </c>
      <c r="B343" t="s">
        <v>6673</v>
      </c>
      <c r="C343" s="2" t="s">
        <v>6674</v>
      </c>
      <c r="D343" t="s">
        <v>5843</v>
      </c>
      <c r="E343" s="2" t="s">
        <v>6675</v>
      </c>
      <c r="F343" t="s">
        <v>1760</v>
      </c>
      <c r="G343" t="str">
        <f>VLOOKUP($F343, codebooks_data_reordered!$A:$I, 2, FALSE)</f>
        <v>1999_1</v>
      </c>
      <c r="H343" t="str">
        <f>VLOOKUP($F343, codebooks_data_reordered!$A:$I, 3, FALSE)</f>
        <v>GENERAL POLITICAL ATTITUDE</v>
      </c>
      <c r="I343" t="str">
        <f>VLOOKUP($F343, codebooks_data_reordered!$A:$I, 4, FALSE)</f>
        <v>1</v>
      </c>
      <c r="J343" t="str">
        <f>VLOOKUP($F343, codebooks_data_reordered!$A:$I, 5, FALSE)</f>
        <v>11-12</v>
      </c>
      <c r="K343" t="str">
        <f>VLOOKUP($F343, codebooks_data_reordered!$A:$I, 6, FALSE)</f>
        <v>Party most capable to handle problems</v>
      </c>
      <c r="L343">
        <f>VLOOKUP($F343, codebooks_data_reordered!$A:$I, 7, FALSE)</f>
        <v>0</v>
      </c>
      <c r="M343" t="str">
        <f>VLOOKUP($F343, codebooks_data_reordered!$A:$I, 9, FALSE)</f>
        <v>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v>
      </c>
      <c r="O343" s="2" t="str">
        <f t="shared" si="5"/>
        <v>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v>
      </c>
    </row>
    <row r="344" spans="1:15" ht="100.8" hidden="1" x14ac:dyDescent="0.3">
      <c r="A344" t="s">
        <v>6612</v>
      </c>
      <c r="B344" t="s">
        <v>6676</v>
      </c>
      <c r="C344" s="2" t="s">
        <v>6677</v>
      </c>
      <c r="D344" t="s">
        <v>5906</v>
      </c>
      <c r="E344" s="2" t="s">
        <v>5907</v>
      </c>
      <c r="F344" t="s">
        <v>1886</v>
      </c>
      <c r="G344" t="str">
        <f>VLOOKUP($F344, codebooks_data_reordered!$A:$I, 2, FALSE)</f>
        <v>1999_1</v>
      </c>
      <c r="H344" t="str">
        <f>VLOOKUP($F344, codebooks_data_reordered!$A:$I, 3, FALSE)</f>
        <v>MORE ATTITUDES TOWARD PARTIES AND CANDIDATES</v>
      </c>
      <c r="I344" t="str">
        <f>VLOOKUP($F344, codebooks_data_reordered!$A:$I, 4, FALSE)</f>
        <v>1</v>
      </c>
      <c r="J344" t="str">
        <f>VLOOKUP($F344, codebooks_data_reordered!$A:$I, 5, FALSE)</f>
        <v>63</v>
      </c>
      <c r="K344" t="str">
        <f>VLOOKUP($F344, codebooks_data_reordered!$A:$I, 6, FALSE)</f>
        <v>Participation of Israeli Arabs in critical decisions</v>
      </c>
      <c r="L344">
        <f>VLOOKUP($F344, codebooks_data_reordered!$A:$I, 7, FALSE)</f>
        <v>0</v>
      </c>
      <c r="M344" t="str">
        <f>VLOOKUP($F344, codebooks_data_reordered!$A:$I, 9, FALSE)</f>
        <v>1: Decisions should be made by Jewish majority only; 2: Decisions should be made by Jewish majority; 3: Arabs should take part; 4: Arabs should take part</v>
      </c>
      <c r="O344" s="2" t="str">
        <f t="shared" si="5"/>
        <v>1: Decisions should be made by Jewish majority only
 2: Decisions should be made by Jewish majority
 3: Arabs should take part
 4: Arabs should take part</v>
      </c>
    </row>
    <row r="345" spans="1:15" ht="158.4" hidden="1" x14ac:dyDescent="0.3">
      <c r="A345" t="s">
        <v>6612</v>
      </c>
      <c r="B345" t="s">
        <v>6678</v>
      </c>
      <c r="C345" s="2" t="s">
        <v>6679</v>
      </c>
      <c r="D345" t="s">
        <v>5843</v>
      </c>
      <c r="E345" s="2" t="s">
        <v>6680</v>
      </c>
      <c r="F345" t="s">
        <v>1886</v>
      </c>
      <c r="G345" t="str">
        <f>VLOOKUP($F345, codebooks_data_reordered!$A:$I, 2, FALSE)</f>
        <v>1999_1</v>
      </c>
      <c r="H345" t="str">
        <f>VLOOKUP($F345, codebooks_data_reordered!$A:$I, 3, FALSE)</f>
        <v>MORE ATTITUDES TOWARD PARTIES AND CANDIDATES</v>
      </c>
      <c r="I345" t="str">
        <f>VLOOKUP($F345, codebooks_data_reordered!$A:$I, 4, FALSE)</f>
        <v>1</v>
      </c>
      <c r="J345" t="str">
        <f>VLOOKUP($F345, codebooks_data_reordered!$A:$I, 5, FALSE)</f>
        <v>63</v>
      </c>
      <c r="K345" t="str">
        <f>VLOOKUP($F345, codebooks_data_reordered!$A:$I, 6, FALSE)</f>
        <v>Participation of Israeli Arabs in critical decisions</v>
      </c>
      <c r="L345">
        <f>VLOOKUP($F345, codebooks_data_reordered!$A:$I, 7, FALSE)</f>
        <v>0</v>
      </c>
      <c r="M345" t="str">
        <f>VLOOKUP($F345, codebooks_data_reordered!$A:$I, 9, FALSE)</f>
        <v>1: Decisions should be made by Jewish majority only; 2: Decisions should be made by Jewish majority; 3: Arabs should take part; 4: Arabs should take part</v>
      </c>
      <c r="O345" s="2" t="str">
        <f t="shared" si="5"/>
        <v>1: Decisions should be made by Jewish majority only
 2: Decisions should be made by Jewish majority
 3: Arabs should take part
 4: Arabs should take part</v>
      </c>
    </row>
    <row r="346" spans="1:15" ht="158.4" hidden="1" x14ac:dyDescent="0.3">
      <c r="A346" t="s">
        <v>6612</v>
      </c>
      <c r="B346" t="s">
        <v>6681</v>
      </c>
      <c r="C346" s="2" t="s">
        <v>6682</v>
      </c>
      <c r="D346" t="s">
        <v>5843</v>
      </c>
      <c r="E346" s="2" t="s">
        <v>6683</v>
      </c>
      <c r="F346" t="s">
        <v>1867</v>
      </c>
      <c r="G346" t="str">
        <f>VLOOKUP($F346, codebooks_data_reordered!$A:$I, 2, FALSE)</f>
        <v>1999_1</v>
      </c>
      <c r="H346" t="str">
        <f>VLOOKUP($F346, codebooks_data_reordered!$A:$I, 3, FALSE)</f>
        <v>ATTITUDES TOWARD CANDIDATES AND PARTIES</v>
      </c>
      <c r="I346" t="str">
        <f>VLOOKUP($F346, codebooks_data_reordered!$A:$I, 4, FALSE)</f>
        <v>1</v>
      </c>
      <c r="J346" t="str">
        <f>VLOOKUP($F346, codebooks_data_reordered!$A:$I, 5, FALSE)</f>
        <v>56</v>
      </c>
      <c r="K346" t="str">
        <f>VLOOKUP($F346, codebooks_data_reordered!$A:$I, 6, FALSE)</f>
        <v>Extend of support for Binyamin Netanyahu</v>
      </c>
      <c r="L346" t="str">
        <f>VLOOKUP($F346, codebooks_data_reordered!$A:$I, 7, FALSE)</f>
        <v>Extent of support on 1-10 scale, 1=total rejection, 10=strong support</v>
      </c>
      <c r="M346" t="str">
        <f>VLOOKUP($F346, codebooks_data_reordered!$A:$I, 9, FALSE)</f>
        <v>1: Totally reject; 10: Strongly support</v>
      </c>
      <c r="O346" s="2" t="str">
        <f t="shared" si="5"/>
        <v>1: Totally reject
 10: Strongly support</v>
      </c>
    </row>
    <row r="347" spans="1:15" ht="158.4" hidden="1" x14ac:dyDescent="0.3">
      <c r="A347" t="s">
        <v>6612</v>
      </c>
      <c r="B347" t="s">
        <v>6684</v>
      </c>
      <c r="C347" s="2" t="s">
        <v>6685</v>
      </c>
      <c r="D347" t="s">
        <v>5843</v>
      </c>
      <c r="E347" s="2" t="s">
        <v>6686</v>
      </c>
      <c r="F347" t="s">
        <v>274</v>
      </c>
      <c r="G347" t="str">
        <f>VLOOKUP($F347, codebooks_data_reordered!$A:$I, 2, FALSE)</f>
        <v>2006</v>
      </c>
      <c r="H347" t="str">
        <f>VLOOKUP($F347, codebooks_data_reordered!$A:$I, 3, FALSE)</f>
        <v>Support/Rejection of a Group or a Person</v>
      </c>
      <c r="I347" t="str">
        <f>VLOOKUP($F347, codebooks_data_reordered!$A:$I, 4, FALSE)</f>
        <v>1</v>
      </c>
      <c r="J347" t="str">
        <f>VLOOKUP($F347, codebooks_data_reordered!$A:$I, 5, FALSE)</f>
        <v>77-78</v>
      </c>
      <c r="K347" t="str">
        <f>VLOOKUP($F347, codebooks_data_reordered!$A:$I, 6, FALSE)</f>
        <v>Your favorite party</v>
      </c>
      <c r="L347" t="str">
        <f>VLOOKUP($F347, codebooks_data_reordered!$A:$I, 7, FALSE)</f>
        <v>66. In sum, among these parties, which one do you support most?</v>
      </c>
      <c r="M347" t="str">
        <f>VLOOKUP($F347, codebooks_data_reordered!$A:$I, 9, FALSE)</f>
        <v>59: Kadima; 60: Avoda; 61: Likud; 62: Meretz; 63: Ihud Leumi Mafdal; 64: Israel Beitenu; 65: Shas; 66: Another Party; 67: No Favorite Party</v>
      </c>
      <c r="O347" s="2" t="str">
        <f t="shared" si="5"/>
        <v>59: Kadima
 60: Avoda
 61: Likud
 62: Meretz
 63: Ihud Leumi Mafdal
 64: Israel Beitenu
 65: Shas
 66: Another Party
 67: No Favorite Party</v>
      </c>
    </row>
    <row r="348" spans="1:15" ht="158.4" hidden="1" x14ac:dyDescent="0.3">
      <c r="A348" t="s">
        <v>6612</v>
      </c>
      <c r="B348" t="s">
        <v>5937</v>
      </c>
      <c r="C348" s="2" t="s">
        <v>6687</v>
      </c>
      <c r="D348" t="s">
        <v>5843</v>
      </c>
      <c r="E348" s="2" t="s">
        <v>6688</v>
      </c>
      <c r="F348" t="s">
        <v>2321</v>
      </c>
      <c r="G348" t="str">
        <f>VLOOKUP($F348, codebooks_data_reordered!$A:$I, 2, FALSE)</f>
        <v>1996_Jews</v>
      </c>
      <c r="H348" t="str">
        <f>VLOOKUP($F348, codebooks_data_reordered!$A:$I, 3, FALSE)</f>
        <v>DIFFERENCES BETWEEN LABOUR-LIKUD (on a 1-5 scale)</v>
      </c>
      <c r="I348" t="str">
        <f>VLOOKUP($F348, codebooks_data_reordered!$A:$I, 4, FALSE)</f>
        <v>1</v>
      </c>
      <c r="J348" t="str">
        <f>VLOOKUP($F348, codebooks_data_reordered!$A:$I, 5, FALSE)</f>
        <v>79</v>
      </c>
      <c r="K348" t="str">
        <f>VLOOKUP($F348, codebooks_data_reordered!$A:$I, 6, FALSE)</f>
        <v>Differences between Labor-Likud on: Jerusalem</v>
      </c>
      <c r="L348">
        <f>VLOOKUP($F348, codebooks_data_reordered!$A:$I, 7, FALSE)</f>
        <v>0</v>
      </c>
      <c r="M348" t="str">
        <f>VLOOKUP($F348, codebooks_data_reordered!$A:$I, 9, FALSE)</f>
        <v>1: Very big difference between their attitudes; 2: Big difference; 3: Some difference; 4: Small difference; 5: Almost no difference between their attitudes</v>
      </c>
      <c r="O348" s="2" t="str">
        <f t="shared" si="5"/>
        <v>1: Very big difference between their attitudes
 2: Big difference
 3: Some difference
 4: Small difference
 5: Almost no difference between their attitudes</v>
      </c>
    </row>
    <row r="349" spans="1:15" ht="172.8" hidden="1" x14ac:dyDescent="0.3">
      <c r="A349" t="s">
        <v>6612</v>
      </c>
      <c r="B349" t="s">
        <v>6689</v>
      </c>
      <c r="C349" s="2" t="s">
        <v>6690</v>
      </c>
      <c r="D349" t="s">
        <v>5843</v>
      </c>
      <c r="E349" s="2" t="s">
        <v>6691</v>
      </c>
      <c r="F349" t="s">
        <v>1779</v>
      </c>
      <c r="G349" t="str">
        <f>VLOOKUP($F349, codebooks_data_reordered!$A:$I, 2, FALSE)</f>
        <v>1999_1</v>
      </c>
      <c r="H349" t="str">
        <f>VLOOKUP($F349, codebooks_data_reordered!$A:$I, 3, FALSE)</f>
        <v>GENERAL POLITICAL ATTITUDE</v>
      </c>
      <c r="I349" t="str">
        <f>VLOOKUP($F349, codebooks_data_reordered!$A:$I, 4, FALSE)</f>
        <v>1</v>
      </c>
      <c r="J349" t="str">
        <f>VLOOKUP($F349, codebooks_data_reordered!$A:$I, 5, FALSE)</f>
        <v>19</v>
      </c>
      <c r="K349" t="str">
        <f>VLOOKUP($F349, codebooks_data_reordered!$A:$I, 6, FALSE)</f>
        <v>Peace process should be stopped even at risk of war</v>
      </c>
      <c r="L349" t="str">
        <f>VLOOKUP($F349, codebooks_data_reordered!$A:$I, 7, FALSE)</f>
        <v>Agreement with statement on 1-7 scale</v>
      </c>
      <c r="M349" t="str">
        <f>VLOOKUP($F349, codebooks_data_reordered!$A:$I, 9, FALSE)</f>
        <v>1: Strongly disagree; 7: Strongly agree</v>
      </c>
      <c r="O349" s="2" t="str">
        <f t="shared" si="5"/>
        <v>1: Strongly disagree
 7: Strongly agree</v>
      </c>
    </row>
    <row r="350" spans="1:15" ht="158.4" hidden="1" x14ac:dyDescent="0.3">
      <c r="A350" t="s">
        <v>6612</v>
      </c>
      <c r="B350" t="s">
        <v>6692</v>
      </c>
      <c r="C350" s="2" t="s">
        <v>6682</v>
      </c>
      <c r="D350" t="s">
        <v>5843</v>
      </c>
      <c r="E350" s="2" t="s">
        <v>6683</v>
      </c>
      <c r="F350" t="s">
        <v>1869</v>
      </c>
      <c r="G350" t="str">
        <f>VLOOKUP($F350, codebooks_data_reordered!$A:$I, 2, FALSE)</f>
        <v>1999_1</v>
      </c>
      <c r="H350" t="str">
        <f>VLOOKUP($F350, codebooks_data_reordered!$A:$I, 3, FALSE)</f>
        <v>ATTITUDES TOWARD CANDIDATES AND PARTIES</v>
      </c>
      <c r="I350" t="str">
        <f>VLOOKUP($F350, codebooks_data_reordered!$A:$I, 4, FALSE)</f>
        <v>1</v>
      </c>
      <c r="J350" t="str">
        <f>VLOOKUP($F350, codebooks_data_reordered!$A:$I, 5, FALSE)</f>
        <v>57</v>
      </c>
      <c r="K350" t="str">
        <f>VLOOKUP($F350, codebooks_data_reordered!$A:$I, 6, FALSE)</f>
        <v>Extend of support for Shimon Peres</v>
      </c>
      <c r="L350" t="str">
        <f>VLOOKUP($F350, codebooks_data_reordered!$A:$I, 7, FALSE)</f>
        <v>Extent of support on 1-10 scale, 1=total rejection, 10=strong support</v>
      </c>
      <c r="M350" t="str">
        <f>VLOOKUP($F350, codebooks_data_reordered!$A:$I, 9, FALSE)</f>
        <v>1: Totally reject; 10: Strongly support</v>
      </c>
      <c r="O350" s="2" t="str">
        <f t="shared" si="5"/>
        <v>1: Totally reject
 10: Strongly support</v>
      </c>
    </row>
    <row r="351" spans="1:15" ht="144" hidden="1" x14ac:dyDescent="0.3">
      <c r="A351" t="s">
        <v>6612</v>
      </c>
      <c r="B351" t="s">
        <v>5949</v>
      </c>
      <c r="C351" s="2" t="s">
        <v>6677</v>
      </c>
      <c r="D351" t="s">
        <v>5906</v>
      </c>
      <c r="E351" s="2" t="s">
        <v>5907</v>
      </c>
      <c r="F351" t="s">
        <v>1889</v>
      </c>
      <c r="G351" t="str">
        <f>VLOOKUP($F351, codebooks_data_reordered!$A:$I, 2, FALSE)</f>
        <v>1999_1</v>
      </c>
      <c r="H351" t="str">
        <f>VLOOKUP($F351, codebooks_data_reordered!$A:$I, 3, FALSE)</f>
        <v>MORE ATTITUDES TOWARD PARTIES AND CANDIDATES</v>
      </c>
      <c r="I351" t="str">
        <f>VLOOKUP($F351, codebooks_data_reordered!$A:$I, 4, FALSE)</f>
        <v>1</v>
      </c>
      <c r="J351" t="str">
        <f>VLOOKUP($F351, codebooks_data_reordered!$A:$I, 5, FALSE)</f>
        <v>64</v>
      </c>
      <c r="K351" t="str">
        <f>VLOOKUP($F351, codebooks_data_reordered!$A:$I, 6, FALSE)</f>
        <v>Main factor affecting respondent's vote for a specific candidate</v>
      </c>
      <c r="L351">
        <f>VLOOKUP($F351, codebooks_data_reordered!$A:$I, 7, FALSE)</f>
        <v>0</v>
      </c>
      <c r="M351" t="str">
        <f>VLOOKUP($F351, codebooks_data_reordered!$A:$I, 9, FALSE)</f>
        <v>1: Candidate's qualities; 2: Identification with the candidate's party; 3: Identification with the candidate's side; 4: Candidate's positions about various issues; 5: Candidate being in government or in opposition</v>
      </c>
      <c r="O351" s="2" t="str">
        <f t="shared" si="5"/>
        <v>1: Candidate's qualities
 2: Identification with the candidate's party
 3: Identification with the candidate's side
 4: Candidate's positions about various issues
 5: Candidate being in government or in opposition</v>
      </c>
    </row>
    <row r="352" spans="1:15" ht="158.4" hidden="1" x14ac:dyDescent="0.3">
      <c r="A352" t="s">
        <v>6612</v>
      </c>
      <c r="B352" t="s">
        <v>6693</v>
      </c>
      <c r="C352" s="2" t="s">
        <v>6682</v>
      </c>
      <c r="D352" t="s">
        <v>5843</v>
      </c>
      <c r="E352" s="2" t="s">
        <v>6683</v>
      </c>
      <c r="F352" t="s">
        <v>1871</v>
      </c>
      <c r="G352" t="str">
        <f>VLOOKUP($F352, codebooks_data_reordered!$A:$I, 2, FALSE)</f>
        <v>1999_1</v>
      </c>
      <c r="H352" t="str">
        <f>VLOOKUP($F352, codebooks_data_reordered!$A:$I, 3, FALSE)</f>
        <v>ATTITUDES TOWARD CANDIDATES AND PARTIES</v>
      </c>
      <c r="I352" t="str">
        <f>VLOOKUP($F352, codebooks_data_reordered!$A:$I, 4, FALSE)</f>
        <v>1</v>
      </c>
      <c r="J352" t="str">
        <f>VLOOKUP($F352, codebooks_data_reordered!$A:$I, 5, FALSE)</f>
        <v>58</v>
      </c>
      <c r="K352" t="str">
        <f>VLOOKUP($F352, codebooks_data_reordered!$A:$I, 6, FALSE)</f>
        <v>Extend of support for Arieh Deri</v>
      </c>
      <c r="L352" t="str">
        <f>VLOOKUP($F352, codebooks_data_reordered!$A:$I, 7, FALSE)</f>
        <v>Extent of support on 1-10 scale, 1=total rejection, 10=strong support</v>
      </c>
      <c r="M352" t="str">
        <f>VLOOKUP($F352, codebooks_data_reordered!$A:$I, 9, FALSE)</f>
        <v>1: Totally reject; 10: Strongly support</v>
      </c>
      <c r="O352" s="2" t="str">
        <f t="shared" si="5"/>
        <v>1: Totally reject
 10: Strongly support</v>
      </c>
    </row>
    <row r="353" spans="1:15" ht="57.6" hidden="1" x14ac:dyDescent="0.3">
      <c r="A353" t="s">
        <v>6612</v>
      </c>
      <c r="B353" t="s">
        <v>6694</v>
      </c>
      <c r="C353" s="2" t="s">
        <v>6677</v>
      </c>
      <c r="D353" t="s">
        <v>5906</v>
      </c>
      <c r="E353" s="2" t="s">
        <v>5907</v>
      </c>
      <c r="F353" t="s">
        <v>1893</v>
      </c>
      <c r="G353" t="str">
        <f>VLOOKUP($F353, codebooks_data_reordered!$A:$I, 2, FALSE)</f>
        <v>1999_1</v>
      </c>
      <c r="H353" t="str">
        <f>VLOOKUP($F353, codebooks_data_reordered!$A:$I, 3, FALSE)</f>
        <v>MORE ATTITUDES TOWARD PARTIES AND CANDIDATES</v>
      </c>
      <c r="I353" t="str">
        <f>VLOOKUP($F353, codebooks_data_reordered!$A:$I, 4, FALSE)</f>
        <v>1</v>
      </c>
      <c r="J353" t="str">
        <f>VLOOKUP($F353, codebooks_data_reordered!$A:$I, 5, FALSE)</f>
        <v>65</v>
      </c>
      <c r="K353" t="str">
        <f>VLOOKUP($F353, codebooks_data_reordered!$A:$I, 6, FALSE)</f>
        <v>Possibility of changing voting decision if candidate can't win</v>
      </c>
      <c r="L353">
        <f>VLOOKUP($F353, codebooks_data_reordered!$A:$I, 7, FALSE)</f>
        <v>0</v>
      </c>
      <c r="M353" t="str">
        <f>VLOOKUP($F353, codebooks_data_reordered!$A:$I, 9, FALSE)</f>
        <v>1: Definitely possible; 2: Possible; 3: Not likely; 4: Definitely not</v>
      </c>
      <c r="O353" s="2" t="str">
        <f t="shared" si="5"/>
        <v>1: Definitely possible
 2: Possible
 3: Not likely
 4: Definitely not</v>
      </c>
    </row>
    <row r="354" spans="1:15" ht="57.6" hidden="1" x14ac:dyDescent="0.3">
      <c r="A354" t="s">
        <v>6612</v>
      </c>
      <c r="B354" t="s">
        <v>6695</v>
      </c>
      <c r="C354" s="2" t="s">
        <v>6696</v>
      </c>
      <c r="D354" t="s">
        <v>5843</v>
      </c>
      <c r="E354" s="2" t="s">
        <v>6697</v>
      </c>
      <c r="F354" t="s">
        <v>283</v>
      </c>
      <c r="G354" t="str">
        <f>VLOOKUP($F354, codebooks_data_reordered!$A:$I, 2, FALSE)</f>
        <v>2006</v>
      </c>
      <c r="H354" t="str">
        <f>VLOOKUP($F354, codebooks_data_reordered!$A:$I, 3, FALSE)</f>
        <v>Support/Rejection of a Group or a Person</v>
      </c>
      <c r="I354" t="str">
        <f>VLOOKUP($F354, codebooks_data_reordered!$A:$I, 4, FALSE)</f>
        <v>1</v>
      </c>
      <c r="J354" t="str">
        <f>VLOOKUP($F354, codebooks_data_reordered!$A:$I, 5, FALSE)</f>
        <v>83-84</v>
      </c>
      <c r="K354" t="str">
        <f>VLOOKUP($F354, codebooks_data_reordered!$A:$I, 6, FALSE)</f>
        <v>Support: Netanyahu</v>
      </c>
      <c r="L354">
        <f>VLOOKUP($F354, codebooks_data_reordered!$A:$I, 7, FALSE)</f>
        <v>0</v>
      </c>
      <c r="M354" t="str">
        <f>VLOOKUP($F354, codebooks_data_reordered!$A:$I, 9, FALSE)</f>
        <v>1: Hate/rejection; 10: Love/support</v>
      </c>
      <c r="O354" s="2" t="str">
        <f t="shared" si="5"/>
        <v>1: Hate/rejection
 10: Love/support</v>
      </c>
    </row>
    <row r="355" spans="1:15" ht="158.4" hidden="1" x14ac:dyDescent="0.3">
      <c r="A355" t="s">
        <v>6612</v>
      </c>
      <c r="B355" t="s">
        <v>6698</v>
      </c>
      <c r="C355" s="2" t="s">
        <v>6687</v>
      </c>
      <c r="D355" t="s">
        <v>5843</v>
      </c>
      <c r="E355" s="2" t="s">
        <v>6688</v>
      </c>
      <c r="F355" t="s">
        <v>1771</v>
      </c>
      <c r="G355" t="str">
        <f>VLOOKUP($F355, codebooks_data_reordered!$A:$I, 2, FALSE)</f>
        <v>1999_1</v>
      </c>
      <c r="H355" t="str">
        <f>VLOOKUP($F355, codebooks_data_reordered!$A:$I, 3, FALSE)</f>
        <v>GENERAL POLITICAL ATTITUDE</v>
      </c>
      <c r="I355" t="str">
        <f>VLOOKUP($F355, codebooks_data_reordered!$A:$I, 4, FALSE)</f>
        <v>1</v>
      </c>
      <c r="J355" t="str">
        <f>VLOOKUP($F355, codebooks_data_reordered!$A:$I, 5, FALSE)</f>
        <v>16</v>
      </c>
      <c r="K355" t="str">
        <f>VLOOKUP($F355, codebooks_data_reordered!$A:$I, 6, FALSE)</f>
        <v>Danger of conflict with Arab world during Netanyahu's government</v>
      </c>
      <c r="L355" t="str">
        <f>VLOOKUP($F355, codebooks_data_reordered!$A:$I, 7, FALSE)</f>
        <v>Compared to Rabin and Peres' post-Oslo government</v>
      </c>
      <c r="M355" t="str">
        <f>VLOOKUP($F355, codebooks_data_reordered!$A:$I, 9, FALSE)</f>
        <v>1: Greatly increased; 2: Increased; 3: Decreased; 4: Greatly decreased</v>
      </c>
      <c r="O355" s="2" t="str">
        <f t="shared" si="5"/>
        <v>1: Greatly increased
 2: Increased
 3: Decreased
 4: Greatly decreased</v>
      </c>
    </row>
    <row r="356" spans="1:15" ht="172.8" hidden="1" x14ac:dyDescent="0.3">
      <c r="A356" t="s">
        <v>6612</v>
      </c>
      <c r="B356" t="s">
        <v>6699</v>
      </c>
      <c r="C356" s="2" t="s">
        <v>6690</v>
      </c>
      <c r="D356" t="s">
        <v>5843</v>
      </c>
      <c r="E356" s="2" t="s">
        <v>6691</v>
      </c>
      <c r="F356" t="s">
        <v>1763</v>
      </c>
      <c r="G356" t="str">
        <f>VLOOKUP($F356, codebooks_data_reordered!$A:$I, 2, FALSE)</f>
        <v>1999_1</v>
      </c>
      <c r="H356" t="str">
        <f>VLOOKUP($F356, codebooks_data_reordered!$A:$I, 3, FALSE)</f>
        <v>GENERAL POLITICAL ATTITUDE</v>
      </c>
      <c r="I356" t="str">
        <f>VLOOKUP($F356, codebooks_data_reordered!$A:$I, 4, FALSE)</f>
        <v>1</v>
      </c>
      <c r="J356" t="str">
        <f>VLOOKUP($F356, codebooks_data_reordered!$A:$I, 5, FALSE)</f>
        <v>13</v>
      </c>
      <c r="K356" t="str">
        <f>VLOOKUP($F356, codebooks_data_reordered!$A:$I, 6, FALSE)</f>
        <v>General economic situation in last 3 years</v>
      </c>
      <c r="L356">
        <f>VLOOKUP($F356, codebooks_data_reordered!$A:$I, 7, FALSE)</f>
        <v>0</v>
      </c>
      <c r="M356" t="str">
        <f>VLOOKUP($F356, codebooks_data_reordered!$A:$I, 9, FALSE)</f>
        <v>1: Greatly improved; 2: Slightly improved; 3: Hasn't changed; 4: Worsened slightly; 5: Worsened greatly</v>
      </c>
      <c r="O356" s="2" t="str">
        <f t="shared" si="5"/>
        <v>1: Greatly improved
 2: Slightly improved
 3: Hasn't changed
 4: Worsened slightly
 5: Worsened greatly</v>
      </c>
    </row>
    <row r="357" spans="1:15" ht="100.8" hidden="1" x14ac:dyDescent="0.3">
      <c r="A357" t="s">
        <v>6612</v>
      </c>
      <c r="B357" t="s">
        <v>6700</v>
      </c>
      <c r="C357" s="2" t="s">
        <v>6701</v>
      </c>
      <c r="D357" t="s">
        <v>5843</v>
      </c>
      <c r="E357" s="2" t="s">
        <v>6702</v>
      </c>
      <c r="F357" t="s">
        <v>1867</v>
      </c>
      <c r="G357" t="str">
        <f>VLOOKUP($F357, codebooks_data_reordered!$A:$I, 2, FALSE)</f>
        <v>1999_1</v>
      </c>
      <c r="H357" t="str">
        <f>VLOOKUP($F357, codebooks_data_reordered!$A:$I, 3, FALSE)</f>
        <v>ATTITUDES TOWARD CANDIDATES AND PARTIES</v>
      </c>
      <c r="I357" t="str">
        <f>VLOOKUP($F357, codebooks_data_reordered!$A:$I, 4, FALSE)</f>
        <v>1</v>
      </c>
      <c r="J357" t="str">
        <f>VLOOKUP($F357, codebooks_data_reordered!$A:$I, 5, FALSE)</f>
        <v>56</v>
      </c>
      <c r="K357" t="str">
        <f>VLOOKUP($F357, codebooks_data_reordered!$A:$I, 6, FALSE)</f>
        <v>Extend of support for Binyamin Netanyahu</v>
      </c>
      <c r="L357" t="str">
        <f>VLOOKUP($F357, codebooks_data_reordered!$A:$I, 7, FALSE)</f>
        <v>Extent of support on 1-10 scale, 1=total rejection, 10=strong support</v>
      </c>
      <c r="M357" t="str">
        <f>VLOOKUP($F357, codebooks_data_reordered!$A:$I, 9, FALSE)</f>
        <v>1: Totally reject; 10: Strongly support</v>
      </c>
      <c r="O357" s="2" t="str">
        <f t="shared" si="5"/>
        <v>1: Totally reject
 10: Strongly support</v>
      </c>
    </row>
    <row r="358" spans="1:15" ht="86.4" hidden="1" x14ac:dyDescent="0.3">
      <c r="A358" t="s">
        <v>6612</v>
      </c>
      <c r="B358" t="s">
        <v>6703</v>
      </c>
      <c r="C358" s="2" t="s">
        <v>6677</v>
      </c>
      <c r="D358" t="s">
        <v>5906</v>
      </c>
      <c r="E358" s="2" t="s">
        <v>5907</v>
      </c>
      <c r="F358" t="s">
        <v>1896</v>
      </c>
      <c r="G358" t="str">
        <f>VLOOKUP($F358, codebooks_data_reordered!$A:$I, 2, FALSE)</f>
        <v>1999_1</v>
      </c>
      <c r="H358" t="str">
        <f>VLOOKUP($F358, codebooks_data_reordered!$A:$I, 3, FALSE)</f>
        <v>MORE ATTITUDES TOWARD PARTIES AND CANDIDATES</v>
      </c>
      <c r="I358" t="str">
        <f>VLOOKUP($F358, codebooks_data_reordered!$A:$I, 4, FALSE)</f>
        <v>1</v>
      </c>
      <c r="J358" t="str">
        <f>VLOOKUP($F358, codebooks_data_reordered!$A:$I, 5, FALSE)</f>
        <v>66</v>
      </c>
      <c r="K358" t="str">
        <f>VLOOKUP($F358, codebooks_data_reordered!$A:$I, 6, FALSE)</f>
        <v>Who is expected to go on the second round in the election for PM ?(1)</v>
      </c>
      <c r="L358">
        <f>VLOOKUP($F358, codebooks_data_reordered!$A:$I, 7, FALSE)</f>
        <v>0</v>
      </c>
      <c r="M358" t="str">
        <f>VLOOKUP($F358, codebooks_data_reordered!$A:$I, 9, FALSE)</f>
        <v>1: Netanyahu; 2: Barak; 3: Mordechay; 4: Begin; 5: Bashara; 6: Raful</v>
      </c>
      <c r="O358" s="2" t="str">
        <f t="shared" si="5"/>
        <v>1: Netanyahu
 2: Barak
 3: Mordechay
 4: Begin
 5: Bashara
 6: Raful</v>
      </c>
    </row>
    <row r="359" spans="1:15" ht="216" hidden="1" x14ac:dyDescent="0.3">
      <c r="A359" t="s">
        <v>6612</v>
      </c>
      <c r="B359" t="s">
        <v>6704</v>
      </c>
      <c r="C359" s="2" t="s">
        <v>6705</v>
      </c>
      <c r="D359" t="s">
        <v>5843</v>
      </c>
      <c r="E359" s="2" t="s">
        <v>6706</v>
      </c>
      <c r="F359" t="s">
        <v>1781</v>
      </c>
      <c r="G359" t="str">
        <f>VLOOKUP($F359, codebooks_data_reordered!$A:$I, 2, FALSE)</f>
        <v>1999_1</v>
      </c>
      <c r="H359" t="str">
        <f>VLOOKUP($F359, codebooks_data_reordered!$A:$I, 3, FALSE)</f>
        <v>GENERAL POLITICAL ATTITUDE</v>
      </c>
      <c r="I359" t="str">
        <f>VLOOKUP($F359, codebooks_data_reordered!$A:$I, 4, FALSE)</f>
        <v>1</v>
      </c>
      <c r="J359" t="str">
        <f>VLOOKUP($F359, codebooks_data_reordered!$A:$I, 5, FALSE)</f>
        <v>20</v>
      </c>
      <c r="K359" t="str">
        <f>VLOOKUP($F359, codebooks_data_reordered!$A:$I, 6, FALSE)</f>
        <v>Jewish religious law should take precedence over democracy</v>
      </c>
      <c r="L359" t="str">
        <f>VLOOKUP($F359, codebooks_data_reordered!$A:$I, 7, FALSE)</f>
        <v>Agreement with statement on 1-7 scale</v>
      </c>
      <c r="M359" t="str">
        <f>VLOOKUP($F359, codebooks_data_reordered!$A:$I, 9, FALSE)</f>
        <v>1: Strongly disagree; 7: Strongly agree</v>
      </c>
      <c r="O359" s="2" t="str">
        <f t="shared" si="5"/>
        <v>1: Strongly disagree
 7: Strongly agree</v>
      </c>
    </row>
    <row r="360" spans="1:15" ht="187.2" hidden="1" x14ac:dyDescent="0.3">
      <c r="A360" t="s">
        <v>6612</v>
      </c>
      <c r="B360" t="s">
        <v>6707</v>
      </c>
      <c r="C360" s="2" t="s">
        <v>6687</v>
      </c>
      <c r="D360" t="s">
        <v>5843</v>
      </c>
      <c r="E360" s="2" t="s">
        <v>6688</v>
      </c>
      <c r="F360" t="s">
        <v>383</v>
      </c>
      <c r="G360" t="str">
        <f>VLOOKUP($F360, codebooks_data_reordered!$A:$I, 2, FALSE)</f>
        <v>2006</v>
      </c>
      <c r="H360" t="str">
        <f>VLOOKUP($F360, codebooks_data_reordered!$A:$I, 3, FALSE)</f>
        <v>Influence of Different Issues on Vote</v>
      </c>
      <c r="I360" t="str">
        <f>VLOOKUP($F360, codebooks_data_reordered!$A:$I, 4, FALSE)</f>
        <v>1</v>
      </c>
      <c r="J360" t="str">
        <f>VLOOKUP($F360, codebooks_data_reordered!$A:$I, 5, FALSE)</f>
        <v>119</v>
      </c>
      <c r="K360" t="str">
        <f>VLOOKUP($F360, codebooks_data_reordered!$A:$I, 6, FALSE)</f>
        <v>Greatest effect on your voting</v>
      </c>
      <c r="L360" t="str">
        <f>VLOOKUP($F360, codebooks_data_reordered!$A:$I, 7, FALSE)</f>
        <v>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v>
      </c>
      <c r="M360" t="str">
        <f>VLOOKUP($F360, codebooks_data_reordered!$A:$I, 9, FALSE)</f>
        <v>1: Political process with the Palestinians; 2: Defence situation; 3: Socio-economic situation; 4: Relationships between religious and nonreligious; 5: Corruption and the rule of law; 6: The unity of the people; 7: Other; 8: Do not know; 9: More than one answer</v>
      </c>
      <c r="O360" s="2" t="str">
        <f t="shared" si="5"/>
        <v>1: Political process with the Palestinians
 2: Defence situation
 3: Socio-economic situation
 4: Relationships between religious and nonreligious
 5: Corruption and the rule of law
 6: The unity of the people
 7: Other
 8: Do not know
 9: More than one answer</v>
      </c>
    </row>
    <row r="361" spans="1:15" ht="100.8" hidden="1" x14ac:dyDescent="0.3">
      <c r="A361" t="s">
        <v>6612</v>
      </c>
      <c r="B361" t="s">
        <v>6708</v>
      </c>
      <c r="C361" s="2" t="s">
        <v>6709</v>
      </c>
      <c r="D361" t="s">
        <v>5843</v>
      </c>
      <c r="E361" s="2" t="s">
        <v>6710</v>
      </c>
      <c r="F361" t="s">
        <v>3811</v>
      </c>
      <c r="G361" t="str">
        <f>VLOOKUP($F361, codebooks_data_reordered!$A:$I, 2, FALSE)</f>
        <v>1988_N=873</v>
      </c>
      <c r="H361" t="str">
        <f>VLOOKUP($F361, codebooks_data_reordered!$A:$I, 3, FALSE)</f>
        <v>FOR WHICH PARTIES WOULD YOU VOTE FOR IF NO LIMITATION IS POSED</v>
      </c>
      <c r="I361" t="str">
        <f>VLOOKUP($F361, codebooks_data_reordered!$A:$I, 4, FALSE)</f>
        <v>1</v>
      </c>
      <c r="J361" t="str">
        <f>VLOOKUP($F361, codebooks_data_reordered!$A:$I, 5, FALSE)</f>
        <v>167</v>
      </c>
      <c r="K361" t="str">
        <f>VLOOKUP($F361, codebooks_data_reordered!$A:$I, 6, FALSE)</f>
        <v>Approval of breaking off relations with South-Africa</v>
      </c>
      <c r="L361">
        <f>VLOOKUP($F361, codebooks_data_reordered!$A:$I, 7, FALSE)</f>
        <v>0</v>
      </c>
      <c r="M361" t="str">
        <f>VLOOKUP($F361, codebooks_data_reordered!$A:$I, 9, FALSE)</f>
        <v>1: Approve; 2: Disapprove</v>
      </c>
      <c r="O361" s="2" t="str">
        <f t="shared" si="5"/>
        <v>1: Approve
 2: Disapprove</v>
      </c>
    </row>
    <row r="362" spans="1:15" ht="86.4" hidden="1" x14ac:dyDescent="0.3">
      <c r="A362" t="s">
        <v>6612</v>
      </c>
      <c r="B362" t="s">
        <v>6299</v>
      </c>
      <c r="C362" s="2" t="s">
        <v>6677</v>
      </c>
      <c r="D362" t="s">
        <v>5906</v>
      </c>
      <c r="E362" s="2" t="s">
        <v>5907</v>
      </c>
      <c r="F362" t="s">
        <v>1898</v>
      </c>
      <c r="G362" t="str">
        <f>VLOOKUP($F362, codebooks_data_reordered!$A:$I, 2, FALSE)</f>
        <v>1999_1</v>
      </c>
      <c r="H362" t="str">
        <f>VLOOKUP($F362, codebooks_data_reordered!$A:$I, 3, FALSE)</f>
        <v>MORE ATTITUDES TOWARD PARTIES AND CANDIDATES</v>
      </c>
      <c r="I362" t="str">
        <f>VLOOKUP($F362, codebooks_data_reordered!$A:$I, 4, FALSE)</f>
        <v>1</v>
      </c>
      <c r="J362" t="str">
        <f>VLOOKUP($F362, codebooks_data_reordered!$A:$I, 5, FALSE)</f>
        <v>67</v>
      </c>
      <c r="K362" t="str">
        <f>VLOOKUP($F362, codebooks_data_reordered!$A:$I, 6, FALSE)</f>
        <v>Who is expected to go on the second round in the election for PM ?(2)</v>
      </c>
      <c r="L362">
        <f>VLOOKUP($F362, codebooks_data_reordered!$A:$I, 7, FALSE)</f>
        <v>0</v>
      </c>
      <c r="M362" t="str">
        <f>VLOOKUP($F362, codebooks_data_reordered!$A:$I, 9, FALSE)</f>
        <v>1: Netanyahu; 2: Barak; 3: Mordechay; 4: Begin; 5: Bashara; 6: Raful</v>
      </c>
      <c r="O362" s="2" t="str">
        <f t="shared" si="5"/>
        <v>1: Netanyahu
 2: Barak
 3: Mordechay
 4: Begin
 5: Bashara
 6: Raful</v>
      </c>
    </row>
    <row r="363" spans="1:15" ht="158.4" hidden="1" x14ac:dyDescent="0.3">
      <c r="A363" t="s">
        <v>6612</v>
      </c>
      <c r="B363" t="s">
        <v>6711</v>
      </c>
      <c r="C363" s="2" t="s">
        <v>6682</v>
      </c>
      <c r="D363" t="s">
        <v>5843</v>
      </c>
      <c r="E363" s="2" t="s">
        <v>6683</v>
      </c>
      <c r="F363" t="s">
        <v>1878</v>
      </c>
      <c r="G363" t="str">
        <f>VLOOKUP($F363, codebooks_data_reordered!$A:$I, 2, FALSE)</f>
        <v>1999_1</v>
      </c>
      <c r="H363" t="str">
        <f>VLOOKUP($F363, codebooks_data_reordered!$A:$I, 3, FALSE)</f>
        <v>ATTITUDES TOWARD CANDIDATES AND PARTIES</v>
      </c>
      <c r="I363" t="str">
        <f>VLOOKUP($F363, codebooks_data_reordered!$A:$I, 4, FALSE)</f>
        <v>1</v>
      </c>
      <c r="J363" t="str">
        <f>VLOOKUP($F363, codebooks_data_reordered!$A:$I, 5, FALSE)</f>
        <v>61</v>
      </c>
      <c r="K363" t="str">
        <f>VLOOKUP($F363, codebooks_data_reordered!$A:$I, 6, FALSE)</f>
        <v>Extend of support for arabs</v>
      </c>
      <c r="L363" t="str">
        <f>VLOOKUP($F363, codebooks_data_reordered!$A:$I, 7, FALSE)</f>
        <v>Extent of support on 1-10 scale, 1=total rejection, 10=strong support</v>
      </c>
      <c r="M363" t="str">
        <f>VLOOKUP($F363, codebooks_data_reordered!$A:$I, 9, FALSE)</f>
        <v>1: Totally reject; 10: Strongly support</v>
      </c>
      <c r="O363" s="2" t="str">
        <f t="shared" si="5"/>
        <v>1: Totally reject
 10: Strongly support</v>
      </c>
    </row>
    <row r="364" spans="1:15" ht="158.4" hidden="1" x14ac:dyDescent="0.3">
      <c r="A364" t="s">
        <v>6612</v>
      </c>
      <c r="B364" t="s">
        <v>5971</v>
      </c>
      <c r="C364" s="2" t="s">
        <v>6682</v>
      </c>
      <c r="D364" t="s">
        <v>5843</v>
      </c>
      <c r="E364" s="2" t="s">
        <v>6683</v>
      </c>
      <c r="F364" t="s">
        <v>1927</v>
      </c>
      <c r="G364" t="str">
        <f>VLOOKUP($F364, codebooks_data_reordered!$A:$I, 2, FALSE)</f>
        <v>1999_1</v>
      </c>
      <c r="H364" t="str">
        <f>VLOOKUP($F364, codebooks_data_reordered!$A:$I, 3, FALSE)</f>
        <v>MORE ATTITUDES TOWARD PARTIES AND CANDIDATES</v>
      </c>
      <c r="I364" t="str">
        <f>VLOOKUP($F364, codebooks_data_reordered!$A:$I, 4, FALSE)</f>
        <v>1</v>
      </c>
      <c r="J364" t="str">
        <f>VLOOKUP($F364, codebooks_data_reordered!$A:$I, 5, FALSE)</f>
        <v>80</v>
      </c>
      <c r="K364" t="str">
        <f>VLOOKUP($F364, codebooks_data_reordered!$A:$I, 6, FALSE)</f>
        <v>Identification with Binyamin Netanyahu's socio-economic policy</v>
      </c>
      <c r="L364" t="str">
        <f>VLOOKUP($F364, codebooks_data_reordered!$A:$I, 7, FALSE)</f>
        <v>Identification with candidate on 1-10 scale: 1=Strong rejection, 10=Strong support</v>
      </c>
      <c r="M364" t="str">
        <f>VLOOKUP($F364, codebooks_data_reordered!$A:$I, 9, FALSE)</f>
        <v>1: Strong rejection; 10: Strong support</v>
      </c>
      <c r="O364" s="2" t="str">
        <f t="shared" si="5"/>
        <v>1: Strong rejection
 10: Strong support</v>
      </c>
    </row>
    <row r="365" spans="1:15" ht="100.8" hidden="1" x14ac:dyDescent="0.3">
      <c r="A365" t="s">
        <v>6612</v>
      </c>
      <c r="B365" t="s">
        <v>6577</v>
      </c>
      <c r="C365" s="2" t="s">
        <v>6701</v>
      </c>
      <c r="D365" t="s">
        <v>5843</v>
      </c>
      <c r="E365" s="2" t="s">
        <v>6702</v>
      </c>
      <c r="F365" t="s">
        <v>4938</v>
      </c>
      <c r="G365" t="str">
        <f>VLOOKUP($F365, codebooks_data_reordered!$A:$I, 2, FALSE)</f>
        <v>1973_2</v>
      </c>
      <c r="H365" t="str">
        <f>VLOOKUP($F365, codebooks_data_reordered!$A:$I, 3, FALSE)</f>
        <v>DO YOU AGREE WITH THE FOLLOWING STATEMENT</v>
      </c>
      <c r="I365" t="str">
        <f>VLOOKUP($F365, codebooks_data_reordered!$A:$I, 4, FALSE)</f>
        <v>2</v>
      </c>
      <c r="J365" t="str">
        <f>VLOOKUP($F365, codebooks_data_reordered!$A:$I, 5, FALSE)</f>
        <v>5</v>
      </c>
      <c r="K365" t="str">
        <f>VLOOKUP($F365, codebooks_data_reordered!$A:$I, 6, FALSE)</f>
        <v>To what extent do you think corruption will influence the election results</v>
      </c>
      <c r="L365">
        <f>VLOOKUP($F365, codebooks_data_reordered!$A:$I, 7, FALSE)</f>
        <v>0</v>
      </c>
      <c r="M365" t="str">
        <f>VLOOKUP($F365, codebooks_data_reordered!$A:$I, 9, FALSE)</f>
        <v>0: No answer; 1: To a great extent; 2: To a certain extent; 3: To a small extent; 4: Not at all</v>
      </c>
      <c r="O365" s="2" t="str">
        <f t="shared" si="5"/>
        <v>0: No answer
 1: To a great extent
 2: To a certain extent
 3: To a small extent
 4: Not at all</v>
      </c>
    </row>
    <row r="366" spans="1:15" ht="86.4" hidden="1" x14ac:dyDescent="0.3">
      <c r="A366" t="s">
        <v>6612</v>
      </c>
      <c r="B366" t="s">
        <v>6712</v>
      </c>
      <c r="C366" s="2" t="s">
        <v>6645</v>
      </c>
      <c r="D366" t="s">
        <v>5843</v>
      </c>
      <c r="E366" s="2" t="s">
        <v>6646</v>
      </c>
      <c r="F366" t="s">
        <v>3069</v>
      </c>
      <c r="G366" t="str">
        <f>VLOOKUP($F366, codebooks_data_reordered!$A:$I, 2, FALSE)</f>
        <v>1988_Panel_N=416</v>
      </c>
      <c r="H366" t="str">
        <f>VLOOKUP($F366, codebooks_data_reordered!$A:$I, 3, FALSE)</f>
        <v>ISRAEL'S CAPABILITY OF COPING WITH VARIOUS SITUATIONS</v>
      </c>
      <c r="I366" t="str">
        <f>VLOOKUP($F366, codebooks_data_reordered!$A:$I, 4, FALSE)</f>
        <v>1</v>
      </c>
      <c r="J366" t="str">
        <f>VLOOKUP($F366, codebooks_data_reordered!$A:$I, 5, FALSE)</f>
        <v>88</v>
      </c>
      <c r="K366" t="str">
        <f>VLOOKUP($F366, codebooks_data_reordered!$A:$I, 6, FALSE)</f>
        <v>Level of rationality of the Arab states' foreign and security policy</v>
      </c>
      <c r="L366">
        <f>VLOOKUP($F366, codebooks_data_reordered!$A:$I, 7, FALSE)</f>
        <v>0</v>
      </c>
      <c r="M366" t="str">
        <f>VLOOKUP($F366, codebooks_data_reordered!$A:$I, 9, FALSE)</f>
        <v>1: Always rational; 2: Usually rational; 3: Some times rational at others not; 4: Usually irrational; 5: Always irrational</v>
      </c>
      <c r="O366" s="2" t="str">
        <f t="shared" si="5"/>
        <v>1: Always rational
 2: Usually rational
 3: Some times rational at others not
 4: Usually irrational
 5: Always irrational</v>
      </c>
    </row>
    <row r="367" spans="1:15" ht="43.2" hidden="1" x14ac:dyDescent="0.3">
      <c r="A367" t="s">
        <v>6612</v>
      </c>
      <c r="B367" t="s">
        <v>6713</v>
      </c>
      <c r="C367" s="2" t="s">
        <v>6714</v>
      </c>
      <c r="D367" t="s">
        <v>6715</v>
      </c>
      <c r="E367" s="2" t="s">
        <v>6716</v>
      </c>
      <c r="F367" t="s">
        <v>9206</v>
      </c>
      <c r="G367" t="e">
        <f>VLOOKUP($F367, codebooks_data_reordered!$A:$I, 2, FALSE)</f>
        <v>#N/A</v>
      </c>
      <c r="H367" t="e">
        <f>VLOOKUP($F367, codebooks_data_reordered!$A:$I, 3, FALSE)</f>
        <v>#N/A</v>
      </c>
      <c r="I367" t="e">
        <f>VLOOKUP($F367, codebooks_data_reordered!$A:$I, 4, FALSE)</f>
        <v>#N/A</v>
      </c>
      <c r="J367" t="e">
        <f>VLOOKUP($F367, codebooks_data_reordered!$A:$I, 5, FALSE)</f>
        <v>#N/A</v>
      </c>
      <c r="K367" t="e">
        <f>VLOOKUP($F367, codebooks_data_reordered!$A:$I, 6, FALSE)</f>
        <v>#N/A</v>
      </c>
      <c r="L367" t="e">
        <f>VLOOKUP($F367, codebooks_data_reordered!$A:$I, 7, FALSE)</f>
        <v>#N/A</v>
      </c>
      <c r="M367" t="e">
        <f>VLOOKUP($F367, codebooks_data_reordered!$A:$I, 9, FALSE)</f>
        <v>#N/A</v>
      </c>
      <c r="O367" t="e">
        <f t="shared" si="5"/>
        <v>#N/A</v>
      </c>
    </row>
    <row r="368" spans="1:15" ht="57.6" hidden="1" x14ac:dyDescent="0.3">
      <c r="A368" t="s">
        <v>6612</v>
      </c>
      <c r="B368" t="s">
        <v>6717</v>
      </c>
      <c r="C368" s="2" t="s">
        <v>6718</v>
      </c>
      <c r="D368" t="s">
        <v>6715</v>
      </c>
      <c r="E368" s="2" t="s">
        <v>6719</v>
      </c>
      <c r="F368" t="s">
        <v>401</v>
      </c>
      <c r="G368" t="str">
        <f>VLOOKUP($F368, codebooks_data_reordered!$A:$I, 2, FALSE)</f>
        <v>2006</v>
      </c>
      <c r="H368" t="str">
        <f>VLOOKUP($F368, codebooks_data_reordered!$A:$I, 3, FALSE)</f>
        <v>Ranking on a Right/Left Political Scale</v>
      </c>
      <c r="I368" t="str">
        <f>VLOOKUP($F368, codebooks_data_reordered!$A:$I, 4, FALSE)</f>
        <v>1</v>
      </c>
      <c r="J368" t="str">
        <f>VLOOKUP($F368, codebooks_data_reordered!$A:$I, 5, FALSE)</f>
        <v>128-129</v>
      </c>
      <c r="K368" t="str">
        <f>VLOOKUP($F368, codebooks_data_reordered!$A:$I, 6, FALSE)</f>
        <v>Ranking on a right/left political scale:Shas</v>
      </c>
      <c r="L368" t="str">
        <f>VLOOKUP($F368, codebooks_data_reordered!$A:$I, 7, FALSE)</f>
        <v>How would you rate the following parties on the left-right scale from 0 to 10, 0 stands for left, and 10 stands for right and 5 is in the middle.</v>
      </c>
      <c r="M368" t="str">
        <f>VLOOKUP($F368, codebooks_data_reordered!$A:$I, 9, FALSE)</f>
        <v>0: Left; 10: Right</v>
      </c>
      <c r="O368" s="2" t="str">
        <f t="shared" si="5"/>
        <v>0: Left
 10: Right</v>
      </c>
    </row>
    <row r="369" spans="1:15" ht="72" hidden="1" x14ac:dyDescent="0.3">
      <c r="A369" t="s">
        <v>6612</v>
      </c>
      <c r="B369" t="s">
        <v>6720</v>
      </c>
      <c r="C369" s="2" t="s">
        <v>6721</v>
      </c>
      <c r="D369" t="s">
        <v>5843</v>
      </c>
      <c r="E369" s="2" t="s">
        <v>6722</v>
      </c>
      <c r="F369" t="s">
        <v>9207</v>
      </c>
      <c r="G369" t="e">
        <f>VLOOKUP($F369, codebooks_data_reordered!$A:$I, 2, FALSE)</f>
        <v>#N/A</v>
      </c>
      <c r="H369" t="e">
        <f>VLOOKUP($F369, codebooks_data_reordered!$A:$I, 3, FALSE)</f>
        <v>#N/A</v>
      </c>
      <c r="I369" t="e">
        <f>VLOOKUP($F369, codebooks_data_reordered!$A:$I, 4, FALSE)</f>
        <v>#N/A</v>
      </c>
      <c r="J369" t="e">
        <f>VLOOKUP($F369, codebooks_data_reordered!$A:$I, 5, FALSE)</f>
        <v>#N/A</v>
      </c>
      <c r="K369" t="e">
        <f>VLOOKUP($F369, codebooks_data_reordered!$A:$I, 6, FALSE)</f>
        <v>#N/A</v>
      </c>
      <c r="L369" t="e">
        <f>VLOOKUP($F369, codebooks_data_reordered!$A:$I, 7, FALSE)</f>
        <v>#N/A</v>
      </c>
      <c r="M369" t="e">
        <f>VLOOKUP($F369, codebooks_data_reordered!$A:$I, 9, FALSE)</f>
        <v>#N/A</v>
      </c>
      <c r="O369" t="e">
        <f t="shared" si="5"/>
        <v>#N/A</v>
      </c>
    </row>
    <row r="370" spans="1:15" ht="28.8" hidden="1" x14ac:dyDescent="0.3">
      <c r="A370" t="s">
        <v>6612</v>
      </c>
      <c r="B370" t="s">
        <v>6723</v>
      </c>
      <c r="C370" s="2" t="s">
        <v>6724</v>
      </c>
      <c r="D370" t="s">
        <v>6715</v>
      </c>
      <c r="E370" s="2" t="s">
        <v>6725</v>
      </c>
      <c r="F370" t="s">
        <v>9208</v>
      </c>
      <c r="G370" t="e">
        <f>VLOOKUP($F370, codebooks_data_reordered!$A:$I, 2, FALSE)</f>
        <v>#N/A</v>
      </c>
      <c r="H370" t="e">
        <f>VLOOKUP($F370, codebooks_data_reordered!$A:$I, 3, FALSE)</f>
        <v>#N/A</v>
      </c>
      <c r="I370" t="e">
        <f>VLOOKUP($F370, codebooks_data_reordered!$A:$I, 4, FALSE)</f>
        <v>#N/A</v>
      </c>
      <c r="J370" t="e">
        <f>VLOOKUP($F370, codebooks_data_reordered!$A:$I, 5, FALSE)</f>
        <v>#N/A</v>
      </c>
      <c r="K370" t="e">
        <f>VLOOKUP($F370, codebooks_data_reordered!$A:$I, 6, FALSE)</f>
        <v>#N/A</v>
      </c>
      <c r="L370" t="e">
        <f>VLOOKUP($F370, codebooks_data_reordered!$A:$I, 7, FALSE)</f>
        <v>#N/A</v>
      </c>
      <c r="M370" t="e">
        <f>VLOOKUP($F370, codebooks_data_reordered!$A:$I, 9, FALSE)</f>
        <v>#N/A</v>
      </c>
      <c r="O370" t="e">
        <f t="shared" si="5"/>
        <v>#N/A</v>
      </c>
    </row>
    <row r="371" spans="1:15" ht="100.8" hidden="1" x14ac:dyDescent="0.3">
      <c r="A371" t="s">
        <v>6612</v>
      </c>
      <c r="B371" t="s">
        <v>6726</v>
      </c>
      <c r="C371" s="2" t="s">
        <v>6727</v>
      </c>
      <c r="D371" t="s">
        <v>5843</v>
      </c>
      <c r="E371" s="2" t="s">
        <v>6728</v>
      </c>
      <c r="F371" t="s">
        <v>1982</v>
      </c>
      <c r="G371" t="str">
        <f>VLOOKUP($F371, codebooks_data_reordered!$A:$I, 2, FALSE)</f>
        <v>1999_1</v>
      </c>
      <c r="H371" t="str">
        <f>VLOOKUP($F371, codebooks_data_reordered!$A:$I, 3, FALSE)</f>
        <v>POLITICAL SELF-DEFINITION</v>
      </c>
      <c r="I371" t="str">
        <f>VLOOKUP($F371, codebooks_data_reordered!$A:$I, 4, FALSE)</f>
        <v>2</v>
      </c>
      <c r="J371" t="str">
        <f>VLOOKUP($F371, codebooks_data_reordered!$A:$I, 5, FALSE)</f>
        <v>24</v>
      </c>
      <c r="K371" t="str">
        <f>VLOOKUP($F371, codebooks_data_reordered!$A:$I, 6, FALSE)</f>
        <v>Chances of moving to the opposite political wing</v>
      </c>
      <c r="L371" t="str">
        <f>VLOOKUP($F371, codebooks_data_reordered!$A:$I, 7, FALSE)</f>
        <v>For those who answer 4 to var. i19</v>
      </c>
      <c r="M371" t="str">
        <f>VLOOKUP($F371, codebooks_data_reordered!$A:$I, 9, FALSE)</f>
        <v>1: Easily; 2: Probably yes; 3: Probably no; 4: Definitely no</v>
      </c>
      <c r="O371" s="2" t="str">
        <f t="shared" si="5"/>
        <v>1: Easily
 2: Probably yes
 3: Probably no
 4: Definitely no</v>
      </c>
    </row>
    <row r="372" spans="1:15" ht="158.4" hidden="1" x14ac:dyDescent="0.3">
      <c r="A372" t="s">
        <v>6612</v>
      </c>
      <c r="B372" t="s">
        <v>6729</v>
      </c>
      <c r="C372" s="2" t="s">
        <v>6730</v>
      </c>
      <c r="D372" t="s">
        <v>5843</v>
      </c>
      <c r="E372" s="2" t="s">
        <v>6731</v>
      </c>
      <c r="F372" t="s">
        <v>427</v>
      </c>
      <c r="G372" t="str">
        <f>VLOOKUP($F372, codebooks_data_reordered!$A:$I, 2, FALSE)</f>
        <v>2006</v>
      </c>
      <c r="H372" t="str">
        <f>VLOOKUP($F372, codebooks_data_reordered!$A:$I, 3, FALSE)</f>
        <v>State expenditures on Different Issues</v>
      </c>
      <c r="I372" t="str">
        <f>VLOOKUP($F372, codebooks_data_reordered!$A:$I, 4, FALSE)</f>
        <v>1</v>
      </c>
      <c r="J372" t="str">
        <f>VLOOKUP($F372, codebooks_data_reordered!$A:$I, 5, FALSE)</f>
        <v>139</v>
      </c>
      <c r="K372" t="str">
        <f>VLOOKUP($F372, codebooks_data_reordered!$A:$I, 6, FALSE)</f>
        <v>State expenditures on Yeshivot and religious institutes</v>
      </c>
      <c r="L372" t="str">
        <f>VLOOKUP($F372, codebooks_data_reordered!$A:$I, 7, FALSE)</f>
        <v>Should the country spend more money, less money or the same as it does today on the following issues:</v>
      </c>
      <c r="M372" t="str">
        <f>VLOOKUP($F372, codebooks_data_reordered!$A:$I, 9, FALSE)</f>
        <v>1: More; 2: Less; 3: The same as today</v>
      </c>
      <c r="O372" s="2" t="str">
        <f t="shared" si="5"/>
        <v>1: More
 2: Less
 3: The same as today</v>
      </c>
    </row>
    <row r="373" spans="1:15" ht="409.6" hidden="1" x14ac:dyDescent="0.3">
      <c r="A373" t="s">
        <v>6612</v>
      </c>
      <c r="B373" t="s">
        <v>6732</v>
      </c>
      <c r="C373" s="2" t="s">
        <v>6733</v>
      </c>
      <c r="D373" t="s">
        <v>5843</v>
      </c>
      <c r="E373" s="2" t="s">
        <v>6734</v>
      </c>
      <c r="F373" t="s">
        <v>685</v>
      </c>
      <c r="G373" t="str">
        <f>VLOOKUP($F373, codebooks_data_reordered!$A:$I, 2, FALSE)</f>
        <v>2006</v>
      </c>
      <c r="H373" t="str">
        <f>VLOOKUP($F373, codebooks_data_reordered!$A:$I, 3, FALSE)</f>
        <v>Previous Elections</v>
      </c>
      <c r="I373" t="str">
        <f>VLOOKUP($F373, codebooks_data_reordered!$A:$I, 4, FALSE)</f>
        <v>1</v>
      </c>
      <c r="J373" t="str">
        <f>VLOOKUP($F373, codebooks_data_reordered!$A:$I, 5, FALSE)</f>
        <v>251-252</v>
      </c>
      <c r="K373" t="str">
        <f>VLOOKUP($F373, codebooks_data_reordered!$A:$I, 6, FALSE)</f>
        <v>Respondent vote for PM if elections for PM were held</v>
      </c>
      <c r="L373" t="str">
        <f>VLOOKUP($F373, codebooks_data_reordered!$A:$I, 7, FALSE)</f>
        <v>36. And if there were two ballots in the coming elections, one for Prime Minister and one for the Knesset, for whom would you vote for Prime Minister?</v>
      </c>
      <c r="M373" t="str">
        <f>VLOOKUP($F373, codebooks_data_reordered!$A:$I, 9, FALSE)</f>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c r="O373" s="2" t="str">
        <f t="shared" si="5"/>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row>
    <row r="374" spans="1:15" ht="129.6" hidden="1" x14ac:dyDescent="0.3">
      <c r="A374" t="s">
        <v>6612</v>
      </c>
      <c r="B374" t="s">
        <v>6735</v>
      </c>
      <c r="C374" s="2" t="s">
        <v>6736</v>
      </c>
      <c r="D374" t="s">
        <v>5843</v>
      </c>
      <c r="E374" s="2" t="s">
        <v>6737</v>
      </c>
      <c r="F374" t="s">
        <v>479</v>
      </c>
      <c r="G374" t="str">
        <f>VLOOKUP($F374, codebooks_data_reordered!$A:$I, 2, FALSE)</f>
        <v>2006</v>
      </c>
      <c r="H374" t="str">
        <f>VLOOKUP($F374, codebooks_data_reordered!$A:$I, 3, FALSE)</f>
        <v>Most/Less Suitable Characteristic of the Party</v>
      </c>
      <c r="I374" t="str">
        <f>VLOOKUP($F374, codebooks_data_reordered!$A:$I, 4, FALSE)</f>
        <v>1</v>
      </c>
      <c r="J374" t="str">
        <f>VLOOKUP($F374, codebooks_data_reordered!$A:$I, 5, FALSE)</f>
        <v>154</v>
      </c>
      <c r="K374" t="str">
        <f>VLOOKUP($F374, codebooks_data_reordered!$A:$I, 6, FALSE)</f>
        <v>Least suitable characteristic of the party: Handle terrorism</v>
      </c>
      <c r="L374" t="str">
        <f>VLOOKUP($F374,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v>
      </c>
      <c r="M374" t="str">
        <f>VLOOKUP($F374, codebooks_data_reordered!$A:$I, 9, FALSE)</f>
        <v>1: Least suitable Kadima; 2: Least suitable Likud; 3: Least suitable Avoda; 4: Suits all the same; 5: Doesn't suit any of them</v>
      </c>
      <c r="O374" s="2" t="str">
        <f t="shared" si="5"/>
        <v>1: Least suitable Kadima
 2: Least suitable Likud
 3: Least suitable Avoda
 4: Suits all the same
 5: Doesn't suit any of them</v>
      </c>
    </row>
    <row r="375" spans="1:15" ht="115.2" hidden="1" x14ac:dyDescent="0.3">
      <c r="A375" t="s">
        <v>6612</v>
      </c>
      <c r="B375" t="s">
        <v>6738</v>
      </c>
      <c r="C375" s="2" t="s">
        <v>6739</v>
      </c>
      <c r="D375" t="s">
        <v>5843</v>
      </c>
      <c r="E375" s="2" t="s">
        <v>6740</v>
      </c>
      <c r="F375" t="s">
        <v>1729</v>
      </c>
      <c r="G375" t="str">
        <f>VLOOKUP($F375, codebooks_data_reordered!$A:$I, 2, FALSE)</f>
        <v>2003</v>
      </c>
      <c r="H375" t="str">
        <f>VLOOKUP($F375, codebooks_data_reordered!$A:$I, 3, FALSE)</f>
        <v>Respondent's demographic details</v>
      </c>
      <c r="I375" t="str">
        <f>VLOOKUP($F375, codebooks_data_reordered!$A:$I, 4, FALSE)</f>
        <v>1</v>
      </c>
      <c r="J375" t="str">
        <f>VLOOKUP($F375, codebooks_data_reordered!$A:$I, 5, FALSE)</f>
        <v>185</v>
      </c>
      <c r="K375" t="str">
        <f>VLOOKUP($F375, codebooks_data_reordered!$A:$I, 6, FALSE)</f>
        <v>Religious observance</v>
      </c>
      <c r="L375" t="str">
        <f>VLOOKUP($F375, codebooks_data_reordered!$A:$I, 7, FALSE)</f>
        <v>To what extent do you observe a religious tradition?</v>
      </c>
      <c r="M375" t="str">
        <f>VLOOKUP($F375, codebooks_data_reordered!$A:$I, 9, FALSE)</f>
        <v>1: Observe none; 2: Observe somewhat; 3: Observe to a great extent; 4: Observe all details</v>
      </c>
      <c r="O375" s="2" t="str">
        <f t="shared" si="5"/>
        <v>1: Observe none
 2: Observe somewhat
 3: Observe to a great extent
 4: Observe all details</v>
      </c>
    </row>
    <row r="376" spans="1:15" ht="100.8" hidden="1" x14ac:dyDescent="0.3">
      <c r="A376" t="s">
        <v>6612</v>
      </c>
      <c r="B376" t="s">
        <v>6741</v>
      </c>
      <c r="C376" s="2" t="s">
        <v>6742</v>
      </c>
      <c r="D376" t="s">
        <v>5843</v>
      </c>
      <c r="E376" s="2" t="s">
        <v>6743</v>
      </c>
      <c r="F376" t="s">
        <v>1775</v>
      </c>
      <c r="G376" t="str">
        <f>VLOOKUP($F376, codebooks_data_reordered!$A:$I, 2, FALSE)</f>
        <v>1999_1</v>
      </c>
      <c r="H376" t="str">
        <f>VLOOKUP($F376, codebooks_data_reordered!$A:$I, 3, FALSE)</f>
        <v>GENERAL POLITICAL ATTITUDE</v>
      </c>
      <c r="I376" t="str">
        <f>VLOOKUP($F376, codebooks_data_reordered!$A:$I, 4, FALSE)</f>
        <v>1</v>
      </c>
      <c r="J376" t="str">
        <f>VLOOKUP($F376, codebooks_data_reordered!$A:$I, 5, FALSE)</f>
        <v>17</v>
      </c>
      <c r="K376" t="str">
        <f>VLOOKUP($F376, codebooks_data_reordered!$A:$I, 6, FALSE)</f>
        <v>Territories should be returned for peace</v>
      </c>
      <c r="L376" t="str">
        <f>VLOOKUP($F376, codebooks_data_reordered!$A:$I, 7, FALSE)</f>
        <v>Agreement with statement on 1-7 scale</v>
      </c>
      <c r="M376" t="str">
        <f>VLOOKUP($F376, codebooks_data_reordered!$A:$I, 9, FALSE)</f>
        <v>1: Strongly disagree; 7: Strongly agree</v>
      </c>
      <c r="O376" s="2" t="str">
        <f t="shared" si="5"/>
        <v>1: Strongly disagree
 7: Strongly agree</v>
      </c>
    </row>
    <row r="377" spans="1:15" ht="144" hidden="1" x14ac:dyDescent="0.3">
      <c r="A377" t="s">
        <v>6612</v>
      </c>
      <c r="B377" t="s">
        <v>6744</v>
      </c>
      <c r="C377" s="2" t="s">
        <v>6745</v>
      </c>
      <c r="D377" t="s">
        <v>5843</v>
      </c>
      <c r="E377" s="2" t="s">
        <v>6746</v>
      </c>
      <c r="F377" t="s">
        <v>427</v>
      </c>
      <c r="G377" t="str">
        <f>VLOOKUP($F377, codebooks_data_reordered!$A:$I, 2, FALSE)</f>
        <v>2006</v>
      </c>
      <c r="H377" t="str">
        <f>VLOOKUP($F377, codebooks_data_reordered!$A:$I, 3, FALSE)</f>
        <v>State expenditures on Different Issues</v>
      </c>
      <c r="I377" t="str">
        <f>VLOOKUP($F377, codebooks_data_reordered!$A:$I, 4, FALSE)</f>
        <v>1</v>
      </c>
      <c r="J377" t="str">
        <f>VLOOKUP($F377, codebooks_data_reordered!$A:$I, 5, FALSE)</f>
        <v>139</v>
      </c>
      <c r="K377" t="str">
        <f>VLOOKUP($F377, codebooks_data_reordered!$A:$I, 6, FALSE)</f>
        <v>State expenditures on Yeshivot and religious institutes</v>
      </c>
      <c r="L377" t="str">
        <f>VLOOKUP($F377, codebooks_data_reordered!$A:$I, 7, FALSE)</f>
        <v>Should the country spend more money, less money or the same as it does today on the following issues:</v>
      </c>
      <c r="M377" t="str">
        <f>VLOOKUP($F377, codebooks_data_reordered!$A:$I, 9, FALSE)</f>
        <v>1: More; 2: Less; 3: The same as today</v>
      </c>
      <c r="O377" s="2" t="str">
        <f t="shared" si="5"/>
        <v>1: More
 2: Less
 3: The same as today</v>
      </c>
    </row>
    <row r="378" spans="1:15" ht="115.2" hidden="1" x14ac:dyDescent="0.3">
      <c r="A378" t="s">
        <v>6612</v>
      </c>
      <c r="B378" t="s">
        <v>6747</v>
      </c>
      <c r="C378" s="2" t="s">
        <v>6431</v>
      </c>
      <c r="D378" t="s">
        <v>5843</v>
      </c>
      <c r="E378" s="2" t="s">
        <v>6432</v>
      </c>
      <c r="F378" t="s">
        <v>3758</v>
      </c>
      <c r="G378" t="str">
        <f>VLOOKUP($F378, codebooks_data_reordered!$A:$I, 2, FALSE)</f>
        <v>1988_N=873</v>
      </c>
      <c r="H378" t="str">
        <f>VLOOKUP($F378, codebooks_data_reordered!$A:$I, 3, FALSE)</f>
        <v>APPROVAL OF FOLLOWING SAYINGS ON SOCIAL AND STATE MATTERS</v>
      </c>
      <c r="I378" t="str">
        <f>VLOOKUP($F378, codebooks_data_reordered!$A:$I, 4, FALSE)</f>
        <v>1</v>
      </c>
      <c r="J378" t="str">
        <f>VLOOKUP($F378, codebooks_data_reordered!$A:$I, 5, FALSE)</f>
        <v>121</v>
      </c>
      <c r="K378" t="str">
        <f>VLOOKUP($F378, codebooks_data_reordered!$A:$I, 6, FALSE)</f>
        <v>Democracy is best form of rule</v>
      </c>
      <c r="L378">
        <f>VLOOKUP($F378, codebooks_data_reordered!$A:$I, 7, FALSE)</f>
        <v>0</v>
      </c>
      <c r="M378" t="str">
        <f>VLOOKUP($F378, codebooks_data_reordered!$A:$I, 9, FALSE)</f>
        <v>1: Definitely agree; 2: Agree; 3: Not certain; 4: Disagree; 5: Definitely disagree</v>
      </c>
      <c r="O378" s="2" t="str">
        <f t="shared" si="5"/>
        <v>1: Definitely agree
 2: Agree
 3: Not certain
 4: Disagree
 5: Definitely disagree</v>
      </c>
    </row>
    <row r="379" spans="1:15" ht="345.6" hidden="1" x14ac:dyDescent="0.3">
      <c r="A379" t="s">
        <v>6612</v>
      </c>
      <c r="B379" t="s">
        <v>6748</v>
      </c>
      <c r="C379" s="2" t="s">
        <v>6431</v>
      </c>
      <c r="D379" t="s">
        <v>5843</v>
      </c>
      <c r="E379" s="2" t="s">
        <v>6432</v>
      </c>
      <c r="F379" t="s">
        <v>690</v>
      </c>
      <c r="G379" t="str">
        <f>VLOOKUP($F379, codebooks_data_reordered!$A:$I, 2, FALSE)</f>
        <v>2006</v>
      </c>
      <c r="H379" t="str">
        <f>VLOOKUP($F379, codebooks_data_reordered!$A:$I, 3, FALSE)</f>
        <v>Previous Elections</v>
      </c>
      <c r="I379" t="str">
        <f>VLOOKUP($F379, codebooks_data_reordered!$A:$I, 4, FALSE)</f>
        <v>1</v>
      </c>
      <c r="J379" t="str">
        <f>VLOOKUP($F379, codebooks_data_reordered!$A:$I, 5, FALSE)</f>
        <v>253-254</v>
      </c>
      <c r="K379" t="str">
        <f>VLOOKUP($F379, codebooks_data_reordered!$A:$I, 6, FALSE)</f>
        <v>Respondent party vote if elections for PM were also held</v>
      </c>
      <c r="L379" t="str">
        <f>VLOOKUP($F379, codebooks_data_reordered!$A:$I, 7, FALSE)</f>
        <v>38. And for the Knesset? (for the interviewer: use the code in question 73)</v>
      </c>
      <c r="M379" t="str">
        <f>VLOOKUP($F379, codebooks_data_reordered!$A:$I, 9, FALSE)</f>
        <v>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v>
      </c>
      <c r="O379" s="2" t="str">
        <f t="shared" si="5"/>
        <v>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v>
      </c>
    </row>
    <row r="380" spans="1:15" ht="158.4" hidden="1" x14ac:dyDescent="0.3">
      <c r="A380" t="s">
        <v>6612</v>
      </c>
      <c r="B380" t="s">
        <v>6749</v>
      </c>
      <c r="C380" s="2" t="s">
        <v>6750</v>
      </c>
      <c r="D380" t="s">
        <v>5843</v>
      </c>
      <c r="E380" s="2" t="s">
        <v>6751</v>
      </c>
      <c r="F380" t="s">
        <v>2203</v>
      </c>
      <c r="G380" t="str">
        <f>VLOOKUP($F380, codebooks_data_reordered!$A:$I, 2, FALSE)</f>
        <v>1999_1</v>
      </c>
      <c r="H380" t="str">
        <f>VLOOKUP($F380, codebooks_data_reordered!$A:$I, 3, FALSE)</f>
        <v>RESPONDENT'S DEMOGRAPHIC DETAILS</v>
      </c>
      <c r="I380" t="str">
        <f>VLOOKUP($F380, codebooks_data_reordered!$A:$I, 4, FALSE)</f>
        <v>3</v>
      </c>
      <c r="J380" t="str">
        <f>VLOOKUP($F380, codebooks_data_reordered!$A:$I, 5, FALSE)</f>
        <v>46</v>
      </c>
      <c r="K380" t="str">
        <f>VLOOKUP($F380, codebooks_data_reordered!$A:$I, 6, FALSE)</f>
        <v>Respondent's military service in territories</v>
      </c>
      <c r="L380">
        <f>VLOOKUP($F380, codebooks_data_reordered!$A:$I, 7, FALSE)</f>
        <v>0</v>
      </c>
      <c r="M380" t="str">
        <f>VLOOKUP($F380, codebooks_data_reordered!$A:$I, 9, FALSE)</f>
        <v>1: Yes; 2: No; 3: Never served in the IDF</v>
      </c>
      <c r="O380" s="2" t="str">
        <f t="shared" si="5"/>
        <v>1: Yes
 2: No
 3: Never served in the IDF</v>
      </c>
    </row>
    <row r="381" spans="1:15" ht="86.4" hidden="1" x14ac:dyDescent="0.3">
      <c r="A381" t="s">
        <v>6612</v>
      </c>
      <c r="B381" t="s">
        <v>6752</v>
      </c>
      <c r="C381" s="2" t="s">
        <v>6753</v>
      </c>
      <c r="D381" t="s">
        <v>5843</v>
      </c>
      <c r="E381" s="2" t="s">
        <v>6754</v>
      </c>
      <c r="F381" t="s">
        <v>979</v>
      </c>
      <c r="G381" t="str">
        <f>VLOOKUP($F381, codebooks_data_reordered!$A:$I, 2, FALSE)</f>
        <v>2006</v>
      </c>
      <c r="H381" t="str">
        <f>VLOOKUP($F381, codebooks_data_reordered!$A:$I, 3, FALSE)</f>
        <v>Reason for not Vote</v>
      </c>
      <c r="I381" t="str">
        <f>VLOOKUP($F381, codebooks_data_reordered!$A:$I, 4, FALSE)</f>
        <v>1</v>
      </c>
      <c r="J381" t="str">
        <f>VLOOKUP($F381, codebooks_data_reordered!$A:$I, 5, FALSE)</f>
        <v>347-348</v>
      </c>
      <c r="K381" t="str">
        <f>VLOOKUP($F381, codebooks_data_reordered!$A:$I, 6, FALSE)</f>
        <v>Years of schooling</v>
      </c>
      <c r="L381" t="str">
        <f>VLOOKUP($F381, codebooks_data_reordered!$A:$I, 7, FALSE)</f>
        <v>34. How many years did you study? (including elementary school)</v>
      </c>
      <c r="M381">
        <f>VLOOKUP($F381, codebooks_data_reordered!$A:$I, 9, FALSE)</f>
        <v>0</v>
      </c>
      <c r="O381" s="2" t="str">
        <f t="shared" si="5"/>
        <v>0</v>
      </c>
    </row>
    <row r="382" spans="1:15" ht="86.4" hidden="1" x14ac:dyDescent="0.3">
      <c r="A382" t="s">
        <v>6755</v>
      </c>
      <c r="B382" t="s">
        <v>6206</v>
      </c>
      <c r="C382" s="2" t="s">
        <v>6756</v>
      </c>
      <c r="D382" t="s">
        <v>5843</v>
      </c>
      <c r="E382" s="2" t="s">
        <v>6757</v>
      </c>
      <c r="F382" t="s">
        <v>9209</v>
      </c>
      <c r="G382" t="e">
        <f>VLOOKUP($F382, codebooks_data_reordered!$A:$I, 2, FALSE)</f>
        <v>#N/A</v>
      </c>
      <c r="H382" t="e">
        <f>VLOOKUP($F382, codebooks_data_reordered!$A:$I, 3, FALSE)</f>
        <v>#N/A</v>
      </c>
      <c r="I382" t="e">
        <f>VLOOKUP($F382, codebooks_data_reordered!$A:$I, 4, FALSE)</f>
        <v>#N/A</v>
      </c>
      <c r="J382" t="e">
        <f>VLOOKUP($F382, codebooks_data_reordered!$A:$I, 5, FALSE)</f>
        <v>#N/A</v>
      </c>
      <c r="K382" t="e">
        <f>VLOOKUP($F382, codebooks_data_reordered!$A:$I, 6, FALSE)</f>
        <v>#N/A</v>
      </c>
      <c r="L382" t="e">
        <f>VLOOKUP($F382, codebooks_data_reordered!$A:$I, 7, FALSE)</f>
        <v>#N/A</v>
      </c>
      <c r="M382" t="e">
        <f>VLOOKUP($F382, codebooks_data_reordered!$A:$I, 9, FALSE)</f>
        <v>#N/A</v>
      </c>
      <c r="O382" t="e">
        <f t="shared" si="5"/>
        <v>#N/A</v>
      </c>
    </row>
    <row r="383" spans="1:15" ht="72" hidden="1" x14ac:dyDescent="0.3">
      <c r="A383" t="s">
        <v>6755</v>
      </c>
      <c r="B383" t="s">
        <v>6758</v>
      </c>
      <c r="C383" s="2" t="s">
        <v>6759</v>
      </c>
      <c r="D383" t="s">
        <v>5843</v>
      </c>
      <c r="E383" s="2" t="s">
        <v>6760</v>
      </c>
      <c r="F383" t="s">
        <v>9210</v>
      </c>
      <c r="G383" t="e">
        <f>VLOOKUP($F383, codebooks_data_reordered!$A:$I, 2, FALSE)</f>
        <v>#N/A</v>
      </c>
      <c r="H383" t="e">
        <f>VLOOKUP($F383, codebooks_data_reordered!$A:$I, 3, FALSE)</f>
        <v>#N/A</v>
      </c>
      <c r="I383" t="e">
        <f>VLOOKUP($F383, codebooks_data_reordered!$A:$I, 4, FALSE)</f>
        <v>#N/A</v>
      </c>
      <c r="J383" t="e">
        <f>VLOOKUP($F383, codebooks_data_reordered!$A:$I, 5, FALSE)</f>
        <v>#N/A</v>
      </c>
      <c r="K383" t="e">
        <f>VLOOKUP($F383, codebooks_data_reordered!$A:$I, 6, FALSE)</f>
        <v>#N/A</v>
      </c>
      <c r="L383" t="e">
        <f>VLOOKUP($F383, codebooks_data_reordered!$A:$I, 7, FALSE)</f>
        <v>#N/A</v>
      </c>
      <c r="M383" t="e">
        <f>VLOOKUP($F383, codebooks_data_reordered!$A:$I, 9, FALSE)</f>
        <v>#N/A</v>
      </c>
      <c r="O383" t="e">
        <f t="shared" si="5"/>
        <v>#N/A</v>
      </c>
    </row>
    <row r="384" spans="1:15" ht="57.6" hidden="1" x14ac:dyDescent="0.3">
      <c r="A384" t="s">
        <v>6755</v>
      </c>
      <c r="B384" t="s">
        <v>6761</v>
      </c>
      <c r="C384" s="2" t="s">
        <v>6762</v>
      </c>
      <c r="D384" t="s">
        <v>6225</v>
      </c>
      <c r="E384" s="2" t="s">
        <v>6763</v>
      </c>
      <c r="F384" t="s">
        <v>115</v>
      </c>
      <c r="G384" t="str">
        <f>VLOOKUP($F384, codebooks_data_reordered!$A:$I, 2, FALSE)</f>
        <v>2006</v>
      </c>
      <c r="H384" t="str">
        <f>VLOOKUP($F384, codebooks_data_reordered!$A:$I, 3, FALSE)</f>
        <v>Likely Direction of Development of Israel</v>
      </c>
      <c r="I384" t="str">
        <f>VLOOKUP($F384, codebooks_data_reordered!$A:$I, 4, FALSE)</f>
        <v>1</v>
      </c>
      <c r="J384" t="str">
        <f>VLOOKUP($F384, codebooks_data_reordered!$A:$I, 5, FALSE)</f>
        <v>31</v>
      </c>
      <c r="K384" t="str">
        <f>VLOOKUP($F384, codebooks_data_reordered!$A:$I, 6, FALSE)</f>
        <v>The second most important value</v>
      </c>
      <c r="L384" t="str">
        <f>VLOOKUP($F384,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384" t="str">
        <f>VLOOKUP($F384, codebooks_data_reordered!$A:$I, 9, FALSE)</f>
        <v>1: Jewish majority; 2: Greater Israel; 3: Democracy; 4: Peace</v>
      </c>
      <c r="O384" s="2" t="str">
        <f t="shared" si="5"/>
        <v>1: Jewish majority
 2: Greater Israel
 3: Democracy
 4: Peace</v>
      </c>
    </row>
    <row r="385" spans="1:15" ht="57.6" hidden="1" x14ac:dyDescent="0.3">
      <c r="A385" t="s">
        <v>6755</v>
      </c>
      <c r="B385" t="s">
        <v>6764</v>
      </c>
      <c r="C385" s="2" t="s">
        <v>6765</v>
      </c>
      <c r="D385" t="s">
        <v>5843</v>
      </c>
      <c r="E385" s="2" t="s">
        <v>6766</v>
      </c>
      <c r="F385" t="s">
        <v>2818</v>
      </c>
      <c r="G385" t="str">
        <f>VLOOKUP($F385, codebooks_data_reordered!$A:$I, 2, FALSE)</f>
        <v>1992</v>
      </c>
      <c r="H385">
        <f>VLOOKUP($F385, codebooks_data_reordered!$A:$I, 3, FALSE)</f>
        <v>0</v>
      </c>
      <c r="I385" t="str">
        <f>VLOOKUP($F385, codebooks_data_reordered!$A:$I, 4, FALSE)</f>
        <v>1</v>
      </c>
      <c r="J385" t="str">
        <f>VLOOKUP($F385, codebooks_data_reordered!$A:$I, 5, FALSE)</f>
        <v>104</v>
      </c>
      <c r="K385" t="str">
        <f>VLOOKUP($F385, codebooks_data_reordered!$A:$I, 6, FALSE)</f>
        <v>Labor party</v>
      </c>
      <c r="L385">
        <f>VLOOKUP($F385, codebooks_data_reordered!$A:$I, 7, FALSE)</f>
        <v>0</v>
      </c>
      <c r="M385" t="str">
        <f>VLOOKUP($F385, codebooks_data_reordered!$A:$I, 9, FALSE)</f>
        <v>1: Strong aversion (hate); 10: Strong affection (love)</v>
      </c>
      <c r="O385" s="2" t="str">
        <f t="shared" si="5"/>
        <v>1: Strong aversion (hate)
 10: Strong affection (love)</v>
      </c>
    </row>
    <row r="386" spans="1:15" ht="28.8" hidden="1" x14ac:dyDescent="0.3">
      <c r="A386" t="s">
        <v>6755</v>
      </c>
      <c r="B386" t="s">
        <v>6767</v>
      </c>
      <c r="C386" s="2" t="s">
        <v>6768</v>
      </c>
      <c r="D386" t="s">
        <v>5906</v>
      </c>
      <c r="E386" s="2" t="s">
        <v>6769</v>
      </c>
      <c r="F386" t="s">
        <v>9211</v>
      </c>
      <c r="G386" t="e">
        <f>VLOOKUP($F386, codebooks_data_reordered!$A:$I, 2, FALSE)</f>
        <v>#N/A</v>
      </c>
      <c r="H386" t="e">
        <f>VLOOKUP($F386, codebooks_data_reordered!$A:$I, 3, FALSE)</f>
        <v>#N/A</v>
      </c>
      <c r="I386" t="e">
        <f>VLOOKUP($F386, codebooks_data_reordered!$A:$I, 4, FALSE)</f>
        <v>#N/A</v>
      </c>
      <c r="J386" t="e">
        <f>VLOOKUP($F386, codebooks_data_reordered!$A:$I, 5, FALSE)</f>
        <v>#N/A</v>
      </c>
      <c r="K386" t="e">
        <f>VLOOKUP($F386, codebooks_data_reordered!$A:$I, 6, FALSE)</f>
        <v>#N/A</v>
      </c>
      <c r="L386" t="e">
        <f>VLOOKUP($F386, codebooks_data_reordered!$A:$I, 7, FALSE)</f>
        <v>#N/A</v>
      </c>
      <c r="M386" t="e">
        <f>VLOOKUP($F386, codebooks_data_reordered!$A:$I, 9, FALSE)</f>
        <v>#N/A</v>
      </c>
      <c r="O386" t="e">
        <f t="shared" ref="O386:O449" si="6">SUBSTITUTE(M386, ";", CHAR(10))</f>
        <v>#N/A</v>
      </c>
    </row>
    <row r="387" spans="1:15" ht="43.2" hidden="1" x14ac:dyDescent="0.3">
      <c r="A387" t="s">
        <v>6755</v>
      </c>
      <c r="B387" t="s">
        <v>6770</v>
      </c>
      <c r="C387" s="2" t="s">
        <v>6771</v>
      </c>
      <c r="D387" t="s">
        <v>6715</v>
      </c>
      <c r="E387" s="2" t="s">
        <v>6772</v>
      </c>
      <c r="F387" t="s">
        <v>9212</v>
      </c>
      <c r="G387" t="e">
        <f>VLOOKUP($F387, codebooks_data_reordered!$A:$I, 2, FALSE)</f>
        <v>#N/A</v>
      </c>
      <c r="H387" t="e">
        <f>VLOOKUP($F387, codebooks_data_reordered!$A:$I, 3, FALSE)</f>
        <v>#N/A</v>
      </c>
      <c r="I387" t="e">
        <f>VLOOKUP($F387, codebooks_data_reordered!$A:$I, 4, FALSE)</f>
        <v>#N/A</v>
      </c>
      <c r="J387" t="e">
        <f>VLOOKUP($F387, codebooks_data_reordered!$A:$I, 5, FALSE)</f>
        <v>#N/A</v>
      </c>
      <c r="K387" t="e">
        <f>VLOOKUP($F387, codebooks_data_reordered!$A:$I, 6, FALSE)</f>
        <v>#N/A</v>
      </c>
      <c r="L387" t="e">
        <f>VLOOKUP($F387, codebooks_data_reordered!$A:$I, 7, FALSE)</f>
        <v>#N/A</v>
      </c>
      <c r="M387" t="e">
        <f>VLOOKUP($F387, codebooks_data_reordered!$A:$I, 9, FALSE)</f>
        <v>#N/A</v>
      </c>
      <c r="O387" t="e">
        <f t="shared" si="6"/>
        <v>#N/A</v>
      </c>
    </row>
    <row r="388" spans="1:15" ht="28.8" hidden="1" x14ac:dyDescent="0.3">
      <c r="A388" t="s">
        <v>6755</v>
      </c>
      <c r="B388" t="s">
        <v>6773</v>
      </c>
      <c r="C388" s="2" t="s">
        <v>6774</v>
      </c>
      <c r="D388" t="s">
        <v>6715</v>
      </c>
      <c r="E388" s="2" t="s">
        <v>6775</v>
      </c>
      <c r="F388" t="s">
        <v>9213</v>
      </c>
      <c r="G388" t="e">
        <f>VLOOKUP($F388, codebooks_data_reordered!$A:$I, 2, FALSE)</f>
        <v>#N/A</v>
      </c>
      <c r="H388" t="e">
        <f>VLOOKUP($F388, codebooks_data_reordered!$A:$I, 3, FALSE)</f>
        <v>#N/A</v>
      </c>
      <c r="I388" t="e">
        <f>VLOOKUP($F388, codebooks_data_reordered!$A:$I, 4, FALSE)</f>
        <v>#N/A</v>
      </c>
      <c r="J388" t="e">
        <f>VLOOKUP($F388, codebooks_data_reordered!$A:$I, 5, FALSE)</f>
        <v>#N/A</v>
      </c>
      <c r="K388" t="e">
        <f>VLOOKUP($F388, codebooks_data_reordered!$A:$I, 6, FALSE)</f>
        <v>#N/A</v>
      </c>
      <c r="L388" t="e">
        <f>VLOOKUP($F388, codebooks_data_reordered!$A:$I, 7, FALSE)</f>
        <v>#N/A</v>
      </c>
      <c r="M388" t="e">
        <f>VLOOKUP($F388, codebooks_data_reordered!$A:$I, 9, FALSE)</f>
        <v>#N/A</v>
      </c>
      <c r="O388" t="e">
        <f t="shared" si="6"/>
        <v>#N/A</v>
      </c>
    </row>
    <row r="389" spans="1:15" ht="43.2" hidden="1" x14ac:dyDescent="0.3">
      <c r="A389" t="s">
        <v>6755</v>
      </c>
      <c r="B389" t="s">
        <v>6776</v>
      </c>
      <c r="C389" s="2" t="s">
        <v>6777</v>
      </c>
      <c r="D389" t="s">
        <v>5843</v>
      </c>
      <c r="E389" s="2" t="s">
        <v>6778</v>
      </c>
      <c r="F389" t="s">
        <v>9214</v>
      </c>
      <c r="G389" t="e">
        <f>VLOOKUP($F389, codebooks_data_reordered!$A:$I, 2, FALSE)</f>
        <v>#N/A</v>
      </c>
      <c r="H389" t="e">
        <f>VLOOKUP($F389, codebooks_data_reordered!$A:$I, 3, FALSE)</f>
        <v>#N/A</v>
      </c>
      <c r="I389" t="e">
        <f>VLOOKUP($F389, codebooks_data_reordered!$A:$I, 4, FALSE)</f>
        <v>#N/A</v>
      </c>
      <c r="J389" t="e">
        <f>VLOOKUP($F389, codebooks_data_reordered!$A:$I, 5, FALSE)</f>
        <v>#N/A</v>
      </c>
      <c r="K389" t="e">
        <f>VLOOKUP($F389, codebooks_data_reordered!$A:$I, 6, FALSE)</f>
        <v>#N/A</v>
      </c>
      <c r="L389" t="e">
        <f>VLOOKUP($F389, codebooks_data_reordered!$A:$I, 7, FALSE)</f>
        <v>#N/A</v>
      </c>
      <c r="M389" t="e">
        <f>VLOOKUP($F389, codebooks_data_reordered!$A:$I, 9, FALSE)</f>
        <v>#N/A</v>
      </c>
      <c r="O389" t="e">
        <f t="shared" si="6"/>
        <v>#N/A</v>
      </c>
    </row>
    <row r="390" spans="1:15" ht="115.2" hidden="1" x14ac:dyDescent="0.3">
      <c r="A390" t="s">
        <v>6755</v>
      </c>
      <c r="B390" t="s">
        <v>6779</v>
      </c>
      <c r="C390" s="2" t="s">
        <v>6780</v>
      </c>
      <c r="D390" t="s">
        <v>5843</v>
      </c>
      <c r="E390" s="2" t="s">
        <v>6781</v>
      </c>
      <c r="F390" t="s">
        <v>9215</v>
      </c>
      <c r="G390" t="e">
        <f>VLOOKUP($F390, codebooks_data_reordered!$A:$I, 2, FALSE)</f>
        <v>#N/A</v>
      </c>
      <c r="H390" t="e">
        <f>VLOOKUP($F390, codebooks_data_reordered!$A:$I, 3, FALSE)</f>
        <v>#N/A</v>
      </c>
      <c r="I390" t="e">
        <f>VLOOKUP($F390, codebooks_data_reordered!$A:$I, 4, FALSE)</f>
        <v>#N/A</v>
      </c>
      <c r="J390" t="e">
        <f>VLOOKUP($F390, codebooks_data_reordered!$A:$I, 5, FALSE)</f>
        <v>#N/A</v>
      </c>
      <c r="K390" t="e">
        <f>VLOOKUP($F390, codebooks_data_reordered!$A:$I, 6, FALSE)</f>
        <v>#N/A</v>
      </c>
      <c r="L390" t="e">
        <f>VLOOKUP($F390, codebooks_data_reordered!$A:$I, 7, FALSE)</f>
        <v>#N/A</v>
      </c>
      <c r="M390" t="e">
        <f>VLOOKUP($F390, codebooks_data_reordered!$A:$I, 9, FALSE)</f>
        <v>#N/A</v>
      </c>
      <c r="N390" t="s">
        <v>9393</v>
      </c>
      <c r="O390" t="e">
        <f t="shared" si="6"/>
        <v>#N/A</v>
      </c>
    </row>
    <row r="391" spans="1:15" ht="72" hidden="1" x14ac:dyDescent="0.3">
      <c r="A391" t="s">
        <v>6755</v>
      </c>
      <c r="B391" t="s">
        <v>6782</v>
      </c>
      <c r="C391" s="2" t="s">
        <v>6783</v>
      </c>
      <c r="D391" t="s">
        <v>5843</v>
      </c>
      <c r="E391" s="2" t="s">
        <v>6784</v>
      </c>
      <c r="F391" t="s">
        <v>9216</v>
      </c>
      <c r="G391" t="e">
        <f>VLOOKUP($F391, codebooks_data_reordered!$A:$I, 2, FALSE)</f>
        <v>#N/A</v>
      </c>
      <c r="H391" t="e">
        <f>VLOOKUP($F391, codebooks_data_reordered!$A:$I, 3, FALSE)</f>
        <v>#N/A</v>
      </c>
      <c r="I391" t="e">
        <f>VLOOKUP($F391, codebooks_data_reordered!$A:$I, 4, FALSE)</f>
        <v>#N/A</v>
      </c>
      <c r="J391" t="e">
        <f>VLOOKUP($F391, codebooks_data_reordered!$A:$I, 5, FALSE)</f>
        <v>#N/A</v>
      </c>
      <c r="K391" t="e">
        <f>VLOOKUP($F391, codebooks_data_reordered!$A:$I, 6, FALSE)</f>
        <v>#N/A</v>
      </c>
      <c r="L391" t="e">
        <f>VLOOKUP($F391, codebooks_data_reordered!$A:$I, 7, FALSE)</f>
        <v>#N/A</v>
      </c>
      <c r="M391" t="e">
        <f>VLOOKUP($F391, codebooks_data_reordered!$A:$I, 9, FALSE)</f>
        <v>#N/A</v>
      </c>
      <c r="O391" t="e">
        <f t="shared" si="6"/>
        <v>#N/A</v>
      </c>
    </row>
    <row r="392" spans="1:15" ht="28.8" hidden="1" x14ac:dyDescent="0.3">
      <c r="A392" t="s">
        <v>6755</v>
      </c>
      <c r="B392" t="s">
        <v>6263</v>
      </c>
      <c r="C392" s="2" t="s">
        <v>6785</v>
      </c>
      <c r="D392" t="s">
        <v>5906</v>
      </c>
      <c r="E392" s="2" t="s">
        <v>6786</v>
      </c>
      <c r="F392" t="s">
        <v>9217</v>
      </c>
      <c r="G392" t="e">
        <f>VLOOKUP($F392, codebooks_data_reordered!$A:$I, 2, FALSE)</f>
        <v>#N/A</v>
      </c>
      <c r="H392" t="e">
        <f>VLOOKUP($F392, codebooks_data_reordered!$A:$I, 3, FALSE)</f>
        <v>#N/A</v>
      </c>
      <c r="I392" t="e">
        <f>VLOOKUP($F392, codebooks_data_reordered!$A:$I, 4, FALSE)</f>
        <v>#N/A</v>
      </c>
      <c r="J392" t="e">
        <f>VLOOKUP($F392, codebooks_data_reordered!$A:$I, 5, FALSE)</f>
        <v>#N/A</v>
      </c>
      <c r="K392" t="e">
        <f>VLOOKUP($F392, codebooks_data_reordered!$A:$I, 6, FALSE)</f>
        <v>#N/A</v>
      </c>
      <c r="L392" t="e">
        <f>VLOOKUP($F392, codebooks_data_reordered!$A:$I, 7, FALSE)</f>
        <v>#N/A</v>
      </c>
      <c r="M392" t="e">
        <f>VLOOKUP($F392, codebooks_data_reordered!$A:$I, 9, FALSE)</f>
        <v>#N/A</v>
      </c>
      <c r="O392" t="e">
        <f t="shared" si="6"/>
        <v>#N/A</v>
      </c>
    </row>
    <row r="393" spans="1:15" ht="28.8" hidden="1" x14ac:dyDescent="0.3">
      <c r="A393" t="s">
        <v>6755</v>
      </c>
      <c r="B393" t="s">
        <v>6787</v>
      </c>
      <c r="C393" s="2" t="s">
        <v>6768</v>
      </c>
      <c r="D393" t="s">
        <v>5906</v>
      </c>
      <c r="E393" s="2" t="s">
        <v>6769</v>
      </c>
      <c r="F393" t="s">
        <v>9218</v>
      </c>
      <c r="G393" t="e">
        <f>VLOOKUP($F393, codebooks_data_reordered!$A:$I, 2, FALSE)</f>
        <v>#N/A</v>
      </c>
      <c r="H393" t="e">
        <f>VLOOKUP($F393, codebooks_data_reordered!$A:$I, 3, FALSE)</f>
        <v>#N/A</v>
      </c>
      <c r="I393" t="e">
        <f>VLOOKUP($F393, codebooks_data_reordered!$A:$I, 4, FALSE)</f>
        <v>#N/A</v>
      </c>
      <c r="J393" t="e">
        <f>VLOOKUP($F393, codebooks_data_reordered!$A:$I, 5, FALSE)</f>
        <v>#N/A</v>
      </c>
      <c r="K393" t="e">
        <f>VLOOKUP($F393, codebooks_data_reordered!$A:$I, 6, FALSE)</f>
        <v>#N/A</v>
      </c>
      <c r="L393" t="e">
        <f>VLOOKUP($F393, codebooks_data_reordered!$A:$I, 7, FALSE)</f>
        <v>#N/A</v>
      </c>
      <c r="M393" t="e">
        <f>VLOOKUP($F393, codebooks_data_reordered!$A:$I, 9, FALSE)</f>
        <v>#N/A</v>
      </c>
      <c r="O393" t="e">
        <f t="shared" si="6"/>
        <v>#N/A</v>
      </c>
    </row>
    <row r="394" spans="1:15" ht="28.8" hidden="1" x14ac:dyDescent="0.3">
      <c r="A394" t="s">
        <v>6755</v>
      </c>
      <c r="B394" t="s">
        <v>6270</v>
      </c>
      <c r="C394" s="2" t="s">
        <v>6768</v>
      </c>
      <c r="D394" t="s">
        <v>5906</v>
      </c>
      <c r="E394" s="2" t="s">
        <v>6769</v>
      </c>
      <c r="F394" t="s">
        <v>9219</v>
      </c>
      <c r="G394" t="e">
        <f>VLOOKUP($F394, codebooks_data_reordered!$A:$I, 2, FALSE)</f>
        <v>#N/A</v>
      </c>
      <c r="H394" t="e">
        <f>VLOOKUP($F394, codebooks_data_reordered!$A:$I, 3, FALSE)</f>
        <v>#N/A</v>
      </c>
      <c r="I394" t="e">
        <f>VLOOKUP($F394, codebooks_data_reordered!$A:$I, 4, FALSE)</f>
        <v>#N/A</v>
      </c>
      <c r="J394" t="e">
        <f>VLOOKUP($F394, codebooks_data_reordered!$A:$I, 5, FALSE)</f>
        <v>#N/A</v>
      </c>
      <c r="K394" t="e">
        <f>VLOOKUP($F394, codebooks_data_reordered!$A:$I, 6, FALSE)</f>
        <v>#N/A</v>
      </c>
      <c r="L394" t="e">
        <f>VLOOKUP($F394, codebooks_data_reordered!$A:$I, 7, FALSE)</f>
        <v>#N/A</v>
      </c>
      <c r="M394" t="e">
        <f>VLOOKUP($F394, codebooks_data_reordered!$A:$I, 9, FALSE)</f>
        <v>#N/A</v>
      </c>
      <c r="O394" t="e">
        <f t="shared" si="6"/>
        <v>#N/A</v>
      </c>
    </row>
    <row r="395" spans="1:15" ht="43.2" hidden="1" x14ac:dyDescent="0.3">
      <c r="A395" t="s">
        <v>6755</v>
      </c>
      <c r="B395" t="s">
        <v>6274</v>
      </c>
      <c r="C395" s="2" t="s">
        <v>6788</v>
      </c>
      <c r="D395" t="s">
        <v>6715</v>
      </c>
      <c r="E395" s="2" t="s">
        <v>6789</v>
      </c>
      <c r="F395" t="s">
        <v>9220</v>
      </c>
      <c r="G395" t="e">
        <f>VLOOKUP($F395, codebooks_data_reordered!$A:$I, 2, FALSE)</f>
        <v>#N/A</v>
      </c>
      <c r="H395" t="e">
        <f>VLOOKUP($F395, codebooks_data_reordered!$A:$I, 3, FALSE)</f>
        <v>#N/A</v>
      </c>
      <c r="I395" t="e">
        <f>VLOOKUP($F395, codebooks_data_reordered!$A:$I, 4, FALSE)</f>
        <v>#N/A</v>
      </c>
      <c r="J395" t="e">
        <f>VLOOKUP($F395, codebooks_data_reordered!$A:$I, 5, FALSE)</f>
        <v>#N/A</v>
      </c>
      <c r="K395" t="e">
        <f>VLOOKUP($F395, codebooks_data_reordered!$A:$I, 6, FALSE)</f>
        <v>#N/A</v>
      </c>
      <c r="L395" t="e">
        <f>VLOOKUP($F395, codebooks_data_reordered!$A:$I, 7, FALSE)</f>
        <v>#N/A</v>
      </c>
      <c r="M395" t="e">
        <f>VLOOKUP($F395, codebooks_data_reordered!$A:$I, 9, FALSE)</f>
        <v>#N/A</v>
      </c>
      <c r="O395" t="e">
        <f t="shared" si="6"/>
        <v>#N/A</v>
      </c>
    </row>
    <row r="396" spans="1:15" ht="43.2" hidden="1" x14ac:dyDescent="0.3">
      <c r="A396" t="s">
        <v>6755</v>
      </c>
      <c r="B396" t="s">
        <v>6790</v>
      </c>
      <c r="C396" s="2" t="s">
        <v>6714</v>
      </c>
      <c r="D396" t="s">
        <v>6715</v>
      </c>
      <c r="E396" s="2" t="s">
        <v>6716</v>
      </c>
      <c r="F396" t="s">
        <v>9221</v>
      </c>
      <c r="G396" t="e">
        <f>VLOOKUP($F396, codebooks_data_reordered!$A:$I, 2, FALSE)</f>
        <v>#N/A</v>
      </c>
      <c r="H396" t="e">
        <f>VLOOKUP($F396, codebooks_data_reordered!$A:$I, 3, FALSE)</f>
        <v>#N/A</v>
      </c>
      <c r="I396" t="e">
        <f>VLOOKUP($F396, codebooks_data_reordered!$A:$I, 4, FALSE)</f>
        <v>#N/A</v>
      </c>
      <c r="J396" t="e">
        <f>VLOOKUP($F396, codebooks_data_reordered!$A:$I, 5, FALSE)</f>
        <v>#N/A</v>
      </c>
      <c r="K396" t="e">
        <f>VLOOKUP($F396, codebooks_data_reordered!$A:$I, 6, FALSE)</f>
        <v>#N/A</v>
      </c>
      <c r="L396" t="e">
        <f>VLOOKUP($F396, codebooks_data_reordered!$A:$I, 7, FALSE)</f>
        <v>#N/A</v>
      </c>
      <c r="M396" t="e">
        <f>VLOOKUP($F396, codebooks_data_reordered!$A:$I, 9, FALSE)</f>
        <v>#N/A</v>
      </c>
      <c r="O396" t="e">
        <f t="shared" si="6"/>
        <v>#N/A</v>
      </c>
    </row>
    <row r="397" spans="1:15" ht="57.6" hidden="1" x14ac:dyDescent="0.3">
      <c r="A397" t="s">
        <v>6755</v>
      </c>
      <c r="B397" t="s">
        <v>6791</v>
      </c>
      <c r="C397" s="2" t="s">
        <v>6792</v>
      </c>
      <c r="D397" t="s">
        <v>6715</v>
      </c>
      <c r="E397" s="2" t="s">
        <v>6793</v>
      </c>
      <c r="F397" t="s">
        <v>260</v>
      </c>
      <c r="G397" t="str">
        <f>VLOOKUP($F397, codebooks_data_reordered!$A:$I, 2, FALSE)</f>
        <v>2006</v>
      </c>
      <c r="H397" t="str">
        <f>VLOOKUP($F397, codebooks_data_reordered!$A:$I, 3, FALSE)</f>
        <v>Support/Rejection of a Group or a Person</v>
      </c>
      <c r="I397" t="str">
        <f>VLOOKUP($F397, codebooks_data_reordered!$A:$I, 4, FALSE)</f>
        <v>1</v>
      </c>
      <c r="J397" t="str">
        <f>VLOOKUP($F397, codebooks_data_reordered!$A:$I, 5, FALSE)</f>
        <v>69-70</v>
      </c>
      <c r="K397" t="str">
        <f>VLOOKUP($F397, codebooks_data_reordered!$A:$I, 6, FALSE)</f>
        <v>Support: Meretz</v>
      </c>
      <c r="L397" t="str">
        <f>VLOOKUP($F397, codebooks_data_reordered!$A:$I, 7, FALSE)</f>
        <v>Here is a scale from 1 to 10 to express support or rejection of a group or a person. '1' describes strong rejection/ hate, and '10' describes strong support/ love.</v>
      </c>
      <c r="M397" t="str">
        <f>VLOOKUP($F397, codebooks_data_reordered!$A:$I, 9, FALSE)</f>
        <v>1: Hate/rejection; 10: Love/support</v>
      </c>
      <c r="O397" s="2" t="str">
        <f t="shared" si="6"/>
        <v>1: Hate/rejection
 10: Love/support</v>
      </c>
    </row>
    <row r="398" spans="1:15" ht="57.6" hidden="1" x14ac:dyDescent="0.3">
      <c r="A398" t="s">
        <v>6755</v>
      </c>
      <c r="B398" t="s">
        <v>6794</v>
      </c>
      <c r="C398" s="2" t="s">
        <v>6795</v>
      </c>
      <c r="D398" t="s">
        <v>5843</v>
      </c>
      <c r="E398" s="2" t="s">
        <v>6796</v>
      </c>
      <c r="F398" t="s">
        <v>9222</v>
      </c>
      <c r="G398" t="e">
        <f>VLOOKUP($F398, codebooks_data_reordered!$A:$I, 2, FALSE)</f>
        <v>#N/A</v>
      </c>
      <c r="H398" t="e">
        <f>VLOOKUP($F398, codebooks_data_reordered!$A:$I, 3, FALSE)</f>
        <v>#N/A</v>
      </c>
      <c r="I398" t="e">
        <f>VLOOKUP($F398, codebooks_data_reordered!$A:$I, 4, FALSE)</f>
        <v>#N/A</v>
      </c>
      <c r="J398" t="e">
        <f>VLOOKUP($F398, codebooks_data_reordered!$A:$I, 5, FALSE)</f>
        <v>#N/A</v>
      </c>
      <c r="K398" t="e">
        <f>VLOOKUP($F398, codebooks_data_reordered!$A:$I, 6, FALSE)</f>
        <v>#N/A</v>
      </c>
      <c r="L398" t="e">
        <f>VLOOKUP($F398, codebooks_data_reordered!$A:$I, 7, FALSE)</f>
        <v>#N/A</v>
      </c>
      <c r="M398" t="e">
        <f>VLOOKUP($F398, codebooks_data_reordered!$A:$I, 9, FALSE)</f>
        <v>#N/A</v>
      </c>
      <c r="N398" t="s">
        <v>9394</v>
      </c>
      <c r="O398" t="e">
        <f t="shared" si="6"/>
        <v>#N/A</v>
      </c>
    </row>
    <row r="399" spans="1:15" ht="43.2" hidden="1" x14ac:dyDescent="0.3">
      <c r="A399" t="s">
        <v>6755</v>
      </c>
      <c r="B399" t="s">
        <v>6797</v>
      </c>
      <c r="C399" s="2" t="s">
        <v>6798</v>
      </c>
      <c r="D399" t="s">
        <v>6715</v>
      </c>
      <c r="E399" s="2" t="s">
        <v>6799</v>
      </c>
      <c r="F399" t="s">
        <v>133</v>
      </c>
      <c r="G399" t="str">
        <f>VLOOKUP($F399, codebooks_data_reordered!$A:$I, 2, FALSE)</f>
        <v>2006</v>
      </c>
      <c r="H399" t="str">
        <f>VLOOKUP($F399, codebooks_data_reordered!$A:$I, 3, FALSE)</f>
        <v>Threat of Different Issues</v>
      </c>
      <c r="I399" t="str">
        <f>VLOOKUP($F399, codebooks_data_reordered!$A:$I, 4, FALSE)</f>
        <v>1</v>
      </c>
      <c r="J399" t="str">
        <f>VLOOKUP($F399, codebooks_data_reordered!$A:$I, 5, FALSE)</f>
        <v>36</v>
      </c>
      <c r="K399" t="str">
        <f>VLOOKUP($F399, codebooks_data_reordered!$A:$I, 6, FALSE)</f>
        <v>Threat of no democracy in Israel</v>
      </c>
      <c r="L399" t="str">
        <f>VLOOKUP($F399, codebooks_data_reordered!$A:$I, 7, FALSE)</f>
        <v>To what extent do you consider each of the following situations as a threat?</v>
      </c>
      <c r="M399" t="str">
        <f>VLOOKUP($F399, codebooks_data_reordered!$A:$I, 9, FALSE)</f>
        <v>1: Not at all threatening; 7: Very threatening</v>
      </c>
      <c r="O399" s="2" t="str">
        <f t="shared" si="6"/>
        <v>1: Not at all threatening
 7: Very threatening</v>
      </c>
    </row>
    <row r="400" spans="1:15" ht="28.8" hidden="1" x14ac:dyDescent="0.3">
      <c r="A400" t="s">
        <v>6755</v>
      </c>
      <c r="B400" t="s">
        <v>6800</v>
      </c>
      <c r="C400" s="2" t="s">
        <v>6785</v>
      </c>
      <c r="D400" t="s">
        <v>5906</v>
      </c>
      <c r="E400" s="2" t="s">
        <v>6786</v>
      </c>
      <c r="F400" t="s">
        <v>9223</v>
      </c>
      <c r="G400" t="e">
        <f>VLOOKUP($F400, codebooks_data_reordered!$A:$I, 2, FALSE)</f>
        <v>#N/A</v>
      </c>
      <c r="H400" t="e">
        <f>VLOOKUP($F400, codebooks_data_reordered!$A:$I, 3, FALSE)</f>
        <v>#N/A</v>
      </c>
      <c r="I400" t="e">
        <f>VLOOKUP($F400, codebooks_data_reordered!$A:$I, 4, FALSE)</f>
        <v>#N/A</v>
      </c>
      <c r="J400" t="e">
        <f>VLOOKUP($F400, codebooks_data_reordered!$A:$I, 5, FALSE)</f>
        <v>#N/A</v>
      </c>
      <c r="K400" t="e">
        <f>VLOOKUP($F400, codebooks_data_reordered!$A:$I, 6, FALSE)</f>
        <v>#N/A</v>
      </c>
      <c r="L400" t="e">
        <f>VLOOKUP($F400, codebooks_data_reordered!$A:$I, 7, FALSE)</f>
        <v>#N/A</v>
      </c>
      <c r="M400" t="e">
        <f>VLOOKUP($F400, codebooks_data_reordered!$A:$I, 9, FALSE)</f>
        <v>#N/A</v>
      </c>
      <c r="O400" t="e">
        <f t="shared" si="6"/>
        <v>#N/A</v>
      </c>
    </row>
    <row r="401" spans="1:15" ht="28.8" hidden="1" x14ac:dyDescent="0.3">
      <c r="A401" t="s">
        <v>6755</v>
      </c>
      <c r="B401" t="s">
        <v>5904</v>
      </c>
      <c r="C401" s="2" t="s">
        <v>6785</v>
      </c>
      <c r="D401" t="s">
        <v>5906</v>
      </c>
      <c r="E401" s="2" t="s">
        <v>6786</v>
      </c>
      <c r="F401" t="s">
        <v>9224</v>
      </c>
      <c r="G401" t="e">
        <f>VLOOKUP($F401, codebooks_data_reordered!$A:$I, 2, FALSE)</f>
        <v>#N/A</v>
      </c>
      <c r="H401" t="e">
        <f>VLOOKUP($F401, codebooks_data_reordered!$A:$I, 3, FALSE)</f>
        <v>#N/A</v>
      </c>
      <c r="I401" t="e">
        <f>VLOOKUP($F401, codebooks_data_reordered!$A:$I, 4, FALSE)</f>
        <v>#N/A</v>
      </c>
      <c r="J401" t="e">
        <f>VLOOKUP($F401, codebooks_data_reordered!$A:$I, 5, FALSE)</f>
        <v>#N/A</v>
      </c>
      <c r="K401" t="e">
        <f>VLOOKUP($F401, codebooks_data_reordered!$A:$I, 6, FALSE)</f>
        <v>#N/A</v>
      </c>
      <c r="L401" t="e">
        <f>VLOOKUP($F401, codebooks_data_reordered!$A:$I, 7, FALSE)</f>
        <v>#N/A</v>
      </c>
      <c r="M401" t="e">
        <f>VLOOKUP($F401, codebooks_data_reordered!$A:$I, 9, FALSE)</f>
        <v>#N/A</v>
      </c>
      <c r="O401" t="e">
        <f t="shared" si="6"/>
        <v>#N/A</v>
      </c>
    </row>
    <row r="402" spans="1:15" ht="28.8" hidden="1" x14ac:dyDescent="0.3">
      <c r="A402" t="s">
        <v>6755</v>
      </c>
      <c r="B402" t="s">
        <v>5923</v>
      </c>
      <c r="C402" s="2" t="s">
        <v>6785</v>
      </c>
      <c r="D402" t="s">
        <v>5906</v>
      </c>
      <c r="E402" s="2" t="s">
        <v>6786</v>
      </c>
      <c r="F402" t="s">
        <v>9225</v>
      </c>
      <c r="G402" t="e">
        <f>VLOOKUP($F402, codebooks_data_reordered!$A:$I, 2, FALSE)</f>
        <v>#N/A</v>
      </c>
      <c r="H402" t="e">
        <f>VLOOKUP($F402, codebooks_data_reordered!$A:$I, 3, FALSE)</f>
        <v>#N/A</v>
      </c>
      <c r="I402" t="e">
        <f>VLOOKUP($F402, codebooks_data_reordered!$A:$I, 4, FALSE)</f>
        <v>#N/A</v>
      </c>
      <c r="J402" t="e">
        <f>VLOOKUP($F402, codebooks_data_reordered!$A:$I, 5, FALSE)</f>
        <v>#N/A</v>
      </c>
      <c r="K402" t="e">
        <f>VLOOKUP($F402, codebooks_data_reordered!$A:$I, 6, FALSE)</f>
        <v>#N/A</v>
      </c>
      <c r="L402" t="e">
        <f>VLOOKUP($F402, codebooks_data_reordered!$A:$I, 7, FALSE)</f>
        <v>#N/A</v>
      </c>
      <c r="M402" t="e">
        <f>VLOOKUP($F402, codebooks_data_reordered!$A:$I, 9, FALSE)</f>
        <v>#N/A</v>
      </c>
      <c r="O402" t="e">
        <f t="shared" si="6"/>
        <v>#N/A</v>
      </c>
    </row>
    <row r="403" spans="1:15" ht="43.2" hidden="1" x14ac:dyDescent="0.3">
      <c r="A403" t="s">
        <v>6755</v>
      </c>
      <c r="B403" t="s">
        <v>6801</v>
      </c>
      <c r="C403" s="2" t="s">
        <v>6802</v>
      </c>
      <c r="D403" t="s">
        <v>5843</v>
      </c>
      <c r="E403" s="2" t="s">
        <v>6803</v>
      </c>
      <c r="F403" t="s">
        <v>9226</v>
      </c>
      <c r="G403" t="e">
        <f>VLOOKUP($F403, codebooks_data_reordered!$A:$I, 2, FALSE)</f>
        <v>#N/A</v>
      </c>
      <c r="H403" t="e">
        <f>VLOOKUP($F403, codebooks_data_reordered!$A:$I, 3, FALSE)</f>
        <v>#N/A</v>
      </c>
      <c r="I403" t="e">
        <f>VLOOKUP($F403, codebooks_data_reordered!$A:$I, 4, FALSE)</f>
        <v>#N/A</v>
      </c>
      <c r="J403" t="e">
        <f>VLOOKUP($F403, codebooks_data_reordered!$A:$I, 5, FALSE)</f>
        <v>#N/A</v>
      </c>
      <c r="K403" t="e">
        <f>VLOOKUP($F403, codebooks_data_reordered!$A:$I, 6, FALSE)</f>
        <v>#N/A</v>
      </c>
      <c r="L403" t="e">
        <f>VLOOKUP($F403, codebooks_data_reordered!$A:$I, 7, FALSE)</f>
        <v>#N/A</v>
      </c>
      <c r="M403" t="e">
        <f>VLOOKUP($F403, codebooks_data_reordered!$A:$I, 9, FALSE)</f>
        <v>#N/A</v>
      </c>
      <c r="O403" t="e">
        <f t="shared" si="6"/>
        <v>#N/A</v>
      </c>
    </row>
    <row r="404" spans="1:15" ht="43.2" hidden="1" x14ac:dyDescent="0.3">
      <c r="A404" t="s">
        <v>6755</v>
      </c>
      <c r="B404" t="s">
        <v>6804</v>
      </c>
      <c r="C404" s="2" t="s">
        <v>6805</v>
      </c>
      <c r="D404" t="s">
        <v>5906</v>
      </c>
      <c r="E404" s="2" t="s">
        <v>6806</v>
      </c>
      <c r="F404" t="s">
        <v>9227</v>
      </c>
      <c r="G404" t="e">
        <f>VLOOKUP($F404, codebooks_data_reordered!$A:$I, 2, FALSE)</f>
        <v>#N/A</v>
      </c>
      <c r="H404" t="e">
        <f>VLOOKUP($F404, codebooks_data_reordered!$A:$I, 3, FALSE)</f>
        <v>#N/A</v>
      </c>
      <c r="I404" t="e">
        <f>VLOOKUP($F404, codebooks_data_reordered!$A:$I, 4, FALSE)</f>
        <v>#N/A</v>
      </c>
      <c r="J404" t="e">
        <f>VLOOKUP($F404, codebooks_data_reordered!$A:$I, 5, FALSE)</f>
        <v>#N/A</v>
      </c>
      <c r="K404" t="e">
        <f>VLOOKUP($F404, codebooks_data_reordered!$A:$I, 6, FALSE)</f>
        <v>#N/A</v>
      </c>
      <c r="L404" t="e">
        <f>VLOOKUP($F404, codebooks_data_reordered!$A:$I, 7, FALSE)</f>
        <v>#N/A</v>
      </c>
      <c r="M404" t="e">
        <f>VLOOKUP($F404, codebooks_data_reordered!$A:$I, 9, FALSE)</f>
        <v>#N/A</v>
      </c>
      <c r="O404" t="e">
        <f t="shared" si="6"/>
        <v>#N/A</v>
      </c>
    </row>
    <row r="405" spans="1:15" ht="28.8" hidden="1" x14ac:dyDescent="0.3">
      <c r="A405" t="s">
        <v>6755</v>
      </c>
      <c r="B405" t="s">
        <v>6807</v>
      </c>
      <c r="C405" s="2" t="s">
        <v>6808</v>
      </c>
      <c r="D405" t="s">
        <v>5906</v>
      </c>
      <c r="E405" s="2" t="s">
        <v>6809</v>
      </c>
      <c r="F405" t="s">
        <v>9228</v>
      </c>
      <c r="G405" t="e">
        <f>VLOOKUP($F405, codebooks_data_reordered!$A:$I, 2, FALSE)</f>
        <v>#N/A</v>
      </c>
      <c r="H405" t="e">
        <f>VLOOKUP($F405, codebooks_data_reordered!$A:$I, 3, FALSE)</f>
        <v>#N/A</v>
      </c>
      <c r="I405" t="e">
        <f>VLOOKUP($F405, codebooks_data_reordered!$A:$I, 4, FALSE)</f>
        <v>#N/A</v>
      </c>
      <c r="J405" t="e">
        <f>VLOOKUP($F405, codebooks_data_reordered!$A:$I, 5, FALSE)</f>
        <v>#N/A</v>
      </c>
      <c r="K405" t="e">
        <f>VLOOKUP($F405, codebooks_data_reordered!$A:$I, 6, FALSE)</f>
        <v>#N/A</v>
      </c>
      <c r="L405" t="e">
        <f>VLOOKUP($F405, codebooks_data_reordered!$A:$I, 7, FALSE)</f>
        <v>#N/A</v>
      </c>
      <c r="M405" t="e">
        <f>VLOOKUP($F405, codebooks_data_reordered!$A:$I, 9, FALSE)</f>
        <v>#N/A</v>
      </c>
      <c r="O405" t="e">
        <f t="shared" si="6"/>
        <v>#N/A</v>
      </c>
    </row>
    <row r="406" spans="1:15" ht="28.8" hidden="1" x14ac:dyDescent="0.3">
      <c r="A406" t="s">
        <v>6755</v>
      </c>
      <c r="B406" t="s">
        <v>6810</v>
      </c>
      <c r="C406" s="2" t="s">
        <v>6808</v>
      </c>
      <c r="D406" t="s">
        <v>5906</v>
      </c>
      <c r="E406" s="2" t="s">
        <v>6809</v>
      </c>
      <c r="F406" t="s">
        <v>9229</v>
      </c>
      <c r="G406" t="e">
        <f>VLOOKUP($F406, codebooks_data_reordered!$A:$I, 2, FALSE)</f>
        <v>#N/A</v>
      </c>
      <c r="H406" t="e">
        <f>VLOOKUP($F406, codebooks_data_reordered!$A:$I, 3, FALSE)</f>
        <v>#N/A</v>
      </c>
      <c r="I406" t="e">
        <f>VLOOKUP($F406, codebooks_data_reordered!$A:$I, 4, FALSE)</f>
        <v>#N/A</v>
      </c>
      <c r="J406" t="e">
        <f>VLOOKUP($F406, codebooks_data_reordered!$A:$I, 5, FALSE)</f>
        <v>#N/A</v>
      </c>
      <c r="K406" t="e">
        <f>VLOOKUP($F406, codebooks_data_reordered!$A:$I, 6, FALSE)</f>
        <v>#N/A</v>
      </c>
      <c r="L406" t="e">
        <f>VLOOKUP($F406, codebooks_data_reordered!$A:$I, 7, FALSE)</f>
        <v>#N/A</v>
      </c>
      <c r="M406" t="e">
        <f>VLOOKUP($F406, codebooks_data_reordered!$A:$I, 9, FALSE)</f>
        <v>#N/A</v>
      </c>
      <c r="O406" t="e">
        <f t="shared" si="6"/>
        <v>#N/A</v>
      </c>
    </row>
    <row r="407" spans="1:15" ht="28.8" hidden="1" x14ac:dyDescent="0.3">
      <c r="A407" t="s">
        <v>6755</v>
      </c>
      <c r="B407" t="s">
        <v>6811</v>
      </c>
      <c r="C407" s="2" t="s">
        <v>6812</v>
      </c>
      <c r="D407" t="s">
        <v>5906</v>
      </c>
      <c r="E407" s="2" t="s">
        <v>6813</v>
      </c>
      <c r="F407" t="s">
        <v>9230</v>
      </c>
      <c r="G407" t="e">
        <f>VLOOKUP($F407, codebooks_data_reordered!$A:$I, 2, FALSE)</f>
        <v>#N/A</v>
      </c>
      <c r="H407" t="e">
        <f>VLOOKUP($F407, codebooks_data_reordered!$A:$I, 3, FALSE)</f>
        <v>#N/A</v>
      </c>
      <c r="I407" t="e">
        <f>VLOOKUP($F407, codebooks_data_reordered!$A:$I, 4, FALSE)</f>
        <v>#N/A</v>
      </c>
      <c r="J407" t="e">
        <f>VLOOKUP($F407, codebooks_data_reordered!$A:$I, 5, FALSE)</f>
        <v>#N/A</v>
      </c>
      <c r="K407" t="e">
        <f>VLOOKUP($F407, codebooks_data_reordered!$A:$I, 6, FALSE)</f>
        <v>#N/A</v>
      </c>
      <c r="L407" t="e">
        <f>VLOOKUP($F407, codebooks_data_reordered!$A:$I, 7, FALSE)</f>
        <v>#N/A</v>
      </c>
      <c r="M407" t="e">
        <f>VLOOKUP($F407, codebooks_data_reordered!$A:$I, 9, FALSE)</f>
        <v>#N/A</v>
      </c>
      <c r="O407" t="e">
        <f t="shared" si="6"/>
        <v>#N/A</v>
      </c>
    </row>
    <row r="408" spans="1:15" ht="28.8" hidden="1" x14ac:dyDescent="0.3">
      <c r="A408" t="s">
        <v>6755</v>
      </c>
      <c r="B408" t="s">
        <v>6814</v>
      </c>
      <c r="C408" s="2" t="s">
        <v>6812</v>
      </c>
      <c r="D408" t="s">
        <v>5906</v>
      </c>
      <c r="E408" s="2" t="s">
        <v>6813</v>
      </c>
      <c r="F408" t="s">
        <v>9231</v>
      </c>
      <c r="G408" t="e">
        <f>VLOOKUP($F408, codebooks_data_reordered!$A:$I, 2, FALSE)</f>
        <v>#N/A</v>
      </c>
      <c r="H408" t="e">
        <f>VLOOKUP($F408, codebooks_data_reordered!$A:$I, 3, FALSE)</f>
        <v>#N/A</v>
      </c>
      <c r="I408" t="e">
        <f>VLOOKUP($F408, codebooks_data_reordered!$A:$I, 4, FALSE)</f>
        <v>#N/A</v>
      </c>
      <c r="J408" t="e">
        <f>VLOOKUP($F408, codebooks_data_reordered!$A:$I, 5, FALSE)</f>
        <v>#N/A</v>
      </c>
      <c r="K408" t="e">
        <f>VLOOKUP($F408, codebooks_data_reordered!$A:$I, 6, FALSE)</f>
        <v>#N/A</v>
      </c>
      <c r="L408" t="e">
        <f>VLOOKUP($F408, codebooks_data_reordered!$A:$I, 7, FALSE)</f>
        <v>#N/A</v>
      </c>
      <c r="M408" t="e">
        <f>VLOOKUP($F408, codebooks_data_reordered!$A:$I, 9, FALSE)</f>
        <v>#N/A</v>
      </c>
      <c r="O408" t="e">
        <f t="shared" si="6"/>
        <v>#N/A</v>
      </c>
    </row>
    <row r="409" spans="1:15" ht="28.8" hidden="1" x14ac:dyDescent="0.3">
      <c r="A409" t="s">
        <v>6755</v>
      </c>
      <c r="B409" t="s">
        <v>5961</v>
      </c>
      <c r="C409" s="2" t="s">
        <v>6812</v>
      </c>
      <c r="D409" t="s">
        <v>5906</v>
      </c>
      <c r="E409" s="2" t="s">
        <v>6813</v>
      </c>
      <c r="F409" t="s">
        <v>9232</v>
      </c>
      <c r="G409" t="e">
        <f>VLOOKUP($F409, codebooks_data_reordered!$A:$I, 2, FALSE)</f>
        <v>#N/A</v>
      </c>
      <c r="H409" t="e">
        <f>VLOOKUP($F409, codebooks_data_reordered!$A:$I, 3, FALSE)</f>
        <v>#N/A</v>
      </c>
      <c r="I409" t="e">
        <f>VLOOKUP($F409, codebooks_data_reordered!$A:$I, 4, FALSE)</f>
        <v>#N/A</v>
      </c>
      <c r="J409" t="e">
        <f>VLOOKUP($F409, codebooks_data_reordered!$A:$I, 5, FALSE)</f>
        <v>#N/A</v>
      </c>
      <c r="K409" t="e">
        <f>VLOOKUP($F409, codebooks_data_reordered!$A:$I, 6, FALSE)</f>
        <v>#N/A</v>
      </c>
      <c r="L409" t="e">
        <f>VLOOKUP($F409, codebooks_data_reordered!$A:$I, 7, FALSE)</f>
        <v>#N/A</v>
      </c>
      <c r="M409" t="e">
        <f>VLOOKUP($F409, codebooks_data_reordered!$A:$I, 9, FALSE)</f>
        <v>#N/A</v>
      </c>
      <c r="O409" t="e">
        <f t="shared" si="6"/>
        <v>#N/A</v>
      </c>
    </row>
    <row r="410" spans="1:15" ht="28.8" hidden="1" x14ac:dyDescent="0.3">
      <c r="A410" t="s">
        <v>6755</v>
      </c>
      <c r="B410" t="s">
        <v>5965</v>
      </c>
      <c r="C410" s="2" t="s">
        <v>6812</v>
      </c>
      <c r="D410" t="s">
        <v>5906</v>
      </c>
      <c r="E410" s="2" t="s">
        <v>6813</v>
      </c>
      <c r="F410" t="s">
        <v>9233</v>
      </c>
      <c r="G410" t="e">
        <f>VLOOKUP($F410, codebooks_data_reordered!$A:$I, 2, FALSE)</f>
        <v>#N/A</v>
      </c>
      <c r="H410" t="e">
        <f>VLOOKUP($F410, codebooks_data_reordered!$A:$I, 3, FALSE)</f>
        <v>#N/A</v>
      </c>
      <c r="I410" t="e">
        <f>VLOOKUP($F410, codebooks_data_reordered!$A:$I, 4, FALSE)</f>
        <v>#N/A</v>
      </c>
      <c r="J410" t="e">
        <f>VLOOKUP($F410, codebooks_data_reordered!$A:$I, 5, FALSE)</f>
        <v>#N/A</v>
      </c>
      <c r="K410" t="e">
        <f>VLOOKUP($F410, codebooks_data_reordered!$A:$I, 6, FALSE)</f>
        <v>#N/A</v>
      </c>
      <c r="L410" t="e">
        <f>VLOOKUP($F410, codebooks_data_reordered!$A:$I, 7, FALSE)</f>
        <v>#N/A</v>
      </c>
      <c r="M410" t="e">
        <f>VLOOKUP($F410, codebooks_data_reordered!$A:$I, 9, FALSE)</f>
        <v>#N/A</v>
      </c>
      <c r="O410" t="e">
        <f t="shared" si="6"/>
        <v>#N/A</v>
      </c>
    </row>
    <row r="411" spans="1:15" ht="57.6" hidden="1" x14ac:dyDescent="0.3">
      <c r="A411" t="s">
        <v>6755</v>
      </c>
      <c r="B411" t="s">
        <v>6815</v>
      </c>
      <c r="C411" s="2" t="s">
        <v>6816</v>
      </c>
      <c r="D411" t="s">
        <v>5843</v>
      </c>
      <c r="E411" s="2" t="s">
        <v>6817</v>
      </c>
      <c r="F411" t="s">
        <v>9234</v>
      </c>
      <c r="G411" t="e">
        <f>VLOOKUP($F411, codebooks_data_reordered!$A:$I, 2, FALSE)</f>
        <v>#N/A</v>
      </c>
      <c r="H411" t="e">
        <f>VLOOKUP($F411, codebooks_data_reordered!$A:$I, 3, FALSE)</f>
        <v>#N/A</v>
      </c>
      <c r="I411" t="e">
        <f>VLOOKUP($F411, codebooks_data_reordered!$A:$I, 4, FALSE)</f>
        <v>#N/A</v>
      </c>
      <c r="J411" t="e">
        <f>VLOOKUP($F411, codebooks_data_reordered!$A:$I, 5, FALSE)</f>
        <v>#N/A</v>
      </c>
      <c r="K411" t="e">
        <f>VLOOKUP($F411, codebooks_data_reordered!$A:$I, 6, FALSE)</f>
        <v>#N/A</v>
      </c>
      <c r="L411" t="e">
        <f>VLOOKUP($F411, codebooks_data_reordered!$A:$I, 7, FALSE)</f>
        <v>#N/A</v>
      </c>
      <c r="M411" t="e">
        <f>VLOOKUP($F411, codebooks_data_reordered!$A:$I, 9, FALSE)</f>
        <v>#N/A</v>
      </c>
      <c r="O411" t="e">
        <f t="shared" si="6"/>
        <v>#N/A</v>
      </c>
    </row>
    <row r="412" spans="1:15" ht="115.2" hidden="1" x14ac:dyDescent="0.3">
      <c r="A412" t="s">
        <v>6755</v>
      </c>
      <c r="B412" t="s">
        <v>6003</v>
      </c>
      <c r="C412" s="2" t="s">
        <v>6818</v>
      </c>
      <c r="D412" t="s">
        <v>5843</v>
      </c>
      <c r="E412" s="2" t="s">
        <v>6819</v>
      </c>
      <c r="F412" t="s">
        <v>1865</v>
      </c>
      <c r="G412" t="str">
        <f>VLOOKUP($F412, codebooks_data_reordered!$A:$I, 2, FALSE)</f>
        <v>1999_1</v>
      </c>
      <c r="H412" t="str">
        <f>VLOOKUP($F412, codebooks_data_reordered!$A:$I, 3, FALSE)</f>
        <v>ATTITUDES TOWARD CANDIDATES AND PARTIES</v>
      </c>
      <c r="I412" t="str">
        <f>VLOOKUP($F412, codebooks_data_reordered!$A:$I, 4, FALSE)</f>
        <v>1</v>
      </c>
      <c r="J412" t="str">
        <f>VLOOKUP($F412, codebooks_data_reordered!$A:$I, 5, FALSE)</f>
        <v>55</v>
      </c>
      <c r="K412" t="str">
        <f>VLOOKUP($F412, codebooks_data_reordered!$A:$I, 6, FALSE)</f>
        <v>Extend of support for Azmi Bashara</v>
      </c>
      <c r="L412" t="str">
        <f>VLOOKUP($F412, codebooks_data_reordered!$A:$I, 7, FALSE)</f>
        <v>Extent of support on 1-10 scale, 1=total rejection, 10=strong support</v>
      </c>
      <c r="M412" t="str">
        <f>VLOOKUP($F412, codebooks_data_reordered!$A:$I, 9, FALSE)</f>
        <v>1: Totally reject; 10: Strongly support</v>
      </c>
      <c r="O412" s="2" t="str">
        <f t="shared" si="6"/>
        <v>1: Totally reject
 10: Strongly support</v>
      </c>
    </row>
    <row r="413" spans="1:15" ht="28.8" hidden="1" x14ac:dyDescent="0.3">
      <c r="A413" t="s">
        <v>6755</v>
      </c>
      <c r="B413" t="s">
        <v>6820</v>
      </c>
      <c r="C413" s="2" t="s">
        <v>6821</v>
      </c>
      <c r="D413" t="s">
        <v>5906</v>
      </c>
      <c r="E413" s="2" t="s">
        <v>6822</v>
      </c>
      <c r="F413" t="s">
        <v>9235</v>
      </c>
      <c r="G413" t="e">
        <f>VLOOKUP($F413, codebooks_data_reordered!$A:$I, 2, FALSE)</f>
        <v>#N/A</v>
      </c>
      <c r="H413" t="e">
        <f>VLOOKUP($F413, codebooks_data_reordered!$A:$I, 3, FALSE)</f>
        <v>#N/A</v>
      </c>
      <c r="I413" t="e">
        <f>VLOOKUP($F413, codebooks_data_reordered!$A:$I, 4, FALSE)</f>
        <v>#N/A</v>
      </c>
      <c r="J413" t="e">
        <f>VLOOKUP($F413, codebooks_data_reordered!$A:$I, 5, FALSE)</f>
        <v>#N/A</v>
      </c>
      <c r="K413" t="e">
        <f>VLOOKUP($F413, codebooks_data_reordered!$A:$I, 6, FALSE)</f>
        <v>#N/A</v>
      </c>
      <c r="L413" t="e">
        <f>VLOOKUP($F413, codebooks_data_reordered!$A:$I, 7, FALSE)</f>
        <v>#N/A</v>
      </c>
      <c r="M413" t="e">
        <f>VLOOKUP($F413, codebooks_data_reordered!$A:$I, 9, FALSE)</f>
        <v>#N/A</v>
      </c>
      <c r="O413" t="e">
        <f t="shared" si="6"/>
        <v>#N/A</v>
      </c>
    </row>
    <row r="414" spans="1:15" ht="57.6" hidden="1" x14ac:dyDescent="0.3">
      <c r="A414" t="s">
        <v>6755</v>
      </c>
      <c r="B414" t="s">
        <v>6823</v>
      </c>
      <c r="C414" s="2" t="s">
        <v>6765</v>
      </c>
      <c r="D414" t="s">
        <v>5843</v>
      </c>
      <c r="E414" s="2" t="s">
        <v>6766</v>
      </c>
      <c r="F414" t="s">
        <v>148</v>
      </c>
      <c r="G414" t="str">
        <f>VLOOKUP($F414, codebooks_data_reordered!$A:$I, 2, FALSE)</f>
        <v>2006</v>
      </c>
      <c r="H414" t="str">
        <f>VLOOKUP($F414, codebooks_data_reordered!$A:$I, 3, FALSE)</f>
        <v>Threat of Different Issues</v>
      </c>
      <c r="I414" t="str">
        <f>VLOOKUP($F414, codebooks_data_reordered!$A:$I, 4, FALSE)</f>
        <v>1</v>
      </c>
      <c r="J414" t="str">
        <f>VLOOKUP($F414, codebooks_data_reordered!$A:$I, 5, FALSE)</f>
        <v>41</v>
      </c>
      <c r="K414" t="str">
        <f>VLOOKUP($F414, codebooks_data_reordered!$A:$I, 6, FALSE)</f>
        <v>Threat of war with Syria</v>
      </c>
      <c r="L414" t="str">
        <f>VLOOKUP($F414, codebooks_data_reordered!$A:$I, 7, FALSE)</f>
        <v>To what extent do you consider each of the following situations as a threat?</v>
      </c>
      <c r="M414" t="str">
        <f>VLOOKUP($F414, codebooks_data_reordered!$A:$I, 9, FALSE)</f>
        <v>1: Not at all threatening; 7: Very threatening</v>
      </c>
      <c r="O414" s="2" t="str">
        <f t="shared" si="6"/>
        <v>1: Not at all threatening
 7: Very threatening</v>
      </c>
    </row>
    <row r="415" spans="1:15" ht="57.6" hidden="1" x14ac:dyDescent="0.3">
      <c r="A415" t="s">
        <v>6755</v>
      </c>
      <c r="B415" t="s">
        <v>6824</v>
      </c>
      <c r="C415" s="2" t="s">
        <v>6825</v>
      </c>
      <c r="D415" t="s">
        <v>5843</v>
      </c>
      <c r="E415" s="2" t="s">
        <v>6826</v>
      </c>
      <c r="F415" t="s">
        <v>203</v>
      </c>
      <c r="G415" t="str">
        <f>VLOOKUP($F415, codebooks_data_reordered!$A:$I, 2, FALSE)</f>
        <v>2006</v>
      </c>
      <c r="H415" t="str">
        <f>VLOOKUP($F415, codebooks_data_reordered!$A:$I, 3, FALSE)</f>
        <v>Agree/Disagree with the Different Statements</v>
      </c>
      <c r="I415" t="str">
        <f>VLOOKUP($F415, codebooks_data_reordered!$A:$I, 4, FALSE)</f>
        <v>1</v>
      </c>
      <c r="J415" t="str">
        <f>VLOOKUP($F415, codebooks_data_reordered!$A:$I, 5, FALSE)</f>
        <v>52</v>
      </c>
      <c r="K415" t="str">
        <f>VLOOKUP($F415, codebooks_data_reordered!$A:$I, 6, FALSE)</f>
        <v>Politicians tend not to consider the opinion of the citizen</v>
      </c>
      <c r="L415" t="str">
        <f>VLOOKUP($F415, codebooks_data_reordered!$A:$I, 7, FALSE)</f>
        <v>To what extent do you agree or disagree with the following statements? 47. A politician tends not to consider the opinion of the simple citizen</v>
      </c>
      <c r="M415" t="str">
        <f>VLOOKUP($F415, codebooks_data_reordered!$A:$I, 9, FALSE)</f>
        <v>1: Definitely disagree; 2: Disagree; 3: Agree; 4: Definitely agree</v>
      </c>
      <c r="O415" s="2" t="str">
        <f t="shared" si="6"/>
        <v>1: Definitely disagree
 2: Disagree
 3: Agree
 4: Definitely agree</v>
      </c>
    </row>
    <row r="416" spans="1:15" ht="86.4" hidden="1" x14ac:dyDescent="0.3">
      <c r="A416" t="s">
        <v>6755</v>
      </c>
      <c r="B416" t="s">
        <v>6827</v>
      </c>
      <c r="C416" s="2" t="s">
        <v>6828</v>
      </c>
      <c r="D416" t="s">
        <v>5843</v>
      </c>
      <c r="E416" s="2" t="s">
        <v>6829</v>
      </c>
      <c r="F416" t="s">
        <v>9236</v>
      </c>
      <c r="G416" t="e">
        <f>VLOOKUP($F416, codebooks_data_reordered!$A:$I, 2, FALSE)</f>
        <v>#N/A</v>
      </c>
      <c r="H416" t="e">
        <f>VLOOKUP($F416, codebooks_data_reordered!$A:$I, 3, FALSE)</f>
        <v>#N/A</v>
      </c>
      <c r="I416" t="e">
        <f>VLOOKUP($F416, codebooks_data_reordered!$A:$I, 4, FALSE)</f>
        <v>#N/A</v>
      </c>
      <c r="J416" t="e">
        <f>VLOOKUP($F416, codebooks_data_reordered!$A:$I, 5, FALSE)</f>
        <v>#N/A</v>
      </c>
      <c r="K416" t="e">
        <f>VLOOKUP($F416, codebooks_data_reordered!$A:$I, 6, FALSE)</f>
        <v>#N/A</v>
      </c>
      <c r="L416" t="e">
        <f>VLOOKUP($F416, codebooks_data_reordered!$A:$I, 7, FALSE)</f>
        <v>#N/A</v>
      </c>
      <c r="M416" t="e">
        <f>VLOOKUP($F416, codebooks_data_reordered!$A:$I, 9, FALSE)</f>
        <v>#N/A</v>
      </c>
      <c r="O416" t="e">
        <f t="shared" si="6"/>
        <v>#N/A</v>
      </c>
    </row>
    <row r="417" spans="1:15" ht="28.8" hidden="1" x14ac:dyDescent="0.3">
      <c r="A417" t="s">
        <v>6755</v>
      </c>
      <c r="B417" t="s">
        <v>6830</v>
      </c>
      <c r="C417" s="2" t="s">
        <v>6831</v>
      </c>
      <c r="D417" t="s">
        <v>5906</v>
      </c>
      <c r="E417" s="2" t="s">
        <v>6832</v>
      </c>
      <c r="F417" t="s">
        <v>9237</v>
      </c>
      <c r="G417" t="e">
        <f>VLOOKUP($F417, codebooks_data_reordered!$A:$I, 2, FALSE)</f>
        <v>#N/A</v>
      </c>
      <c r="H417" t="e">
        <f>VLOOKUP($F417, codebooks_data_reordered!$A:$I, 3, FALSE)</f>
        <v>#N/A</v>
      </c>
      <c r="I417" t="e">
        <f>VLOOKUP($F417, codebooks_data_reordered!$A:$I, 4, FALSE)</f>
        <v>#N/A</v>
      </c>
      <c r="J417" t="e">
        <f>VLOOKUP($F417, codebooks_data_reordered!$A:$I, 5, FALSE)</f>
        <v>#N/A</v>
      </c>
      <c r="K417" t="e">
        <f>VLOOKUP($F417, codebooks_data_reordered!$A:$I, 6, FALSE)</f>
        <v>#N/A</v>
      </c>
      <c r="L417" t="e">
        <f>VLOOKUP($F417, codebooks_data_reordered!$A:$I, 7, FALSE)</f>
        <v>#N/A</v>
      </c>
      <c r="M417" t="e">
        <f>VLOOKUP($F417, codebooks_data_reordered!$A:$I, 9, FALSE)</f>
        <v>#N/A</v>
      </c>
      <c r="O417" t="e">
        <f t="shared" si="6"/>
        <v>#N/A</v>
      </c>
    </row>
    <row r="418" spans="1:15" ht="43.2" hidden="1" x14ac:dyDescent="0.3">
      <c r="A418" t="s">
        <v>6755</v>
      </c>
      <c r="B418" t="s">
        <v>6833</v>
      </c>
      <c r="C418" s="2" t="s">
        <v>6834</v>
      </c>
      <c r="D418" t="s">
        <v>5906</v>
      </c>
      <c r="E418" s="2" t="s">
        <v>6835</v>
      </c>
      <c r="F418" t="s">
        <v>9238</v>
      </c>
      <c r="G418" t="e">
        <f>VLOOKUP($F418, codebooks_data_reordered!$A:$I, 2, FALSE)</f>
        <v>#N/A</v>
      </c>
      <c r="H418" t="e">
        <f>VLOOKUP($F418, codebooks_data_reordered!$A:$I, 3, FALSE)</f>
        <v>#N/A</v>
      </c>
      <c r="I418" t="e">
        <f>VLOOKUP($F418, codebooks_data_reordered!$A:$I, 4, FALSE)</f>
        <v>#N/A</v>
      </c>
      <c r="J418" t="e">
        <f>VLOOKUP($F418, codebooks_data_reordered!$A:$I, 5, FALSE)</f>
        <v>#N/A</v>
      </c>
      <c r="K418" t="e">
        <f>VLOOKUP($F418, codebooks_data_reordered!$A:$I, 6, FALSE)</f>
        <v>#N/A</v>
      </c>
      <c r="L418" t="e">
        <f>VLOOKUP($F418, codebooks_data_reordered!$A:$I, 7, FALSE)</f>
        <v>#N/A</v>
      </c>
      <c r="M418" t="e">
        <f>VLOOKUP($F418, codebooks_data_reordered!$A:$I, 9, FALSE)</f>
        <v>#N/A</v>
      </c>
      <c r="O418" t="e">
        <f t="shared" si="6"/>
        <v>#N/A</v>
      </c>
    </row>
    <row r="419" spans="1:15" ht="28.8" hidden="1" x14ac:dyDescent="0.3">
      <c r="A419" t="s">
        <v>6755</v>
      </c>
      <c r="B419" t="s">
        <v>6836</v>
      </c>
      <c r="C419" s="2" t="s">
        <v>6831</v>
      </c>
      <c r="D419" t="s">
        <v>5906</v>
      </c>
      <c r="E419" s="2" t="s">
        <v>6832</v>
      </c>
      <c r="F419" t="s">
        <v>9239</v>
      </c>
      <c r="G419" t="e">
        <f>VLOOKUP($F419, codebooks_data_reordered!$A:$I, 2, FALSE)</f>
        <v>#N/A</v>
      </c>
      <c r="H419" t="e">
        <f>VLOOKUP($F419, codebooks_data_reordered!$A:$I, 3, FALSE)</f>
        <v>#N/A</v>
      </c>
      <c r="I419" t="e">
        <f>VLOOKUP($F419, codebooks_data_reordered!$A:$I, 4, FALSE)</f>
        <v>#N/A</v>
      </c>
      <c r="J419" t="e">
        <f>VLOOKUP($F419, codebooks_data_reordered!$A:$I, 5, FALSE)</f>
        <v>#N/A</v>
      </c>
      <c r="K419" t="e">
        <f>VLOOKUP($F419, codebooks_data_reordered!$A:$I, 6, FALSE)</f>
        <v>#N/A</v>
      </c>
      <c r="L419" t="e">
        <f>VLOOKUP($F419, codebooks_data_reordered!$A:$I, 7, FALSE)</f>
        <v>#N/A</v>
      </c>
      <c r="M419" t="e">
        <f>VLOOKUP($F419, codebooks_data_reordered!$A:$I, 9, FALSE)</f>
        <v>#N/A</v>
      </c>
      <c r="O419" t="e">
        <f t="shared" si="6"/>
        <v>#N/A</v>
      </c>
    </row>
    <row r="420" spans="1:15" ht="28.8" hidden="1" x14ac:dyDescent="0.3">
      <c r="A420" t="s">
        <v>6755</v>
      </c>
      <c r="B420" t="s">
        <v>6837</v>
      </c>
      <c r="C420" s="2" t="s">
        <v>6831</v>
      </c>
      <c r="D420" t="s">
        <v>5906</v>
      </c>
      <c r="E420" s="2" t="s">
        <v>6832</v>
      </c>
      <c r="F420" t="s">
        <v>9240</v>
      </c>
      <c r="G420" t="e">
        <f>VLOOKUP($F420, codebooks_data_reordered!$A:$I, 2, FALSE)</f>
        <v>#N/A</v>
      </c>
      <c r="H420" t="e">
        <f>VLOOKUP($F420, codebooks_data_reordered!$A:$I, 3, FALSE)</f>
        <v>#N/A</v>
      </c>
      <c r="I420" t="e">
        <f>VLOOKUP($F420, codebooks_data_reordered!$A:$I, 4, FALSE)</f>
        <v>#N/A</v>
      </c>
      <c r="J420" t="e">
        <f>VLOOKUP($F420, codebooks_data_reordered!$A:$I, 5, FALSE)</f>
        <v>#N/A</v>
      </c>
      <c r="K420" t="e">
        <f>VLOOKUP($F420, codebooks_data_reordered!$A:$I, 6, FALSE)</f>
        <v>#N/A</v>
      </c>
      <c r="L420" t="e">
        <f>VLOOKUP($F420, codebooks_data_reordered!$A:$I, 7, FALSE)</f>
        <v>#N/A</v>
      </c>
      <c r="M420" t="e">
        <f>VLOOKUP($F420, codebooks_data_reordered!$A:$I, 9, FALSE)</f>
        <v>#N/A</v>
      </c>
      <c r="O420" t="e">
        <f t="shared" si="6"/>
        <v>#N/A</v>
      </c>
    </row>
    <row r="421" spans="1:15" ht="28.8" hidden="1" x14ac:dyDescent="0.3">
      <c r="A421" t="s">
        <v>6755</v>
      </c>
      <c r="B421" t="s">
        <v>6838</v>
      </c>
      <c r="C421" s="2" t="s">
        <v>6831</v>
      </c>
      <c r="D421" t="s">
        <v>5906</v>
      </c>
      <c r="E421" s="2" t="s">
        <v>6832</v>
      </c>
      <c r="F421" t="s">
        <v>9241</v>
      </c>
      <c r="G421" t="e">
        <f>VLOOKUP($F421, codebooks_data_reordered!$A:$I, 2, FALSE)</f>
        <v>#N/A</v>
      </c>
      <c r="H421" t="e">
        <f>VLOOKUP($F421, codebooks_data_reordered!$A:$I, 3, FALSE)</f>
        <v>#N/A</v>
      </c>
      <c r="I421" t="e">
        <f>VLOOKUP($F421, codebooks_data_reordered!$A:$I, 4, FALSE)</f>
        <v>#N/A</v>
      </c>
      <c r="J421" t="e">
        <f>VLOOKUP($F421, codebooks_data_reordered!$A:$I, 5, FALSE)</f>
        <v>#N/A</v>
      </c>
      <c r="K421" t="e">
        <f>VLOOKUP($F421, codebooks_data_reordered!$A:$I, 6, FALSE)</f>
        <v>#N/A</v>
      </c>
      <c r="L421" t="e">
        <f>VLOOKUP($F421, codebooks_data_reordered!$A:$I, 7, FALSE)</f>
        <v>#N/A</v>
      </c>
      <c r="M421" t="e">
        <f>VLOOKUP($F421, codebooks_data_reordered!$A:$I, 9, FALSE)</f>
        <v>#N/A</v>
      </c>
      <c r="O421" t="e">
        <f t="shared" si="6"/>
        <v>#N/A</v>
      </c>
    </row>
    <row r="422" spans="1:15" ht="28.8" hidden="1" x14ac:dyDescent="0.3">
      <c r="A422" t="s">
        <v>6755</v>
      </c>
      <c r="B422" t="s">
        <v>6839</v>
      </c>
      <c r="C422" s="2" t="s">
        <v>6831</v>
      </c>
      <c r="D422" t="s">
        <v>5906</v>
      </c>
      <c r="E422" s="2" t="s">
        <v>6832</v>
      </c>
      <c r="F422" t="s">
        <v>9242</v>
      </c>
      <c r="G422" t="e">
        <f>VLOOKUP($F422, codebooks_data_reordered!$A:$I, 2, FALSE)</f>
        <v>#N/A</v>
      </c>
      <c r="H422" t="e">
        <f>VLOOKUP($F422, codebooks_data_reordered!$A:$I, 3, FALSE)</f>
        <v>#N/A</v>
      </c>
      <c r="I422" t="e">
        <f>VLOOKUP($F422, codebooks_data_reordered!$A:$I, 4, FALSE)</f>
        <v>#N/A</v>
      </c>
      <c r="J422" t="e">
        <f>VLOOKUP($F422, codebooks_data_reordered!$A:$I, 5, FALSE)</f>
        <v>#N/A</v>
      </c>
      <c r="K422" t="e">
        <f>VLOOKUP($F422, codebooks_data_reordered!$A:$I, 6, FALSE)</f>
        <v>#N/A</v>
      </c>
      <c r="L422" t="e">
        <f>VLOOKUP($F422, codebooks_data_reordered!$A:$I, 7, FALSE)</f>
        <v>#N/A</v>
      </c>
      <c r="M422" t="e">
        <f>VLOOKUP($F422, codebooks_data_reordered!$A:$I, 9, FALSE)</f>
        <v>#N/A</v>
      </c>
      <c r="O422" t="e">
        <f t="shared" si="6"/>
        <v>#N/A</v>
      </c>
    </row>
    <row r="423" spans="1:15" ht="28.8" hidden="1" x14ac:dyDescent="0.3">
      <c r="A423" t="s">
        <v>6755</v>
      </c>
      <c r="B423" t="s">
        <v>6840</v>
      </c>
      <c r="C423" s="2" t="s">
        <v>6831</v>
      </c>
      <c r="D423" t="s">
        <v>5906</v>
      </c>
      <c r="E423" s="2" t="s">
        <v>6832</v>
      </c>
      <c r="F423" t="s">
        <v>9243</v>
      </c>
      <c r="G423" t="e">
        <f>VLOOKUP($F423, codebooks_data_reordered!$A:$I, 2, FALSE)</f>
        <v>#N/A</v>
      </c>
      <c r="H423" t="e">
        <f>VLOOKUP($F423, codebooks_data_reordered!$A:$I, 3, FALSE)</f>
        <v>#N/A</v>
      </c>
      <c r="I423" t="e">
        <f>VLOOKUP($F423, codebooks_data_reordered!$A:$I, 4, FALSE)</f>
        <v>#N/A</v>
      </c>
      <c r="J423" t="e">
        <f>VLOOKUP($F423, codebooks_data_reordered!$A:$I, 5, FALSE)</f>
        <v>#N/A</v>
      </c>
      <c r="K423" t="e">
        <f>VLOOKUP($F423, codebooks_data_reordered!$A:$I, 6, FALSE)</f>
        <v>#N/A</v>
      </c>
      <c r="L423" t="e">
        <f>VLOOKUP($F423, codebooks_data_reordered!$A:$I, 7, FALSE)</f>
        <v>#N/A</v>
      </c>
      <c r="M423" t="e">
        <f>VLOOKUP($F423, codebooks_data_reordered!$A:$I, 9, FALSE)</f>
        <v>#N/A</v>
      </c>
      <c r="O423" t="e">
        <f t="shared" si="6"/>
        <v>#N/A</v>
      </c>
    </row>
    <row r="424" spans="1:15" ht="28.8" hidden="1" x14ac:dyDescent="0.3">
      <c r="A424" t="s">
        <v>6755</v>
      </c>
      <c r="B424" t="s">
        <v>6841</v>
      </c>
      <c r="C424" s="2" t="s">
        <v>6831</v>
      </c>
      <c r="D424" t="s">
        <v>5906</v>
      </c>
      <c r="E424" s="2" t="s">
        <v>6832</v>
      </c>
      <c r="F424" t="s">
        <v>9244</v>
      </c>
      <c r="G424" t="e">
        <f>VLOOKUP($F424, codebooks_data_reordered!$A:$I, 2, FALSE)</f>
        <v>#N/A</v>
      </c>
      <c r="H424" t="e">
        <f>VLOOKUP($F424, codebooks_data_reordered!$A:$I, 3, FALSE)</f>
        <v>#N/A</v>
      </c>
      <c r="I424" t="e">
        <f>VLOOKUP($F424, codebooks_data_reordered!$A:$I, 4, FALSE)</f>
        <v>#N/A</v>
      </c>
      <c r="J424" t="e">
        <f>VLOOKUP($F424, codebooks_data_reordered!$A:$I, 5, FALSE)</f>
        <v>#N/A</v>
      </c>
      <c r="K424" t="e">
        <f>VLOOKUP($F424, codebooks_data_reordered!$A:$I, 6, FALSE)</f>
        <v>#N/A</v>
      </c>
      <c r="L424" t="e">
        <f>VLOOKUP($F424, codebooks_data_reordered!$A:$I, 7, FALSE)</f>
        <v>#N/A</v>
      </c>
      <c r="M424" t="e">
        <f>VLOOKUP($F424, codebooks_data_reordered!$A:$I, 9, FALSE)</f>
        <v>#N/A</v>
      </c>
      <c r="O424" t="e">
        <f t="shared" si="6"/>
        <v>#N/A</v>
      </c>
    </row>
    <row r="425" spans="1:15" ht="28.8" hidden="1" x14ac:dyDescent="0.3">
      <c r="A425" t="s">
        <v>6755</v>
      </c>
      <c r="B425" t="s">
        <v>6842</v>
      </c>
      <c r="C425" s="2" t="s">
        <v>6843</v>
      </c>
      <c r="D425" t="s">
        <v>5906</v>
      </c>
      <c r="E425" s="2" t="s">
        <v>6844</v>
      </c>
      <c r="F425" t="s">
        <v>9245</v>
      </c>
      <c r="G425" t="e">
        <f>VLOOKUP($F425, codebooks_data_reordered!$A:$I, 2, FALSE)</f>
        <v>#N/A</v>
      </c>
      <c r="H425" t="e">
        <f>VLOOKUP($F425, codebooks_data_reordered!$A:$I, 3, FALSE)</f>
        <v>#N/A</v>
      </c>
      <c r="I425" t="e">
        <f>VLOOKUP($F425, codebooks_data_reordered!$A:$I, 4, FALSE)</f>
        <v>#N/A</v>
      </c>
      <c r="J425" t="e">
        <f>VLOOKUP($F425, codebooks_data_reordered!$A:$I, 5, FALSE)</f>
        <v>#N/A</v>
      </c>
      <c r="K425" t="e">
        <f>VLOOKUP($F425, codebooks_data_reordered!$A:$I, 6, FALSE)</f>
        <v>#N/A</v>
      </c>
      <c r="L425" t="e">
        <f>VLOOKUP($F425, codebooks_data_reordered!$A:$I, 7, FALSE)</f>
        <v>#N/A</v>
      </c>
      <c r="M425" t="e">
        <f>VLOOKUP($F425, codebooks_data_reordered!$A:$I, 9, FALSE)</f>
        <v>#N/A</v>
      </c>
      <c r="O425" t="e">
        <f t="shared" si="6"/>
        <v>#N/A</v>
      </c>
    </row>
    <row r="426" spans="1:15" ht="28.8" hidden="1" x14ac:dyDescent="0.3">
      <c r="A426" t="s">
        <v>6755</v>
      </c>
      <c r="B426" t="s">
        <v>6845</v>
      </c>
      <c r="C426" s="2" t="s">
        <v>6843</v>
      </c>
      <c r="D426" t="s">
        <v>5906</v>
      </c>
      <c r="E426" s="2" t="s">
        <v>6844</v>
      </c>
      <c r="F426" t="s">
        <v>9246</v>
      </c>
      <c r="G426" t="e">
        <f>VLOOKUP($F426, codebooks_data_reordered!$A:$I, 2, FALSE)</f>
        <v>#N/A</v>
      </c>
      <c r="H426" t="e">
        <f>VLOOKUP($F426, codebooks_data_reordered!$A:$I, 3, FALSE)</f>
        <v>#N/A</v>
      </c>
      <c r="I426" t="e">
        <f>VLOOKUP($F426, codebooks_data_reordered!$A:$I, 4, FALSE)</f>
        <v>#N/A</v>
      </c>
      <c r="J426" t="e">
        <f>VLOOKUP($F426, codebooks_data_reordered!$A:$I, 5, FALSE)</f>
        <v>#N/A</v>
      </c>
      <c r="K426" t="e">
        <f>VLOOKUP($F426, codebooks_data_reordered!$A:$I, 6, FALSE)</f>
        <v>#N/A</v>
      </c>
      <c r="L426" t="e">
        <f>VLOOKUP($F426, codebooks_data_reordered!$A:$I, 7, FALSE)</f>
        <v>#N/A</v>
      </c>
      <c r="M426" t="e">
        <f>VLOOKUP($F426, codebooks_data_reordered!$A:$I, 9, FALSE)</f>
        <v>#N/A</v>
      </c>
      <c r="O426" t="e">
        <f t="shared" si="6"/>
        <v>#N/A</v>
      </c>
    </row>
    <row r="427" spans="1:15" ht="28.8" hidden="1" x14ac:dyDescent="0.3">
      <c r="A427" t="s">
        <v>6755</v>
      </c>
      <c r="B427" t="s">
        <v>6846</v>
      </c>
      <c r="C427" s="2" t="s">
        <v>6843</v>
      </c>
      <c r="D427" t="s">
        <v>5906</v>
      </c>
      <c r="E427" s="2" t="s">
        <v>6844</v>
      </c>
      <c r="F427" t="s">
        <v>9247</v>
      </c>
      <c r="G427" t="e">
        <f>VLOOKUP($F427, codebooks_data_reordered!$A:$I, 2, FALSE)</f>
        <v>#N/A</v>
      </c>
      <c r="H427" t="e">
        <f>VLOOKUP($F427, codebooks_data_reordered!$A:$I, 3, FALSE)</f>
        <v>#N/A</v>
      </c>
      <c r="I427" t="e">
        <f>VLOOKUP($F427, codebooks_data_reordered!$A:$I, 4, FALSE)</f>
        <v>#N/A</v>
      </c>
      <c r="J427" t="e">
        <f>VLOOKUP($F427, codebooks_data_reordered!$A:$I, 5, FALSE)</f>
        <v>#N/A</v>
      </c>
      <c r="K427" t="e">
        <f>VLOOKUP($F427, codebooks_data_reordered!$A:$I, 6, FALSE)</f>
        <v>#N/A</v>
      </c>
      <c r="L427" t="e">
        <f>VLOOKUP($F427, codebooks_data_reordered!$A:$I, 7, FALSE)</f>
        <v>#N/A</v>
      </c>
      <c r="M427" t="e">
        <f>VLOOKUP($F427, codebooks_data_reordered!$A:$I, 9, FALSE)</f>
        <v>#N/A</v>
      </c>
      <c r="O427" t="e">
        <f t="shared" si="6"/>
        <v>#N/A</v>
      </c>
    </row>
    <row r="428" spans="1:15" ht="28.8" hidden="1" x14ac:dyDescent="0.3">
      <c r="A428" t="s">
        <v>6755</v>
      </c>
      <c r="B428" t="s">
        <v>6847</v>
      </c>
      <c r="C428" s="2" t="s">
        <v>6843</v>
      </c>
      <c r="D428" t="s">
        <v>5906</v>
      </c>
      <c r="E428" s="2" t="s">
        <v>6844</v>
      </c>
      <c r="F428" t="s">
        <v>9248</v>
      </c>
      <c r="G428" t="e">
        <f>VLOOKUP($F428, codebooks_data_reordered!$A:$I, 2, FALSE)</f>
        <v>#N/A</v>
      </c>
      <c r="H428" t="e">
        <f>VLOOKUP($F428, codebooks_data_reordered!$A:$I, 3, FALSE)</f>
        <v>#N/A</v>
      </c>
      <c r="I428" t="e">
        <f>VLOOKUP($F428, codebooks_data_reordered!$A:$I, 4, FALSE)</f>
        <v>#N/A</v>
      </c>
      <c r="J428" t="e">
        <f>VLOOKUP($F428, codebooks_data_reordered!$A:$I, 5, FALSE)</f>
        <v>#N/A</v>
      </c>
      <c r="K428" t="e">
        <f>VLOOKUP($F428, codebooks_data_reordered!$A:$I, 6, FALSE)</f>
        <v>#N/A</v>
      </c>
      <c r="L428" t="e">
        <f>VLOOKUP($F428, codebooks_data_reordered!$A:$I, 7, FALSE)</f>
        <v>#N/A</v>
      </c>
      <c r="M428" t="e">
        <f>VLOOKUP($F428, codebooks_data_reordered!$A:$I, 9, FALSE)</f>
        <v>#N/A</v>
      </c>
      <c r="O428" t="e">
        <f t="shared" si="6"/>
        <v>#N/A</v>
      </c>
    </row>
    <row r="429" spans="1:15" ht="28.8" hidden="1" x14ac:dyDescent="0.3">
      <c r="A429" t="s">
        <v>6755</v>
      </c>
      <c r="B429" t="s">
        <v>6848</v>
      </c>
      <c r="C429" s="2" t="s">
        <v>6843</v>
      </c>
      <c r="D429" t="s">
        <v>5906</v>
      </c>
      <c r="E429" s="2" t="s">
        <v>6844</v>
      </c>
      <c r="F429" t="s">
        <v>9249</v>
      </c>
      <c r="G429" t="e">
        <f>VLOOKUP($F429, codebooks_data_reordered!$A:$I, 2, FALSE)</f>
        <v>#N/A</v>
      </c>
      <c r="H429" t="e">
        <f>VLOOKUP($F429, codebooks_data_reordered!$A:$I, 3, FALSE)</f>
        <v>#N/A</v>
      </c>
      <c r="I429" t="e">
        <f>VLOOKUP($F429, codebooks_data_reordered!$A:$I, 4, FALSE)</f>
        <v>#N/A</v>
      </c>
      <c r="J429" t="e">
        <f>VLOOKUP($F429, codebooks_data_reordered!$A:$I, 5, FALSE)</f>
        <v>#N/A</v>
      </c>
      <c r="K429" t="e">
        <f>VLOOKUP($F429, codebooks_data_reordered!$A:$I, 6, FALSE)</f>
        <v>#N/A</v>
      </c>
      <c r="L429" t="e">
        <f>VLOOKUP($F429, codebooks_data_reordered!$A:$I, 7, FALSE)</f>
        <v>#N/A</v>
      </c>
      <c r="M429" t="e">
        <f>VLOOKUP($F429, codebooks_data_reordered!$A:$I, 9, FALSE)</f>
        <v>#N/A</v>
      </c>
      <c r="O429" t="e">
        <f t="shared" si="6"/>
        <v>#N/A</v>
      </c>
    </row>
    <row r="430" spans="1:15" ht="28.8" hidden="1" x14ac:dyDescent="0.3">
      <c r="A430" t="s">
        <v>6755</v>
      </c>
      <c r="B430" t="s">
        <v>6849</v>
      </c>
      <c r="C430" s="2" t="s">
        <v>6843</v>
      </c>
      <c r="D430" t="s">
        <v>5906</v>
      </c>
      <c r="E430" s="2" t="s">
        <v>6844</v>
      </c>
      <c r="F430" t="s">
        <v>9250</v>
      </c>
      <c r="G430" t="e">
        <f>VLOOKUP($F430, codebooks_data_reordered!$A:$I, 2, FALSE)</f>
        <v>#N/A</v>
      </c>
      <c r="H430" t="e">
        <f>VLOOKUP($F430, codebooks_data_reordered!$A:$I, 3, FALSE)</f>
        <v>#N/A</v>
      </c>
      <c r="I430" t="e">
        <f>VLOOKUP($F430, codebooks_data_reordered!$A:$I, 4, FALSE)</f>
        <v>#N/A</v>
      </c>
      <c r="J430" t="e">
        <f>VLOOKUP($F430, codebooks_data_reordered!$A:$I, 5, FALSE)</f>
        <v>#N/A</v>
      </c>
      <c r="K430" t="e">
        <f>VLOOKUP($F430, codebooks_data_reordered!$A:$I, 6, FALSE)</f>
        <v>#N/A</v>
      </c>
      <c r="L430" t="e">
        <f>VLOOKUP($F430, codebooks_data_reordered!$A:$I, 7, FALSE)</f>
        <v>#N/A</v>
      </c>
      <c r="M430" t="e">
        <f>VLOOKUP($F430, codebooks_data_reordered!$A:$I, 9, FALSE)</f>
        <v>#N/A</v>
      </c>
      <c r="O430" t="e">
        <f t="shared" si="6"/>
        <v>#N/A</v>
      </c>
    </row>
    <row r="431" spans="1:15" ht="28.8" hidden="1" x14ac:dyDescent="0.3">
      <c r="A431" t="s">
        <v>6755</v>
      </c>
      <c r="B431" t="s">
        <v>6850</v>
      </c>
      <c r="C431" s="2" t="s">
        <v>6843</v>
      </c>
      <c r="D431" t="s">
        <v>5906</v>
      </c>
      <c r="E431" s="2" t="s">
        <v>6844</v>
      </c>
      <c r="F431" t="s">
        <v>9251</v>
      </c>
      <c r="G431" t="e">
        <f>VLOOKUP($F431, codebooks_data_reordered!$A:$I, 2, FALSE)</f>
        <v>#N/A</v>
      </c>
      <c r="H431" t="e">
        <f>VLOOKUP($F431, codebooks_data_reordered!$A:$I, 3, FALSE)</f>
        <v>#N/A</v>
      </c>
      <c r="I431" t="e">
        <f>VLOOKUP($F431, codebooks_data_reordered!$A:$I, 4, FALSE)</f>
        <v>#N/A</v>
      </c>
      <c r="J431" t="e">
        <f>VLOOKUP($F431, codebooks_data_reordered!$A:$I, 5, FALSE)</f>
        <v>#N/A</v>
      </c>
      <c r="K431" t="e">
        <f>VLOOKUP($F431, codebooks_data_reordered!$A:$I, 6, FALSE)</f>
        <v>#N/A</v>
      </c>
      <c r="L431" t="e">
        <f>VLOOKUP($F431, codebooks_data_reordered!$A:$I, 7, FALSE)</f>
        <v>#N/A</v>
      </c>
      <c r="M431" t="e">
        <f>VLOOKUP($F431, codebooks_data_reordered!$A:$I, 9, FALSE)</f>
        <v>#N/A</v>
      </c>
      <c r="O431" t="e">
        <f t="shared" si="6"/>
        <v>#N/A</v>
      </c>
    </row>
    <row r="432" spans="1:15" ht="28.8" hidden="1" x14ac:dyDescent="0.3">
      <c r="A432" t="s">
        <v>6755</v>
      </c>
      <c r="B432" t="s">
        <v>6851</v>
      </c>
      <c r="C432" s="2" t="s">
        <v>6843</v>
      </c>
      <c r="D432" t="s">
        <v>5906</v>
      </c>
      <c r="E432" s="2" t="s">
        <v>6844</v>
      </c>
      <c r="F432" t="s">
        <v>9252</v>
      </c>
      <c r="G432" t="e">
        <f>VLOOKUP($F432, codebooks_data_reordered!$A:$I, 2, FALSE)</f>
        <v>#N/A</v>
      </c>
      <c r="H432" t="e">
        <f>VLOOKUP($F432, codebooks_data_reordered!$A:$I, 3, FALSE)</f>
        <v>#N/A</v>
      </c>
      <c r="I432" t="e">
        <f>VLOOKUP($F432, codebooks_data_reordered!$A:$I, 4, FALSE)</f>
        <v>#N/A</v>
      </c>
      <c r="J432" t="e">
        <f>VLOOKUP($F432, codebooks_data_reordered!$A:$I, 5, FALSE)</f>
        <v>#N/A</v>
      </c>
      <c r="K432" t="e">
        <f>VLOOKUP($F432, codebooks_data_reordered!$A:$I, 6, FALSE)</f>
        <v>#N/A</v>
      </c>
      <c r="L432" t="e">
        <f>VLOOKUP($F432, codebooks_data_reordered!$A:$I, 7, FALSE)</f>
        <v>#N/A</v>
      </c>
      <c r="M432" t="e">
        <f>VLOOKUP($F432, codebooks_data_reordered!$A:$I, 9, FALSE)</f>
        <v>#N/A</v>
      </c>
      <c r="O432" t="e">
        <f t="shared" si="6"/>
        <v>#N/A</v>
      </c>
    </row>
    <row r="433" spans="1:15" ht="28.8" hidden="1" x14ac:dyDescent="0.3">
      <c r="A433" t="s">
        <v>6755</v>
      </c>
      <c r="B433" t="s">
        <v>6852</v>
      </c>
      <c r="C433" s="2" t="s">
        <v>6843</v>
      </c>
      <c r="D433" t="s">
        <v>5906</v>
      </c>
      <c r="E433" s="2" t="s">
        <v>6844</v>
      </c>
      <c r="F433" t="s">
        <v>9253</v>
      </c>
      <c r="G433" t="e">
        <f>VLOOKUP($F433, codebooks_data_reordered!$A:$I, 2, FALSE)</f>
        <v>#N/A</v>
      </c>
      <c r="H433" t="e">
        <f>VLOOKUP($F433, codebooks_data_reordered!$A:$I, 3, FALSE)</f>
        <v>#N/A</v>
      </c>
      <c r="I433" t="e">
        <f>VLOOKUP($F433, codebooks_data_reordered!$A:$I, 4, FALSE)</f>
        <v>#N/A</v>
      </c>
      <c r="J433" t="e">
        <f>VLOOKUP($F433, codebooks_data_reordered!$A:$I, 5, FALSE)</f>
        <v>#N/A</v>
      </c>
      <c r="K433" t="e">
        <f>VLOOKUP($F433, codebooks_data_reordered!$A:$I, 6, FALSE)</f>
        <v>#N/A</v>
      </c>
      <c r="L433" t="e">
        <f>VLOOKUP($F433, codebooks_data_reordered!$A:$I, 7, FALSE)</f>
        <v>#N/A</v>
      </c>
      <c r="M433" t="e">
        <f>VLOOKUP($F433, codebooks_data_reordered!$A:$I, 9, FALSE)</f>
        <v>#N/A</v>
      </c>
      <c r="O433" t="e">
        <f t="shared" si="6"/>
        <v>#N/A</v>
      </c>
    </row>
    <row r="434" spans="1:15" ht="28.8" hidden="1" x14ac:dyDescent="0.3">
      <c r="A434" t="s">
        <v>6755</v>
      </c>
      <c r="B434" t="s">
        <v>6853</v>
      </c>
      <c r="C434" s="2" t="s">
        <v>6843</v>
      </c>
      <c r="D434" t="s">
        <v>5906</v>
      </c>
      <c r="E434" s="2" t="s">
        <v>6844</v>
      </c>
      <c r="F434" t="s">
        <v>9254</v>
      </c>
      <c r="G434" t="e">
        <f>VLOOKUP($F434, codebooks_data_reordered!$A:$I, 2, FALSE)</f>
        <v>#N/A</v>
      </c>
      <c r="H434" t="e">
        <f>VLOOKUP($F434, codebooks_data_reordered!$A:$I, 3, FALSE)</f>
        <v>#N/A</v>
      </c>
      <c r="I434" t="e">
        <f>VLOOKUP($F434, codebooks_data_reordered!$A:$I, 4, FALSE)</f>
        <v>#N/A</v>
      </c>
      <c r="J434" t="e">
        <f>VLOOKUP($F434, codebooks_data_reordered!$A:$I, 5, FALSE)</f>
        <v>#N/A</v>
      </c>
      <c r="K434" t="e">
        <f>VLOOKUP($F434, codebooks_data_reordered!$A:$I, 6, FALSE)</f>
        <v>#N/A</v>
      </c>
      <c r="L434" t="e">
        <f>VLOOKUP($F434, codebooks_data_reordered!$A:$I, 7, FALSE)</f>
        <v>#N/A</v>
      </c>
      <c r="M434" t="e">
        <f>VLOOKUP($F434, codebooks_data_reordered!$A:$I, 9, FALSE)</f>
        <v>#N/A</v>
      </c>
      <c r="O434" t="e">
        <f t="shared" si="6"/>
        <v>#N/A</v>
      </c>
    </row>
    <row r="435" spans="1:15" ht="57.6" hidden="1" x14ac:dyDescent="0.3">
      <c r="A435" t="s">
        <v>6755</v>
      </c>
      <c r="B435" t="s">
        <v>6854</v>
      </c>
      <c r="C435" s="2" t="s">
        <v>6825</v>
      </c>
      <c r="D435" t="s">
        <v>5843</v>
      </c>
      <c r="E435" s="2" t="s">
        <v>6826</v>
      </c>
      <c r="F435" t="s">
        <v>207</v>
      </c>
      <c r="G435" t="str">
        <f>VLOOKUP($F435, codebooks_data_reordered!$A:$I, 2, FALSE)</f>
        <v>2006</v>
      </c>
      <c r="H435" t="str">
        <f>VLOOKUP($F435, codebooks_data_reordered!$A:$I, 3, FALSE)</f>
        <v>Agree/Disagree with the Different Statements</v>
      </c>
      <c r="I435" t="str">
        <f>VLOOKUP($F435, codebooks_data_reordered!$A:$I, 4, FALSE)</f>
        <v>1</v>
      </c>
      <c r="J435" t="str">
        <f>VLOOKUP($F435, codebooks_data_reordered!$A:$I, 5, FALSE)</f>
        <v>53</v>
      </c>
      <c r="K435" t="str">
        <f>VLOOKUP($F435, codebooks_data_reordered!$A:$I, 6, FALSE)</f>
        <v>No matter who you vote for</v>
      </c>
      <c r="L435" t="str">
        <f>VLOOKUP($F435, codebooks_data_reordered!$A:$I, 7, FALSE)</f>
        <v>To what extent do you agree or disagree with the following statements? 48. No matter who you vote for, it wont change anything</v>
      </c>
      <c r="M435" t="str">
        <f>VLOOKUP($F435, codebooks_data_reordered!$A:$I, 9, FALSE)</f>
        <v>1: Definitely disagree; 2: Disagree; 3: Agree; 4: Definitely agree</v>
      </c>
      <c r="O435" s="2" t="str">
        <f t="shared" si="6"/>
        <v>1: Definitely disagree
 2: Disagree
 3: Agree
 4: Definitely agree</v>
      </c>
    </row>
    <row r="436" spans="1:15" ht="115.2" hidden="1" x14ac:dyDescent="0.3">
      <c r="A436" t="s">
        <v>6755</v>
      </c>
      <c r="B436" t="s">
        <v>6855</v>
      </c>
      <c r="C436" s="2" t="s">
        <v>6856</v>
      </c>
      <c r="D436" t="s">
        <v>5843</v>
      </c>
      <c r="E436" s="2" t="s">
        <v>6857</v>
      </c>
      <c r="F436" t="s">
        <v>1929</v>
      </c>
      <c r="G436" t="str">
        <f>VLOOKUP($F436, codebooks_data_reordered!$A:$I, 2, FALSE)</f>
        <v>1999_1</v>
      </c>
      <c r="H436" t="str">
        <f>VLOOKUP($F436, codebooks_data_reordered!$A:$I, 3, FALSE)</f>
        <v>MORE ATTITUDES TOWARD PARTIES AND CANDIDATES</v>
      </c>
      <c r="I436" t="str">
        <f>VLOOKUP($F436, codebooks_data_reordered!$A:$I, 4, FALSE)</f>
        <v>1</v>
      </c>
      <c r="J436" t="str">
        <f>VLOOKUP($F436, codebooks_data_reordered!$A:$I, 5, FALSE)</f>
        <v>81</v>
      </c>
      <c r="K436" t="str">
        <f>VLOOKUP($F436, codebooks_data_reordered!$A:$I, 6, FALSE)</f>
        <v>Identification with Ehud Barak's socio-economic policy</v>
      </c>
      <c r="L436" t="str">
        <f>VLOOKUP($F436, codebooks_data_reordered!$A:$I, 7, FALSE)</f>
        <v>Identification with candidate on 1-10 scale: 1=Strong rejection, 10=Strong support</v>
      </c>
      <c r="M436" t="str">
        <f>VLOOKUP($F436, codebooks_data_reordered!$A:$I, 9, FALSE)</f>
        <v>1: Strong rejection; 10: Strong support</v>
      </c>
      <c r="O436" s="2" t="str">
        <f t="shared" si="6"/>
        <v>1: Strong rejection
 10: Strong support</v>
      </c>
    </row>
    <row r="437" spans="1:15" ht="115.2" hidden="1" x14ac:dyDescent="0.3">
      <c r="A437" t="s">
        <v>6755</v>
      </c>
      <c r="B437" t="s">
        <v>6858</v>
      </c>
      <c r="C437" s="2" t="s">
        <v>6859</v>
      </c>
      <c r="D437" t="s">
        <v>5843</v>
      </c>
      <c r="E437" s="2" t="s">
        <v>6860</v>
      </c>
      <c r="F437" t="s">
        <v>1931</v>
      </c>
      <c r="G437" t="str">
        <f>VLOOKUP($F437, codebooks_data_reordered!$A:$I, 2, FALSE)</f>
        <v>1999_1</v>
      </c>
      <c r="H437" t="str">
        <f>VLOOKUP($F437, codebooks_data_reordered!$A:$I, 3, FALSE)</f>
        <v>MORE ATTITUDES TOWARD PARTIES AND CANDIDATES</v>
      </c>
      <c r="I437" t="str">
        <f>VLOOKUP($F437, codebooks_data_reordered!$A:$I, 4, FALSE)</f>
        <v>1</v>
      </c>
      <c r="J437" t="str">
        <f>VLOOKUP($F437, codebooks_data_reordered!$A:$I, 5, FALSE)</f>
        <v>82</v>
      </c>
      <c r="K437" t="str">
        <f>VLOOKUP($F437, codebooks_data_reordered!$A:$I, 6, FALSE)</f>
        <v>Identification with Itzhak Mordechai's socio-economic policy</v>
      </c>
      <c r="L437">
        <f>VLOOKUP($F437, codebooks_data_reordered!$A:$I, 7, FALSE)</f>
        <v>0</v>
      </c>
      <c r="M437" t="str">
        <f>VLOOKUP($F437, codebooks_data_reordered!$A:$I, 9, FALSE)</f>
        <v>1: Strong rejection; 10: Strong support</v>
      </c>
      <c r="O437" s="2" t="str">
        <f t="shared" si="6"/>
        <v>1: Strong rejection
 10: Strong support</v>
      </c>
    </row>
    <row r="438" spans="1:15" ht="86.4" hidden="1" x14ac:dyDescent="0.3">
      <c r="A438" t="s">
        <v>6755</v>
      </c>
      <c r="B438" t="s">
        <v>6861</v>
      </c>
      <c r="C438" s="2" t="s">
        <v>6862</v>
      </c>
      <c r="D438" t="s">
        <v>5843</v>
      </c>
      <c r="E438" s="2" t="s">
        <v>6863</v>
      </c>
      <c r="F438" t="s">
        <v>9255</v>
      </c>
      <c r="G438" t="e">
        <f>VLOOKUP($F438, codebooks_data_reordered!$A:$I, 2, FALSE)</f>
        <v>#N/A</v>
      </c>
      <c r="H438" t="e">
        <f>VLOOKUP($F438, codebooks_data_reordered!$A:$I, 3, FALSE)</f>
        <v>#N/A</v>
      </c>
      <c r="I438" t="e">
        <f>VLOOKUP($F438, codebooks_data_reordered!$A:$I, 4, FALSE)</f>
        <v>#N/A</v>
      </c>
      <c r="J438" t="e">
        <f>VLOOKUP($F438, codebooks_data_reordered!$A:$I, 5, FALSE)</f>
        <v>#N/A</v>
      </c>
      <c r="K438" t="e">
        <f>VLOOKUP($F438, codebooks_data_reordered!$A:$I, 6, FALSE)</f>
        <v>#N/A</v>
      </c>
      <c r="L438" t="e">
        <f>VLOOKUP($F438, codebooks_data_reordered!$A:$I, 7, FALSE)</f>
        <v>#N/A</v>
      </c>
      <c r="M438" t="e">
        <f>VLOOKUP($F438, codebooks_data_reordered!$A:$I, 9, FALSE)</f>
        <v>#N/A</v>
      </c>
      <c r="O438" t="e">
        <f t="shared" si="6"/>
        <v>#N/A</v>
      </c>
    </row>
    <row r="439" spans="1:15" ht="115.2" hidden="1" x14ac:dyDescent="0.3">
      <c r="A439" t="s">
        <v>6755</v>
      </c>
      <c r="B439" t="s">
        <v>6864</v>
      </c>
      <c r="C439" s="2" t="s">
        <v>6865</v>
      </c>
      <c r="D439" t="s">
        <v>5843</v>
      </c>
      <c r="E439" s="2" t="s">
        <v>6866</v>
      </c>
      <c r="F439" t="s">
        <v>3145</v>
      </c>
      <c r="G439" t="str">
        <f>VLOOKUP($F439, codebooks_data_reordered!$A:$I, 2, FALSE)</f>
        <v>1988_Panel_N=416</v>
      </c>
      <c r="H439" t="str">
        <f>VLOOKUP($F439, codebooks_data_reordered!$A:$I, 3, FALSE)</f>
        <v>WHICH OF THE FOLLOWING WOULD YOU BE WILLING TO GIVE TO MAINTAIN/STRENGTHEN THE SECURITY</v>
      </c>
      <c r="I439" t="str">
        <f>VLOOKUP($F439, codebooks_data_reordered!$A:$I, 4, FALSE)</f>
        <v>1</v>
      </c>
      <c r="J439" t="str">
        <f>VLOOKUP($F439, codebooks_data_reordered!$A:$I, 5, FALSE)</f>
        <v>116</v>
      </c>
      <c r="K439" t="str">
        <f>VLOOKUP($F439, codebooks_data_reordered!$A:$I, 6, FALSE)</f>
        <v>Is there enough supervision over the Mossad and the Shin-Beit</v>
      </c>
      <c r="L439">
        <f>VLOOKUP($F439, codebooks_data_reordered!$A:$I, 7, FALSE)</f>
        <v>0</v>
      </c>
      <c r="M439" t="str">
        <f>VLOOKUP($F439, codebooks_data_reordered!$A:$I, 9, FALSE)</f>
        <v>1: Too much supervision; 2: Enough supervision; 3: Not enough supervision</v>
      </c>
      <c r="O439" s="2" t="str">
        <f t="shared" si="6"/>
        <v>1: Too much supervision
 2: Enough supervision
 3: Not enough supervision</v>
      </c>
    </row>
    <row r="440" spans="1:15" ht="100.8" hidden="1" x14ac:dyDescent="0.3">
      <c r="A440" t="s">
        <v>6755</v>
      </c>
      <c r="B440" t="s">
        <v>6867</v>
      </c>
      <c r="C440" s="2" t="s">
        <v>6868</v>
      </c>
      <c r="D440" t="s">
        <v>5843</v>
      </c>
      <c r="E440" s="2" t="s">
        <v>6869</v>
      </c>
      <c r="F440" t="s">
        <v>4194</v>
      </c>
      <c r="G440" t="str">
        <f>VLOOKUP($F440, codebooks_data_reordered!$A:$I, 2, FALSE)</f>
        <v>1981_1</v>
      </c>
      <c r="H440" t="str">
        <f>VLOOKUP($F440, codebooks_data_reordered!$A:$I, 3, FALSE)</f>
        <v>CHARACTERIZATION OF MOSHE DAYAN, GRADED SCALE 1-6</v>
      </c>
      <c r="I440" t="str">
        <f>VLOOKUP($F440, codebooks_data_reordered!$A:$I, 4, FALSE)</f>
        <v>1</v>
      </c>
      <c r="J440" t="str">
        <f>VLOOKUP($F440, codebooks_data_reordered!$A:$I, 5, FALSE)</f>
        <v>141</v>
      </c>
      <c r="K440" t="str">
        <f>VLOOKUP($F440, codebooks_data_reordered!$A:$I, 6, FALSE)</f>
        <v>Status at work</v>
      </c>
      <c r="L440">
        <f>VLOOKUP($F440, codebooks_data_reordered!$A:$I, 7, FALSE)</f>
        <v>0</v>
      </c>
      <c r="M440" t="str">
        <f>VLOOKUP($F440, codebooks_data_reordered!$A:$I, 9, FALSE)</f>
        <v>1: Salaried worker; 2: Independent; 3: Member of cooperative; 4: Pensioned; 5: Housewife; 6: Soldier, student; 7: Unemployed</v>
      </c>
      <c r="O440" s="2" t="str">
        <f t="shared" si="6"/>
        <v>1: Salaried worker
 2: Independent
 3: Member of cooperative
 4: Pensioned
 5: Housewife
 6: Soldier, student
 7: Unemployed</v>
      </c>
    </row>
    <row r="441" spans="1:15" ht="115.2" hidden="1" x14ac:dyDescent="0.3">
      <c r="A441" t="s">
        <v>6755</v>
      </c>
      <c r="B441" t="s">
        <v>6870</v>
      </c>
      <c r="C441" s="2" t="s">
        <v>6871</v>
      </c>
      <c r="D441" t="s">
        <v>5843</v>
      </c>
      <c r="E441" s="2" t="s">
        <v>6872</v>
      </c>
      <c r="F441" t="s">
        <v>9256</v>
      </c>
      <c r="G441" t="e">
        <f>VLOOKUP($F441, codebooks_data_reordered!$A:$I, 2, FALSE)</f>
        <v>#N/A</v>
      </c>
      <c r="H441" t="e">
        <f>VLOOKUP($F441, codebooks_data_reordered!$A:$I, 3, FALSE)</f>
        <v>#N/A</v>
      </c>
      <c r="I441" t="e">
        <f>VLOOKUP($F441, codebooks_data_reordered!$A:$I, 4, FALSE)</f>
        <v>#N/A</v>
      </c>
      <c r="J441" t="e">
        <f>VLOOKUP($F441, codebooks_data_reordered!$A:$I, 5, FALSE)</f>
        <v>#N/A</v>
      </c>
      <c r="K441" t="e">
        <f>VLOOKUP($F441, codebooks_data_reordered!$A:$I, 6, FALSE)</f>
        <v>#N/A</v>
      </c>
      <c r="L441" t="e">
        <f>VLOOKUP($F441, codebooks_data_reordered!$A:$I, 7, FALSE)</f>
        <v>#N/A</v>
      </c>
      <c r="M441" t="e">
        <f>VLOOKUP($F441, codebooks_data_reordered!$A:$I, 9, FALSE)</f>
        <v>#N/A</v>
      </c>
      <c r="O441" t="e">
        <f t="shared" si="6"/>
        <v>#N/A</v>
      </c>
    </row>
    <row r="442" spans="1:15" ht="144" hidden="1" x14ac:dyDescent="0.3">
      <c r="A442" t="s">
        <v>6755</v>
      </c>
      <c r="B442" t="s">
        <v>6873</v>
      </c>
      <c r="C442" s="2" t="s">
        <v>6874</v>
      </c>
      <c r="D442" t="s">
        <v>5843</v>
      </c>
      <c r="E442" s="2" t="s">
        <v>6875</v>
      </c>
      <c r="F442" t="s">
        <v>9257</v>
      </c>
      <c r="G442" t="e">
        <f>VLOOKUP($F442, codebooks_data_reordered!$A:$I, 2, FALSE)</f>
        <v>#N/A</v>
      </c>
      <c r="H442" t="e">
        <f>VLOOKUP($F442, codebooks_data_reordered!$A:$I, 3, FALSE)</f>
        <v>#N/A</v>
      </c>
      <c r="I442" t="e">
        <f>VLOOKUP($F442, codebooks_data_reordered!$A:$I, 4, FALSE)</f>
        <v>#N/A</v>
      </c>
      <c r="J442" t="e">
        <f>VLOOKUP($F442, codebooks_data_reordered!$A:$I, 5, FALSE)</f>
        <v>#N/A</v>
      </c>
      <c r="K442" t="e">
        <f>VLOOKUP($F442, codebooks_data_reordered!$A:$I, 6, FALSE)</f>
        <v>#N/A</v>
      </c>
      <c r="L442" t="e">
        <f>VLOOKUP($F442, codebooks_data_reordered!$A:$I, 7, FALSE)</f>
        <v>#N/A</v>
      </c>
      <c r="M442" t="e">
        <f>VLOOKUP($F442, codebooks_data_reordered!$A:$I, 9, FALSE)</f>
        <v>#N/A</v>
      </c>
      <c r="O442" t="e">
        <f t="shared" si="6"/>
        <v>#N/A</v>
      </c>
    </row>
    <row r="443" spans="1:15" ht="43.2" hidden="1" x14ac:dyDescent="0.3">
      <c r="A443" t="s">
        <v>6755</v>
      </c>
      <c r="B443" t="s">
        <v>6876</v>
      </c>
      <c r="C443" s="2" t="s">
        <v>5947</v>
      </c>
      <c r="D443" t="s">
        <v>5843</v>
      </c>
      <c r="E443" s="2" t="s">
        <v>5948</v>
      </c>
      <c r="F443" t="s">
        <v>560</v>
      </c>
      <c r="G443" t="str">
        <f>VLOOKUP($F443, codebooks_data_reordered!$A:$I, 2, FALSE)</f>
        <v>2006</v>
      </c>
      <c r="H443" t="str">
        <f>VLOOKUP($F443, codebooks_data_reordered!$A:$I, 3, FALSE)</f>
        <v>Newspaper/TV</v>
      </c>
      <c r="I443" t="str">
        <f>VLOOKUP($F443, codebooks_data_reordered!$A:$I, 4, FALSE)</f>
        <v>1</v>
      </c>
      <c r="J443" t="str">
        <f>VLOOKUP($F443, codebooks_data_reordered!$A:$I, 5, FALSE)</f>
        <v>175-176</v>
      </c>
      <c r="K443" t="str">
        <f>VLOOKUP($F443, codebooks_data_reordered!$A:$I, 6, FALSE)</f>
        <v>Newspaper usually read</v>
      </c>
      <c r="L443" t="str">
        <f>VLOOKUP($F443, codebooks_data_reordered!$A:$I, 7, FALSE)</f>
        <v>64. Which newspaper do you usually read, which is your main newspaper? (do not read)</v>
      </c>
      <c r="M443">
        <f>VLOOKUP($F443, codebooks_data_reordered!$A:$I, 9, FALSE)</f>
        <v>0</v>
      </c>
      <c r="O443" s="2" t="str">
        <f t="shared" si="6"/>
        <v>0</v>
      </c>
    </row>
    <row r="444" spans="1:15" ht="409.6" hidden="1" x14ac:dyDescent="0.3">
      <c r="A444" t="s">
        <v>6755</v>
      </c>
      <c r="B444" t="s">
        <v>6877</v>
      </c>
      <c r="C444" s="2" t="s">
        <v>6878</v>
      </c>
      <c r="D444" t="s">
        <v>5843</v>
      </c>
      <c r="E444" s="2" t="s">
        <v>6879</v>
      </c>
      <c r="F444" t="s">
        <v>1724</v>
      </c>
      <c r="G444" t="str">
        <f>VLOOKUP($F444, codebooks_data_reordered!$A:$I, 2, FALSE)</f>
        <v>2003</v>
      </c>
      <c r="H444" t="str">
        <f>VLOOKUP($F444, codebooks_data_reordered!$A:$I, 3, FALSE)</f>
        <v>Preference for each of the following coalitions</v>
      </c>
      <c r="I444" t="str">
        <f>VLOOKUP($F444, codebooks_data_reordered!$A:$I, 4, FALSE)</f>
        <v>1</v>
      </c>
      <c r="J444" t="str">
        <f>VLOOKUP($F444, codebooks_data_reordered!$A:$I, 5, FALSE)</f>
        <v>182</v>
      </c>
      <c r="K444" t="str">
        <f>VLOOKUP($F444, codebooks_data_reordered!$A:$I, 6, FALSE)</f>
        <v>Political identification</v>
      </c>
      <c r="L444" t="str">
        <f>VLOOKUP($F444, codebooks_data_reordered!$A:$I, 7, FALSE)</f>
        <v>With which political tendency do you identify?</v>
      </c>
      <c r="M444" t="str">
        <f>VLOOKUP($F444, codebooks_data_reordered!$A:$I, 9, FALSE)</f>
        <v>1: Left; 2: Moderate left; 3: Center; 4: Moderate right; 5: Right; 6: Religious; 7: None</v>
      </c>
      <c r="O444" s="2" t="str">
        <f t="shared" si="6"/>
        <v>1: Left
 2: Moderate left
 3: Center
 4: Moderate right
 5: Right
 6: Religious
 7: None</v>
      </c>
    </row>
    <row r="445" spans="1:15" ht="230.4" hidden="1" x14ac:dyDescent="0.3">
      <c r="A445" t="s">
        <v>6755</v>
      </c>
      <c r="B445" t="s">
        <v>6880</v>
      </c>
      <c r="C445" s="2" t="s">
        <v>6881</v>
      </c>
      <c r="D445" t="s">
        <v>5843</v>
      </c>
      <c r="E445" s="2" t="s">
        <v>6882</v>
      </c>
      <c r="F445" t="s">
        <v>3095</v>
      </c>
      <c r="G445" t="str">
        <f>VLOOKUP($F445, codebooks_data_reordered!$A:$I, 2, FALSE)</f>
        <v>1988_Panel_N=416</v>
      </c>
      <c r="H445" t="str">
        <f>VLOOKUP($F445, codebooks_data_reordered!$A:$I, 3, FALSE)</f>
        <v>WHICH OF THE FOLLOWING WOULD YOU BE WILLING TO GIVE TO MAINTAIN/STRENGTHEN THE SECURITY</v>
      </c>
      <c r="I445" t="str">
        <f>VLOOKUP($F445, codebooks_data_reordered!$A:$I, 4, FALSE)</f>
        <v>1</v>
      </c>
      <c r="J445" t="str">
        <f>VLOOKUP($F445, codebooks_data_reordered!$A:$I, 5, FALSE)</f>
        <v>98</v>
      </c>
      <c r="K445" t="str">
        <f>VLOOKUP($F445, codebooks_data_reordered!$A:$I, 6, FALSE)</f>
        <v>Willingness to have taxes raised so that the respondent pays more to increase security budget</v>
      </c>
      <c r="L445">
        <f>VLOOKUP($F445, codebooks_data_reordered!$A:$I, 7, FALSE)</f>
        <v>0</v>
      </c>
      <c r="M445" t="str">
        <f>VLOOKUP($F445, codebooks_data_reordered!$A:$I, 9, FALSE)</f>
        <v>1: Is willing; 2: Is unwilling</v>
      </c>
      <c r="O445" s="2" t="str">
        <f t="shared" si="6"/>
        <v>1: Is willing
 2: Is unwilling</v>
      </c>
    </row>
    <row r="446" spans="1:15" ht="345.6" hidden="1" x14ac:dyDescent="0.3">
      <c r="A446" t="s">
        <v>6755</v>
      </c>
      <c r="B446" t="s">
        <v>6883</v>
      </c>
      <c r="C446" s="2" t="s">
        <v>6884</v>
      </c>
      <c r="D446" t="s">
        <v>5843</v>
      </c>
      <c r="E446" s="2" t="s">
        <v>6885</v>
      </c>
      <c r="F446" t="s">
        <v>5333</v>
      </c>
      <c r="G446" t="str">
        <f>VLOOKUP($F446, codebooks_data_reordered!$A:$I, 2, FALSE)</f>
        <v>1973_5</v>
      </c>
      <c r="H446" t="str">
        <f>VLOOKUP($F446, codebooks_data_reordered!$A:$I, 3, FALSE)</f>
        <v>POSSIBLE REASONS FOR VOTING FOR THE ALIGNMENT, THE 3 MOST CONVINCING ONES AND THE TWO LEAST CONVINCING ONES</v>
      </c>
      <c r="I446" t="str">
        <f>VLOOKUP($F446, codebooks_data_reordered!$A:$I, 4, FALSE)</f>
        <v>1</v>
      </c>
      <c r="J446" t="str">
        <f>VLOOKUP($F446, codebooks_data_reordered!$A:$I, 5, FALSE)</f>
        <v>19</v>
      </c>
      <c r="K446" t="str">
        <f>VLOOKUP($F446, codebooks_data_reordered!$A:$I, 6, FALSE)</f>
        <v>Fear of sudden changes in the country</v>
      </c>
      <c r="L446">
        <f>VLOOKUP($F446, codebooks_data_reordered!$A:$I, 7, FALSE)</f>
        <v>0</v>
      </c>
      <c r="M446" t="str">
        <f>VLOOKUP($F446, codebooks_data_reordered!$A:$I, 9, FALSE)</f>
        <v>1: First; 2: Second; 3: Third; 5: Not mentioned; 7: One before last; 8: Last</v>
      </c>
      <c r="O446" s="2" t="str">
        <f t="shared" si="6"/>
        <v>1: First
 2: Second
 3: Third
 5: Not mentioned
 7: One before last
 8: Last</v>
      </c>
    </row>
    <row r="447" spans="1:15" ht="259.2" hidden="1" x14ac:dyDescent="0.3">
      <c r="A447" t="s">
        <v>6755</v>
      </c>
      <c r="B447" t="s">
        <v>6886</v>
      </c>
      <c r="C447" s="2" t="s">
        <v>6887</v>
      </c>
      <c r="D447" t="s">
        <v>5843</v>
      </c>
      <c r="E447" s="2" t="s">
        <v>6888</v>
      </c>
      <c r="F447" t="s">
        <v>3657</v>
      </c>
      <c r="G447" t="str">
        <f>VLOOKUP($F447, codebooks_data_reordered!$A:$I, 2, FALSE)</f>
        <v>1988_N=873</v>
      </c>
      <c r="H447" t="str">
        <f>VLOOKUP($F447, codebooks_data_reordered!$A:$I, 3, FALSE)</f>
        <v>NATIONAL SECURITY SCALE</v>
      </c>
      <c r="I447" t="str">
        <f>VLOOKUP($F447, codebooks_data_reordered!$A:$I, 4, FALSE)</f>
        <v>1</v>
      </c>
      <c r="J447" t="str">
        <f>VLOOKUP($F447, codebooks_data_reordered!$A:$I, 5, FALSE)</f>
        <v>21</v>
      </c>
      <c r="K447" t="str">
        <f>VLOOKUP($F447, codebooks_data_reordered!$A:$I, 6, FALSE)</f>
        <v>Israel's ability to affect Arab peace policy</v>
      </c>
      <c r="L447">
        <f>VLOOKUP($F447, codebooks_data_reordered!$A:$I, 7, FALSE)</f>
        <v>0</v>
      </c>
      <c r="M447" t="str">
        <f>VLOOKUP($F447, codebooks_data_reordered!$A:$I, 9, FALSE)</f>
        <v>1: Definitely capable; 2: Capable; 3: Incapable; 4: Definitely incapable</v>
      </c>
      <c r="O447" s="2" t="str">
        <f t="shared" si="6"/>
        <v>1: Definitely capable
 2: Capable
 3: Incapable
 4: Definitely incapable</v>
      </c>
    </row>
    <row r="448" spans="1:15" ht="115.2" hidden="1" x14ac:dyDescent="0.3">
      <c r="A448" t="s">
        <v>6755</v>
      </c>
      <c r="B448" t="s">
        <v>6889</v>
      </c>
      <c r="C448" s="2" t="s">
        <v>6431</v>
      </c>
      <c r="D448" t="s">
        <v>5843</v>
      </c>
      <c r="E448" s="2" t="s">
        <v>6432</v>
      </c>
      <c r="F448" t="s">
        <v>716</v>
      </c>
      <c r="G448" t="str">
        <f>VLOOKUP($F448, codebooks_data_reordered!$A:$I, 2, FALSE)</f>
        <v>2006</v>
      </c>
      <c r="H448" t="str">
        <f>VLOOKUP($F448, codebooks_data_reordered!$A:$I, 3, FALSE)</f>
        <v>Self-identity</v>
      </c>
      <c r="I448" t="str">
        <f>VLOOKUP($F448, codebooks_data_reordered!$A:$I, 4, FALSE)</f>
        <v>1</v>
      </c>
      <c r="J448" t="str">
        <f>VLOOKUP($F448, codebooks_data_reordered!$A:$I, 5, FALSE)</f>
        <v>261</v>
      </c>
      <c r="K448" t="str">
        <f>VLOOKUP($F448, codebooks_data_reordered!$A:$I, 6, FALSE)</f>
        <v>Self-identity for Jews (fourth)</v>
      </c>
      <c r="L448" t="str">
        <f>VLOOKUP($F448, codebooks_data_reordered!$A:$I, 7, FALSE)</f>
        <v>(for Jews) Which of the following concepts best defines your identity? (read) and the second? And the third? And the fourth?</v>
      </c>
      <c r="M448" t="str">
        <f>VLOOKUP($F448, codebooks_data_reordered!$A:$I, 9, FALSE)</f>
        <v>1: Israeli; 2: Jewish; 3: Ashkenazi/Sfaradi; 4: Religious/Secular</v>
      </c>
      <c r="O448" s="2" t="str">
        <f t="shared" si="6"/>
        <v>1: Israeli
 2: Jewish
 3: Ashkenazi/Sfaradi
 4: Religious/Secular</v>
      </c>
    </row>
    <row r="449" spans="1:15" ht="115.2" hidden="1" x14ac:dyDescent="0.3">
      <c r="A449" t="s">
        <v>6755</v>
      </c>
      <c r="B449" t="s">
        <v>6890</v>
      </c>
      <c r="C449" s="2" t="s">
        <v>6431</v>
      </c>
      <c r="D449" t="s">
        <v>5843</v>
      </c>
      <c r="E449" s="2" t="s">
        <v>6432</v>
      </c>
      <c r="F449" t="s">
        <v>939</v>
      </c>
      <c r="G449" t="str">
        <f>VLOOKUP($F449, codebooks_data_reordered!$A:$I, 2, FALSE)</f>
        <v>2006</v>
      </c>
      <c r="H449" t="str">
        <f>VLOOKUP($F449, codebooks_data_reordered!$A:$I, 3, FALSE)</f>
        <v>Reason for not Vote</v>
      </c>
      <c r="I449" t="str">
        <f>VLOOKUP($F449, codebooks_data_reordered!$A:$I, 4, FALSE)</f>
        <v>1</v>
      </c>
      <c r="J449" t="str">
        <f>VLOOKUP($F449, codebooks_data_reordered!$A:$I, 5, FALSE)</f>
        <v>336</v>
      </c>
      <c r="K449" t="str">
        <f>VLOOKUP($F449, codebooks_data_reordered!$A:$I, 6, FALSE)</f>
        <v>Opinions about what the elections were about</v>
      </c>
      <c r="L449" t="str">
        <f>VLOOKUP($F449, codebooks_data_reordered!$A:$I, 7, FALSE)</f>
        <v>23. There are many opinions about what these elections were about. I will read some sentences with different ideas about this. To what extent do you agree or disagree with each of these statements?</v>
      </c>
      <c r="M449" t="str">
        <f>VLOOKUP($F449, codebooks_data_reordered!$A:$I, 9, FALSE)</f>
        <v>1: Strongly disagree; 2: Disagree; 3: Not certain; 4: Agree; 5: Strongly agree</v>
      </c>
      <c r="O449" s="2" t="str">
        <f t="shared" si="6"/>
        <v>1: Strongly disagree
 2: Disagree
 3: Not certain
 4: Agree
 5: Strongly agree</v>
      </c>
    </row>
    <row r="450" spans="1:15" ht="115.2" hidden="1" x14ac:dyDescent="0.3">
      <c r="A450" t="s">
        <v>6755</v>
      </c>
      <c r="B450" t="s">
        <v>6891</v>
      </c>
      <c r="C450" s="2" t="s">
        <v>6431</v>
      </c>
      <c r="D450" t="s">
        <v>5843</v>
      </c>
      <c r="E450" s="2" t="s">
        <v>6432</v>
      </c>
      <c r="F450" t="s">
        <v>724</v>
      </c>
      <c r="G450" t="str">
        <f>VLOOKUP($F450, codebooks_data_reordered!$A:$I, 2, FALSE)</f>
        <v>2006</v>
      </c>
      <c r="H450" t="str">
        <f>VLOOKUP($F450, codebooks_data_reordered!$A:$I, 3, FALSE)</f>
        <v>Self-identity</v>
      </c>
      <c r="I450" t="str">
        <f>VLOOKUP($F450, codebooks_data_reordered!$A:$I, 4, FALSE)</f>
        <v>1</v>
      </c>
      <c r="J450" t="str">
        <f>VLOOKUP($F450, codebooks_data_reordered!$A:$I, 5, FALSE)</f>
        <v>263</v>
      </c>
      <c r="K450" t="str">
        <f>VLOOKUP($F450, codebooks_data_reordered!$A:$I, 6, FALSE)</f>
        <v>Self-identity for Arabs (second)</v>
      </c>
      <c r="L450" t="str">
        <f>VLOOKUP($F450, codebooks_data_reordered!$A:$I, 7, FALSE)</f>
        <v>(for Arabs): Which of the following concepts best defines your identity? (read) and the second? And the third? And the fourth?</v>
      </c>
      <c r="M450" t="str">
        <f>VLOOKUP($F450, codebooks_data_reordered!$A:$I, 9, FALSE)</f>
        <v>1: Israeli; 2: Palestinian; 3: Arab; 4: Muslim/Christian/Druze</v>
      </c>
      <c r="O450" s="2" t="str">
        <f t="shared" ref="O450:O513" si="7">SUBSTITUTE(M450, ";", CHAR(10))</f>
        <v>1: Israeli
 2: Palestinian
 3: Arab
 4: Muslim/Christian/Druze</v>
      </c>
    </row>
    <row r="451" spans="1:15" ht="115.2" hidden="1" x14ac:dyDescent="0.3">
      <c r="A451" t="s">
        <v>6755</v>
      </c>
      <c r="B451" t="s">
        <v>6892</v>
      </c>
      <c r="C451" s="2" t="s">
        <v>6431</v>
      </c>
      <c r="D451" t="s">
        <v>5843</v>
      </c>
      <c r="E451" s="2" t="s">
        <v>6432</v>
      </c>
      <c r="F451" t="s">
        <v>947</v>
      </c>
      <c r="G451" t="str">
        <f>VLOOKUP($F451, codebooks_data_reordered!$A:$I, 2, FALSE)</f>
        <v>2006</v>
      </c>
      <c r="H451" t="str">
        <f>VLOOKUP($F451, codebooks_data_reordered!$A:$I, 3, FALSE)</f>
        <v>Reason for not Vote</v>
      </c>
      <c r="I451" t="str">
        <f>VLOOKUP($F451, codebooks_data_reordered!$A:$I, 4, FALSE)</f>
        <v>1</v>
      </c>
      <c r="J451" t="str">
        <f>VLOOKUP($F451, codebooks_data_reordered!$A:$I, 5, FALSE)</f>
        <v>338</v>
      </c>
      <c r="K451" t="str">
        <f>VLOOKUP($F451, codebooks_data_reordered!$A:$I, 6, FALSE)</f>
        <v>Elections were about: Corruption of the politicians</v>
      </c>
      <c r="L451" t="str">
        <f>VLOOKUP($F451, codebooks_data_reordered!$A:$I, 7, FALSE)</f>
        <v>25. About the corruption of the politicians</v>
      </c>
      <c r="M451" t="str">
        <f>VLOOKUP($F451, codebooks_data_reordered!$A:$I, 9, FALSE)</f>
        <v>1: Strongly disagree; 2: Disagree; 3: Not certain; 4: Agree; 5: Strongly agree</v>
      </c>
      <c r="O451" s="2" t="str">
        <f t="shared" si="7"/>
        <v>1: Strongly disagree
 2: Disagree
 3: Not certain
 4: Agree
 5: Strongly agree</v>
      </c>
    </row>
    <row r="452" spans="1:15" ht="115.2" hidden="1" x14ac:dyDescent="0.3">
      <c r="A452" t="s">
        <v>6755</v>
      </c>
      <c r="B452" t="s">
        <v>6893</v>
      </c>
      <c r="C452" s="2" t="s">
        <v>6431</v>
      </c>
      <c r="D452" t="s">
        <v>5843</v>
      </c>
      <c r="E452" s="2" t="s">
        <v>6432</v>
      </c>
      <c r="F452" t="s">
        <v>706</v>
      </c>
      <c r="G452" t="str">
        <f>VLOOKUP($F452, codebooks_data_reordered!$A:$I, 2, FALSE)</f>
        <v>2006</v>
      </c>
      <c r="H452" t="str">
        <f>VLOOKUP($F452, codebooks_data_reordered!$A:$I, 3, FALSE)</f>
        <v>Self-identity</v>
      </c>
      <c r="I452" t="str">
        <f>VLOOKUP($F452, codebooks_data_reordered!$A:$I, 4, FALSE)</f>
        <v>1</v>
      </c>
      <c r="J452" t="str">
        <f>VLOOKUP($F452, codebooks_data_reordered!$A:$I, 5, FALSE)</f>
        <v>258</v>
      </c>
      <c r="K452" t="str">
        <f>VLOOKUP($F452, codebooks_data_reordered!$A:$I, 6, FALSE)</f>
        <v>Self-identity for Jews (first)</v>
      </c>
      <c r="L452" t="str">
        <f>VLOOKUP($F452, codebooks_data_reordered!$A:$I, 7, FALSE)</f>
        <v>(for Jews) Which of the following concepts best defines your identity? (read) and the second? And the third? And the fourth?</v>
      </c>
      <c r="M452" t="str">
        <f>VLOOKUP($F452, codebooks_data_reordered!$A:$I, 9, FALSE)</f>
        <v>1: Israeli; 2: Jewish; 3: Ashkenazi/Sfaradi; 4: Religious/Secular; 5: Russian</v>
      </c>
      <c r="O452" s="2" t="str">
        <f t="shared" si="7"/>
        <v>1: Israeli
 2: Jewish
 3: Ashkenazi/Sfaradi
 4: Religious/Secular
 5: Russian</v>
      </c>
    </row>
    <row r="453" spans="1:15" ht="43.2" hidden="1" x14ac:dyDescent="0.3">
      <c r="A453" t="s">
        <v>6755</v>
      </c>
      <c r="B453" t="s">
        <v>6894</v>
      </c>
      <c r="C453" s="2" t="s">
        <v>5947</v>
      </c>
      <c r="D453" t="s">
        <v>5843</v>
      </c>
      <c r="E453" s="2" t="s">
        <v>5948</v>
      </c>
      <c r="F453" t="s">
        <v>9258</v>
      </c>
      <c r="G453" t="e">
        <f>VLOOKUP($F453, codebooks_data_reordered!$A:$I, 2, FALSE)</f>
        <v>#N/A</v>
      </c>
      <c r="H453" t="e">
        <f>VLOOKUP($F453, codebooks_data_reordered!$A:$I, 3, FALSE)</f>
        <v>#N/A</v>
      </c>
      <c r="I453" t="e">
        <f>VLOOKUP($F453, codebooks_data_reordered!$A:$I, 4, FALSE)</f>
        <v>#N/A</v>
      </c>
      <c r="J453" t="e">
        <f>VLOOKUP($F453, codebooks_data_reordered!$A:$I, 5, FALSE)</f>
        <v>#N/A</v>
      </c>
      <c r="K453" t="e">
        <f>VLOOKUP($F453, codebooks_data_reordered!$A:$I, 6, FALSE)</f>
        <v>#N/A</v>
      </c>
      <c r="L453" t="e">
        <f>VLOOKUP($F453, codebooks_data_reordered!$A:$I, 7, FALSE)</f>
        <v>#N/A</v>
      </c>
      <c r="M453" t="e">
        <f>VLOOKUP($F453, codebooks_data_reordered!$A:$I, 9, FALSE)</f>
        <v>#N/A</v>
      </c>
      <c r="O453" t="e">
        <f t="shared" si="7"/>
        <v>#N/A</v>
      </c>
    </row>
    <row r="454" spans="1:15" ht="43.2" hidden="1" x14ac:dyDescent="0.3">
      <c r="A454" t="s">
        <v>6755</v>
      </c>
      <c r="B454" t="s">
        <v>6895</v>
      </c>
      <c r="C454" s="2" t="s">
        <v>6896</v>
      </c>
      <c r="D454" t="s">
        <v>7439</v>
      </c>
      <c r="E454" s="2" t="s">
        <v>6897</v>
      </c>
      <c r="F454" t="s">
        <v>9259</v>
      </c>
      <c r="G454" t="e">
        <f>VLOOKUP($F454, codebooks_data_reordered!$A:$I, 2, FALSE)</f>
        <v>#N/A</v>
      </c>
      <c r="H454" t="e">
        <f>VLOOKUP($F454, codebooks_data_reordered!$A:$I, 3, FALSE)</f>
        <v>#N/A</v>
      </c>
      <c r="I454" t="e">
        <f>VLOOKUP($F454, codebooks_data_reordered!$A:$I, 4, FALSE)</f>
        <v>#N/A</v>
      </c>
      <c r="J454" t="e">
        <f>VLOOKUP($F454, codebooks_data_reordered!$A:$I, 5, FALSE)</f>
        <v>#N/A</v>
      </c>
      <c r="K454" t="e">
        <f>VLOOKUP($F454, codebooks_data_reordered!$A:$I, 6, FALSE)</f>
        <v>#N/A</v>
      </c>
      <c r="L454" t="e">
        <f>VLOOKUP($F454, codebooks_data_reordered!$A:$I, 7, FALSE)</f>
        <v>#N/A</v>
      </c>
      <c r="M454" t="e">
        <f>VLOOKUP($F454, codebooks_data_reordered!$A:$I, 9, FALSE)</f>
        <v>#N/A</v>
      </c>
      <c r="O454" t="e">
        <f t="shared" si="7"/>
        <v>#N/A</v>
      </c>
    </row>
    <row r="455" spans="1:15" ht="72" hidden="1" x14ac:dyDescent="0.3">
      <c r="A455" t="s">
        <v>6755</v>
      </c>
      <c r="B455" t="s">
        <v>6898</v>
      </c>
      <c r="C455" s="2" t="s">
        <v>6899</v>
      </c>
      <c r="D455" t="s">
        <v>5843</v>
      </c>
      <c r="E455" s="2" t="s">
        <v>6900</v>
      </c>
      <c r="F455" t="s">
        <v>1911</v>
      </c>
      <c r="G455" t="str">
        <f>VLOOKUP($F455, codebooks_data_reordered!$A:$I, 2, FALSE)</f>
        <v>1999_1</v>
      </c>
      <c r="H455" t="str">
        <f>VLOOKUP($F455, codebooks_data_reordered!$A:$I, 3, FALSE)</f>
        <v>MORE ATTITUDES TOWARD PARTIES AND CANDIDATES</v>
      </c>
      <c r="I455" t="str">
        <f>VLOOKUP($F455, codebooks_data_reordered!$A:$I, 4, FALSE)</f>
        <v>1</v>
      </c>
      <c r="J455" t="str">
        <f>VLOOKUP($F455, codebooks_data_reordered!$A:$I, 5, FALSE)</f>
        <v>73</v>
      </c>
      <c r="K455" t="str">
        <f>VLOOKUP($F455, codebooks_data_reordered!$A:$I, 6, FALSE)</f>
        <v>Effect of peace and territories' effect on vote for PM</v>
      </c>
      <c r="L455">
        <f>VLOOKUP($F455, codebooks_data_reordered!$A:$I, 7, FALSE)</f>
        <v>0</v>
      </c>
      <c r="M455" t="str">
        <f>VLOOKUP($F455, codebooks_data_reordered!$A:$I, 9, FALSE)</f>
        <v>1: Not at all; 2: A small effect; 3: Some effect; 4: A great effect</v>
      </c>
      <c r="O455" s="2" t="str">
        <f t="shared" si="7"/>
        <v>1: Not at all
 2: A small effect
 3: Some effect
 4: A great effect</v>
      </c>
    </row>
    <row r="456" spans="1:15" ht="86.4" hidden="1" x14ac:dyDescent="0.3">
      <c r="A456" t="s">
        <v>6755</v>
      </c>
      <c r="B456" t="s">
        <v>6901</v>
      </c>
      <c r="C456" s="2" t="s">
        <v>6902</v>
      </c>
      <c r="D456" t="s">
        <v>5843</v>
      </c>
      <c r="E456" s="2" t="s">
        <v>6903</v>
      </c>
      <c r="F456" t="s">
        <v>9260</v>
      </c>
      <c r="G456" t="e">
        <f>VLOOKUP($F456, codebooks_data_reordered!$A:$I, 2, FALSE)</f>
        <v>#N/A</v>
      </c>
      <c r="H456" t="e">
        <f>VLOOKUP($F456, codebooks_data_reordered!$A:$I, 3, FALSE)</f>
        <v>#N/A</v>
      </c>
      <c r="I456" t="e">
        <f>VLOOKUP($F456, codebooks_data_reordered!$A:$I, 4, FALSE)</f>
        <v>#N/A</v>
      </c>
      <c r="J456" t="e">
        <f>VLOOKUP($F456, codebooks_data_reordered!$A:$I, 5, FALSE)</f>
        <v>#N/A</v>
      </c>
      <c r="K456" t="e">
        <f>VLOOKUP($F456, codebooks_data_reordered!$A:$I, 6, FALSE)</f>
        <v>#N/A</v>
      </c>
      <c r="L456" t="e">
        <f>VLOOKUP($F456, codebooks_data_reordered!$A:$I, 7, FALSE)</f>
        <v>#N/A</v>
      </c>
      <c r="M456" t="e">
        <f>VLOOKUP($F456, codebooks_data_reordered!$A:$I, 9, FALSE)</f>
        <v>#N/A</v>
      </c>
      <c r="O456" t="e">
        <f t="shared" si="7"/>
        <v>#N/A</v>
      </c>
    </row>
    <row r="457" spans="1:15" ht="115.2" hidden="1" x14ac:dyDescent="0.3">
      <c r="A457" t="s">
        <v>6755</v>
      </c>
      <c r="B457" t="s">
        <v>6904</v>
      </c>
      <c r="C457" s="2" t="s">
        <v>6905</v>
      </c>
      <c r="D457" t="s">
        <v>5843</v>
      </c>
      <c r="E457" s="2" t="s">
        <v>6906</v>
      </c>
      <c r="F457" t="s">
        <v>9261</v>
      </c>
      <c r="G457" t="e">
        <f>VLOOKUP($F457, codebooks_data_reordered!$A:$I, 2, FALSE)</f>
        <v>#N/A</v>
      </c>
      <c r="H457" t="e">
        <f>VLOOKUP($F457, codebooks_data_reordered!$A:$I, 3, FALSE)</f>
        <v>#N/A</v>
      </c>
      <c r="I457" t="e">
        <f>VLOOKUP($F457, codebooks_data_reordered!$A:$I, 4, FALSE)</f>
        <v>#N/A</v>
      </c>
      <c r="J457" t="e">
        <f>VLOOKUP($F457, codebooks_data_reordered!$A:$I, 5, FALSE)</f>
        <v>#N/A</v>
      </c>
      <c r="K457" t="e">
        <f>VLOOKUP($F457, codebooks_data_reordered!$A:$I, 6, FALSE)</f>
        <v>#N/A</v>
      </c>
      <c r="L457" t="e">
        <f>VLOOKUP($F457, codebooks_data_reordered!$A:$I, 7, FALSE)</f>
        <v>#N/A</v>
      </c>
      <c r="M457" t="e">
        <f>VLOOKUP($F457, codebooks_data_reordered!$A:$I, 9, FALSE)</f>
        <v>#N/A</v>
      </c>
      <c r="O457" t="e">
        <f t="shared" si="7"/>
        <v>#N/A</v>
      </c>
    </row>
    <row r="458" spans="1:15" ht="360" hidden="1" x14ac:dyDescent="0.3">
      <c r="A458" t="s">
        <v>6755</v>
      </c>
      <c r="B458" t="s">
        <v>6907</v>
      </c>
      <c r="C458" s="2" t="s">
        <v>6908</v>
      </c>
      <c r="D458" t="s">
        <v>5843</v>
      </c>
      <c r="E458" s="2" t="s">
        <v>6909</v>
      </c>
      <c r="F458" t="s">
        <v>392</v>
      </c>
      <c r="G458" t="str">
        <f>VLOOKUP($F458, codebooks_data_reordered!$A:$I, 2, FALSE)</f>
        <v>2006</v>
      </c>
      <c r="H458" t="str">
        <f>VLOOKUP($F458, codebooks_data_reordered!$A:$I, 3, FALSE)</f>
        <v>Ranking on a Right/Left Political Scale</v>
      </c>
      <c r="I458" t="str">
        <f>VLOOKUP($F458, codebooks_data_reordered!$A:$I, 4, FALSE)</f>
        <v>1</v>
      </c>
      <c r="J458" t="str">
        <f>VLOOKUP($F458, codebooks_data_reordered!$A:$I, 5, FALSE)</f>
        <v>122-123</v>
      </c>
      <c r="K458" t="str">
        <f>VLOOKUP($F458, codebooks_data_reordered!$A:$I, 6, FALSE)</f>
        <v>Ranking on a right/left political scale:Likud</v>
      </c>
      <c r="L458" t="str">
        <f>VLOOKUP($F458, codebooks_data_reordered!$A:$I, 7, FALSE)</f>
        <v>How would you rate the following parties on the left-right scale from 0 to 10, 0 stands for left, and 10 stands for right and 5 is in the middle.</v>
      </c>
      <c r="M458" t="str">
        <f>VLOOKUP($F458, codebooks_data_reordered!$A:$I, 9, FALSE)</f>
        <v>0: Left; 10: Right</v>
      </c>
      <c r="O458" s="2" t="str">
        <f t="shared" si="7"/>
        <v>0: Left
 10: Right</v>
      </c>
    </row>
    <row r="459" spans="1:15" ht="360" hidden="1" x14ac:dyDescent="0.3">
      <c r="A459" t="s">
        <v>6755</v>
      </c>
      <c r="B459" t="s">
        <v>6910</v>
      </c>
      <c r="C459" s="2" t="s">
        <v>6911</v>
      </c>
      <c r="D459" t="s">
        <v>5843</v>
      </c>
      <c r="E459" s="2" t="s">
        <v>6912</v>
      </c>
      <c r="F459" t="s">
        <v>439</v>
      </c>
      <c r="G459" t="str">
        <f>VLOOKUP($F459, codebooks_data_reordered!$A:$I, 2, FALSE)</f>
        <v>2006</v>
      </c>
      <c r="H459" t="str">
        <f>VLOOKUP($F459, codebooks_data_reordered!$A:$I, 3, FALSE)</f>
        <v>State expenditures on Different Issues</v>
      </c>
      <c r="I459" t="str">
        <f>VLOOKUP($F459, codebooks_data_reordered!$A:$I, 4, FALSE)</f>
        <v>1</v>
      </c>
      <c r="J459" t="str">
        <f>VLOOKUP($F459, codebooks_data_reordered!$A:$I, 5, FALSE)</f>
        <v>143</v>
      </c>
      <c r="K459" t="str">
        <f>VLOOKUP($F459, codebooks_data_reordered!$A:$I, 6, FALSE)</f>
        <v>State expenditures on Settlements</v>
      </c>
      <c r="L459" t="str">
        <f>VLOOKUP($F459, codebooks_data_reordered!$A:$I, 7, FALSE)</f>
        <v>Should the country spend more money, less money or the same as it does today on the following issues:</v>
      </c>
      <c r="M459" t="str">
        <f>VLOOKUP($F459, codebooks_data_reordered!$A:$I, 9, FALSE)</f>
        <v>1: More; 2: Less; 3: The same as today</v>
      </c>
      <c r="O459" s="2" t="str">
        <f t="shared" si="7"/>
        <v>1: More
 2: Less
 3: The same as today</v>
      </c>
    </row>
    <row r="460" spans="1:15" ht="115.2" hidden="1" x14ac:dyDescent="0.3">
      <c r="A460" t="s">
        <v>6913</v>
      </c>
      <c r="B460" t="s">
        <v>6914</v>
      </c>
      <c r="C460" s="2" t="s">
        <v>6915</v>
      </c>
      <c r="D460" t="s">
        <v>5843</v>
      </c>
      <c r="E460" s="2" t="s">
        <v>6916</v>
      </c>
      <c r="F460" t="s">
        <v>3113</v>
      </c>
      <c r="G460" t="str">
        <f>VLOOKUP($F460, codebooks_data_reordered!$A:$I, 2, FALSE)</f>
        <v>1988_Panel_N=416</v>
      </c>
      <c r="H460" t="str">
        <f>VLOOKUP($F460, codebooks_data_reordered!$A:$I, 3, FALSE)</f>
        <v>WHICH OF THE FOLLOWING WOULD YOU BE WILLING TO GIVE TO MAINTAIN/STRENGTHEN THE SECURITY</v>
      </c>
      <c r="I460" t="str">
        <f>VLOOKUP($F460, codebooks_data_reordered!$A:$I, 4, FALSE)</f>
        <v>1</v>
      </c>
      <c r="J460" t="str">
        <f>VLOOKUP($F460, codebooks_data_reordered!$A:$I, 5, FALSE)</f>
        <v>105</v>
      </c>
      <c r="K460" t="str">
        <f>VLOOKUP($F460, codebooks_data_reordered!$A:$I, 6, FALSE)</f>
        <v>What would be your opinion of the defense budget should economic state get worse</v>
      </c>
      <c r="L460">
        <f>VLOOKUP($F460, codebooks_data_reordered!$A:$I, 7, FALSE)</f>
        <v>0</v>
      </c>
      <c r="M460" t="str">
        <f>VLOOKUP($F460, codebooks_data_reordered!$A:$I, 9, FALSE)</f>
        <v>1: It should be increased; 2: It should stay as is; 3: It should be cut</v>
      </c>
      <c r="O460" s="2" t="str">
        <f t="shared" si="7"/>
        <v>1: It should be increased
 2: It should stay as is
 3: It should be cut</v>
      </c>
    </row>
    <row r="461" spans="1:15" ht="100.8" hidden="1" x14ac:dyDescent="0.3">
      <c r="A461" t="s">
        <v>6913</v>
      </c>
      <c r="B461" t="s">
        <v>6761</v>
      </c>
      <c r="C461" s="2" t="s">
        <v>6917</v>
      </c>
      <c r="D461" t="s">
        <v>5843</v>
      </c>
      <c r="E461" s="2" t="s">
        <v>6918</v>
      </c>
      <c r="F461" t="s">
        <v>304</v>
      </c>
      <c r="G461" t="str">
        <f>VLOOKUP($F461, codebooks_data_reordered!$A:$I, 2, FALSE)</f>
        <v>2006</v>
      </c>
      <c r="H461" t="str">
        <f>VLOOKUP($F461, codebooks_data_reordered!$A:$I, 3, FALSE)</f>
        <v>Support/Rejection of a Group or a Person</v>
      </c>
      <c r="I461" t="str">
        <f>VLOOKUP($F461, codebooks_data_reordered!$A:$I, 4, FALSE)</f>
        <v>1</v>
      </c>
      <c r="J461" t="str">
        <f>VLOOKUP($F461, codebooks_data_reordered!$A:$I, 5, FALSE)</f>
        <v>97-98</v>
      </c>
      <c r="K461" t="str">
        <f>VLOOKUP($F461, codebooks_data_reordered!$A:$I, 6, FALSE)</f>
        <v>Support: Sharanskiy</v>
      </c>
      <c r="L461">
        <f>VLOOKUP($F461, codebooks_data_reordered!$A:$I, 7, FALSE)</f>
        <v>0</v>
      </c>
      <c r="M461" t="str">
        <f>VLOOKUP($F461, codebooks_data_reordered!$A:$I, 9, FALSE)</f>
        <v>1: Hate/rejection; 10: Love/support</v>
      </c>
      <c r="O461" s="2" t="str">
        <f t="shared" si="7"/>
        <v>1: Hate/rejection
 10: Love/support</v>
      </c>
    </row>
    <row r="462" spans="1:15" ht="100.8" hidden="1" x14ac:dyDescent="0.3">
      <c r="A462" t="s">
        <v>6913</v>
      </c>
      <c r="B462" t="s">
        <v>6209</v>
      </c>
      <c r="C462" s="2" t="s">
        <v>6919</v>
      </c>
      <c r="D462" t="s">
        <v>5843</v>
      </c>
      <c r="E462" s="2" t="s">
        <v>6920</v>
      </c>
      <c r="F462" t="s">
        <v>317</v>
      </c>
      <c r="G462" t="str">
        <f>VLOOKUP($F462, codebooks_data_reordered!$A:$I, 2, FALSE)</f>
        <v>2006</v>
      </c>
      <c r="H462" t="str">
        <f>VLOOKUP($F462, codebooks_data_reordered!$A:$I, 3, FALSE)</f>
        <v>Support/Rejection of a Group or a Person</v>
      </c>
      <c r="I462" t="str">
        <f>VLOOKUP($F462, codebooks_data_reordered!$A:$I, 4, FALSE)</f>
        <v>1</v>
      </c>
      <c r="J462" t="str">
        <f>VLOOKUP($F462, codebooks_data_reordered!$A:$I, 5, FALSE)</f>
        <v>101</v>
      </c>
      <c r="K462" t="str">
        <f>VLOOKUP($F462, codebooks_data_reordered!$A:$I, 6, FALSE)</f>
        <v>Party leaders to deal best with the social problems</v>
      </c>
      <c r="L462" t="str">
        <f>VLOOKUP($F462, codebooks_data_reordered!$A:$I, 7, FALSE)</f>
        <v>80  81. And regarding the social problems in Israel?</v>
      </c>
      <c r="M462" t="str">
        <f>VLOOKUP($F462, codebooks_data_reordered!$A:$I, 9, FALSE)</f>
        <v>1: Kadima leaders; 2: Likud leaders; 3: Avoda leaders; 4: All of them to the same deggree; 5: None of them; 6: Another party</v>
      </c>
      <c r="O462" s="2" t="str">
        <f t="shared" si="7"/>
        <v>1: Kadima leaders
 2: Likud leaders
 3: Avoda leaders
 4: All of them to the same deggree
 5: None of them
 6: Another party</v>
      </c>
    </row>
    <row r="463" spans="1:15" ht="86.4" hidden="1" x14ac:dyDescent="0.3">
      <c r="A463" t="s">
        <v>6913</v>
      </c>
      <c r="B463" t="s">
        <v>6212</v>
      </c>
      <c r="C463" s="2" t="s">
        <v>6921</v>
      </c>
      <c r="D463" t="s">
        <v>5843</v>
      </c>
      <c r="E463" s="2" t="s">
        <v>6922</v>
      </c>
      <c r="F463" t="s">
        <v>2071</v>
      </c>
      <c r="G463" t="str">
        <f>VLOOKUP($F463, codebooks_data_reordered!$A:$I, 2, FALSE)</f>
        <v>1999_1</v>
      </c>
      <c r="H463" t="str">
        <f>VLOOKUP($F463, codebooks_data_reordered!$A:$I, 3, FALSE)</f>
        <v>EVALUATE PARTIES AND CANDIDATES</v>
      </c>
      <c r="I463" t="str">
        <f>VLOOKUP($F463, codebooks_data_reordered!$A:$I, 4, FALSE)</f>
        <v>2</v>
      </c>
      <c r="J463" t="str">
        <f>VLOOKUP($F463, codebooks_data_reordered!$A:$I, 5, FALSE)</f>
        <v>62</v>
      </c>
      <c r="K463" t="str">
        <f>VLOOKUP($F463, codebooks_data_reordered!$A:$I, 6, FALSE)</f>
        <v>Party to ensure Jewish majority</v>
      </c>
      <c r="L463">
        <f>VLOOKUP($F463, codebooks_data_reordered!$A:$I, 7, FALSE)</f>
        <v>0</v>
      </c>
      <c r="M463" t="str">
        <f>VLOOKUP($F463, codebooks_data_reordered!$A:$I, 9, FALSE)</f>
        <v>1: Labor; 2: Likud; 3: Equally; 4: None of them</v>
      </c>
      <c r="O463" s="2" t="str">
        <f t="shared" si="7"/>
        <v>1: Labor
 2: Likud
 3: Equally
 4: None of them</v>
      </c>
    </row>
    <row r="464" spans="1:15" ht="57.6" hidden="1" x14ac:dyDescent="0.3">
      <c r="A464" t="s">
        <v>6913</v>
      </c>
      <c r="B464" t="s">
        <v>6923</v>
      </c>
      <c r="C464" s="2" t="s">
        <v>6924</v>
      </c>
      <c r="D464" t="s">
        <v>7439</v>
      </c>
      <c r="E464" s="2" t="s">
        <v>6925</v>
      </c>
      <c r="F464" t="s">
        <v>9262</v>
      </c>
      <c r="G464" t="e">
        <f>VLOOKUP($F464, codebooks_data_reordered!$A:$I, 2, FALSE)</f>
        <v>#N/A</v>
      </c>
      <c r="H464" t="e">
        <f>VLOOKUP($F464, codebooks_data_reordered!$A:$I, 3, FALSE)</f>
        <v>#N/A</v>
      </c>
      <c r="I464" t="e">
        <f>VLOOKUP($F464, codebooks_data_reordered!$A:$I, 4, FALSE)</f>
        <v>#N/A</v>
      </c>
      <c r="J464" t="e">
        <f>VLOOKUP($F464, codebooks_data_reordered!$A:$I, 5, FALSE)</f>
        <v>#N/A</v>
      </c>
      <c r="K464" t="e">
        <f>VLOOKUP($F464, codebooks_data_reordered!$A:$I, 6, FALSE)</f>
        <v>#N/A</v>
      </c>
      <c r="L464" t="e">
        <f>VLOOKUP($F464, codebooks_data_reordered!$A:$I, 7, FALSE)</f>
        <v>#N/A</v>
      </c>
      <c r="M464" t="e">
        <f>VLOOKUP($F464, codebooks_data_reordered!$A:$I, 9, FALSE)</f>
        <v>#N/A</v>
      </c>
      <c r="O464" t="e">
        <f t="shared" si="7"/>
        <v>#N/A</v>
      </c>
    </row>
    <row r="465" spans="1:15" ht="57.6" hidden="1" x14ac:dyDescent="0.3">
      <c r="A465" t="s">
        <v>6913</v>
      </c>
      <c r="B465" t="s">
        <v>6926</v>
      </c>
      <c r="C465" s="2" t="s">
        <v>6927</v>
      </c>
      <c r="D465" t="s">
        <v>5843</v>
      </c>
      <c r="E465" s="2" t="s">
        <v>6928</v>
      </c>
      <c r="F465" t="s">
        <v>3116</v>
      </c>
      <c r="G465" t="str">
        <f>VLOOKUP($F465, codebooks_data_reordered!$A:$I, 2, FALSE)</f>
        <v>1988_Panel_N=416</v>
      </c>
      <c r="H465" t="str">
        <f>VLOOKUP($F465, codebooks_data_reordered!$A:$I, 3, FALSE)</f>
        <v>WHICH OF THE FOLLOWING WOULD YOU BE WILLING TO GIVE TO MAINTAIN/STRENGTHEN THE SECURITY</v>
      </c>
      <c r="I465" t="str">
        <f>VLOOKUP($F465, codebooks_data_reordered!$A:$I, 4, FALSE)</f>
        <v>1</v>
      </c>
      <c r="J465" t="str">
        <f>VLOOKUP($F465, codebooks_data_reordered!$A:$I, 5, FALSE)</f>
        <v>106</v>
      </c>
      <c r="K465" t="str">
        <f>VLOOKUP($F465, codebooks_data_reordered!$A:$I, 6, FALSE)</f>
        <v>What do you think of cutting social services to increase defense budget</v>
      </c>
      <c r="L465">
        <f>VLOOKUP($F465, codebooks_data_reordered!$A:$I, 7, FALSE)</f>
        <v>0</v>
      </c>
      <c r="M465" t="str">
        <f>VLOOKUP($F465, codebooks_data_reordered!$A:$I, 9, FALSE)</f>
        <v>1: Definitely justified; 2: Justified; 3: Unjustified; 4: Totally unjustified</v>
      </c>
      <c r="O465" s="2" t="str">
        <f t="shared" si="7"/>
        <v>1: Definitely justified
 2: Justified
 3: Unjustified
 4: Totally unjustified</v>
      </c>
    </row>
    <row r="466" spans="1:15" ht="57.6" hidden="1" x14ac:dyDescent="0.3">
      <c r="A466" t="s">
        <v>6913</v>
      </c>
      <c r="B466" t="s">
        <v>5845</v>
      </c>
      <c r="C466" s="2" t="s">
        <v>6924</v>
      </c>
      <c r="D466" t="s">
        <v>7439</v>
      </c>
      <c r="E466" s="2" t="s">
        <v>6925</v>
      </c>
      <c r="F466" t="s">
        <v>9262</v>
      </c>
      <c r="G466" t="e">
        <f>VLOOKUP($F466, codebooks_data_reordered!$A:$I, 2, FALSE)</f>
        <v>#N/A</v>
      </c>
      <c r="H466" t="e">
        <f>VLOOKUP($F466, codebooks_data_reordered!$A:$I, 3, FALSE)</f>
        <v>#N/A</v>
      </c>
      <c r="I466" t="e">
        <f>VLOOKUP($F466, codebooks_data_reordered!$A:$I, 4, FALSE)</f>
        <v>#N/A</v>
      </c>
      <c r="J466" t="e">
        <f>VLOOKUP($F466, codebooks_data_reordered!$A:$I, 5, FALSE)</f>
        <v>#N/A</v>
      </c>
      <c r="K466" t="e">
        <f>VLOOKUP($F466, codebooks_data_reordered!$A:$I, 6, FALSE)</f>
        <v>#N/A</v>
      </c>
      <c r="L466" t="e">
        <f>VLOOKUP($F466, codebooks_data_reordered!$A:$I, 7, FALSE)</f>
        <v>#N/A</v>
      </c>
      <c r="M466" t="e">
        <f>VLOOKUP($F466, codebooks_data_reordered!$A:$I, 9, FALSE)</f>
        <v>#N/A</v>
      </c>
      <c r="O466" t="e">
        <f t="shared" si="7"/>
        <v>#N/A</v>
      </c>
    </row>
    <row r="467" spans="1:15" ht="57.6" hidden="1" x14ac:dyDescent="0.3">
      <c r="A467" t="s">
        <v>6913</v>
      </c>
      <c r="B467" t="s">
        <v>6639</v>
      </c>
      <c r="C467" s="2" t="s">
        <v>6924</v>
      </c>
      <c r="D467" t="s">
        <v>7439</v>
      </c>
      <c r="E467" s="2" t="s">
        <v>6925</v>
      </c>
      <c r="F467" t="s">
        <v>9262</v>
      </c>
      <c r="G467" t="e">
        <f>VLOOKUP($F467, codebooks_data_reordered!$A:$I, 2, FALSE)</f>
        <v>#N/A</v>
      </c>
      <c r="H467" t="e">
        <f>VLOOKUP($F467, codebooks_data_reordered!$A:$I, 3, FALSE)</f>
        <v>#N/A</v>
      </c>
      <c r="I467" t="e">
        <f>VLOOKUP($F467, codebooks_data_reordered!$A:$I, 4, FALSE)</f>
        <v>#N/A</v>
      </c>
      <c r="J467" t="e">
        <f>VLOOKUP($F467, codebooks_data_reordered!$A:$I, 5, FALSE)</f>
        <v>#N/A</v>
      </c>
      <c r="K467" t="e">
        <f>VLOOKUP($F467, codebooks_data_reordered!$A:$I, 6, FALSE)</f>
        <v>#N/A</v>
      </c>
      <c r="L467" t="e">
        <f>VLOOKUP($F467, codebooks_data_reordered!$A:$I, 7, FALSE)</f>
        <v>#N/A</v>
      </c>
      <c r="M467" t="e">
        <f>VLOOKUP($F467, codebooks_data_reordered!$A:$I, 9, FALSE)</f>
        <v>#N/A</v>
      </c>
      <c r="O467" t="e">
        <f t="shared" si="7"/>
        <v>#N/A</v>
      </c>
    </row>
    <row r="468" spans="1:15" ht="72" hidden="1" x14ac:dyDescent="0.3">
      <c r="A468" t="s">
        <v>6913</v>
      </c>
      <c r="B468" t="s">
        <v>6929</v>
      </c>
      <c r="C468" s="2" t="s">
        <v>6930</v>
      </c>
      <c r="D468" t="s">
        <v>5843</v>
      </c>
      <c r="E468" s="2" t="s">
        <v>6931</v>
      </c>
      <c r="F468" t="s">
        <v>368</v>
      </c>
      <c r="G468" t="str">
        <f>VLOOKUP($F468, codebooks_data_reordered!$A:$I, 2, FALSE)</f>
        <v>2006</v>
      </c>
      <c r="H468" t="str">
        <f>VLOOKUP($F468, codebooks_data_reordered!$A:$I, 3, FALSE)</f>
        <v>Influence of Different Issues on Vote</v>
      </c>
      <c r="I468" t="str">
        <f>VLOOKUP($F468, codebooks_data_reordered!$A:$I, 4, FALSE)</f>
        <v>1</v>
      </c>
      <c r="J468" t="str">
        <f>VLOOKUP($F468, codebooks_data_reordered!$A:$I, 5, FALSE)</f>
        <v>115</v>
      </c>
      <c r="K468" t="str">
        <f>VLOOKUP($F468, codebooks_data_reordered!$A:$I, 6, FALSE)</f>
        <v>Influence the following have on your vote:State and religion</v>
      </c>
      <c r="L468" t="str">
        <f>VLOOKUP($F468, codebooks_data_reordered!$A:$I, 7, FALSE)</f>
        <v>To what extent do each of the following issues effect or not effect your voting?</v>
      </c>
      <c r="M468" t="str">
        <f>VLOOKUP($F468, codebooks_data_reordered!$A:$I, 9, FALSE)</f>
        <v>1: A great deal; 2: Some; 3: Little; 4: Not at all</v>
      </c>
      <c r="O468" s="2" t="str">
        <f t="shared" si="7"/>
        <v>1: A great deal
 2: Some
 3: Little
 4: Not at all</v>
      </c>
    </row>
    <row r="469" spans="1:15" ht="57.6" hidden="1" x14ac:dyDescent="0.3">
      <c r="A469" t="s">
        <v>6913</v>
      </c>
      <c r="B469" t="s">
        <v>6932</v>
      </c>
      <c r="C469" s="2" t="s">
        <v>6924</v>
      </c>
      <c r="D469" t="s">
        <v>7439</v>
      </c>
      <c r="E469" s="2" t="s">
        <v>6925</v>
      </c>
      <c r="F469" t="s">
        <v>9262</v>
      </c>
      <c r="G469" t="e">
        <f>VLOOKUP($F469, codebooks_data_reordered!$A:$I, 2, FALSE)</f>
        <v>#N/A</v>
      </c>
      <c r="H469" t="e">
        <f>VLOOKUP($F469, codebooks_data_reordered!$A:$I, 3, FALSE)</f>
        <v>#N/A</v>
      </c>
      <c r="I469" t="e">
        <f>VLOOKUP($F469, codebooks_data_reordered!$A:$I, 4, FALSE)</f>
        <v>#N/A</v>
      </c>
      <c r="J469" t="e">
        <f>VLOOKUP($F469, codebooks_data_reordered!$A:$I, 5, FALSE)</f>
        <v>#N/A</v>
      </c>
      <c r="K469" t="e">
        <f>VLOOKUP($F469, codebooks_data_reordered!$A:$I, 6, FALSE)</f>
        <v>#N/A</v>
      </c>
      <c r="L469" t="e">
        <f>VLOOKUP($F469, codebooks_data_reordered!$A:$I, 7, FALSE)</f>
        <v>#N/A</v>
      </c>
      <c r="M469" t="e">
        <f>VLOOKUP($F469, codebooks_data_reordered!$A:$I, 9, FALSE)</f>
        <v>#N/A</v>
      </c>
      <c r="O469" t="e">
        <f t="shared" si="7"/>
        <v>#N/A</v>
      </c>
    </row>
    <row r="470" spans="1:15" ht="230.4" hidden="1" x14ac:dyDescent="0.3">
      <c r="A470" t="s">
        <v>6913</v>
      </c>
      <c r="B470" t="s">
        <v>6933</v>
      </c>
      <c r="C470" s="2" t="s">
        <v>6934</v>
      </c>
      <c r="D470" t="s">
        <v>5843</v>
      </c>
      <c r="E470" s="2" t="s">
        <v>6935</v>
      </c>
      <c r="F470" t="s">
        <v>472</v>
      </c>
      <c r="G470" t="str">
        <f>VLOOKUP($F470, codebooks_data_reordered!$A:$I, 2, FALSE)</f>
        <v>2006</v>
      </c>
      <c r="H470" t="str">
        <f>VLOOKUP($F470, codebooks_data_reordered!$A:$I, 3, FALSE)</f>
        <v>Most/Less Suitable Characteristic of the Party</v>
      </c>
      <c r="I470" t="str">
        <f>VLOOKUP($F470, codebooks_data_reordered!$A:$I, 4, FALSE)</f>
        <v>1</v>
      </c>
      <c r="J470" t="str">
        <f>VLOOKUP($F470, codebooks_data_reordered!$A:$I, 5, FALSE)</f>
        <v>152</v>
      </c>
      <c r="K470" t="str">
        <f>VLOOKUP($F470, codebooks_data_reordered!$A:$I, 6, FALSE)</f>
        <v>Least suitable characteristic of the party: True peace with arabs</v>
      </c>
      <c r="L470" t="str">
        <f>VLOOKUP($F470,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v>
      </c>
      <c r="M470" t="str">
        <f>VLOOKUP($F470, codebooks_data_reordered!$A:$I, 9, FALSE)</f>
        <v>1: Least suitable Kadima; 2: Least suitable Likud; 3: Least suitable Avoda; 4: Suits all the same; 5: Doesn't suit any of them</v>
      </c>
      <c r="O470" s="2" t="str">
        <f t="shared" si="7"/>
        <v>1: Least suitable Kadima
 2: Least suitable Likud
 3: Least suitable Avoda
 4: Suits all the same
 5: Doesn't suit any of them</v>
      </c>
    </row>
    <row r="471" spans="1:15" ht="57.6" hidden="1" x14ac:dyDescent="0.3">
      <c r="A471" t="s">
        <v>6913</v>
      </c>
      <c r="B471" t="s">
        <v>6936</v>
      </c>
      <c r="C471" s="2" t="s">
        <v>6924</v>
      </c>
      <c r="D471" t="s">
        <v>7439</v>
      </c>
      <c r="E471" s="2" t="s">
        <v>6925</v>
      </c>
      <c r="F471" t="s">
        <v>9262</v>
      </c>
      <c r="G471" t="e">
        <f>VLOOKUP($F471, codebooks_data_reordered!$A:$I, 2, FALSE)</f>
        <v>#N/A</v>
      </c>
      <c r="H471" t="e">
        <f>VLOOKUP($F471, codebooks_data_reordered!$A:$I, 3, FALSE)</f>
        <v>#N/A</v>
      </c>
      <c r="I471" t="e">
        <f>VLOOKUP($F471, codebooks_data_reordered!$A:$I, 4, FALSE)</f>
        <v>#N/A</v>
      </c>
      <c r="J471" t="e">
        <f>VLOOKUP($F471, codebooks_data_reordered!$A:$I, 5, FALSE)</f>
        <v>#N/A</v>
      </c>
      <c r="K471" t="e">
        <f>VLOOKUP($F471, codebooks_data_reordered!$A:$I, 6, FALSE)</f>
        <v>#N/A</v>
      </c>
      <c r="L471" t="e">
        <f>VLOOKUP($F471, codebooks_data_reordered!$A:$I, 7, FALSE)</f>
        <v>#N/A</v>
      </c>
      <c r="M471" t="e">
        <f>VLOOKUP($F471, codebooks_data_reordered!$A:$I, 9, FALSE)</f>
        <v>#N/A</v>
      </c>
      <c r="O471" t="e">
        <f t="shared" si="7"/>
        <v>#N/A</v>
      </c>
    </row>
    <row r="472" spans="1:15" ht="57.6" hidden="1" x14ac:dyDescent="0.3">
      <c r="A472" t="s">
        <v>6913</v>
      </c>
      <c r="B472" t="s">
        <v>6787</v>
      </c>
      <c r="C472" s="2" t="s">
        <v>6924</v>
      </c>
      <c r="D472" t="s">
        <v>7439</v>
      </c>
      <c r="E472" s="2" t="s">
        <v>6925</v>
      </c>
      <c r="F472" t="s">
        <v>9262</v>
      </c>
      <c r="G472" t="e">
        <f>VLOOKUP($F472, codebooks_data_reordered!$A:$I, 2, FALSE)</f>
        <v>#N/A</v>
      </c>
      <c r="H472" t="e">
        <f>VLOOKUP($F472, codebooks_data_reordered!$A:$I, 3, FALSE)</f>
        <v>#N/A</v>
      </c>
      <c r="I472" t="e">
        <f>VLOOKUP($F472, codebooks_data_reordered!$A:$I, 4, FALSE)</f>
        <v>#N/A</v>
      </c>
      <c r="J472" t="e">
        <f>VLOOKUP($F472, codebooks_data_reordered!$A:$I, 5, FALSE)</f>
        <v>#N/A</v>
      </c>
      <c r="K472" t="e">
        <f>VLOOKUP($F472, codebooks_data_reordered!$A:$I, 6, FALSE)</f>
        <v>#N/A</v>
      </c>
      <c r="L472" t="e">
        <f>VLOOKUP($F472, codebooks_data_reordered!$A:$I, 7, FALSE)</f>
        <v>#N/A</v>
      </c>
      <c r="M472" t="e">
        <f>VLOOKUP($F472, codebooks_data_reordered!$A:$I, 9, FALSE)</f>
        <v>#N/A</v>
      </c>
      <c r="O472" t="e">
        <f t="shared" si="7"/>
        <v>#N/A</v>
      </c>
    </row>
    <row r="473" spans="1:15" ht="57.6" hidden="1" x14ac:dyDescent="0.3">
      <c r="A473" t="s">
        <v>6913</v>
      </c>
      <c r="B473" t="s">
        <v>6794</v>
      </c>
      <c r="C473" s="2" t="s">
        <v>6924</v>
      </c>
      <c r="D473" t="s">
        <v>7439</v>
      </c>
      <c r="E473" s="2" t="s">
        <v>6925</v>
      </c>
      <c r="F473" t="s">
        <v>9262</v>
      </c>
      <c r="G473" t="e">
        <f>VLOOKUP($F473, codebooks_data_reordered!$A:$I, 2, FALSE)</f>
        <v>#N/A</v>
      </c>
      <c r="H473" t="e">
        <f>VLOOKUP($F473, codebooks_data_reordered!$A:$I, 3, FALSE)</f>
        <v>#N/A</v>
      </c>
      <c r="I473" t="e">
        <f>VLOOKUP($F473, codebooks_data_reordered!$A:$I, 4, FALSE)</f>
        <v>#N/A</v>
      </c>
      <c r="J473" t="e">
        <f>VLOOKUP($F473, codebooks_data_reordered!$A:$I, 5, FALSE)</f>
        <v>#N/A</v>
      </c>
      <c r="K473" t="e">
        <f>VLOOKUP($F473, codebooks_data_reordered!$A:$I, 6, FALSE)</f>
        <v>#N/A</v>
      </c>
      <c r="L473" t="e">
        <f>VLOOKUP($F473, codebooks_data_reordered!$A:$I, 7, FALSE)</f>
        <v>#N/A</v>
      </c>
      <c r="M473" t="e">
        <f>VLOOKUP($F473, codebooks_data_reordered!$A:$I, 9, FALSE)</f>
        <v>#N/A</v>
      </c>
      <c r="O473" t="e">
        <f t="shared" si="7"/>
        <v>#N/A</v>
      </c>
    </row>
    <row r="474" spans="1:15" ht="86.4" hidden="1" x14ac:dyDescent="0.3">
      <c r="A474" t="s">
        <v>6913</v>
      </c>
      <c r="B474" t="s">
        <v>6937</v>
      </c>
      <c r="C474" s="2" t="s">
        <v>6938</v>
      </c>
      <c r="D474" t="s">
        <v>5843</v>
      </c>
      <c r="E474" s="2" t="s">
        <v>6939</v>
      </c>
      <c r="F474" t="s">
        <v>336</v>
      </c>
      <c r="G474" t="str">
        <f>VLOOKUP($F474, codebooks_data_reordered!$A:$I, 2, FALSE)</f>
        <v>2006</v>
      </c>
      <c r="H474" t="str">
        <f>VLOOKUP($F474, codebooks_data_reordered!$A:$I, 3, FALSE)</f>
        <v>Party Differences</v>
      </c>
      <c r="I474" t="str">
        <f>VLOOKUP($F474, codebooks_data_reordered!$A:$I, 4, FALSE)</f>
        <v>1</v>
      </c>
      <c r="J474" t="str">
        <f>VLOOKUP($F474, codebooks_data_reordered!$A:$I, 5, FALSE)</f>
        <v>106</v>
      </c>
      <c r="K474" t="str">
        <f>VLOOKUP($F474, codebooks_data_reordered!$A:$I, 6, FALSE)</f>
        <v>Party differences on the following issue:Economy</v>
      </c>
      <c r="L474" t="str">
        <f>VLOOKUP($F474, codebooks_data_reordered!$A:$I, 7, FALSE)</f>
        <v>Do you think there are or are not differences among the parties on the following issues?</v>
      </c>
      <c r="M474" t="str">
        <f>VLOOKUP($F474, codebooks_data_reordered!$A:$I, 9, FALSE)</f>
        <v>1: Great differences; 5: Almost no differences</v>
      </c>
      <c r="O474" s="2" t="str">
        <f t="shared" si="7"/>
        <v>1: Great differences
 5: Almost no differences</v>
      </c>
    </row>
    <row r="475" spans="1:15" ht="230.4" hidden="1" x14ac:dyDescent="0.3">
      <c r="A475" t="s">
        <v>6913</v>
      </c>
      <c r="B475" t="s">
        <v>6289</v>
      </c>
      <c r="C475" s="2" t="s">
        <v>6934</v>
      </c>
      <c r="D475" t="s">
        <v>5843</v>
      </c>
      <c r="E475" s="2" t="s">
        <v>6935</v>
      </c>
      <c r="F475" t="s">
        <v>465</v>
      </c>
      <c r="G475" t="str">
        <f>VLOOKUP($F475, codebooks_data_reordered!$A:$I, 2, FALSE)</f>
        <v>2006</v>
      </c>
      <c r="H475" t="str">
        <f>VLOOKUP($F475, codebooks_data_reordered!$A:$I, 3, FALSE)</f>
        <v>Most/Less Suitable Characteristic of the Party</v>
      </c>
      <c r="I475" t="str">
        <f>VLOOKUP($F475, codebooks_data_reordered!$A:$I, 4, FALSE)</f>
        <v>1</v>
      </c>
      <c r="J475" t="str">
        <f>VLOOKUP($F475, codebooks_data_reordered!$A:$I, 5, FALSE)</f>
        <v>150</v>
      </c>
      <c r="K475" t="str">
        <f>VLOOKUP($F475, codebooks_data_reordered!$A:$I, 6, FALSE)</f>
        <v>Least suitable characteristic of the party: Keep the democratic regime</v>
      </c>
      <c r="L475" t="str">
        <f>VLOOKUP($F475,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v>
      </c>
      <c r="M475" t="str">
        <f>VLOOKUP($F475, codebooks_data_reordered!$A:$I, 9, FALSE)</f>
        <v>1: Least suitable Kadima; 2: Least suitable Likud; 3: Least suitable Avoda; 4: Suits all the same; 5: Doesn't suit any of them</v>
      </c>
      <c r="O475" s="2" t="str">
        <f t="shared" si="7"/>
        <v>1: Least suitable Kadima
 2: Least suitable Likud
 3: Least suitable Avoda
 4: Suits all the same
 5: Doesn't suit any of them</v>
      </c>
    </row>
    <row r="476" spans="1:15" ht="230.4" hidden="1" x14ac:dyDescent="0.3">
      <c r="A476" t="s">
        <v>6913</v>
      </c>
      <c r="B476" t="s">
        <v>6940</v>
      </c>
      <c r="C476" s="2" t="s">
        <v>6934</v>
      </c>
      <c r="D476" t="s">
        <v>5843</v>
      </c>
      <c r="E476" s="2" t="s">
        <v>6935</v>
      </c>
      <c r="F476" t="s">
        <v>476</v>
      </c>
      <c r="G476" t="str">
        <f>VLOOKUP($F476, codebooks_data_reordered!$A:$I, 2, FALSE)</f>
        <v>2006</v>
      </c>
      <c r="H476" t="str">
        <f>VLOOKUP($F476, codebooks_data_reordered!$A:$I, 3, FALSE)</f>
        <v>Most/Less Suitable Characteristic of the Party</v>
      </c>
      <c r="I476" t="str">
        <f>VLOOKUP($F476, codebooks_data_reordered!$A:$I, 4, FALSE)</f>
        <v>1</v>
      </c>
      <c r="J476" t="str">
        <f>VLOOKUP($F476, codebooks_data_reordered!$A:$I, 5, FALSE)</f>
        <v>153</v>
      </c>
      <c r="K476" t="str">
        <f>VLOOKUP($F476, codebooks_data_reordered!$A:$I, 6, FALSE)</f>
        <v>Most suitable characteristic of the party: Handle terrorism</v>
      </c>
      <c r="L476" t="str">
        <f>VLOOKUP($F476,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v>
      </c>
      <c r="M476" t="str">
        <f>VLOOKUP($F476, codebooks_data_reordered!$A:$I, 9, FALSE)</f>
        <v>1: Most suitable Kadima; 2: Most suitable Likud; 3: Most suitable Avoda; 4: Suits all the same; 5: Doesn't suit any of them</v>
      </c>
      <c r="O476" s="2" t="str">
        <f t="shared" si="7"/>
        <v>1: Most suitable Kadima
 2: Most suitable Likud
 3: Most suitable Avoda
 4: Suits all the same
 5: Doesn't suit any of them</v>
      </c>
    </row>
    <row r="477" spans="1:15" ht="230.4" hidden="1" x14ac:dyDescent="0.3">
      <c r="A477" t="s">
        <v>6913</v>
      </c>
      <c r="B477" t="s">
        <v>6941</v>
      </c>
      <c r="C477" s="2" t="s">
        <v>6934</v>
      </c>
      <c r="D477" t="s">
        <v>5843</v>
      </c>
      <c r="E477" s="2" t="s">
        <v>6935</v>
      </c>
      <c r="F477" t="s">
        <v>469</v>
      </c>
      <c r="G477" t="str">
        <f>VLOOKUP($F477, codebooks_data_reordered!$A:$I, 2, FALSE)</f>
        <v>2006</v>
      </c>
      <c r="H477" t="str">
        <f>VLOOKUP($F477, codebooks_data_reordered!$A:$I, 3, FALSE)</f>
        <v>Most/Less Suitable Characteristic of the Party</v>
      </c>
      <c r="I477" t="str">
        <f>VLOOKUP($F477, codebooks_data_reordered!$A:$I, 4, FALSE)</f>
        <v>1</v>
      </c>
      <c r="J477" t="str">
        <f>VLOOKUP($F477, codebooks_data_reordered!$A:$I, 5, FALSE)</f>
        <v>151</v>
      </c>
      <c r="K477" t="str">
        <f>VLOOKUP($F477, codebooks_data_reordered!$A:$I, 6, FALSE)</f>
        <v>Most suitable characteristic of the party: True peace with arabs</v>
      </c>
      <c r="L477" t="str">
        <f>VLOOKUP($F477,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v>
      </c>
      <c r="M477" t="str">
        <f>VLOOKUP($F477, codebooks_data_reordered!$A:$I, 9, FALSE)</f>
        <v>1: Most suitable Kadima; 2: Most suitable Likud; 3: Most suitable Avoda; 4: Suits all the same; 5: Doesn't suit any of them</v>
      </c>
      <c r="O477" s="2" t="str">
        <f t="shared" si="7"/>
        <v>1: Most suitable Kadima
 2: Most suitable Likud
 3: Most suitable Avoda
 4: Suits all the same
 5: Doesn't suit any of them</v>
      </c>
    </row>
    <row r="478" spans="1:15" ht="230.4" hidden="1" x14ac:dyDescent="0.3">
      <c r="A478" t="s">
        <v>6913</v>
      </c>
      <c r="B478" t="s">
        <v>6942</v>
      </c>
      <c r="C478" s="2" t="s">
        <v>6934</v>
      </c>
      <c r="D478" t="s">
        <v>5843</v>
      </c>
      <c r="E478" s="2" t="s">
        <v>6935</v>
      </c>
      <c r="F478" t="s">
        <v>436</v>
      </c>
      <c r="G478" t="str">
        <f>VLOOKUP($F478, codebooks_data_reordered!$A:$I, 2, FALSE)</f>
        <v>2006</v>
      </c>
      <c r="H478" t="str">
        <f>VLOOKUP($F478, codebooks_data_reordered!$A:$I, 3, FALSE)</f>
        <v>State expenditures on Different Issues</v>
      </c>
      <c r="I478" t="str">
        <f>VLOOKUP($F478, codebooks_data_reordered!$A:$I, 4, FALSE)</f>
        <v>1</v>
      </c>
      <c r="J478" t="str">
        <f>VLOOKUP($F478, codebooks_data_reordered!$A:$I, 5, FALSE)</f>
        <v>142</v>
      </c>
      <c r="K478" t="str">
        <f>VLOOKUP($F478, codebooks_data_reordered!$A:$I, 6, FALSE)</f>
        <v>State expenditures on Welfare payments</v>
      </c>
      <c r="L478" t="str">
        <f>VLOOKUP($F478, codebooks_data_reordered!$A:$I, 7, FALSE)</f>
        <v>Should the country spend more money, less money or the same as it does today on the following issues:</v>
      </c>
      <c r="M478" t="str">
        <f>VLOOKUP($F478, codebooks_data_reordered!$A:$I, 9, FALSE)</f>
        <v>1: More; 2: Less; 3: The same as today</v>
      </c>
      <c r="O478" s="2" t="str">
        <f t="shared" si="7"/>
        <v>1: More
 2: Less
 3: The same as today</v>
      </c>
    </row>
    <row r="479" spans="1:15" ht="100.8" hidden="1" x14ac:dyDescent="0.3">
      <c r="A479" t="s">
        <v>6913</v>
      </c>
      <c r="B479" t="s">
        <v>6943</v>
      </c>
      <c r="C479" s="2" t="s">
        <v>6944</v>
      </c>
      <c r="D479" t="s">
        <v>5843</v>
      </c>
      <c r="E479" s="2" t="s">
        <v>6945</v>
      </c>
      <c r="F479" t="s">
        <v>1917</v>
      </c>
      <c r="G479" t="str">
        <f>VLOOKUP($F479, codebooks_data_reordered!$A:$I, 2, FALSE)</f>
        <v>1999_1</v>
      </c>
      <c r="H479" t="str">
        <f>VLOOKUP($F479, codebooks_data_reordered!$A:$I, 3, FALSE)</f>
        <v>MORE ATTITUDES TOWARD PARTIES AND CANDIDATES</v>
      </c>
      <c r="I479" t="str">
        <f>VLOOKUP($F479, codebooks_data_reordered!$A:$I, 4, FALSE)</f>
        <v>1</v>
      </c>
      <c r="J479" t="str">
        <f>VLOOKUP($F479, codebooks_data_reordered!$A:$I, 5, FALSE)</f>
        <v>75</v>
      </c>
      <c r="K479" t="str">
        <f>VLOOKUP($F479, codebooks_data_reordered!$A:$I, 6, FALSE)</f>
        <v>Identification with Binyamin Netanyahu's peace and defense policies</v>
      </c>
      <c r="L479" t="str">
        <f>VLOOKUP($F479, codebooks_data_reordered!$A:$I, 7, FALSE)</f>
        <v>Identification with candidate on 1-10 scale: 1=Strong rejection, 10=Strong support</v>
      </c>
      <c r="M479" t="str">
        <f>VLOOKUP($F479, codebooks_data_reordered!$A:$I, 9, FALSE)</f>
        <v>1: Strong rejection; 10: Strong support</v>
      </c>
      <c r="O479" s="2" t="str">
        <f t="shared" si="7"/>
        <v>1: Strong rejection
 10: Strong support</v>
      </c>
    </row>
    <row r="480" spans="1:15" ht="115.2" hidden="1" x14ac:dyDescent="0.3">
      <c r="A480" t="s">
        <v>6913</v>
      </c>
      <c r="B480" t="s">
        <v>6946</v>
      </c>
      <c r="C480" s="2" t="s">
        <v>6947</v>
      </c>
      <c r="D480" t="s">
        <v>5843</v>
      </c>
      <c r="E480" s="2" t="s">
        <v>6948</v>
      </c>
      <c r="F480" t="s">
        <v>3049</v>
      </c>
      <c r="G480" t="str">
        <f>VLOOKUP($F480, codebooks_data_reordered!$A:$I, 2, FALSE)</f>
        <v>1988_Panel_N=416</v>
      </c>
      <c r="H480" t="str">
        <f>VLOOKUP($F480, codebooks_data_reordered!$A:$I, 3, FALSE)</f>
        <v>ISRAEL'S CAPABILITY OF COPING WITH VARIOUS SITUATIONS</v>
      </c>
      <c r="I480" t="str">
        <f>VLOOKUP($F480, codebooks_data_reordered!$A:$I, 4, FALSE)</f>
        <v>1</v>
      </c>
      <c r="J480" t="str">
        <f>VLOOKUP($F480, codebooks_data_reordered!$A:$I, 5, FALSE)</f>
        <v>79</v>
      </c>
      <c r="K480" t="str">
        <f>VLOOKUP($F480, codebooks_data_reordered!$A:$I, 6, FALSE)</f>
        <v>Israel's capability of total Israeli-Arab war</v>
      </c>
      <c r="L480">
        <f>VLOOKUP($F480, codebooks_data_reordered!$A:$I, 7, FALSE)</f>
        <v>0</v>
      </c>
      <c r="M480" t="str">
        <f>VLOOKUP($F480, codebooks_data_reordered!$A:$I, 9, FALSE)</f>
        <v>1: Capable; 2: Incapable</v>
      </c>
      <c r="O480" s="2" t="str">
        <f t="shared" si="7"/>
        <v>1: Capable
 2: Incapable</v>
      </c>
    </row>
    <row r="481" spans="1:15" ht="129.6" hidden="1" x14ac:dyDescent="0.3">
      <c r="A481" t="s">
        <v>6913</v>
      </c>
      <c r="B481" t="s">
        <v>6949</v>
      </c>
      <c r="C481" s="2" t="s">
        <v>6950</v>
      </c>
      <c r="D481" t="s">
        <v>5843</v>
      </c>
      <c r="E481" s="2" t="s">
        <v>6951</v>
      </c>
      <c r="F481" t="s">
        <v>3053</v>
      </c>
      <c r="G481" t="str">
        <f>VLOOKUP($F481, codebooks_data_reordered!$A:$I, 2, FALSE)</f>
        <v>1988_Panel_N=416</v>
      </c>
      <c r="H481" t="str">
        <f>VLOOKUP($F481, codebooks_data_reordered!$A:$I, 3, FALSE)</f>
        <v>ISRAEL'S CAPABILITY OF COPING WITH VARIOUS SITUATIONS</v>
      </c>
      <c r="I481" t="str">
        <f>VLOOKUP($F481, codebooks_data_reordered!$A:$I, 4, FALSE)</f>
        <v>1</v>
      </c>
      <c r="J481" t="str">
        <f>VLOOKUP($F481, codebooks_data_reordered!$A:$I, 5, FALSE)</f>
        <v>81</v>
      </c>
      <c r="K481" t="str">
        <f>VLOOKUP($F481, codebooks_data_reordered!$A:$I, 6, FALSE)</f>
        <v>Israel's capability of increase of terrorist activity</v>
      </c>
      <c r="L481">
        <f>VLOOKUP($F481, codebooks_data_reordered!$A:$I, 7, FALSE)</f>
        <v>0</v>
      </c>
      <c r="M481" t="str">
        <f>VLOOKUP($F481, codebooks_data_reordered!$A:$I, 9, FALSE)</f>
        <v>1: Capable; 2: Incapable</v>
      </c>
      <c r="O481" s="2" t="str">
        <f t="shared" si="7"/>
        <v>1: Capable
 2: Incapable</v>
      </c>
    </row>
    <row r="482" spans="1:15" ht="100.8" hidden="1" x14ac:dyDescent="0.3">
      <c r="A482" t="s">
        <v>6913</v>
      </c>
      <c r="B482" t="s">
        <v>6952</v>
      </c>
      <c r="C482" s="2" t="s">
        <v>6953</v>
      </c>
      <c r="D482" t="s">
        <v>5843</v>
      </c>
      <c r="E482" s="2" t="s">
        <v>6954</v>
      </c>
      <c r="F482" t="s">
        <v>3150</v>
      </c>
      <c r="G482" t="str">
        <f>VLOOKUP($F482, codebooks_data_reordered!$A:$I, 2, FALSE)</f>
        <v>1988_Panel_N=416</v>
      </c>
      <c r="H482" t="str">
        <f>VLOOKUP($F482, codebooks_data_reordered!$A:$I, 3, FALSE)</f>
        <v>THE EXTENT OF APPROVAL OF THE FOLLOWING</v>
      </c>
      <c r="I482" t="str">
        <f>VLOOKUP($F482, codebooks_data_reordered!$A:$I, 4, FALSE)</f>
        <v>1</v>
      </c>
      <c r="J482" t="str">
        <f>VLOOKUP($F482, codebooks_data_reordered!$A:$I, 5, FALSE)</f>
        <v>118</v>
      </c>
      <c r="K482" t="str">
        <f>VLOOKUP($F482, codebooks_data_reordered!$A:$I, 6, FALSE)</f>
        <v>Massada will never fall again</v>
      </c>
      <c r="L482">
        <f>VLOOKUP($F482, codebooks_data_reordered!$A:$I, 7, FALSE)</f>
        <v>0</v>
      </c>
      <c r="M482" t="str">
        <f>VLOOKUP($F482, codebooks_data_reordered!$A:$I, 9, FALSE)</f>
        <v>1: Definitely agrees; 2: Agrees; 3: Disagrees; 4: Definitely disagrees</v>
      </c>
      <c r="O482" s="2" t="str">
        <f t="shared" si="7"/>
        <v>1: Definitely agrees
 2: Agrees
 3: Disagrees
 4: Definitely disagrees</v>
      </c>
    </row>
    <row r="483" spans="1:15" ht="129.6" hidden="1" x14ac:dyDescent="0.3">
      <c r="A483" t="s">
        <v>6913</v>
      </c>
      <c r="B483" t="s">
        <v>6955</v>
      </c>
      <c r="C483" s="2" t="s">
        <v>6956</v>
      </c>
      <c r="D483" t="s">
        <v>5843</v>
      </c>
      <c r="E483" s="2" t="s">
        <v>6957</v>
      </c>
      <c r="F483" t="s">
        <v>505</v>
      </c>
      <c r="G483" t="str">
        <f>VLOOKUP($F483, codebooks_data_reordered!$A:$I, 2, FALSE)</f>
        <v>2006</v>
      </c>
      <c r="H483" t="str">
        <f>VLOOKUP($F483, codebooks_data_reordered!$A:$I, 3, FALSE)</f>
        <v>Most/Less Suitable Characteristic of the Party</v>
      </c>
      <c r="I483" t="str">
        <f>VLOOKUP($F483, codebooks_data_reordered!$A:$I, 4, FALSE)</f>
        <v>1</v>
      </c>
      <c r="J483" t="str">
        <f>VLOOKUP($F483, codebooks_data_reordered!$A:$I, 5, FALSE)</f>
        <v>161</v>
      </c>
      <c r="K483" t="str">
        <f>VLOOKUP($F483, codebooks_data_reordered!$A:$I, 6, FALSE)</f>
        <v>Most suitable characteristic of the party: Leadership abilites</v>
      </c>
      <c r="L483" t="str">
        <f>VLOOKUP($F483,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483" t="str">
        <f>VLOOKUP($F483, codebooks_data_reordered!$A:$I, 9, FALSE)</f>
        <v>1: Olmert; 2: Netanyahu; 3: Peretz; 4: All; 5: None</v>
      </c>
      <c r="O483" s="2" t="str">
        <f t="shared" si="7"/>
        <v>1: Olmert
 2: Netanyahu
 3: Peretz
 4: All
 5: None</v>
      </c>
    </row>
    <row r="484" spans="1:15" ht="86.4" hidden="1" x14ac:dyDescent="0.3">
      <c r="A484" t="s">
        <v>6913</v>
      </c>
      <c r="B484" t="s">
        <v>6958</v>
      </c>
      <c r="C484" s="2" t="s">
        <v>6959</v>
      </c>
      <c r="D484" t="s">
        <v>5843</v>
      </c>
      <c r="E484" s="2" t="s">
        <v>6960</v>
      </c>
      <c r="F484" t="s">
        <v>333</v>
      </c>
      <c r="G484" t="str">
        <f>VLOOKUP($F484, codebooks_data_reordered!$A:$I, 2, FALSE)</f>
        <v>2006</v>
      </c>
      <c r="H484" t="str">
        <f>VLOOKUP($F484, codebooks_data_reordered!$A:$I, 3, FALSE)</f>
        <v>Party Differences</v>
      </c>
      <c r="I484" t="str">
        <f>VLOOKUP($F484, codebooks_data_reordered!$A:$I, 4, FALSE)</f>
        <v>1</v>
      </c>
      <c r="J484" t="str">
        <f>VLOOKUP($F484, codebooks_data_reordered!$A:$I, 5, FALSE)</f>
        <v>105</v>
      </c>
      <c r="K484" t="str">
        <f>VLOOKUP($F484, codebooks_data_reordered!$A:$I, 6, FALSE)</f>
        <v>Party differences on the following issue:Jerusalem</v>
      </c>
      <c r="L484" t="str">
        <f>VLOOKUP($F484, codebooks_data_reordered!$A:$I, 7, FALSE)</f>
        <v>Do you think there are or are not differences among the parties on the following issues?</v>
      </c>
      <c r="M484" t="str">
        <f>VLOOKUP($F484, codebooks_data_reordered!$A:$I, 9, FALSE)</f>
        <v>1: Great differences; 5: Almost no differences</v>
      </c>
      <c r="O484" s="2" t="str">
        <f t="shared" si="7"/>
        <v>1: Great differences
 5: Almost no differences</v>
      </c>
    </row>
    <row r="485" spans="1:15" ht="100.8" hidden="1" x14ac:dyDescent="0.3">
      <c r="A485" t="s">
        <v>6913</v>
      </c>
      <c r="B485" t="s">
        <v>6961</v>
      </c>
      <c r="C485" s="2" t="s">
        <v>6962</v>
      </c>
      <c r="D485" t="s">
        <v>5843</v>
      </c>
      <c r="E485" s="2" t="s">
        <v>6963</v>
      </c>
      <c r="F485" t="s">
        <v>2090</v>
      </c>
      <c r="G485" t="str">
        <f>VLOOKUP($F485, codebooks_data_reordered!$A:$I, 2, FALSE)</f>
        <v>1999_1</v>
      </c>
      <c r="H485" t="str">
        <f>VLOOKUP($F485, codebooks_data_reordered!$A:$I, 3, FALSE)</f>
        <v>EVALUATE PARTIES AND CANDIDATES</v>
      </c>
      <c r="I485" t="str">
        <f>VLOOKUP($F485, codebooks_data_reordered!$A:$I, 4, FALSE)</f>
        <v>2</v>
      </c>
      <c r="J485" t="str">
        <f>VLOOKUP($F485, codebooks_data_reordered!$A:$I, 5, FALSE)</f>
        <v>72</v>
      </c>
      <c r="K485" t="str">
        <f>VLOOKUP($F485, codebooks_data_reordered!$A:$I, 6, FALSE)</f>
        <v>Party to reduce divide in Israel society</v>
      </c>
      <c r="L485">
        <f>VLOOKUP($F485, codebooks_data_reordered!$A:$I, 7, FALSE)</f>
        <v>0</v>
      </c>
      <c r="M485" t="str">
        <f>VLOOKUP($F485, codebooks_data_reordered!$A:$I, 9, FALSE)</f>
        <v>1: Labor; 2: Likud; 3: Equally; 4: None of them</v>
      </c>
      <c r="O485" s="2" t="str">
        <f t="shared" si="7"/>
        <v>1: Labor
 2: Likud
 3: Equally
 4: None of them</v>
      </c>
    </row>
    <row r="486" spans="1:15" ht="86.4" hidden="1" x14ac:dyDescent="0.3">
      <c r="A486" t="s">
        <v>6913</v>
      </c>
      <c r="B486" t="s">
        <v>6964</v>
      </c>
      <c r="C486" s="2" t="s">
        <v>6965</v>
      </c>
      <c r="D486" t="s">
        <v>5843</v>
      </c>
      <c r="E486" s="2" t="s">
        <v>6966</v>
      </c>
      <c r="F486" t="s">
        <v>2457</v>
      </c>
      <c r="G486" t="str">
        <f>VLOOKUP($F486, codebooks_data_reordered!$A:$I, 2, FALSE)</f>
        <v>1996_Jews</v>
      </c>
      <c r="H486" t="str">
        <f>VLOOKUP($F486, codebooks_data_reordered!$A:$I, 3, FALSE)</f>
        <v>WHICH PARTY SUITS EACH OF THESE DESCRIPTIONS?</v>
      </c>
      <c r="I486" t="str">
        <f>VLOOKUP($F486, codebooks_data_reordered!$A:$I, 4, FALSE)</f>
        <v>1</v>
      </c>
      <c r="J486" t="str">
        <f>VLOOKUP($F486, codebooks_data_reordered!$A:$I, 5, FALSE)</f>
        <v>141</v>
      </c>
      <c r="K486" t="str">
        <f>VLOOKUP($F486, codebooks_data_reordered!$A:$I, 6, FALSE)</f>
        <v>Evaluating personal situation in 5 years</v>
      </c>
      <c r="L486">
        <f>VLOOKUP($F486, codebooks_data_reordered!$A:$I, 7, FALSE)</f>
        <v>0</v>
      </c>
      <c r="M486" t="str">
        <f>VLOOKUP($F486, codebooks_data_reordered!$A:$I, 9, FALSE)</f>
        <v>1: Worst; 9: Best</v>
      </c>
      <c r="O486" s="2" t="str">
        <f t="shared" si="7"/>
        <v>1: Worst
 9: Best</v>
      </c>
    </row>
    <row r="487" spans="1:15" ht="100.8" hidden="1" x14ac:dyDescent="0.3">
      <c r="A487" t="s">
        <v>6913</v>
      </c>
      <c r="B487" t="s">
        <v>6967</v>
      </c>
      <c r="C487" s="2" t="s">
        <v>6968</v>
      </c>
      <c r="D487" t="s">
        <v>5843</v>
      </c>
      <c r="E487" s="2" t="s">
        <v>6969</v>
      </c>
      <c r="F487" t="s">
        <v>2837</v>
      </c>
      <c r="G487" t="str">
        <f>VLOOKUP($F487, codebooks_data_reordered!$A:$I, 2, FALSE)</f>
        <v>1992</v>
      </c>
      <c r="H487">
        <f>VLOOKUP($F487, codebooks_data_reordered!$A:$I, 3, FALSE)</f>
        <v>0</v>
      </c>
      <c r="I487" t="str">
        <f>VLOOKUP($F487, codebooks_data_reordered!$A:$I, 4, FALSE)</f>
        <v>1</v>
      </c>
      <c r="J487" t="str">
        <f>VLOOKUP($F487, codebooks_data_reordered!$A:$I, 5, FALSE)</f>
        <v>113</v>
      </c>
      <c r="K487" t="str">
        <f>VLOOKUP($F487, codebooks_data_reordered!$A:$I, 6, FALSE)</f>
        <v>Self rating on right-left scale</v>
      </c>
      <c r="L487">
        <f>VLOOKUP($F487, codebooks_data_reordered!$A:$I, 7, FALSE)</f>
        <v>0</v>
      </c>
      <c r="M487" t="str">
        <f>VLOOKUP($F487, codebooks_data_reordered!$A:$I, 9, FALSE)</f>
        <v>1: Extreme right; 7: Extreme left</v>
      </c>
      <c r="O487" s="2" t="str">
        <f t="shared" si="7"/>
        <v>1: Extreme right
 7: Extreme left</v>
      </c>
    </row>
    <row r="488" spans="1:15" ht="100.8" hidden="1" x14ac:dyDescent="0.3">
      <c r="A488" t="s">
        <v>6913</v>
      </c>
      <c r="B488" t="s">
        <v>6970</v>
      </c>
      <c r="C488" s="2" t="s">
        <v>6944</v>
      </c>
      <c r="D488" t="s">
        <v>5843</v>
      </c>
      <c r="E488" s="2" t="s">
        <v>6945</v>
      </c>
      <c r="F488" t="s">
        <v>1919</v>
      </c>
      <c r="G488" t="str">
        <f>VLOOKUP($F488, codebooks_data_reordered!$A:$I, 2, FALSE)</f>
        <v>1999_1</v>
      </c>
      <c r="H488" t="str">
        <f>VLOOKUP($F488, codebooks_data_reordered!$A:$I, 3, FALSE)</f>
        <v>MORE ATTITUDES TOWARD PARTIES AND CANDIDATES</v>
      </c>
      <c r="I488" t="str">
        <f>VLOOKUP($F488, codebooks_data_reordered!$A:$I, 4, FALSE)</f>
        <v>1</v>
      </c>
      <c r="J488" t="str">
        <f>VLOOKUP($F488, codebooks_data_reordered!$A:$I, 5, FALSE)</f>
        <v>76</v>
      </c>
      <c r="K488" t="str">
        <f>VLOOKUP($F488, codebooks_data_reordered!$A:$I, 6, FALSE)</f>
        <v>Identification with Ehud Barak's peace and defense policies</v>
      </c>
      <c r="L488" t="str">
        <f>VLOOKUP($F488, codebooks_data_reordered!$A:$I, 7, FALSE)</f>
        <v>Identification with candidate on 1-10 scale: 1=Strong rejection, 10=Strong support</v>
      </c>
      <c r="M488" t="str">
        <f>VLOOKUP($F488, codebooks_data_reordered!$A:$I, 9, FALSE)</f>
        <v>1: Strong rejection; 10: Strong support</v>
      </c>
      <c r="O488" s="2" t="str">
        <f t="shared" si="7"/>
        <v>1: Strong rejection
 10: Strong support</v>
      </c>
    </row>
    <row r="489" spans="1:15" ht="115.2" hidden="1" x14ac:dyDescent="0.3">
      <c r="A489" t="s">
        <v>6913</v>
      </c>
      <c r="B489" t="s">
        <v>6971</v>
      </c>
      <c r="C489" s="2" t="s">
        <v>6947</v>
      </c>
      <c r="D489" t="s">
        <v>5843</v>
      </c>
      <c r="E489" s="2" t="s">
        <v>6948</v>
      </c>
      <c r="F489" t="s">
        <v>3051</v>
      </c>
      <c r="G489" t="str">
        <f>VLOOKUP($F489, codebooks_data_reordered!$A:$I, 2, FALSE)</f>
        <v>1988_Panel_N=416</v>
      </c>
      <c r="H489" t="str">
        <f>VLOOKUP($F489, codebooks_data_reordered!$A:$I, 3, FALSE)</f>
        <v>ISRAEL'S CAPABILITY OF COPING WITH VARIOUS SITUATIONS</v>
      </c>
      <c r="I489" t="str">
        <f>VLOOKUP($F489, codebooks_data_reordered!$A:$I, 4, FALSE)</f>
        <v>1</v>
      </c>
      <c r="J489" t="str">
        <f>VLOOKUP($F489, codebooks_data_reordered!$A:$I, 5, FALSE)</f>
        <v>80</v>
      </c>
      <c r="K489" t="str">
        <f>VLOOKUP($F489, codebooks_data_reordered!$A:$I, 6, FALSE)</f>
        <v>Israel's capability of war against Syria alone</v>
      </c>
      <c r="L489">
        <f>VLOOKUP($F489, codebooks_data_reordered!$A:$I, 7, FALSE)</f>
        <v>0</v>
      </c>
      <c r="M489" t="str">
        <f>VLOOKUP($F489, codebooks_data_reordered!$A:$I, 9, FALSE)</f>
        <v>1: Capable; 2: Incapable</v>
      </c>
      <c r="O489" s="2" t="str">
        <f t="shared" si="7"/>
        <v>1: Capable
 2: Incapable</v>
      </c>
    </row>
    <row r="490" spans="1:15" ht="129.6" hidden="1" x14ac:dyDescent="0.3">
      <c r="A490" t="s">
        <v>6913</v>
      </c>
      <c r="B490" t="s">
        <v>6972</v>
      </c>
      <c r="C490" s="2" t="s">
        <v>6950</v>
      </c>
      <c r="D490" t="s">
        <v>5843</v>
      </c>
      <c r="E490" s="2" t="s">
        <v>6951</v>
      </c>
      <c r="F490" t="s">
        <v>3057</v>
      </c>
      <c r="G490" t="str">
        <f>VLOOKUP($F490, codebooks_data_reordered!$A:$I, 2, FALSE)</f>
        <v>1988_Panel_N=416</v>
      </c>
      <c r="H490" t="str">
        <f>VLOOKUP($F490, codebooks_data_reordered!$A:$I, 3, FALSE)</f>
        <v>ISRAEL'S CAPABILITY OF COPING WITH VARIOUS SITUATIONS</v>
      </c>
      <c r="I490" t="str">
        <f>VLOOKUP($F490, codebooks_data_reordered!$A:$I, 4, FALSE)</f>
        <v>1</v>
      </c>
      <c r="J490" t="str">
        <f>VLOOKUP($F490, codebooks_data_reordered!$A:$I, 5, FALSE)</f>
        <v>83</v>
      </c>
      <c r="K490" t="str">
        <f>VLOOKUP($F490, codebooks_data_reordered!$A:$I, 6, FALSE)</f>
        <v>Israel's capability of Israeli Arabs' civilian uprising</v>
      </c>
      <c r="L490">
        <f>VLOOKUP($F490, codebooks_data_reordered!$A:$I, 7, FALSE)</f>
        <v>0</v>
      </c>
      <c r="M490" t="str">
        <f>VLOOKUP($F490, codebooks_data_reordered!$A:$I, 9, FALSE)</f>
        <v>1: Capable; 2: Incapable</v>
      </c>
      <c r="O490" s="2" t="str">
        <f t="shared" si="7"/>
        <v>1: Capable
 2: Incapable</v>
      </c>
    </row>
    <row r="491" spans="1:15" ht="100.8" hidden="1" x14ac:dyDescent="0.3">
      <c r="A491" t="s">
        <v>6913</v>
      </c>
      <c r="B491" t="s">
        <v>6973</v>
      </c>
      <c r="C491" s="2" t="s">
        <v>6944</v>
      </c>
      <c r="D491" t="s">
        <v>5843</v>
      </c>
      <c r="E491" s="2" t="s">
        <v>6945</v>
      </c>
      <c r="F491" t="s">
        <v>1921</v>
      </c>
      <c r="G491" t="str">
        <f>VLOOKUP($F491, codebooks_data_reordered!$A:$I, 2, FALSE)</f>
        <v>1999_1</v>
      </c>
      <c r="H491" t="str">
        <f>VLOOKUP($F491, codebooks_data_reordered!$A:$I, 3, FALSE)</f>
        <v>MORE ATTITUDES TOWARD PARTIES AND CANDIDATES</v>
      </c>
      <c r="I491" t="str">
        <f>VLOOKUP($F491, codebooks_data_reordered!$A:$I, 4, FALSE)</f>
        <v>1</v>
      </c>
      <c r="J491" t="str">
        <f>VLOOKUP($F491, codebooks_data_reordered!$A:$I, 5, FALSE)</f>
        <v>77</v>
      </c>
      <c r="K491" t="str">
        <f>VLOOKUP($F491, codebooks_data_reordered!$A:$I, 6, FALSE)</f>
        <v>Identification with Itzhak Mordechai's peace and defense policies</v>
      </c>
      <c r="L491" t="str">
        <f>VLOOKUP($F491, codebooks_data_reordered!$A:$I, 7, FALSE)</f>
        <v>Identification with candidate on 1-10 scale: 1=Strong rejection, 10=Strong support</v>
      </c>
      <c r="M491" t="str">
        <f>VLOOKUP($F491, codebooks_data_reordered!$A:$I, 9, FALSE)</f>
        <v>1: Strong rejection; 10: Strong support</v>
      </c>
      <c r="O491" s="2" t="str">
        <f t="shared" si="7"/>
        <v>1: Strong rejection
 10: Strong support</v>
      </c>
    </row>
    <row r="492" spans="1:15" ht="115.2" hidden="1" x14ac:dyDescent="0.3">
      <c r="A492" t="s">
        <v>6913</v>
      </c>
      <c r="B492" t="s">
        <v>6085</v>
      </c>
      <c r="C492" s="2" t="s">
        <v>6947</v>
      </c>
      <c r="D492" t="s">
        <v>5843</v>
      </c>
      <c r="E492" s="2" t="s">
        <v>6948</v>
      </c>
      <c r="F492" t="s">
        <v>3053</v>
      </c>
      <c r="G492" t="str">
        <f>VLOOKUP($F492, codebooks_data_reordered!$A:$I, 2, FALSE)</f>
        <v>1988_Panel_N=416</v>
      </c>
      <c r="H492" t="str">
        <f>VLOOKUP($F492, codebooks_data_reordered!$A:$I, 3, FALSE)</f>
        <v>ISRAEL'S CAPABILITY OF COPING WITH VARIOUS SITUATIONS</v>
      </c>
      <c r="I492" t="str">
        <f>VLOOKUP($F492, codebooks_data_reordered!$A:$I, 4, FALSE)</f>
        <v>1</v>
      </c>
      <c r="J492" t="str">
        <f>VLOOKUP($F492, codebooks_data_reordered!$A:$I, 5, FALSE)</f>
        <v>81</v>
      </c>
      <c r="K492" t="str">
        <f>VLOOKUP($F492, codebooks_data_reordered!$A:$I, 6, FALSE)</f>
        <v>Israel's capability of increase of terrorist activity</v>
      </c>
      <c r="L492">
        <f>VLOOKUP($F492, codebooks_data_reordered!$A:$I, 7, FALSE)</f>
        <v>0</v>
      </c>
      <c r="M492" t="str">
        <f>VLOOKUP($F492, codebooks_data_reordered!$A:$I, 9, FALSE)</f>
        <v>1: Capable; 2: Incapable</v>
      </c>
      <c r="O492" s="2" t="str">
        <f t="shared" si="7"/>
        <v>1: Capable
 2: Incapable</v>
      </c>
    </row>
    <row r="493" spans="1:15" ht="129.6" hidden="1" x14ac:dyDescent="0.3">
      <c r="A493" t="s">
        <v>6913</v>
      </c>
      <c r="B493" t="s">
        <v>6974</v>
      </c>
      <c r="C493" s="2" t="s">
        <v>6950</v>
      </c>
      <c r="D493" t="s">
        <v>5843</v>
      </c>
      <c r="E493" s="2" t="s">
        <v>6951</v>
      </c>
      <c r="F493" t="s">
        <v>3059</v>
      </c>
      <c r="G493" t="str">
        <f>VLOOKUP($F493, codebooks_data_reordered!$A:$I, 2, FALSE)</f>
        <v>1988_Panel_N=416</v>
      </c>
      <c r="H493" t="str">
        <f>VLOOKUP($F493, codebooks_data_reordered!$A:$I, 3, FALSE)</f>
        <v>ISRAEL'S CAPABILITY OF COPING WITH VARIOUS SITUATIONS</v>
      </c>
      <c r="I493" t="str">
        <f>VLOOKUP($F493, codebooks_data_reordered!$A:$I, 4, FALSE)</f>
        <v>1</v>
      </c>
      <c r="J493" t="str">
        <f>VLOOKUP($F493, codebooks_data_reordered!$A:$I, 5, FALSE)</f>
        <v>84</v>
      </c>
      <c r="K493" t="str">
        <f>VLOOKUP($F493, codebooks_data_reordered!$A:$I, 6, FALSE)</f>
        <v>Israel's capability of territories Arabs' uprising</v>
      </c>
      <c r="L493">
        <f>VLOOKUP($F493, codebooks_data_reordered!$A:$I, 7, FALSE)</f>
        <v>0</v>
      </c>
      <c r="M493" t="str">
        <f>VLOOKUP($F493, codebooks_data_reordered!$A:$I, 9, FALSE)</f>
        <v>1: Capable; 2: Incapable</v>
      </c>
      <c r="O493" s="2" t="str">
        <f t="shared" si="7"/>
        <v>1: Capable
 2: Incapable</v>
      </c>
    </row>
    <row r="494" spans="1:15" ht="86.4" hidden="1" x14ac:dyDescent="0.3">
      <c r="A494" t="s">
        <v>6913</v>
      </c>
      <c r="B494" t="s">
        <v>6975</v>
      </c>
      <c r="C494" s="2" t="s">
        <v>6976</v>
      </c>
      <c r="D494" t="s">
        <v>5843</v>
      </c>
      <c r="E494" s="2" t="s">
        <v>6977</v>
      </c>
      <c r="F494" t="s">
        <v>301</v>
      </c>
      <c r="G494" t="str">
        <f>VLOOKUP($F494, codebooks_data_reordered!$A:$I, 2, FALSE)</f>
        <v>2006</v>
      </c>
      <c r="H494" t="str">
        <f>VLOOKUP($F494, codebooks_data_reordered!$A:$I, 3, FALSE)</f>
        <v>Support/Rejection of a Group or a Person</v>
      </c>
      <c r="I494" t="str">
        <f>VLOOKUP($F494, codebooks_data_reordered!$A:$I, 4, FALSE)</f>
        <v>1</v>
      </c>
      <c r="J494" t="str">
        <f>VLOOKUP($F494, codebooks_data_reordered!$A:$I, 5, FALSE)</f>
        <v>95-96</v>
      </c>
      <c r="K494" t="str">
        <f>VLOOKUP($F494, codebooks_data_reordered!$A:$I, 6, FALSE)</f>
        <v>Support: Eylon</v>
      </c>
      <c r="L494">
        <f>VLOOKUP($F494, codebooks_data_reordered!$A:$I, 7, FALSE)</f>
        <v>0</v>
      </c>
      <c r="M494" t="str">
        <f>VLOOKUP($F494, codebooks_data_reordered!$A:$I, 9, FALSE)</f>
        <v>1: Hate/rejection; 10: Love/support</v>
      </c>
      <c r="O494" s="2" t="str">
        <f t="shared" si="7"/>
        <v>1: Hate/rejection
 10: Love/support</v>
      </c>
    </row>
    <row r="495" spans="1:15" ht="43.2" hidden="1" x14ac:dyDescent="0.3">
      <c r="A495" t="s">
        <v>6913</v>
      </c>
      <c r="B495" t="s">
        <v>6978</v>
      </c>
      <c r="C495" s="2" t="s">
        <v>6979</v>
      </c>
      <c r="D495" t="s">
        <v>5843</v>
      </c>
      <c r="E495" s="2" t="s">
        <v>6980</v>
      </c>
      <c r="F495" t="s">
        <v>1859</v>
      </c>
      <c r="G495" t="str">
        <f>VLOOKUP($F495, codebooks_data_reordered!$A:$I, 2, FALSE)</f>
        <v>1999_1</v>
      </c>
      <c r="H495" t="str">
        <f>VLOOKUP($F495, codebooks_data_reordered!$A:$I, 3, FALSE)</f>
        <v>ATTITUDES TOWARD CANDIDATES AND PARTIES</v>
      </c>
      <c r="I495" t="str">
        <f>VLOOKUP($F495, codebooks_data_reordered!$A:$I, 4, FALSE)</f>
        <v>1</v>
      </c>
      <c r="J495" t="str">
        <f>VLOOKUP($F495, codebooks_data_reordered!$A:$I, 5, FALSE)</f>
        <v>52</v>
      </c>
      <c r="K495" t="str">
        <f>VLOOKUP($F495, codebooks_data_reordered!$A:$I, 6, FALSE)</f>
        <v>Extend of support for Itzhak Mordechai</v>
      </c>
      <c r="L495" t="str">
        <f>VLOOKUP($F495, codebooks_data_reordered!$A:$I, 7, FALSE)</f>
        <v>Extent of support on 1-10 scale, 1=total rejection, 10=strong support</v>
      </c>
      <c r="M495" t="str">
        <f>VLOOKUP($F495, codebooks_data_reordered!$A:$I, 9, FALSE)</f>
        <v>1: Totally reject; 10: Strongly support</v>
      </c>
      <c r="O495" s="2" t="str">
        <f t="shared" si="7"/>
        <v>1: Totally reject
 10: Strongly support</v>
      </c>
    </row>
    <row r="496" spans="1:15" ht="43.2" hidden="1" x14ac:dyDescent="0.3">
      <c r="A496" t="s">
        <v>6913</v>
      </c>
      <c r="B496" t="s">
        <v>6981</v>
      </c>
      <c r="C496" s="2" t="s">
        <v>6982</v>
      </c>
      <c r="D496" t="s">
        <v>5843</v>
      </c>
      <c r="E496" s="2" t="s">
        <v>6983</v>
      </c>
      <c r="F496" t="s">
        <v>1861</v>
      </c>
      <c r="G496" t="str">
        <f>VLOOKUP($F496, codebooks_data_reordered!$A:$I, 2, FALSE)</f>
        <v>1999_1</v>
      </c>
      <c r="H496" t="str">
        <f>VLOOKUP($F496, codebooks_data_reordered!$A:$I, 3, FALSE)</f>
        <v>ATTITUDES TOWARD CANDIDATES AND PARTIES</v>
      </c>
      <c r="I496" t="str">
        <f>VLOOKUP($F496, codebooks_data_reordered!$A:$I, 4, FALSE)</f>
        <v>1</v>
      </c>
      <c r="J496" t="str">
        <f>VLOOKUP($F496, codebooks_data_reordered!$A:$I, 5, FALSE)</f>
        <v>53</v>
      </c>
      <c r="K496" t="str">
        <f>VLOOKUP($F496, codebooks_data_reordered!$A:$I, 6, FALSE)</f>
        <v>Extend of support for Yasser Arafat</v>
      </c>
      <c r="L496" t="str">
        <f>VLOOKUP($F496, codebooks_data_reordered!$A:$I, 7, FALSE)</f>
        <v>Extent of support on 1-10 scale, 1=total rejection, 10=strong support</v>
      </c>
      <c r="M496" t="str">
        <f>VLOOKUP($F496, codebooks_data_reordered!$A:$I, 9, FALSE)</f>
        <v>1: Totally reject; 10: Strongly support</v>
      </c>
      <c r="O496" s="2" t="str">
        <f t="shared" si="7"/>
        <v>1: Totally reject
 10: Strongly support</v>
      </c>
    </row>
    <row r="497" spans="1:15" ht="43.2" hidden="1" x14ac:dyDescent="0.3">
      <c r="A497" t="s">
        <v>6913</v>
      </c>
      <c r="B497" t="s">
        <v>6984</v>
      </c>
      <c r="C497" s="2" t="s">
        <v>6982</v>
      </c>
      <c r="D497" t="s">
        <v>5843</v>
      </c>
      <c r="E497" s="2" t="s">
        <v>6983</v>
      </c>
      <c r="F497" t="s">
        <v>1798</v>
      </c>
      <c r="G497" t="str">
        <f>VLOOKUP($F497, codebooks_data_reordered!$A:$I, 2, FALSE)</f>
        <v>1999_1</v>
      </c>
      <c r="H497" t="str">
        <f>VLOOKUP($F497, codebooks_data_reordered!$A:$I, 3, FALSE)</f>
        <v>GENERAL POLITICAL ATTITUDE</v>
      </c>
      <c r="I497" t="str">
        <f>VLOOKUP($F497, codebooks_data_reordered!$A:$I, 4, FALSE)</f>
        <v>1</v>
      </c>
      <c r="J497" t="str">
        <f>VLOOKUP($F497, codebooks_data_reordered!$A:$I, 5, FALSE)</f>
        <v>27</v>
      </c>
      <c r="K497" t="str">
        <f>VLOOKUP($F497, codebooks_data_reordered!$A:$I, 6, FALSE)</f>
        <v>Forecast future public support for a Palestinian State</v>
      </c>
      <c r="L497">
        <f>VLOOKUP($F497, codebooks_data_reordered!$A:$I, 7, FALSE)</f>
        <v>0</v>
      </c>
      <c r="M497" t="str">
        <f>VLOOKUP($F497, codebooks_data_reordered!$A:$I, 9, FALSE)</f>
        <v>1: More people will support; 2: Less people will support</v>
      </c>
      <c r="O497" s="2" t="str">
        <f t="shared" si="7"/>
        <v>1: More people will support
 2: Less people will support</v>
      </c>
    </row>
    <row r="498" spans="1:15" ht="43.2" hidden="1" x14ac:dyDescent="0.3">
      <c r="A498" t="s">
        <v>6913</v>
      </c>
      <c r="B498" t="s">
        <v>6985</v>
      </c>
      <c r="C498" s="2" t="s">
        <v>6986</v>
      </c>
      <c r="D498" t="s">
        <v>5843</v>
      </c>
      <c r="E498" s="2" t="s">
        <v>6987</v>
      </c>
      <c r="F498" t="s">
        <v>1863</v>
      </c>
      <c r="G498" t="str">
        <f>VLOOKUP($F498, codebooks_data_reordered!$A:$I, 2, FALSE)</f>
        <v>1999_1</v>
      </c>
      <c r="H498" t="str">
        <f>VLOOKUP($F498, codebooks_data_reordered!$A:$I, 3, FALSE)</f>
        <v>ATTITUDES TOWARD CANDIDATES AND PARTIES</v>
      </c>
      <c r="I498" t="str">
        <f>VLOOKUP($F498, codebooks_data_reordered!$A:$I, 4, FALSE)</f>
        <v>1</v>
      </c>
      <c r="J498" t="str">
        <f>VLOOKUP($F498, codebooks_data_reordered!$A:$I, 5, FALSE)</f>
        <v>54</v>
      </c>
      <c r="K498" t="str">
        <f>VLOOKUP($F498, codebooks_data_reordered!$A:$I, 6, FALSE)</f>
        <v>Extend of support for Ehud Barak</v>
      </c>
      <c r="L498" t="str">
        <f>VLOOKUP($F498, codebooks_data_reordered!$A:$I, 7, FALSE)</f>
        <v>Extent of support on 1-10 scale, 1=total rejection, 10=strong support</v>
      </c>
      <c r="M498" t="str">
        <f>VLOOKUP($F498, codebooks_data_reordered!$A:$I, 9, FALSE)</f>
        <v>1: Totally reject; 10: Strongly support</v>
      </c>
      <c r="O498" s="2" t="str">
        <f t="shared" si="7"/>
        <v>1: Totally reject
 10: Strongly support</v>
      </c>
    </row>
    <row r="499" spans="1:15" ht="57.6" hidden="1" x14ac:dyDescent="0.3">
      <c r="A499" t="s">
        <v>6913</v>
      </c>
      <c r="B499" t="s">
        <v>6988</v>
      </c>
      <c r="C499" s="2" t="s">
        <v>6986</v>
      </c>
      <c r="D499" t="s">
        <v>5843</v>
      </c>
      <c r="E499" s="2" t="s">
        <v>6987</v>
      </c>
      <c r="F499" t="s">
        <v>1801</v>
      </c>
      <c r="G499" t="str">
        <f>VLOOKUP($F499, codebooks_data_reordered!$A:$I, 2, FALSE)</f>
        <v>1999_1</v>
      </c>
      <c r="H499" t="str">
        <f>VLOOKUP($F499, codebooks_data_reordered!$A:$I, 3, FALSE)</f>
        <v>GENERAL POLITICAL ATTITUDE</v>
      </c>
      <c r="I499" t="str">
        <f>VLOOKUP($F499, codebooks_data_reordered!$A:$I, 4, FALSE)</f>
        <v>1</v>
      </c>
      <c r="J499" t="str">
        <f>VLOOKUP($F499, codebooks_data_reordered!$A:$I, 5, FALSE)</f>
        <v>28</v>
      </c>
      <c r="K499" t="str">
        <f>VLOOKUP($F499, codebooks_data_reordered!$A:$I, 6, FALSE)</f>
        <v>Should government encourage Arab emmigration from Israel?</v>
      </c>
      <c r="L499">
        <f>VLOOKUP($F499, codebooks_data_reordered!$A:$I, 7, FALSE)</f>
        <v>0</v>
      </c>
      <c r="M499" t="str">
        <f>VLOOKUP($F499, codebooks_data_reordered!$A:$I, 9, FALSE)</f>
        <v>1: Definitely yes; 2: Yes; 3: No; 4: Definitely not</v>
      </c>
      <c r="O499" s="2" t="str">
        <f t="shared" si="7"/>
        <v>1: Definitely yes
 2: Yes
 3: No
 4: Definitely not</v>
      </c>
    </row>
    <row r="500" spans="1:15" ht="43.2" hidden="1" x14ac:dyDescent="0.3">
      <c r="A500" t="s">
        <v>6913</v>
      </c>
      <c r="B500" t="s">
        <v>6989</v>
      </c>
      <c r="C500" s="2" t="s">
        <v>6990</v>
      </c>
      <c r="D500" t="s">
        <v>5843</v>
      </c>
      <c r="E500" s="2" t="s">
        <v>6991</v>
      </c>
      <c r="F500" t="s">
        <v>1865</v>
      </c>
      <c r="G500" t="str">
        <f>VLOOKUP($F500, codebooks_data_reordered!$A:$I, 2, FALSE)</f>
        <v>1999_1</v>
      </c>
      <c r="H500" t="str">
        <f>VLOOKUP($F500, codebooks_data_reordered!$A:$I, 3, FALSE)</f>
        <v>ATTITUDES TOWARD CANDIDATES AND PARTIES</v>
      </c>
      <c r="I500" t="str">
        <f>VLOOKUP($F500, codebooks_data_reordered!$A:$I, 4, FALSE)</f>
        <v>1</v>
      </c>
      <c r="J500" t="str">
        <f>VLOOKUP($F500, codebooks_data_reordered!$A:$I, 5, FALSE)</f>
        <v>55</v>
      </c>
      <c r="K500" t="str">
        <f>VLOOKUP($F500, codebooks_data_reordered!$A:$I, 6, FALSE)</f>
        <v>Extend of support for Azmi Bashara</v>
      </c>
      <c r="L500" t="str">
        <f>VLOOKUP($F500, codebooks_data_reordered!$A:$I, 7, FALSE)</f>
        <v>Extent of support on 1-10 scale, 1=total rejection, 10=strong support</v>
      </c>
      <c r="M500" t="str">
        <f>VLOOKUP($F500, codebooks_data_reordered!$A:$I, 9, FALSE)</f>
        <v>1: Totally reject; 10: Strongly support</v>
      </c>
      <c r="O500" s="2" t="str">
        <f t="shared" si="7"/>
        <v>1: Totally reject
 10: Strongly support</v>
      </c>
    </row>
    <row r="501" spans="1:15" ht="115.2" hidden="1" x14ac:dyDescent="0.3">
      <c r="A501" t="s">
        <v>6913</v>
      </c>
      <c r="B501" t="s">
        <v>6992</v>
      </c>
      <c r="C501" s="2" t="s">
        <v>6990</v>
      </c>
      <c r="D501" t="s">
        <v>5843</v>
      </c>
      <c r="E501" s="2" t="s">
        <v>6991</v>
      </c>
      <c r="F501" t="s">
        <v>1803</v>
      </c>
      <c r="G501" t="str">
        <f>VLOOKUP($F501, codebooks_data_reordered!$A:$I, 2, FALSE)</f>
        <v>1999_1</v>
      </c>
      <c r="H501" t="str">
        <f>VLOOKUP($F501, codebooks_data_reordered!$A:$I, 3, FALSE)</f>
        <v>GENERAL POLITICAL ATTITUDE</v>
      </c>
      <c r="I501" t="str">
        <f>VLOOKUP($F501, codebooks_data_reordered!$A:$I, 4, FALSE)</f>
        <v>1</v>
      </c>
      <c r="J501" t="str">
        <f>VLOOKUP($F501, codebooks_data_reordered!$A:$I, 5, FALSE)</f>
        <v>29</v>
      </c>
      <c r="K501" t="str">
        <f>VLOOKUP($F501, codebooks_data_reordered!$A:$I, 6, FALSE)</f>
        <v>Evaluation of Arab aspirations</v>
      </c>
      <c r="L501">
        <f>VLOOKUP($F501, codebooks_data_reordered!$A:$I, 7, FALSE)</f>
        <v>0</v>
      </c>
      <c r="M501" t="str">
        <f>VLOOKUP($F501, codebooks_data_reordered!$A:$I, 9, FALSE)</f>
        <v>1: Getting back part of the territories they lost in 1967; 2: Getting back all the territories they lost in 1967; 3: Conquering Israel; 4: Conquering Israel and demolition of Jewish population</v>
      </c>
      <c r="O501" s="2" t="str">
        <f t="shared" si="7"/>
        <v>1: Getting back part of the territories they lost in 1967
 2: Getting back all the territories they lost in 1967
 3: Conquering Israel
 4: Conquering Israel and demolition of Jewish population</v>
      </c>
    </row>
    <row r="502" spans="1:15" ht="72" hidden="1" x14ac:dyDescent="0.3">
      <c r="A502" t="s">
        <v>6913</v>
      </c>
      <c r="B502" t="s">
        <v>6993</v>
      </c>
      <c r="C502" s="2" t="s">
        <v>6994</v>
      </c>
      <c r="D502" t="s">
        <v>5843</v>
      </c>
      <c r="E502" s="2" t="s">
        <v>6995</v>
      </c>
      <c r="F502" t="s">
        <v>1867</v>
      </c>
      <c r="G502" t="str">
        <f>VLOOKUP($F502, codebooks_data_reordered!$A:$I, 2, FALSE)</f>
        <v>1999_1</v>
      </c>
      <c r="H502" t="str">
        <f>VLOOKUP($F502, codebooks_data_reordered!$A:$I, 3, FALSE)</f>
        <v>ATTITUDES TOWARD CANDIDATES AND PARTIES</v>
      </c>
      <c r="I502" t="str">
        <f>VLOOKUP($F502, codebooks_data_reordered!$A:$I, 4, FALSE)</f>
        <v>1</v>
      </c>
      <c r="J502" t="str">
        <f>VLOOKUP($F502, codebooks_data_reordered!$A:$I, 5, FALSE)</f>
        <v>56</v>
      </c>
      <c r="K502" t="str">
        <f>VLOOKUP($F502, codebooks_data_reordered!$A:$I, 6, FALSE)</f>
        <v>Extend of support for Binyamin Netanyahu</v>
      </c>
      <c r="L502" t="str">
        <f>VLOOKUP($F502, codebooks_data_reordered!$A:$I, 7, FALSE)</f>
        <v>Extent of support on 1-10 scale, 1=total rejection, 10=strong support</v>
      </c>
      <c r="M502" t="str">
        <f>VLOOKUP($F502, codebooks_data_reordered!$A:$I, 9, FALSE)</f>
        <v>1: Totally reject; 10: Strongly support</v>
      </c>
      <c r="O502" s="2" t="str">
        <f t="shared" si="7"/>
        <v>1: Totally reject
 10: Strongly support</v>
      </c>
    </row>
    <row r="503" spans="1:15" ht="72" hidden="1" x14ac:dyDescent="0.3">
      <c r="A503" t="s">
        <v>6913</v>
      </c>
      <c r="B503" t="s">
        <v>6996</v>
      </c>
      <c r="C503" s="2" t="s">
        <v>6997</v>
      </c>
      <c r="D503" t="s">
        <v>5843</v>
      </c>
      <c r="E503" s="2" t="s">
        <v>6998</v>
      </c>
      <c r="F503" t="s">
        <v>1806</v>
      </c>
      <c r="G503" t="str">
        <f>VLOOKUP($F503, codebooks_data_reordered!$A:$I, 2, FALSE)</f>
        <v>1999_1</v>
      </c>
      <c r="H503" t="str">
        <f>VLOOKUP($F503, codebooks_data_reordered!$A:$I, 3, FALSE)</f>
        <v>GENERAL POLITICAL ATTITUDE</v>
      </c>
      <c r="I503" t="str">
        <f>VLOOKUP($F503, codebooks_data_reordered!$A:$I, 4, FALSE)</f>
        <v>1</v>
      </c>
      <c r="J503" t="str">
        <f>VLOOKUP($F503, codebooks_data_reordered!$A:$I, 5, FALSE)</f>
        <v>30</v>
      </c>
      <c r="K503" t="str">
        <f>VLOOKUP($F503, codebooks_data_reordered!$A:$I, 6, FALSE)</f>
        <v>What should be emphasized to prevent war between Israel and the Arab world?</v>
      </c>
      <c r="L503">
        <f>VLOOKUP($F503, codebooks_data_reordered!$A:$I, 7, FALSE)</f>
        <v>0</v>
      </c>
      <c r="M503" t="str">
        <f>VLOOKUP($F503, codebooks_data_reordered!$A:$I, 9, FALSE)</f>
        <v>1: Focus on Peace talks; 2: Increase military power</v>
      </c>
      <c r="O503" s="2" t="str">
        <f t="shared" si="7"/>
        <v>1: Focus on Peace talks
 2: Increase military power</v>
      </c>
    </row>
    <row r="504" spans="1:15" ht="43.2" hidden="1" x14ac:dyDescent="0.3">
      <c r="A504" t="s">
        <v>6913</v>
      </c>
      <c r="B504" t="s">
        <v>6999</v>
      </c>
      <c r="C504" s="2" t="s">
        <v>7000</v>
      </c>
      <c r="D504" t="s">
        <v>5843</v>
      </c>
      <c r="E504" s="2" t="s">
        <v>7001</v>
      </c>
      <c r="F504" t="s">
        <v>1869</v>
      </c>
      <c r="G504" t="str">
        <f>VLOOKUP($F504, codebooks_data_reordered!$A:$I, 2, FALSE)</f>
        <v>1999_1</v>
      </c>
      <c r="H504" t="str">
        <f>VLOOKUP($F504, codebooks_data_reordered!$A:$I, 3, FALSE)</f>
        <v>ATTITUDES TOWARD CANDIDATES AND PARTIES</v>
      </c>
      <c r="I504" t="str">
        <f>VLOOKUP($F504, codebooks_data_reordered!$A:$I, 4, FALSE)</f>
        <v>1</v>
      </c>
      <c r="J504" t="str">
        <f>VLOOKUP($F504, codebooks_data_reordered!$A:$I, 5, FALSE)</f>
        <v>57</v>
      </c>
      <c r="K504" t="str">
        <f>VLOOKUP($F504, codebooks_data_reordered!$A:$I, 6, FALSE)</f>
        <v>Extend of support for Shimon Peres</v>
      </c>
      <c r="L504" t="str">
        <f>VLOOKUP($F504, codebooks_data_reordered!$A:$I, 7, FALSE)</f>
        <v>Extent of support on 1-10 scale, 1=total rejection, 10=strong support</v>
      </c>
      <c r="M504" t="str">
        <f>VLOOKUP($F504, codebooks_data_reordered!$A:$I, 9, FALSE)</f>
        <v>1: Totally reject; 10: Strongly support</v>
      </c>
      <c r="O504" s="2" t="str">
        <f t="shared" si="7"/>
        <v>1: Totally reject
 10: Strongly support</v>
      </c>
    </row>
    <row r="505" spans="1:15" ht="86.4" hidden="1" x14ac:dyDescent="0.3">
      <c r="A505" t="s">
        <v>6913</v>
      </c>
      <c r="B505" t="s">
        <v>7002</v>
      </c>
      <c r="C505" s="2" t="s">
        <v>7003</v>
      </c>
      <c r="D505" t="s">
        <v>5843</v>
      </c>
      <c r="E505" s="2" t="s">
        <v>7004</v>
      </c>
      <c r="F505" t="s">
        <v>1871</v>
      </c>
      <c r="G505" t="str">
        <f>VLOOKUP($F505, codebooks_data_reordered!$A:$I, 2, FALSE)</f>
        <v>1999_1</v>
      </c>
      <c r="H505" t="str">
        <f>VLOOKUP($F505, codebooks_data_reordered!$A:$I, 3, FALSE)</f>
        <v>ATTITUDES TOWARD CANDIDATES AND PARTIES</v>
      </c>
      <c r="I505" t="str">
        <f>VLOOKUP($F505, codebooks_data_reordered!$A:$I, 4, FALSE)</f>
        <v>1</v>
      </c>
      <c r="J505" t="str">
        <f>VLOOKUP($F505, codebooks_data_reordered!$A:$I, 5, FALSE)</f>
        <v>58</v>
      </c>
      <c r="K505" t="str">
        <f>VLOOKUP($F505, codebooks_data_reordered!$A:$I, 6, FALSE)</f>
        <v>Extend of support for Arieh Deri</v>
      </c>
      <c r="L505" t="str">
        <f>VLOOKUP($F505, codebooks_data_reordered!$A:$I, 7, FALSE)</f>
        <v>Extent of support on 1-10 scale, 1=total rejection, 10=strong support</v>
      </c>
      <c r="M505" t="str">
        <f>VLOOKUP($F505, codebooks_data_reordered!$A:$I, 9, FALSE)</f>
        <v>1: Totally reject; 10: Strongly support</v>
      </c>
      <c r="O505" s="2" t="str">
        <f t="shared" si="7"/>
        <v>1: Totally reject
 10: Strongly support</v>
      </c>
    </row>
    <row r="506" spans="1:15" ht="72" hidden="1" x14ac:dyDescent="0.3">
      <c r="A506" t="s">
        <v>6913</v>
      </c>
      <c r="B506" t="s">
        <v>7005</v>
      </c>
      <c r="C506" s="2" t="s">
        <v>7006</v>
      </c>
      <c r="D506" t="s">
        <v>5843</v>
      </c>
      <c r="E506" s="2" t="s">
        <v>7007</v>
      </c>
      <c r="F506" t="s">
        <v>1873</v>
      </c>
      <c r="G506" t="str">
        <f>VLOOKUP($F506, codebooks_data_reordered!$A:$I, 2, FALSE)</f>
        <v>1999_1</v>
      </c>
      <c r="H506" t="str">
        <f>VLOOKUP($F506, codebooks_data_reordered!$A:$I, 3, FALSE)</f>
        <v>ATTITUDES TOWARD CANDIDATES AND PARTIES</v>
      </c>
      <c r="I506" t="str">
        <f>VLOOKUP($F506, codebooks_data_reordered!$A:$I, 4, FALSE)</f>
        <v>1</v>
      </c>
      <c r="J506" t="str">
        <f>VLOOKUP($F506, codebooks_data_reordered!$A:$I, 5, FALSE)</f>
        <v>59</v>
      </c>
      <c r="K506" t="str">
        <f>VLOOKUP($F506, codebooks_data_reordered!$A:$I, 6, FALSE)</f>
        <v>Extend of support for Israel ACHAT party</v>
      </c>
      <c r="L506" t="str">
        <f>VLOOKUP($F506, codebooks_data_reordered!$A:$I, 7, FALSE)</f>
        <v>Extent of support on 1-10 scale, 1=total rejection, 10=strong support</v>
      </c>
      <c r="M506" t="str">
        <f>VLOOKUP($F506, codebooks_data_reordered!$A:$I, 9, FALSE)</f>
        <v>1: Totally reject; 10: Strongly support</v>
      </c>
      <c r="O506" s="2" t="str">
        <f t="shared" si="7"/>
        <v>1: Totally reject
 10: Strongly support</v>
      </c>
    </row>
    <row r="507" spans="1:15" ht="72" hidden="1" x14ac:dyDescent="0.3">
      <c r="A507" t="s">
        <v>6913</v>
      </c>
      <c r="B507" t="s">
        <v>7008</v>
      </c>
      <c r="C507" s="2" t="s">
        <v>7006</v>
      </c>
      <c r="D507" t="s">
        <v>5843</v>
      </c>
      <c r="E507" s="2" t="s">
        <v>7007</v>
      </c>
      <c r="F507" t="s">
        <v>1808</v>
      </c>
      <c r="G507" t="str">
        <f>VLOOKUP($F507, codebooks_data_reordered!$A:$I, 2, FALSE)</f>
        <v>1999_1</v>
      </c>
      <c r="H507" t="str">
        <f>VLOOKUP($F507, codebooks_data_reordered!$A:$I, 3, FALSE)</f>
        <v>GENERAL POLITICAL ATTITUDE</v>
      </c>
      <c r="I507" t="str">
        <f>VLOOKUP($F507, codebooks_data_reordered!$A:$I, 4, FALSE)</f>
        <v>1</v>
      </c>
      <c r="J507" t="str">
        <f>VLOOKUP($F507, codebooks_data_reordered!$A:$I, 5, FALSE)</f>
        <v>31</v>
      </c>
      <c r="K507" t="str">
        <f>VLOOKUP($F507, codebooks_data_reordered!$A:$I, 6, FALSE)</f>
        <v>Are you or your family worried about being injured by Arabs in daily life?</v>
      </c>
      <c r="L507">
        <f>VLOOKUP($F507, codebooks_data_reordered!$A:$I, 7, FALSE)</f>
        <v>0</v>
      </c>
      <c r="M507" t="str">
        <f>VLOOKUP($F507, codebooks_data_reordered!$A:$I, 9, FALSE)</f>
        <v>1: Very worried; 2: Worried; 3: Not worried; 4: Not worried at all</v>
      </c>
      <c r="O507" s="2" t="str">
        <f t="shared" si="7"/>
        <v>1: Very worried
 2: Worried
 3: Not worried
 4: Not worried at all</v>
      </c>
    </row>
    <row r="508" spans="1:15" ht="43.2" hidden="1" x14ac:dyDescent="0.3">
      <c r="A508" t="s">
        <v>6913</v>
      </c>
      <c r="B508" t="s">
        <v>7009</v>
      </c>
      <c r="C508" s="2" t="s">
        <v>7010</v>
      </c>
      <c r="D508" t="s">
        <v>5843</v>
      </c>
      <c r="E508" s="2" t="s">
        <v>7011</v>
      </c>
      <c r="F508" t="s">
        <v>1875</v>
      </c>
      <c r="G508" t="str">
        <f>VLOOKUP($F508, codebooks_data_reordered!$A:$I, 2, FALSE)</f>
        <v>1999_1</v>
      </c>
      <c r="H508" t="str">
        <f>VLOOKUP($F508, codebooks_data_reordered!$A:$I, 3, FALSE)</f>
        <v>ATTITUDES TOWARD CANDIDATES AND PARTIES</v>
      </c>
      <c r="I508" t="str">
        <f>VLOOKUP($F508, codebooks_data_reordered!$A:$I, 4, FALSE)</f>
        <v>1</v>
      </c>
      <c r="J508" t="str">
        <f>VLOOKUP($F508, codebooks_data_reordered!$A:$I, 5, FALSE)</f>
        <v>60</v>
      </c>
      <c r="K508" t="str">
        <f>VLOOKUP($F508, codebooks_data_reordered!$A:$I, 6, FALSE)</f>
        <v>Extend of support for ultra-orthodoxy</v>
      </c>
      <c r="L508" t="str">
        <f>VLOOKUP($F508, codebooks_data_reordered!$A:$I, 7, FALSE)</f>
        <v>Extent of support on 1-10 scale, 1=total rejection, 10=strong support</v>
      </c>
      <c r="M508" t="str">
        <f>VLOOKUP($F508, codebooks_data_reordered!$A:$I, 9, FALSE)</f>
        <v>1: Totally reject; 10: Strongly support</v>
      </c>
      <c r="O508" s="2" t="str">
        <f t="shared" si="7"/>
        <v>1: Totally reject
 10: Strongly support</v>
      </c>
    </row>
    <row r="509" spans="1:15" ht="115.2" hidden="1" x14ac:dyDescent="0.3">
      <c r="A509" t="s">
        <v>6913</v>
      </c>
      <c r="B509" t="s">
        <v>7012</v>
      </c>
      <c r="C509" s="2" t="s">
        <v>6979</v>
      </c>
      <c r="D509" t="s">
        <v>5843</v>
      </c>
      <c r="E509" s="2" t="s">
        <v>6980</v>
      </c>
      <c r="F509" t="s">
        <v>1882</v>
      </c>
      <c r="G509" t="str">
        <f>VLOOKUP($F509, codebooks_data_reordered!$A:$I, 2, FALSE)</f>
        <v>1999_1</v>
      </c>
      <c r="H509" t="str">
        <f>VLOOKUP($F509, codebooks_data_reordered!$A:$I, 3, FALSE)</f>
        <v>MORE ATTITUDES TOWARD PARTIES AND CANDIDATES</v>
      </c>
      <c r="I509" t="str">
        <f>VLOOKUP($F509, codebooks_data_reordered!$A:$I, 4, FALSE)</f>
        <v>1</v>
      </c>
      <c r="J509" t="str">
        <f>VLOOKUP($F509, codebooks_data_reordered!$A:$I, 5, FALSE)</f>
        <v>62</v>
      </c>
      <c r="K509" t="str">
        <f>VLOOKUP($F509, codebooks_data_reordered!$A:$I, 6, FALSE)</f>
        <v>Capitalism or socialism for Israel's economy</v>
      </c>
      <c r="L509" t="str">
        <f>VLOOKUP($F509, codebooks_data_reordered!$A:$I, 7, FALSE)</f>
        <v>Extent of support on 1-10 scale, 1=total rejection, 10=strong support</v>
      </c>
      <c r="M509" t="str">
        <f>VLOOKUP($F509, codebooks_data_reordered!$A:$I, 9, FALSE)</f>
        <v>1: Definitely prefer capitalism; 2: More capitalist than socialist; 3: More socialist than capitalist; 4: Definitely prefer socialism</v>
      </c>
      <c r="O509" s="2" t="str">
        <f t="shared" si="7"/>
        <v>1: Definitely prefer capitalism
 2: More capitalist than socialist
 3: More socialist than capitalist
 4: Definitely prefer socialism</v>
      </c>
    </row>
    <row r="510" spans="1:15" ht="100.8" hidden="1" x14ac:dyDescent="0.3">
      <c r="A510" t="s">
        <v>6913</v>
      </c>
      <c r="B510" t="s">
        <v>7013</v>
      </c>
      <c r="C510" s="2" t="s">
        <v>6982</v>
      </c>
      <c r="D510" t="s">
        <v>5843</v>
      </c>
      <c r="E510" s="2" t="s">
        <v>6983</v>
      </c>
      <c r="F510" t="s">
        <v>1886</v>
      </c>
      <c r="G510" t="str">
        <f>VLOOKUP($F510, codebooks_data_reordered!$A:$I, 2, FALSE)</f>
        <v>1999_1</v>
      </c>
      <c r="H510" t="str">
        <f>VLOOKUP($F510, codebooks_data_reordered!$A:$I, 3, FALSE)</f>
        <v>MORE ATTITUDES TOWARD PARTIES AND CANDIDATES</v>
      </c>
      <c r="I510" t="str">
        <f>VLOOKUP($F510, codebooks_data_reordered!$A:$I, 4, FALSE)</f>
        <v>1</v>
      </c>
      <c r="J510" t="str">
        <f>VLOOKUP($F510, codebooks_data_reordered!$A:$I, 5, FALSE)</f>
        <v>63</v>
      </c>
      <c r="K510" t="str">
        <f>VLOOKUP($F510, codebooks_data_reordered!$A:$I, 6, FALSE)</f>
        <v>Participation of Israeli Arabs in critical decisions</v>
      </c>
      <c r="L510">
        <f>VLOOKUP($F510, codebooks_data_reordered!$A:$I, 7, FALSE)</f>
        <v>0</v>
      </c>
      <c r="M510" t="str">
        <f>VLOOKUP($F510, codebooks_data_reordered!$A:$I, 9, FALSE)</f>
        <v>1: Decisions should be made by Jewish majority only; 2: Decisions should be made by Jewish majority; 3: Arabs should take part; 4: Arabs should take part</v>
      </c>
      <c r="O510" s="2" t="str">
        <f t="shared" si="7"/>
        <v>1: Decisions should be made by Jewish majority only
 2: Decisions should be made by Jewish majority
 3: Arabs should take part
 4: Arabs should take part</v>
      </c>
    </row>
    <row r="511" spans="1:15" ht="144" hidden="1" x14ac:dyDescent="0.3">
      <c r="A511" t="s">
        <v>6913</v>
      </c>
      <c r="B511" t="s">
        <v>7014</v>
      </c>
      <c r="C511" s="2" t="s">
        <v>6986</v>
      </c>
      <c r="D511" t="s">
        <v>5843</v>
      </c>
      <c r="E511" s="2" t="s">
        <v>6987</v>
      </c>
      <c r="F511" t="s">
        <v>1889</v>
      </c>
      <c r="G511" t="str">
        <f>VLOOKUP($F511, codebooks_data_reordered!$A:$I, 2, FALSE)</f>
        <v>1999_1</v>
      </c>
      <c r="H511" t="str">
        <f>VLOOKUP($F511, codebooks_data_reordered!$A:$I, 3, FALSE)</f>
        <v>MORE ATTITUDES TOWARD PARTIES AND CANDIDATES</v>
      </c>
      <c r="I511" t="str">
        <f>VLOOKUP($F511, codebooks_data_reordered!$A:$I, 4, FALSE)</f>
        <v>1</v>
      </c>
      <c r="J511" t="str">
        <f>VLOOKUP($F511, codebooks_data_reordered!$A:$I, 5, FALSE)</f>
        <v>64</v>
      </c>
      <c r="K511" t="str">
        <f>VLOOKUP($F511, codebooks_data_reordered!$A:$I, 6, FALSE)</f>
        <v>Main factor affecting respondent's vote for a specific candidate</v>
      </c>
      <c r="L511">
        <f>VLOOKUP($F511, codebooks_data_reordered!$A:$I, 7, FALSE)</f>
        <v>0</v>
      </c>
      <c r="M511" t="str">
        <f>VLOOKUP($F511, codebooks_data_reordered!$A:$I, 9, FALSE)</f>
        <v>1: Candidate's qualities; 2: Identification with the candidate's party; 3: Identification with the candidate's side; 4: Candidate's positions about various issues; 5: Candidate being in government or in opposition</v>
      </c>
      <c r="O511" s="2" t="str">
        <f t="shared" si="7"/>
        <v>1: Candidate's qualities
 2: Identification with the candidate's party
 3: Identification with the candidate's side
 4: Candidate's positions about various issues
 5: Candidate being in government or in opposition</v>
      </c>
    </row>
    <row r="512" spans="1:15" ht="57.6" hidden="1" x14ac:dyDescent="0.3">
      <c r="A512" t="s">
        <v>6913</v>
      </c>
      <c r="B512" t="s">
        <v>7015</v>
      </c>
      <c r="C512" s="2" t="s">
        <v>6990</v>
      </c>
      <c r="D512" t="s">
        <v>5843</v>
      </c>
      <c r="E512" s="2" t="s">
        <v>6991</v>
      </c>
      <c r="F512" t="s">
        <v>1893</v>
      </c>
      <c r="G512" t="str">
        <f>VLOOKUP($F512, codebooks_data_reordered!$A:$I, 2, FALSE)</f>
        <v>1999_1</v>
      </c>
      <c r="H512" t="str">
        <f>VLOOKUP($F512, codebooks_data_reordered!$A:$I, 3, FALSE)</f>
        <v>MORE ATTITUDES TOWARD PARTIES AND CANDIDATES</v>
      </c>
      <c r="I512" t="str">
        <f>VLOOKUP($F512, codebooks_data_reordered!$A:$I, 4, FALSE)</f>
        <v>1</v>
      </c>
      <c r="J512" t="str">
        <f>VLOOKUP($F512, codebooks_data_reordered!$A:$I, 5, FALSE)</f>
        <v>65</v>
      </c>
      <c r="K512" t="str">
        <f>VLOOKUP($F512, codebooks_data_reordered!$A:$I, 6, FALSE)</f>
        <v>Possibility of changing voting decision if candidate can't win</v>
      </c>
      <c r="L512">
        <f>VLOOKUP($F512, codebooks_data_reordered!$A:$I, 7, FALSE)</f>
        <v>0</v>
      </c>
      <c r="M512" t="str">
        <f>VLOOKUP($F512, codebooks_data_reordered!$A:$I, 9, FALSE)</f>
        <v>1: Definitely possible; 2: Possible; 3: Not likely; 4: Definitely not</v>
      </c>
      <c r="O512" s="2" t="str">
        <f t="shared" si="7"/>
        <v>1: Definitely possible
 2: Possible
 3: Not likely
 4: Definitely not</v>
      </c>
    </row>
    <row r="513" spans="1:15" ht="86.4" hidden="1" x14ac:dyDescent="0.3">
      <c r="A513" t="s">
        <v>6913</v>
      </c>
      <c r="B513" t="s">
        <v>7016</v>
      </c>
      <c r="C513" s="2" t="s">
        <v>7017</v>
      </c>
      <c r="D513" t="s">
        <v>5843</v>
      </c>
      <c r="E513" s="2" t="s">
        <v>7018</v>
      </c>
      <c r="F513" t="s">
        <v>1896</v>
      </c>
      <c r="G513" t="str">
        <f>VLOOKUP($F513, codebooks_data_reordered!$A:$I, 2, FALSE)</f>
        <v>1999_1</v>
      </c>
      <c r="H513" t="str">
        <f>VLOOKUP($F513, codebooks_data_reordered!$A:$I, 3, FALSE)</f>
        <v>MORE ATTITUDES TOWARD PARTIES AND CANDIDATES</v>
      </c>
      <c r="I513" t="str">
        <f>VLOOKUP($F513, codebooks_data_reordered!$A:$I, 4, FALSE)</f>
        <v>1</v>
      </c>
      <c r="J513" t="str">
        <f>VLOOKUP($F513, codebooks_data_reordered!$A:$I, 5, FALSE)</f>
        <v>66</v>
      </c>
      <c r="K513" t="str">
        <f>VLOOKUP($F513, codebooks_data_reordered!$A:$I, 6, FALSE)</f>
        <v>Who is expected to go on the second round in the election for PM ?(1)</v>
      </c>
      <c r="L513">
        <f>VLOOKUP($F513, codebooks_data_reordered!$A:$I, 7, FALSE)</f>
        <v>0</v>
      </c>
      <c r="M513" t="str">
        <f>VLOOKUP($F513, codebooks_data_reordered!$A:$I, 9, FALSE)</f>
        <v>1: Netanyahu; 2: Barak; 3: Mordechay; 4: Begin; 5: Bashara; 6: Raful</v>
      </c>
      <c r="O513" s="2" t="str">
        <f t="shared" si="7"/>
        <v>1: Netanyahu
 2: Barak
 3: Mordechay
 4: Begin
 5: Bashara
 6: Raful</v>
      </c>
    </row>
    <row r="514" spans="1:15" ht="86.4" hidden="1" x14ac:dyDescent="0.3">
      <c r="A514" t="s">
        <v>6913</v>
      </c>
      <c r="B514" t="s">
        <v>7019</v>
      </c>
      <c r="C514" s="2" t="s">
        <v>7000</v>
      </c>
      <c r="D514" t="s">
        <v>5843</v>
      </c>
      <c r="E514" s="2" t="s">
        <v>7001</v>
      </c>
      <c r="F514" t="s">
        <v>1898</v>
      </c>
      <c r="G514" t="str">
        <f>VLOOKUP($F514, codebooks_data_reordered!$A:$I, 2, FALSE)</f>
        <v>1999_1</v>
      </c>
      <c r="H514" t="str">
        <f>VLOOKUP($F514, codebooks_data_reordered!$A:$I, 3, FALSE)</f>
        <v>MORE ATTITUDES TOWARD PARTIES AND CANDIDATES</v>
      </c>
      <c r="I514" t="str">
        <f>VLOOKUP($F514, codebooks_data_reordered!$A:$I, 4, FALSE)</f>
        <v>1</v>
      </c>
      <c r="J514" t="str">
        <f>VLOOKUP($F514, codebooks_data_reordered!$A:$I, 5, FALSE)</f>
        <v>67</v>
      </c>
      <c r="K514" t="str">
        <f>VLOOKUP($F514, codebooks_data_reordered!$A:$I, 6, FALSE)</f>
        <v>Who is expected to go on the second round in the election for PM ?(2)</v>
      </c>
      <c r="L514">
        <f>VLOOKUP($F514, codebooks_data_reordered!$A:$I, 7, FALSE)</f>
        <v>0</v>
      </c>
      <c r="M514" t="str">
        <f>VLOOKUP($F514, codebooks_data_reordered!$A:$I, 9, FALSE)</f>
        <v>1: Netanyahu; 2: Barak; 3: Mordechay; 4: Begin; 5: Bashara; 6: Raful</v>
      </c>
      <c r="O514" s="2" t="str">
        <f t="shared" ref="O514:O577" si="8">SUBSTITUTE(M514, ";", CHAR(10))</f>
        <v>1: Netanyahu
 2: Barak
 3: Mordechay
 4: Begin
 5: Bashara
 6: Raful</v>
      </c>
    </row>
    <row r="515" spans="1:15" ht="72" hidden="1" x14ac:dyDescent="0.3">
      <c r="A515" t="s">
        <v>6913</v>
      </c>
      <c r="B515" t="s">
        <v>7020</v>
      </c>
      <c r="C515" s="2" t="s">
        <v>7021</v>
      </c>
      <c r="D515" t="s">
        <v>5843</v>
      </c>
      <c r="E515" s="2" t="s">
        <v>7022</v>
      </c>
      <c r="F515" t="s">
        <v>1901</v>
      </c>
      <c r="G515" t="str">
        <f>VLOOKUP($F515, codebooks_data_reordered!$A:$I, 2, FALSE)</f>
        <v>1999_1</v>
      </c>
      <c r="H515" t="str">
        <f>VLOOKUP($F515, codebooks_data_reordered!$A:$I, 3, FALSE)</f>
        <v>MORE ATTITUDES TOWARD PARTIES AND CANDIDATES</v>
      </c>
      <c r="I515" t="str">
        <f>VLOOKUP($F515, codebooks_data_reordered!$A:$I, 4, FALSE)</f>
        <v>1</v>
      </c>
      <c r="J515" t="str">
        <f>VLOOKUP($F515, codebooks_data_reordered!$A:$I, 5, FALSE)</f>
        <v>68</v>
      </c>
      <c r="K515" t="str">
        <f>VLOOKUP($F515, codebooks_data_reordered!$A:$I, 6, FALSE)</f>
        <v>Effect of Jerusalem issue's effect on vote for PM</v>
      </c>
      <c r="L515">
        <f>VLOOKUP($F515, codebooks_data_reordered!$A:$I, 7, FALSE)</f>
        <v>0</v>
      </c>
      <c r="M515" t="str">
        <f>VLOOKUP($F515, codebooks_data_reordered!$A:$I, 9, FALSE)</f>
        <v>1: Not at all; 2: A small effect; 3: Some effect; 4: A great effect</v>
      </c>
      <c r="O515" s="2" t="str">
        <f t="shared" si="8"/>
        <v>1: Not at all
 2: A small effect
 3: Some effect
 4: A great effect</v>
      </c>
    </row>
    <row r="516" spans="1:15" ht="57.6" hidden="1" x14ac:dyDescent="0.3">
      <c r="A516" t="s">
        <v>6913</v>
      </c>
      <c r="B516" t="s">
        <v>7023</v>
      </c>
      <c r="C516" s="2" t="s">
        <v>7024</v>
      </c>
      <c r="D516" t="s">
        <v>5843</v>
      </c>
      <c r="E516" s="2" t="s">
        <v>7025</v>
      </c>
      <c r="F516" t="s">
        <v>1903</v>
      </c>
      <c r="G516" t="str">
        <f>VLOOKUP($F516, codebooks_data_reordered!$A:$I, 2, FALSE)</f>
        <v>1999_1</v>
      </c>
      <c r="H516" t="str">
        <f>VLOOKUP($F516, codebooks_data_reordered!$A:$I, 3, FALSE)</f>
        <v>MORE ATTITUDES TOWARD PARTIES AND CANDIDATES</v>
      </c>
      <c r="I516" t="str">
        <f>VLOOKUP($F516, codebooks_data_reordered!$A:$I, 4, FALSE)</f>
        <v>1</v>
      </c>
      <c r="J516" t="str">
        <f>VLOOKUP($F516, codebooks_data_reordered!$A:$I, 5, FALSE)</f>
        <v>69</v>
      </c>
      <c r="K516" t="str">
        <f>VLOOKUP($F516, codebooks_data_reordered!$A:$I, 6, FALSE)</f>
        <v>Effect of economy issue's effect on vote for PM</v>
      </c>
      <c r="L516">
        <f>VLOOKUP($F516, codebooks_data_reordered!$A:$I, 7, FALSE)</f>
        <v>0</v>
      </c>
      <c r="M516" t="str">
        <f>VLOOKUP($F516, codebooks_data_reordered!$A:$I, 9, FALSE)</f>
        <v>1: Not at all; 2: A small effect; 3: Some effect; 4: A great effect</v>
      </c>
      <c r="O516" s="2" t="str">
        <f t="shared" si="8"/>
        <v>1: Not at all
 2: A small effect
 3: Some effect
 4: A great effect</v>
      </c>
    </row>
    <row r="517" spans="1:15" ht="72" hidden="1" x14ac:dyDescent="0.3">
      <c r="A517" t="s">
        <v>6913</v>
      </c>
      <c r="B517" t="s">
        <v>7026</v>
      </c>
      <c r="C517" s="2" t="s">
        <v>7006</v>
      </c>
      <c r="D517" t="s">
        <v>5843</v>
      </c>
      <c r="E517" s="2" t="s">
        <v>7007</v>
      </c>
      <c r="F517" t="s">
        <v>1905</v>
      </c>
      <c r="G517" t="str">
        <f>VLOOKUP($F517, codebooks_data_reordered!$A:$I, 2, FALSE)</f>
        <v>1999_1</v>
      </c>
      <c r="H517" t="str">
        <f>VLOOKUP($F517, codebooks_data_reordered!$A:$I, 3, FALSE)</f>
        <v>MORE ATTITUDES TOWARD PARTIES AND CANDIDATES</v>
      </c>
      <c r="I517" t="str">
        <f>VLOOKUP($F517, codebooks_data_reordered!$A:$I, 4, FALSE)</f>
        <v>1</v>
      </c>
      <c r="J517" t="str">
        <f>VLOOKUP($F517, codebooks_data_reordered!$A:$I, 5, FALSE)</f>
        <v>70</v>
      </c>
      <c r="K517" t="str">
        <f>VLOOKUP($F517, codebooks_data_reordered!$A:$I, 6, FALSE)</f>
        <v>Effect of social policy's effect on vote for PM</v>
      </c>
      <c r="L517">
        <f>VLOOKUP($F517, codebooks_data_reordered!$A:$I, 7, FALSE)</f>
        <v>0</v>
      </c>
      <c r="M517" t="str">
        <f>VLOOKUP($F517, codebooks_data_reordered!$A:$I, 9, FALSE)</f>
        <v>1: Not at all; 2: A small effect; 3: Some effect; 4: A great effect</v>
      </c>
      <c r="O517" s="2" t="str">
        <f t="shared" si="8"/>
        <v>1: Not at all
 2: A small effect
 3: Some effect
 4: A great effect</v>
      </c>
    </row>
    <row r="518" spans="1:15" ht="57.6" hidden="1" x14ac:dyDescent="0.3">
      <c r="A518" t="s">
        <v>6913</v>
      </c>
      <c r="B518" t="s">
        <v>7027</v>
      </c>
      <c r="C518" s="2" t="s">
        <v>7028</v>
      </c>
      <c r="D518" t="s">
        <v>5843</v>
      </c>
      <c r="E518" s="2" t="s">
        <v>7029</v>
      </c>
      <c r="F518" t="s">
        <v>1907</v>
      </c>
      <c r="G518" t="str">
        <f>VLOOKUP($F518, codebooks_data_reordered!$A:$I, 2, FALSE)</f>
        <v>1999_1</v>
      </c>
      <c r="H518" t="str">
        <f>VLOOKUP($F518, codebooks_data_reordered!$A:$I, 3, FALSE)</f>
        <v>MORE ATTITUDES TOWARD PARTIES AND CANDIDATES</v>
      </c>
      <c r="I518" t="str">
        <f>VLOOKUP($F518, codebooks_data_reordered!$A:$I, 4, FALSE)</f>
        <v>1</v>
      </c>
      <c r="J518" t="str">
        <f>VLOOKUP($F518, codebooks_data_reordered!$A:$I, 5, FALSE)</f>
        <v>71</v>
      </c>
      <c r="K518" t="str">
        <f>VLOOKUP($F518, codebooks_data_reordered!$A:$I, 6, FALSE)</f>
        <v>Effect of religion and State issues' effect on vote for PM</v>
      </c>
      <c r="L518">
        <f>VLOOKUP($F518, codebooks_data_reordered!$A:$I, 7, FALSE)</f>
        <v>0</v>
      </c>
      <c r="M518" t="str">
        <f>VLOOKUP($F518, codebooks_data_reordered!$A:$I, 9, FALSE)</f>
        <v>1: Not at all; 2: A small effect; 3: Some effect; 4: A great effect</v>
      </c>
      <c r="O518" s="2" t="str">
        <f t="shared" si="8"/>
        <v>1: Not at all
 2: A small effect
 3: Some effect
 4: A great effect</v>
      </c>
    </row>
    <row r="519" spans="1:15" ht="57.6" hidden="1" x14ac:dyDescent="0.3">
      <c r="A519" t="s">
        <v>6913</v>
      </c>
      <c r="B519" t="s">
        <v>7030</v>
      </c>
      <c r="C519" s="2" t="s">
        <v>7010</v>
      </c>
      <c r="D519" t="s">
        <v>5843</v>
      </c>
      <c r="E519" s="2" t="s">
        <v>7011</v>
      </c>
      <c r="F519" t="s">
        <v>1909</v>
      </c>
      <c r="G519" t="str">
        <f>VLOOKUP($F519, codebooks_data_reordered!$A:$I, 2, FALSE)</f>
        <v>1999_1</v>
      </c>
      <c r="H519" t="str">
        <f>VLOOKUP($F519, codebooks_data_reordered!$A:$I, 3, FALSE)</f>
        <v>MORE ATTITUDES TOWARD PARTIES AND CANDIDATES</v>
      </c>
      <c r="I519" t="str">
        <f>VLOOKUP($F519, codebooks_data_reordered!$A:$I, 4, FALSE)</f>
        <v>1</v>
      </c>
      <c r="J519" t="str">
        <f>VLOOKUP($F519, codebooks_data_reordered!$A:$I, 5, FALSE)</f>
        <v>72</v>
      </c>
      <c r="K519" t="str">
        <f>VLOOKUP($F519, codebooks_data_reordered!$A:$I, 6, FALSE)</f>
        <v>Effect of Lebanon issue's effect on vote for PM</v>
      </c>
      <c r="L519">
        <f>VLOOKUP($F519, codebooks_data_reordered!$A:$I, 7, FALSE)</f>
        <v>0</v>
      </c>
      <c r="M519" t="str">
        <f>VLOOKUP($F519, codebooks_data_reordered!$A:$I, 9, FALSE)</f>
        <v>1: Not at all; 2: A small effect; 3: Some effect; 4: A great effect</v>
      </c>
      <c r="O519" s="2" t="str">
        <f t="shared" si="8"/>
        <v>1: Not at all
 2: A small effect
 3: Some effect
 4: A great effect</v>
      </c>
    </row>
    <row r="520" spans="1:15" ht="57.6" hidden="1" x14ac:dyDescent="0.3">
      <c r="A520" t="s">
        <v>6913</v>
      </c>
      <c r="B520" t="s">
        <v>7031</v>
      </c>
      <c r="C520" s="2" t="s">
        <v>7032</v>
      </c>
      <c r="D520" t="s">
        <v>5843</v>
      </c>
      <c r="E520" s="2" t="s">
        <v>7033</v>
      </c>
      <c r="F520" t="s">
        <v>3515</v>
      </c>
      <c r="G520" t="str">
        <f>VLOOKUP($F520, codebooks_data_reordered!$A:$I, 2, FALSE)</f>
        <v>1988_Panel_N=416</v>
      </c>
      <c r="H520" t="str">
        <f>VLOOKUP($F520, codebooks_data_reordered!$A:$I, 3, FALSE)</f>
        <v>FOR EACH OF THE FOLLOWING STATE TO WHICH PARTY IT SUITS THE MOST</v>
      </c>
      <c r="I520" t="str">
        <f>VLOOKUP($F520, codebooks_data_reordered!$A:$I, 4, FALSE)</f>
        <v>3</v>
      </c>
      <c r="J520" t="str">
        <f>VLOOKUP($F520, codebooks_data_reordered!$A:$I, 5, FALSE)</f>
        <v>108</v>
      </c>
      <c r="K520" t="str">
        <f>VLOOKUP($F520, codebooks_data_reordered!$A:$I, 6, FALSE)</f>
        <v>National party</v>
      </c>
      <c r="L520">
        <f>VLOOKUP($F520, codebooks_data_reordered!$A:$I, 7, FALSE)</f>
        <v>0</v>
      </c>
      <c r="M520" t="str">
        <f>VLOOKUP($F520, codebooks_data_reordered!$A:$I, 9, FALSE)</f>
        <v>1: Suits Labor; 2: Suits Likud; 3: Both equally; 4: Neither</v>
      </c>
      <c r="O520" s="2" t="str">
        <f t="shared" si="8"/>
        <v>1: Suits Labor
 2: Suits Likud
 3: Both equally
 4: Neither</v>
      </c>
    </row>
    <row r="521" spans="1:15" ht="57.6" hidden="1" x14ac:dyDescent="0.3">
      <c r="A521" t="s">
        <v>6913</v>
      </c>
      <c r="B521" t="s">
        <v>7034</v>
      </c>
      <c r="C521" s="2" t="s">
        <v>7035</v>
      </c>
      <c r="D521" t="s">
        <v>5843</v>
      </c>
      <c r="E521" s="2" t="s">
        <v>7036</v>
      </c>
      <c r="F521" t="s">
        <v>3518</v>
      </c>
      <c r="G521" t="str">
        <f>VLOOKUP($F521, codebooks_data_reordered!$A:$I, 2, FALSE)</f>
        <v>1988_Panel_N=416</v>
      </c>
      <c r="H521" t="str">
        <f>VLOOKUP($F521, codebooks_data_reordered!$A:$I, 3, FALSE)</f>
        <v>THERMOMETER SCALE TOWARDS PERSONS OR GROUPS (0-10 scale)</v>
      </c>
      <c r="I521" t="str">
        <f>VLOOKUP($F521, codebooks_data_reordered!$A:$I, 4, FALSE)</f>
        <v>3</v>
      </c>
      <c r="J521" t="str">
        <f>VLOOKUP($F521, codebooks_data_reordered!$A:$I, 5, FALSE)</f>
        <v>109</v>
      </c>
      <c r="K521" t="str">
        <f>VLOOKUP($F521, codebooks_data_reordered!$A:$I, 6, FALSE)</f>
        <v>Labor</v>
      </c>
      <c r="L521">
        <f>VLOOKUP($F521, codebooks_data_reordered!$A:$I, 7, FALSE)</f>
        <v>0</v>
      </c>
      <c r="M521" t="str">
        <f>VLOOKUP($F521, codebooks_data_reordered!$A:$I, 9, FALSE)</f>
        <v>1: 1 Strong aversion; 10: 10 Strong affection</v>
      </c>
      <c r="O521" s="2" t="str">
        <f t="shared" si="8"/>
        <v>1: 1 Strong aversion
 10: 10 Strong affection</v>
      </c>
    </row>
    <row r="522" spans="1:15" ht="72" hidden="1" x14ac:dyDescent="0.3">
      <c r="A522" t="s">
        <v>6913</v>
      </c>
      <c r="B522" t="s">
        <v>7037</v>
      </c>
      <c r="C522" s="2" t="s">
        <v>7038</v>
      </c>
      <c r="D522" t="s">
        <v>5843</v>
      </c>
      <c r="E522" s="2" t="s">
        <v>7039</v>
      </c>
      <c r="F522" t="s">
        <v>3520</v>
      </c>
      <c r="G522" t="str">
        <f>VLOOKUP($F522, codebooks_data_reordered!$A:$I, 2, FALSE)</f>
        <v>1988_Panel_N=416</v>
      </c>
      <c r="H522" t="str">
        <f>VLOOKUP($F522, codebooks_data_reordered!$A:$I, 3, FALSE)</f>
        <v>THERMOMETER SCALE TOWARDS PERSONS OR GROUPS (0-10 scale)</v>
      </c>
      <c r="I522" t="str">
        <f>VLOOKUP($F522, codebooks_data_reordered!$A:$I, 4, FALSE)</f>
        <v>3</v>
      </c>
      <c r="J522" t="str">
        <f>VLOOKUP($F522, codebooks_data_reordered!$A:$I, 5, FALSE)</f>
        <v>110</v>
      </c>
      <c r="K522" t="str">
        <f>VLOOKUP($F522, codebooks_data_reordered!$A:$I, 6, FALSE)</f>
        <v>Likud</v>
      </c>
      <c r="L522">
        <f>VLOOKUP($F522, codebooks_data_reordered!$A:$I, 7, FALSE)</f>
        <v>0</v>
      </c>
      <c r="M522" t="str">
        <f>VLOOKUP($F522, codebooks_data_reordered!$A:$I, 9, FALSE)</f>
        <v>1: 1 Strong aversion; 10: 10 Strong affection</v>
      </c>
      <c r="O522" s="2" t="str">
        <f t="shared" si="8"/>
        <v>1: 1 Strong aversion
 10: 10 Strong affection</v>
      </c>
    </row>
    <row r="523" spans="1:15" ht="86.4" hidden="1" x14ac:dyDescent="0.3">
      <c r="A523" t="s">
        <v>6913</v>
      </c>
      <c r="B523" t="s">
        <v>7040</v>
      </c>
      <c r="C523" s="2" t="s">
        <v>7041</v>
      </c>
      <c r="D523" t="s">
        <v>5843</v>
      </c>
      <c r="E523" s="2" t="s">
        <v>7042</v>
      </c>
      <c r="F523" t="s">
        <v>3522</v>
      </c>
      <c r="G523" t="str">
        <f>VLOOKUP($F523, codebooks_data_reordered!$A:$I, 2, FALSE)</f>
        <v>1988_Panel_N=416</v>
      </c>
      <c r="H523" t="str">
        <f>VLOOKUP($F523, codebooks_data_reordered!$A:$I, 3, FALSE)</f>
        <v>THERMOMETER SCALE TOWARDS PERSONS OR GROUPS (0-10 scale)</v>
      </c>
      <c r="I523" t="str">
        <f>VLOOKUP($F523, codebooks_data_reordered!$A:$I, 4, FALSE)</f>
        <v>3</v>
      </c>
      <c r="J523" t="str">
        <f>VLOOKUP($F523, codebooks_data_reordered!$A:$I, 5, FALSE)</f>
        <v>111</v>
      </c>
      <c r="K523" t="str">
        <f>VLOOKUP($F523, codebooks_data_reordered!$A:$I, 6, FALSE)</f>
        <v>Shim'on Peres</v>
      </c>
      <c r="L523">
        <f>VLOOKUP($F523, codebooks_data_reordered!$A:$I, 7, FALSE)</f>
        <v>0</v>
      </c>
      <c r="M523" t="str">
        <f>VLOOKUP($F523, codebooks_data_reordered!$A:$I, 9, FALSE)</f>
        <v>1: 1 Strong aversion; 10: 10 Strong affection</v>
      </c>
      <c r="O523" s="2" t="str">
        <f t="shared" si="8"/>
        <v>1: 1 Strong aversion
 10: 10 Strong affection</v>
      </c>
    </row>
    <row r="524" spans="1:15" ht="86.4" hidden="1" x14ac:dyDescent="0.3">
      <c r="A524" t="s">
        <v>6913</v>
      </c>
      <c r="B524" t="s">
        <v>7043</v>
      </c>
      <c r="C524" s="2" t="s">
        <v>7044</v>
      </c>
      <c r="D524" t="s">
        <v>5843</v>
      </c>
      <c r="E524" s="2" t="s">
        <v>7045</v>
      </c>
      <c r="F524" t="s">
        <v>3523</v>
      </c>
      <c r="G524" t="str">
        <f>VLOOKUP($F524, codebooks_data_reordered!$A:$I, 2, FALSE)</f>
        <v>1988_Panel_N=416</v>
      </c>
      <c r="H524" t="str">
        <f>VLOOKUP($F524, codebooks_data_reordered!$A:$I, 3, FALSE)</f>
        <v>THERMOMETER SCALE TOWARDS PERSONS OR GROUPS (0-10 scale)</v>
      </c>
      <c r="I524" t="str">
        <f>VLOOKUP($F524, codebooks_data_reordered!$A:$I, 4, FALSE)</f>
        <v>3</v>
      </c>
      <c r="J524" t="str">
        <f>VLOOKUP($F524, codebooks_data_reordered!$A:$I, 5, FALSE)</f>
        <v>112</v>
      </c>
      <c r="K524" t="str">
        <f>VLOOKUP($F524, codebooks_data_reordered!$A:$I, 6, FALSE)</f>
        <v>Yitzhak Shamir</v>
      </c>
      <c r="L524">
        <f>VLOOKUP($F524, codebooks_data_reordered!$A:$I, 7, FALSE)</f>
        <v>0</v>
      </c>
      <c r="M524" t="str">
        <f>VLOOKUP($F524, codebooks_data_reordered!$A:$I, 9, FALSE)</f>
        <v>1: 1 Strong aversion; 10: 10 Strong affection</v>
      </c>
      <c r="O524" s="2" t="str">
        <f t="shared" si="8"/>
        <v>1: 1 Strong aversion
 10: 10 Strong affection</v>
      </c>
    </row>
    <row r="525" spans="1:15" ht="86.4" hidden="1" x14ac:dyDescent="0.3">
      <c r="A525" t="s">
        <v>6913</v>
      </c>
      <c r="B525" t="s">
        <v>7046</v>
      </c>
      <c r="C525" s="2" t="s">
        <v>7047</v>
      </c>
      <c r="D525" t="s">
        <v>5843</v>
      </c>
      <c r="E525" s="2" t="s">
        <v>7048</v>
      </c>
      <c r="F525" t="s">
        <v>3524</v>
      </c>
      <c r="G525" t="str">
        <f>VLOOKUP($F525, codebooks_data_reordered!$A:$I, 2, FALSE)</f>
        <v>1988_Panel_N=416</v>
      </c>
      <c r="H525" t="str">
        <f>VLOOKUP($F525, codebooks_data_reordered!$A:$I, 3, FALSE)</f>
        <v>THERMOMETER SCALE TOWARDS PERSONS OR GROUPS (0-10 scale)</v>
      </c>
      <c r="I525" t="str">
        <f>VLOOKUP($F525, codebooks_data_reordered!$A:$I, 4, FALSE)</f>
        <v>3</v>
      </c>
      <c r="J525" t="str">
        <f>VLOOKUP($F525, codebooks_data_reordered!$A:$I, 5, FALSE)</f>
        <v>113</v>
      </c>
      <c r="K525" t="str">
        <f>VLOOKUP($F525, codebooks_data_reordered!$A:$I, 6, FALSE)</f>
        <v>Arabs</v>
      </c>
      <c r="L525">
        <f>VLOOKUP($F525, codebooks_data_reordered!$A:$I, 7, FALSE)</f>
        <v>0</v>
      </c>
      <c r="M525" t="str">
        <f>VLOOKUP($F525, codebooks_data_reordered!$A:$I, 9, FALSE)</f>
        <v>1: 1 Strong aversion; 10: 10 Strong affection</v>
      </c>
      <c r="O525" s="2" t="str">
        <f t="shared" si="8"/>
        <v>1: 1 Strong aversion
 10: 10 Strong affection</v>
      </c>
    </row>
    <row r="526" spans="1:15" ht="57.6" hidden="1" x14ac:dyDescent="0.3">
      <c r="A526" t="s">
        <v>6913</v>
      </c>
      <c r="B526" t="s">
        <v>7049</v>
      </c>
      <c r="C526" s="2" t="s">
        <v>7050</v>
      </c>
      <c r="D526" t="s">
        <v>5843</v>
      </c>
      <c r="E526" s="2" t="s">
        <v>7051</v>
      </c>
      <c r="F526" t="s">
        <v>3526</v>
      </c>
      <c r="G526" t="str">
        <f>VLOOKUP($F526, codebooks_data_reordered!$A:$I, 2, FALSE)</f>
        <v>1988_Panel_N=416</v>
      </c>
      <c r="H526" t="str">
        <f>VLOOKUP($F526, codebooks_data_reordered!$A:$I, 3, FALSE)</f>
        <v>THERMOMETER SCALE TOWARDS PERSONS OR GROUPS (0-10 scale)</v>
      </c>
      <c r="I526" t="str">
        <f>VLOOKUP($F526, codebooks_data_reordered!$A:$I, 4, FALSE)</f>
        <v>3</v>
      </c>
      <c r="J526" t="str">
        <f>VLOOKUP($F526, codebooks_data_reordered!$A:$I, 5, FALSE)</f>
        <v>114</v>
      </c>
      <c r="K526" t="str">
        <f>VLOOKUP($F526, codebooks_data_reordered!$A:$I, 6, FALSE)</f>
        <v>Ariel Sharon</v>
      </c>
      <c r="L526">
        <f>VLOOKUP($F526, codebooks_data_reordered!$A:$I, 7, FALSE)</f>
        <v>0</v>
      </c>
      <c r="M526" t="str">
        <f>VLOOKUP($F526, codebooks_data_reordered!$A:$I, 9, FALSE)</f>
        <v>1: 1 Strong aversion; 10: 10 Strong affection</v>
      </c>
      <c r="O526" s="2" t="str">
        <f t="shared" si="8"/>
        <v>1: 1 Strong aversion
 10: 10 Strong affection</v>
      </c>
    </row>
    <row r="527" spans="1:15" ht="86.4" hidden="1" x14ac:dyDescent="0.3">
      <c r="A527" t="s">
        <v>6913</v>
      </c>
      <c r="B527" t="s">
        <v>7052</v>
      </c>
      <c r="C527" s="2" t="s">
        <v>7047</v>
      </c>
      <c r="D527" t="s">
        <v>5843</v>
      </c>
      <c r="E527" s="2" t="s">
        <v>7048</v>
      </c>
      <c r="F527" t="s">
        <v>3528</v>
      </c>
      <c r="G527" t="str">
        <f>VLOOKUP($F527, codebooks_data_reordered!$A:$I, 2, FALSE)</f>
        <v>1988_Panel_N=416</v>
      </c>
      <c r="H527" t="str">
        <f>VLOOKUP($F527, codebooks_data_reordered!$A:$I, 3, FALSE)</f>
        <v>THERMOMETER SCALE TOWARDS PERSONS OR GROUPS (0-10 scale)</v>
      </c>
      <c r="I527" t="str">
        <f>VLOOKUP($F527, codebooks_data_reordered!$A:$I, 4, FALSE)</f>
        <v>3</v>
      </c>
      <c r="J527" t="str">
        <f>VLOOKUP($F527, codebooks_data_reordered!$A:$I, 5, FALSE)</f>
        <v>115</v>
      </c>
      <c r="K527" t="str">
        <f>VLOOKUP($F527, codebooks_data_reordered!$A:$I, 6, FALSE)</f>
        <v>Religious persons</v>
      </c>
      <c r="L527">
        <f>VLOOKUP($F527, codebooks_data_reordered!$A:$I, 7, FALSE)</f>
        <v>0</v>
      </c>
      <c r="M527" t="str">
        <f>VLOOKUP($F527, codebooks_data_reordered!$A:$I, 9, FALSE)</f>
        <v>1: 1 Strong aversion; 10: 10 Strong affection</v>
      </c>
      <c r="O527" s="2" t="str">
        <f t="shared" si="8"/>
        <v>1: 1 Strong aversion
 10: 10 Strong affection</v>
      </c>
    </row>
    <row r="528" spans="1:15" ht="86.4" hidden="1" x14ac:dyDescent="0.3">
      <c r="A528" t="s">
        <v>6913</v>
      </c>
      <c r="B528" t="s">
        <v>7053</v>
      </c>
      <c r="C528" s="2" t="s">
        <v>7054</v>
      </c>
      <c r="D528" t="s">
        <v>5843</v>
      </c>
      <c r="E528" s="2" t="s">
        <v>7055</v>
      </c>
      <c r="F528" t="s">
        <v>3530</v>
      </c>
      <c r="G528" t="str">
        <f>VLOOKUP($F528, codebooks_data_reordered!$A:$I, 2, FALSE)</f>
        <v>1988_Panel_N=416</v>
      </c>
      <c r="H528" t="str">
        <f>VLOOKUP($F528, codebooks_data_reordered!$A:$I, 3, FALSE)</f>
        <v>THERMOMETER SCALE TOWARDS PERSONS OR GROUPS (0-10 scale)</v>
      </c>
      <c r="I528" t="str">
        <f>VLOOKUP($F528, codebooks_data_reordered!$A:$I, 4, FALSE)</f>
        <v>3</v>
      </c>
      <c r="J528" t="str">
        <f>VLOOKUP($F528, codebooks_data_reordered!$A:$I, 5, FALSE)</f>
        <v>116</v>
      </c>
      <c r="K528" t="str">
        <f>VLOOKUP($F528, codebooks_data_reordered!$A:$I, 6, FALSE)</f>
        <v>Ashkenazi Jews</v>
      </c>
      <c r="L528">
        <f>VLOOKUP($F528, codebooks_data_reordered!$A:$I, 7, FALSE)</f>
        <v>0</v>
      </c>
      <c r="M528" t="str">
        <f>VLOOKUP($F528, codebooks_data_reordered!$A:$I, 9, FALSE)</f>
        <v>1: 1 Strong aversion; 10: 10 Strong affection</v>
      </c>
      <c r="O528" s="2" t="str">
        <f t="shared" si="8"/>
        <v>1: 1 Strong aversion
 10: 10 Strong affection</v>
      </c>
    </row>
    <row r="529" spans="1:15" ht="72" hidden="1" x14ac:dyDescent="0.3">
      <c r="A529" t="s">
        <v>6913</v>
      </c>
      <c r="B529" t="s">
        <v>7056</v>
      </c>
      <c r="C529" s="2" t="s">
        <v>7057</v>
      </c>
      <c r="D529" t="s">
        <v>5843</v>
      </c>
      <c r="E529" s="2" t="s">
        <v>7058</v>
      </c>
      <c r="F529" t="s">
        <v>3532</v>
      </c>
      <c r="G529" t="str">
        <f>VLOOKUP($F529, codebooks_data_reordered!$A:$I, 2, FALSE)</f>
        <v>1988_Panel_N=416</v>
      </c>
      <c r="H529" t="str">
        <f>VLOOKUP($F529, codebooks_data_reordered!$A:$I, 3, FALSE)</f>
        <v>THERMOMETER SCALE TOWARDS PERSONS OR GROUPS (0-10 scale)</v>
      </c>
      <c r="I529" t="str">
        <f>VLOOKUP($F529, codebooks_data_reordered!$A:$I, 4, FALSE)</f>
        <v>3</v>
      </c>
      <c r="J529" t="str">
        <f>VLOOKUP($F529, codebooks_data_reordered!$A:$I, 5, FALSE)</f>
        <v>117</v>
      </c>
      <c r="K529" t="str">
        <f>VLOOKUP($F529, codebooks_data_reordered!$A:$I, 6, FALSE)</f>
        <v>David Levi</v>
      </c>
      <c r="L529">
        <f>VLOOKUP($F529, codebooks_data_reordered!$A:$I, 7, FALSE)</f>
        <v>0</v>
      </c>
      <c r="M529" t="str">
        <f>VLOOKUP($F529, codebooks_data_reordered!$A:$I, 9, FALSE)</f>
        <v>1: 1 Strong aversion; 10: 10 Strong affection</v>
      </c>
      <c r="O529" s="2" t="str">
        <f t="shared" si="8"/>
        <v>1: 1 Strong aversion
 10: 10 Strong affection</v>
      </c>
    </row>
    <row r="530" spans="1:15" ht="72" hidden="1" x14ac:dyDescent="0.3">
      <c r="A530" t="s">
        <v>6913</v>
      </c>
      <c r="B530" t="s">
        <v>7059</v>
      </c>
      <c r="C530" s="2" t="s">
        <v>7060</v>
      </c>
      <c r="D530" t="s">
        <v>5843</v>
      </c>
      <c r="E530" s="2" t="s">
        <v>7061</v>
      </c>
      <c r="F530" t="s">
        <v>3534</v>
      </c>
      <c r="G530" t="str">
        <f>VLOOKUP($F530, codebooks_data_reordered!$A:$I, 2, FALSE)</f>
        <v>1988_Panel_N=416</v>
      </c>
      <c r="H530" t="str">
        <f>VLOOKUP($F530, codebooks_data_reordered!$A:$I, 3, FALSE)</f>
        <v>THERMOMETER SCALE TOWARDS PERSONS OR GROUPS (0-10 scale)</v>
      </c>
      <c r="I530" t="str">
        <f>VLOOKUP($F530, codebooks_data_reordered!$A:$I, 4, FALSE)</f>
        <v>3</v>
      </c>
      <c r="J530" t="str">
        <f>VLOOKUP($F530, codebooks_data_reordered!$A:$I, 5, FALSE)</f>
        <v>118</v>
      </c>
      <c r="K530" t="str">
        <f>VLOOKUP($F530, codebooks_data_reordered!$A:$I, 6, FALSE)</f>
        <v>Yitzhak Navon</v>
      </c>
      <c r="L530">
        <f>VLOOKUP($F530, codebooks_data_reordered!$A:$I, 7, FALSE)</f>
        <v>0</v>
      </c>
      <c r="M530" t="str">
        <f>VLOOKUP($F530, codebooks_data_reordered!$A:$I, 9, FALSE)</f>
        <v>1: 1 Strong aversion; 10: 10 Strong affection</v>
      </c>
      <c r="O530" s="2" t="str">
        <f t="shared" si="8"/>
        <v>1: 1 Strong aversion
 10: 10 Strong affection</v>
      </c>
    </row>
    <row r="531" spans="1:15" ht="72" hidden="1" x14ac:dyDescent="0.3">
      <c r="A531" t="s">
        <v>6913</v>
      </c>
      <c r="B531" t="s">
        <v>7062</v>
      </c>
      <c r="C531" s="2" t="s">
        <v>7063</v>
      </c>
      <c r="D531" t="s">
        <v>5843</v>
      </c>
      <c r="E531" s="2" t="s">
        <v>7064</v>
      </c>
      <c r="F531" t="s">
        <v>3536</v>
      </c>
      <c r="G531" t="str">
        <f>VLOOKUP($F531, codebooks_data_reordered!$A:$I, 2, FALSE)</f>
        <v>1988_Panel_N=416</v>
      </c>
      <c r="H531" t="str">
        <f>VLOOKUP($F531, codebooks_data_reordered!$A:$I, 3, FALSE)</f>
        <v>THERMOMETER SCALE TOWARDS PERSONS OR GROUPS (0-10 scale)</v>
      </c>
      <c r="I531" t="str">
        <f>VLOOKUP($F531, codebooks_data_reordered!$A:$I, 4, FALSE)</f>
        <v>3</v>
      </c>
      <c r="J531" t="str">
        <f>VLOOKUP($F531, codebooks_data_reordered!$A:$I, 5, FALSE)</f>
        <v>119</v>
      </c>
      <c r="K531" t="str">
        <f>VLOOKUP($F531, codebooks_data_reordered!$A:$I, 6, FALSE)</f>
        <v>Sephardic Jews</v>
      </c>
      <c r="L531">
        <f>VLOOKUP($F531, codebooks_data_reordered!$A:$I, 7, FALSE)</f>
        <v>0</v>
      </c>
      <c r="M531" t="str">
        <f>VLOOKUP($F531, codebooks_data_reordered!$A:$I, 9, FALSE)</f>
        <v>1: 1 Strong aversion; 10: 10 Strong affection</v>
      </c>
      <c r="O531" s="2" t="str">
        <f t="shared" si="8"/>
        <v>1: 1 Strong aversion
 10: 10 Strong affection</v>
      </c>
    </row>
    <row r="532" spans="1:15" ht="57.6" hidden="1" x14ac:dyDescent="0.3">
      <c r="A532" t="s">
        <v>6913</v>
      </c>
      <c r="B532" t="s">
        <v>7065</v>
      </c>
      <c r="C532" s="2" t="s">
        <v>7066</v>
      </c>
      <c r="D532" t="s">
        <v>5843</v>
      </c>
      <c r="E532" s="2" t="s">
        <v>7067</v>
      </c>
      <c r="F532" t="s">
        <v>3543</v>
      </c>
      <c r="G532" t="str">
        <f>VLOOKUP($F532, codebooks_data_reordered!$A:$I, 2, FALSE)</f>
        <v>1988_Panel_N=416</v>
      </c>
      <c r="H532" t="str">
        <f>VLOOKUP($F532, codebooks_data_reordered!$A:$I, 3, FALSE)</f>
        <v>THERMOMETER SCALE TOWARDS PERSONS OR GROUPS (0-10 scale)</v>
      </c>
      <c r="I532" t="str">
        <f>VLOOKUP($F532, codebooks_data_reordered!$A:$I, 4, FALSE)</f>
        <v>3</v>
      </c>
      <c r="J532" t="str">
        <f>VLOOKUP($F532, codebooks_data_reordered!$A:$I, 5, FALSE)</f>
        <v>124</v>
      </c>
      <c r="K532" t="str">
        <f>VLOOKUP($F532, codebooks_data_reordered!$A:$I, 6, FALSE)</f>
        <v>Rabbi Kahana</v>
      </c>
      <c r="L532">
        <f>VLOOKUP($F532, codebooks_data_reordered!$A:$I, 7, FALSE)</f>
        <v>0</v>
      </c>
      <c r="M532" t="str">
        <f>VLOOKUP($F532, codebooks_data_reordered!$A:$I, 9, FALSE)</f>
        <v>1: 1 Strong aversion; 10: 10 Strong affection</v>
      </c>
      <c r="O532" s="2" t="str">
        <f t="shared" si="8"/>
        <v>1: 1 Strong aversion
 10: 10 Strong affection</v>
      </c>
    </row>
    <row r="533" spans="1:15" ht="86.4" hidden="1" x14ac:dyDescent="0.3">
      <c r="A533" t="s">
        <v>6913</v>
      </c>
      <c r="B533" t="s">
        <v>7068</v>
      </c>
      <c r="C533" s="2" t="s">
        <v>7069</v>
      </c>
      <c r="D533" t="s">
        <v>5843</v>
      </c>
      <c r="E533" s="2" t="s">
        <v>7070</v>
      </c>
      <c r="F533" t="s">
        <v>4389</v>
      </c>
      <c r="G533" t="str">
        <f>VLOOKUP($F533, codebooks_data_reordered!$A:$I, 2, FALSE)</f>
        <v>1981_3</v>
      </c>
      <c r="H533" t="str">
        <f>VLOOKUP($F533, codebooks_data_reordered!$A:$I, 3, FALSE)</f>
        <v>INTERVIEWEE EVALUATION OF THE STATE OF ISRAEL</v>
      </c>
      <c r="I533" t="str">
        <f>VLOOKUP($F533, codebooks_data_reordered!$A:$I, 4, FALSE)</f>
        <v>1</v>
      </c>
      <c r="J533" t="str">
        <f>VLOOKUP($F533, codebooks_data_reordered!$A:$I, 5, FALSE)</f>
        <v>127</v>
      </c>
      <c r="K533" t="str">
        <f>VLOOKUP($F533, codebooks_data_reordered!$A:$I, 6, FALSE)</f>
        <v>Interviewee evaluation of the state of Israel</v>
      </c>
      <c r="L533">
        <f>VLOOKUP($F533, codebooks_data_reordered!$A:$I, 7, FALSE)</f>
        <v>0</v>
      </c>
      <c r="M533" t="str">
        <f>VLOOKUP($F533, codebooks_data_reordered!$A:$I, 9, FALSE)</f>
        <v>1: Strong; 7: Weak</v>
      </c>
      <c r="O533" s="2" t="str">
        <f t="shared" si="8"/>
        <v>1: Strong
 7: Weak</v>
      </c>
    </row>
    <row r="534" spans="1:15" ht="57.6" hidden="1" x14ac:dyDescent="0.3">
      <c r="A534" t="s">
        <v>6913</v>
      </c>
      <c r="B534" t="s">
        <v>7071</v>
      </c>
      <c r="C534" s="2" t="s">
        <v>7072</v>
      </c>
      <c r="D534" t="s">
        <v>5843</v>
      </c>
      <c r="E534" s="2" t="s">
        <v>7073</v>
      </c>
      <c r="F534" t="s">
        <v>4391</v>
      </c>
      <c r="G534" t="str">
        <f>VLOOKUP($F534, codebooks_data_reordered!$A:$I, 2, FALSE)</f>
        <v>1981_3</v>
      </c>
      <c r="H534" t="str">
        <f>VLOOKUP($F534, codebooks_data_reordered!$A:$I, 3, FALSE)</f>
        <v>INTERVIEWEE EVALUATION OF THE STATE OF ISRAEL</v>
      </c>
      <c r="I534" t="str">
        <f>VLOOKUP($F534, codebooks_data_reordered!$A:$I, 4, FALSE)</f>
        <v>1</v>
      </c>
      <c r="J534" t="str">
        <f>VLOOKUP($F534, codebooks_data_reordered!$A:$I, 5, FALSE)</f>
        <v>128</v>
      </c>
      <c r="K534" t="str">
        <f>VLOOKUP($F534, codebooks_data_reordered!$A:$I, 6, FALSE)</f>
        <v>Interviewee evaluation of the state of Israel</v>
      </c>
      <c r="L534">
        <f>VLOOKUP($F534, codebooks_data_reordered!$A:$I, 7, FALSE)</f>
        <v>0</v>
      </c>
      <c r="M534" t="str">
        <f>VLOOKUP($F534, codebooks_data_reordered!$A:$I, 9, FALSE)</f>
        <v>1: Gives hope; 7: Causes despair</v>
      </c>
      <c r="O534" s="2" t="str">
        <f t="shared" si="8"/>
        <v>1: Gives hope
 7: Causes despair</v>
      </c>
    </row>
    <row r="535" spans="1:15" ht="86.4" hidden="1" x14ac:dyDescent="0.3">
      <c r="A535" t="s">
        <v>6913</v>
      </c>
      <c r="B535" t="s">
        <v>7074</v>
      </c>
      <c r="C535" s="2" t="s">
        <v>7075</v>
      </c>
      <c r="D535" t="s">
        <v>5843</v>
      </c>
      <c r="E535" s="2" t="s">
        <v>7076</v>
      </c>
      <c r="F535" t="s">
        <v>4393</v>
      </c>
      <c r="G535" t="str">
        <f>VLOOKUP($F535, codebooks_data_reordered!$A:$I, 2, FALSE)</f>
        <v>1981_3</v>
      </c>
      <c r="H535" t="str">
        <f>VLOOKUP($F535, codebooks_data_reordered!$A:$I, 3, FALSE)</f>
        <v>INTERVIEWEE EVALUATION OF THE STATE OF ISRAEL</v>
      </c>
      <c r="I535" t="str">
        <f>VLOOKUP($F535, codebooks_data_reordered!$A:$I, 4, FALSE)</f>
        <v>1</v>
      </c>
      <c r="J535" t="str">
        <f>VLOOKUP($F535, codebooks_data_reordered!$A:$I, 5, FALSE)</f>
        <v>129</v>
      </c>
      <c r="K535" t="str">
        <f>VLOOKUP($F535, codebooks_data_reordered!$A:$I, 6, FALSE)</f>
        <v>Interviewee evaluation of the state of Israel</v>
      </c>
      <c r="L535">
        <f>VLOOKUP($F535, codebooks_data_reordered!$A:$I, 7, FALSE)</f>
        <v>0</v>
      </c>
      <c r="M535" t="str">
        <f>VLOOKUP($F535, codebooks_data_reordered!$A:$I, 9, FALSE)</f>
        <v>1: Just; 7: Unjust</v>
      </c>
      <c r="O535" s="2" t="str">
        <f t="shared" si="8"/>
        <v>1: Just
 7: Unjust</v>
      </c>
    </row>
    <row r="536" spans="1:15" ht="86.4" hidden="1" x14ac:dyDescent="0.3">
      <c r="A536" t="s">
        <v>6913</v>
      </c>
      <c r="B536" t="s">
        <v>7077</v>
      </c>
      <c r="C536" s="2" t="s">
        <v>7078</v>
      </c>
      <c r="D536" t="s">
        <v>5843</v>
      </c>
      <c r="E536" s="2" t="s">
        <v>7079</v>
      </c>
      <c r="F536" t="s">
        <v>4395</v>
      </c>
      <c r="G536" t="str">
        <f>VLOOKUP($F536, codebooks_data_reordered!$A:$I, 2, FALSE)</f>
        <v>1981_3</v>
      </c>
      <c r="H536" t="str">
        <f>VLOOKUP($F536, codebooks_data_reordered!$A:$I, 3, FALSE)</f>
        <v>INTERVIEWEE EVALUATION OF THE STATE OF ISRAEL</v>
      </c>
      <c r="I536" t="str">
        <f>VLOOKUP($F536, codebooks_data_reordered!$A:$I, 4, FALSE)</f>
        <v>1</v>
      </c>
      <c r="J536" t="str">
        <f>VLOOKUP($F536, codebooks_data_reordered!$A:$I, 5, FALSE)</f>
        <v>130</v>
      </c>
      <c r="K536" t="str">
        <f>VLOOKUP($F536, codebooks_data_reordered!$A:$I, 6, FALSE)</f>
        <v>Interviewee evaluation of the state of Israel</v>
      </c>
      <c r="L536">
        <f>VLOOKUP($F536, codebooks_data_reordered!$A:$I, 7, FALSE)</f>
        <v>0</v>
      </c>
      <c r="M536" t="str">
        <f>VLOOKUP($F536, codebooks_data_reordered!$A:$I, 9, FALSE)</f>
        <v>1: The place interviewee wants to live in; 7: Not the place interviewee wants to live in</v>
      </c>
      <c r="O536" s="2" t="str">
        <f t="shared" si="8"/>
        <v>1: The place interviewee wants to live in
 7: Not the place interviewee wants to live in</v>
      </c>
    </row>
    <row r="537" spans="1:15" ht="72" hidden="1" x14ac:dyDescent="0.3">
      <c r="A537" t="s">
        <v>6913</v>
      </c>
      <c r="B537" t="s">
        <v>7080</v>
      </c>
      <c r="C537" s="2" t="s">
        <v>7081</v>
      </c>
      <c r="D537" t="s">
        <v>5843</v>
      </c>
      <c r="E537" s="2" t="s">
        <v>7082</v>
      </c>
      <c r="F537" t="s">
        <v>4397</v>
      </c>
      <c r="G537" t="str">
        <f>VLOOKUP($F537, codebooks_data_reordered!$A:$I, 2, FALSE)</f>
        <v>1981_3</v>
      </c>
      <c r="H537" t="str">
        <f>VLOOKUP($F537, codebooks_data_reordered!$A:$I, 3, FALSE)</f>
        <v>INTERVIEWEE EVALUATION OF THE STATE OF ISRAEL</v>
      </c>
      <c r="I537" t="str">
        <f>VLOOKUP($F537, codebooks_data_reordered!$A:$I, 4, FALSE)</f>
        <v>1</v>
      </c>
      <c r="J537" t="str">
        <f>VLOOKUP($F537, codebooks_data_reordered!$A:$I, 5, FALSE)</f>
        <v>131</v>
      </c>
      <c r="K537" t="str">
        <f>VLOOKUP($F537, codebooks_data_reordered!$A:$I, 6, FALSE)</f>
        <v>Interviewee evaluation of the state of Israel</v>
      </c>
      <c r="L537">
        <f>VLOOKUP($F537, codebooks_data_reordered!$A:$I, 7, FALSE)</f>
        <v>0</v>
      </c>
      <c r="M537" t="str">
        <f>VLOOKUP($F537, codebooks_data_reordered!$A:$I, 9, FALSE)</f>
        <v>1: The place all Jews should immigrate to; 7: Not the place all Jews should immigrate to</v>
      </c>
      <c r="O537" s="2" t="str">
        <f t="shared" si="8"/>
        <v>1: The place all Jews should immigrate to
 7: Not the place all Jews should immigrate to</v>
      </c>
    </row>
    <row r="538" spans="1:15" ht="86.4" hidden="1" x14ac:dyDescent="0.3">
      <c r="A538" t="s">
        <v>6913</v>
      </c>
      <c r="B538" t="s">
        <v>7083</v>
      </c>
      <c r="C538" s="2" t="s">
        <v>7084</v>
      </c>
      <c r="D538" t="s">
        <v>5843</v>
      </c>
      <c r="E538" s="2" t="s">
        <v>7085</v>
      </c>
      <c r="F538" t="s">
        <v>4399</v>
      </c>
      <c r="G538" t="str">
        <f>VLOOKUP($F538, codebooks_data_reordered!$A:$I, 2, FALSE)</f>
        <v>1981_3</v>
      </c>
      <c r="H538" t="str">
        <f>VLOOKUP($F538, codebooks_data_reordered!$A:$I, 3, FALSE)</f>
        <v>INTERVIEWEE EVALUATION OF THE STATE OF ISRAEL</v>
      </c>
      <c r="I538" t="str">
        <f>VLOOKUP($F538, codebooks_data_reordered!$A:$I, 4, FALSE)</f>
        <v>1</v>
      </c>
      <c r="J538" t="str">
        <f>VLOOKUP($F538, codebooks_data_reordered!$A:$I, 5, FALSE)</f>
        <v>132</v>
      </c>
      <c r="K538" t="str">
        <f>VLOOKUP($F538, codebooks_data_reordered!$A:$I, 6, FALSE)</f>
        <v>Interviewee evaluation of the state of Israel</v>
      </c>
      <c r="L538">
        <f>VLOOKUP($F538, codebooks_data_reordered!$A:$I, 7, FALSE)</f>
        <v>0</v>
      </c>
      <c r="M538" t="str">
        <f>VLOOKUP($F538, codebooks_data_reordered!$A:$I, 9, FALSE)</f>
        <v>1: Democratic; 7: Undemocratic</v>
      </c>
      <c r="O538" s="2" t="str">
        <f t="shared" si="8"/>
        <v>1: Democratic
 7: Undemocratic</v>
      </c>
    </row>
    <row r="539" spans="1:15" ht="86.4" hidden="1" x14ac:dyDescent="0.3">
      <c r="A539" t="s">
        <v>6913</v>
      </c>
      <c r="B539" t="s">
        <v>7086</v>
      </c>
      <c r="C539" s="2" t="s">
        <v>7087</v>
      </c>
      <c r="D539" t="s">
        <v>5843</v>
      </c>
      <c r="E539" s="2" t="s">
        <v>7088</v>
      </c>
      <c r="F539" t="s">
        <v>4401</v>
      </c>
      <c r="G539" t="str">
        <f>VLOOKUP($F539, codebooks_data_reordered!$A:$I, 2, FALSE)</f>
        <v>1981_3</v>
      </c>
      <c r="H539" t="str">
        <f>VLOOKUP($F539, codebooks_data_reordered!$A:$I, 3, FALSE)</f>
        <v>INTERVIEWEE EVALUATION OF THE STATE OF ISRAEL</v>
      </c>
      <c r="I539" t="str">
        <f>VLOOKUP($F539, codebooks_data_reordered!$A:$I, 4, FALSE)</f>
        <v>1</v>
      </c>
      <c r="J539" t="str">
        <f>VLOOKUP($F539, codebooks_data_reordered!$A:$I, 5, FALSE)</f>
        <v>133</v>
      </c>
      <c r="K539" t="str">
        <f>VLOOKUP($F539, codebooks_data_reordered!$A:$I, 6, FALSE)</f>
        <v>Interviewee evaluation of the state of Israel</v>
      </c>
      <c r="L539">
        <f>VLOOKUP($F539, codebooks_data_reordered!$A:$I, 7, FALSE)</f>
        <v>0</v>
      </c>
      <c r="M539" t="str">
        <f>VLOOKUP($F539, codebooks_data_reordered!$A:$I, 9, FALSE)</f>
        <v>1: A state with social justice; 7: A state without social justice</v>
      </c>
      <c r="O539" s="2" t="str">
        <f t="shared" si="8"/>
        <v>1: A state with social justice
 7: A state without social justice</v>
      </c>
    </row>
    <row r="540" spans="1:15" ht="72" hidden="1" x14ac:dyDescent="0.3">
      <c r="A540" t="s">
        <v>6913</v>
      </c>
      <c r="B540" t="s">
        <v>7089</v>
      </c>
      <c r="C540" s="2" t="s">
        <v>7090</v>
      </c>
      <c r="D540" t="s">
        <v>5843</v>
      </c>
      <c r="E540" s="2" t="s">
        <v>7091</v>
      </c>
      <c r="F540" t="s">
        <v>4403</v>
      </c>
      <c r="G540" t="str">
        <f>VLOOKUP($F540, codebooks_data_reordered!$A:$I, 2, FALSE)</f>
        <v>1981_3</v>
      </c>
      <c r="H540" t="str">
        <f>VLOOKUP($F540, codebooks_data_reordered!$A:$I, 3, FALSE)</f>
        <v>INTERVIEWEE EVALUATION OF THE STATE OF ISRAEL</v>
      </c>
      <c r="I540" t="str">
        <f>VLOOKUP($F540, codebooks_data_reordered!$A:$I, 4, FALSE)</f>
        <v>1</v>
      </c>
      <c r="J540" t="str">
        <f>VLOOKUP($F540, codebooks_data_reordered!$A:$I, 5, FALSE)</f>
        <v>134</v>
      </c>
      <c r="K540" t="str">
        <f>VLOOKUP($F540, codebooks_data_reordered!$A:$I, 6, FALSE)</f>
        <v>Interviewee evaluation of the state of Israel</v>
      </c>
      <c r="L540">
        <f>VLOOKUP($F540, codebooks_data_reordered!$A:$I, 7, FALSE)</f>
        <v>0</v>
      </c>
      <c r="M540" t="str">
        <f>VLOOKUP($F540, codebooks_data_reordered!$A:$I, 9, FALSE)</f>
        <v>1: Ready to live in peace with the Arab countries; 7: Not ready to live in peace with the Arab countries</v>
      </c>
      <c r="O540" s="2" t="str">
        <f t="shared" si="8"/>
        <v>1: Ready to live in peace with the Arab countries
 7: Not ready to live in peace with the Arab countries</v>
      </c>
    </row>
    <row r="541" spans="1:15" ht="115.2" hidden="1" x14ac:dyDescent="0.3">
      <c r="A541" t="s">
        <v>6913</v>
      </c>
      <c r="B541" t="s">
        <v>7092</v>
      </c>
      <c r="C541" s="2" t="s">
        <v>7093</v>
      </c>
      <c r="D541" t="s">
        <v>5843</v>
      </c>
      <c r="E541" s="2" t="s">
        <v>7094</v>
      </c>
      <c r="F541" t="s">
        <v>4405</v>
      </c>
      <c r="G541" t="str">
        <f>VLOOKUP($F541, codebooks_data_reordered!$A:$I, 2, FALSE)</f>
        <v>1981_3</v>
      </c>
      <c r="H541" t="str">
        <f>VLOOKUP($F541, codebooks_data_reordered!$A:$I, 3, FALSE)</f>
        <v>INTERVIEWEE EVALUATION OF THE STATE OF ISRAEL</v>
      </c>
      <c r="I541" t="str">
        <f>VLOOKUP($F541, codebooks_data_reordered!$A:$I, 4, FALSE)</f>
        <v>1</v>
      </c>
      <c r="J541" t="str">
        <f>VLOOKUP($F541, codebooks_data_reordered!$A:$I, 5, FALSE)</f>
        <v>135</v>
      </c>
      <c r="K541" t="str">
        <f>VLOOKUP($F541, codebooks_data_reordered!$A:$I, 6, FALSE)</f>
        <v>Interviewee evaluation of the state of Israel</v>
      </c>
      <c r="L541">
        <f>VLOOKUP($F541, codebooks_data_reordered!$A:$I, 7, FALSE)</f>
        <v>0</v>
      </c>
      <c r="M541" t="str">
        <f>VLOOKUP($F541, codebooks_data_reordered!$A:$I, 9, FALSE)</f>
        <v>1: Peacemaker; 7: War monger</v>
      </c>
      <c r="O541" s="2" t="str">
        <f t="shared" si="8"/>
        <v>1: Peacemaker
 7: War monger</v>
      </c>
    </row>
    <row r="542" spans="1:15" ht="129.6" hidden="1" x14ac:dyDescent="0.3">
      <c r="A542" t="s">
        <v>6913</v>
      </c>
      <c r="B542" t="s">
        <v>7095</v>
      </c>
      <c r="C542" s="2" t="s">
        <v>7096</v>
      </c>
      <c r="D542" t="s">
        <v>5843</v>
      </c>
      <c r="E542" s="2" t="s">
        <v>7097</v>
      </c>
      <c r="F542" t="s">
        <v>158</v>
      </c>
      <c r="G542" t="str">
        <f>VLOOKUP($F542, codebooks_data_reordered!$A:$I, 2, FALSE)</f>
        <v>2006</v>
      </c>
      <c r="H542" t="str">
        <f>VLOOKUP($F542, codebooks_data_reordered!$A:$I, 3, FALSE)</f>
        <v>Threat of Different Issues</v>
      </c>
      <c r="I542" t="str">
        <f>VLOOKUP($F542, codebooks_data_reordered!$A:$I, 4, FALSE)</f>
        <v>1</v>
      </c>
      <c r="J542" t="str">
        <f>VLOOKUP($F542, codebooks_data_reordered!$A:$I, 5, FALSE)</f>
        <v>43</v>
      </c>
      <c r="K542" t="str">
        <f>VLOOKUP($F542, codebooks_data_reordered!$A:$I, 6, FALSE)</f>
        <v>Goverment should or shoudn't interfere</v>
      </c>
      <c r="L542" t="str">
        <f>VLOOKUP($F542, codebooks_data_reordered!$A:$I, 7, FALSE)</f>
        <v>38. Some think that the government should make sure that everybody has a job and a decent standard of living. Others think that the government shouldn't interfere and should let everyone take care of himself. What do you think?</v>
      </c>
      <c r="M542" t="str">
        <f>VLOOKUP($F542, codebooks_data_reordered!$A:$I, 9, FALSE)</f>
        <v>1: The government should make sure; 2: It depends; 3: The government shouldn't interfere</v>
      </c>
      <c r="O542" s="2" t="str">
        <f t="shared" si="8"/>
        <v>1: The government should make sure
 2: It depends
 3: The government shouldn't interfere</v>
      </c>
    </row>
    <row r="543" spans="1:15" ht="129.6" hidden="1" x14ac:dyDescent="0.3">
      <c r="A543" t="s">
        <v>6913</v>
      </c>
      <c r="B543" t="s">
        <v>7098</v>
      </c>
      <c r="C543" s="2" t="s">
        <v>7096</v>
      </c>
      <c r="D543" t="s">
        <v>5843</v>
      </c>
      <c r="E543" s="2" t="s">
        <v>7097</v>
      </c>
      <c r="F543" t="s">
        <v>1843</v>
      </c>
      <c r="G543" t="str">
        <f>VLOOKUP($F543, codebooks_data_reordered!$A:$I, 2, FALSE)</f>
        <v>1999_1</v>
      </c>
      <c r="H543" t="str">
        <f>VLOOKUP($F543, codebooks_data_reordered!$A:$I, 3, FALSE)</f>
        <v>VALUES AND TRUST</v>
      </c>
      <c r="I543" t="str">
        <f>VLOOKUP($F543, codebooks_data_reordered!$A:$I, 4, FALSE)</f>
        <v>1</v>
      </c>
      <c r="J543" t="str">
        <f>VLOOKUP($F543, codebooks_data_reordered!$A:$I, 5, FALSE)</f>
        <v>45</v>
      </c>
      <c r="K543" t="str">
        <f>VLOOKUP($F543, codebooks_data_reordered!$A:$I, 6, FALSE)</f>
        <v>Peace as a significant value</v>
      </c>
      <c r="L543">
        <f>VLOOKUP($F543, codebooks_data_reordered!$A:$I, 7, FALSE)</f>
        <v>0</v>
      </c>
      <c r="M543" t="str">
        <f>VLOOKUP($F543, codebooks_data_reordered!$A:$I, 9, FALSE)</f>
        <v>1: Most important value; 2: Second value; 3: Third value; 4: Fourth value</v>
      </c>
      <c r="O543" s="2" t="str">
        <f t="shared" si="8"/>
        <v>1: Most important value
 2: Second value
 3: Third value
 4: Fourth value</v>
      </c>
    </row>
    <row r="544" spans="1:15" ht="57.6" hidden="1" x14ac:dyDescent="0.3">
      <c r="A544" t="s">
        <v>6913</v>
      </c>
      <c r="B544" t="s">
        <v>7099</v>
      </c>
      <c r="C544" s="2" t="s">
        <v>7100</v>
      </c>
      <c r="D544" t="s">
        <v>5843</v>
      </c>
      <c r="E544" s="2" t="s">
        <v>7101</v>
      </c>
      <c r="F544" t="s">
        <v>1865</v>
      </c>
      <c r="G544" t="str">
        <f>VLOOKUP($F544, codebooks_data_reordered!$A:$I, 2, FALSE)</f>
        <v>1999_1</v>
      </c>
      <c r="H544" t="str">
        <f>VLOOKUP($F544, codebooks_data_reordered!$A:$I, 3, FALSE)</f>
        <v>ATTITUDES TOWARD CANDIDATES AND PARTIES</v>
      </c>
      <c r="I544" t="str">
        <f>VLOOKUP($F544, codebooks_data_reordered!$A:$I, 4, FALSE)</f>
        <v>1</v>
      </c>
      <c r="J544" t="str">
        <f>VLOOKUP($F544, codebooks_data_reordered!$A:$I, 5, FALSE)</f>
        <v>55</v>
      </c>
      <c r="K544" t="str">
        <f>VLOOKUP($F544, codebooks_data_reordered!$A:$I, 6, FALSE)</f>
        <v>Extend of support for Azmi Bashara</v>
      </c>
      <c r="L544" t="str">
        <f>VLOOKUP($F544, codebooks_data_reordered!$A:$I, 7, FALSE)</f>
        <v>Extent of support on 1-10 scale, 1=total rejection, 10=strong support</v>
      </c>
      <c r="M544" t="str">
        <f>VLOOKUP($F544, codebooks_data_reordered!$A:$I, 9, FALSE)</f>
        <v>1: Totally reject; 10: Strongly support</v>
      </c>
      <c r="O544" s="2" t="str">
        <f t="shared" si="8"/>
        <v>1: Totally reject
 10: Strongly support</v>
      </c>
    </row>
    <row r="545" spans="1:15" ht="158.4" hidden="1" x14ac:dyDescent="0.3">
      <c r="A545" t="s">
        <v>6913</v>
      </c>
      <c r="B545" t="s">
        <v>6883</v>
      </c>
      <c r="C545" s="2" t="s">
        <v>7102</v>
      </c>
      <c r="D545" t="s">
        <v>5843</v>
      </c>
      <c r="E545" s="2" t="s">
        <v>7103</v>
      </c>
      <c r="F545" t="s">
        <v>5302</v>
      </c>
      <c r="G545" t="str">
        <f>VLOOKUP($F545, codebooks_data_reordered!$A:$I, 2, FALSE)</f>
        <v>1973_5</v>
      </c>
      <c r="H545" t="str">
        <f>VLOOKUP($F545, codebooks_data_reordered!$A:$I, 3, FALSE)</f>
        <v>January 1974</v>
      </c>
      <c r="I545" t="str">
        <f>VLOOKUP($F545, codebooks_data_reordered!$A:$I, 4, FALSE)</f>
        <v>1</v>
      </c>
      <c r="J545" t="str">
        <f>VLOOKUP($F545, codebooks_data_reordered!$A:$I, 5, FALSE)</f>
        <v>1-4</v>
      </c>
      <c r="K545" t="str">
        <f>VLOOKUP($F545, codebooks_data_reordered!$A:$I, 6, FALSE)</f>
        <v>Identity number</v>
      </c>
      <c r="L545">
        <f>VLOOKUP($F545, codebooks_data_reordered!$A:$I, 7, FALSE)</f>
        <v>0</v>
      </c>
      <c r="M545">
        <f>VLOOKUP($F545, codebooks_data_reordered!$A:$I, 9, FALSE)</f>
        <v>0</v>
      </c>
      <c r="O545" s="2" t="str">
        <f t="shared" si="8"/>
        <v>0</v>
      </c>
    </row>
    <row r="546" spans="1:15" ht="129.6" hidden="1" x14ac:dyDescent="0.3">
      <c r="A546" t="s">
        <v>6913</v>
      </c>
      <c r="B546" t="s">
        <v>7104</v>
      </c>
      <c r="C546" s="2" t="s">
        <v>7105</v>
      </c>
      <c r="D546" t="s">
        <v>5843</v>
      </c>
      <c r="E546" s="2" t="s">
        <v>7106</v>
      </c>
      <c r="F546" t="s">
        <v>1917</v>
      </c>
      <c r="G546" t="str">
        <f>VLOOKUP($F546, codebooks_data_reordered!$A:$I, 2, FALSE)</f>
        <v>1999_1</v>
      </c>
      <c r="H546" t="str">
        <f>VLOOKUP($F546, codebooks_data_reordered!$A:$I, 3, FALSE)</f>
        <v>MORE ATTITUDES TOWARD PARTIES AND CANDIDATES</v>
      </c>
      <c r="I546" t="str">
        <f>VLOOKUP($F546, codebooks_data_reordered!$A:$I, 4, FALSE)</f>
        <v>1</v>
      </c>
      <c r="J546" t="str">
        <f>VLOOKUP($F546, codebooks_data_reordered!$A:$I, 5, FALSE)</f>
        <v>75</v>
      </c>
      <c r="K546" t="str">
        <f>VLOOKUP($F546, codebooks_data_reordered!$A:$I, 6, FALSE)</f>
        <v>Identification with Binyamin Netanyahu's peace and defense policies</v>
      </c>
      <c r="L546" t="str">
        <f>VLOOKUP($F546, codebooks_data_reordered!$A:$I, 7, FALSE)</f>
        <v>Identification with candidate on 1-10 scale: 1=Strong rejection, 10=Strong support</v>
      </c>
      <c r="M546" t="str">
        <f>VLOOKUP($F546, codebooks_data_reordered!$A:$I, 9, FALSE)</f>
        <v>1: Strong rejection; 10: Strong support</v>
      </c>
      <c r="O546" s="2" t="str">
        <f t="shared" si="8"/>
        <v>1: Strong rejection
 10: Strong support</v>
      </c>
    </row>
    <row r="547" spans="1:15" ht="86.4" hidden="1" x14ac:dyDescent="0.3">
      <c r="A547" t="s">
        <v>6913</v>
      </c>
      <c r="B547" t="s">
        <v>7107</v>
      </c>
      <c r="C547" s="2" t="s">
        <v>7108</v>
      </c>
      <c r="D547" t="s">
        <v>5843</v>
      </c>
      <c r="E547" s="2" t="s">
        <v>7109</v>
      </c>
      <c r="F547" t="s">
        <v>490</v>
      </c>
      <c r="G547" t="str">
        <f>VLOOKUP($F547, codebooks_data_reordered!$A:$I, 2, FALSE)</f>
        <v>2006</v>
      </c>
      <c r="H547" t="str">
        <f>VLOOKUP($F547, codebooks_data_reordered!$A:$I, 3, FALSE)</f>
        <v>Most/Less Suitable Characteristic of the Party</v>
      </c>
      <c r="I547" t="str">
        <f>VLOOKUP($F547, codebooks_data_reordered!$A:$I, 4, FALSE)</f>
        <v>1</v>
      </c>
      <c r="J547" t="str">
        <f>VLOOKUP($F547, codebooks_data_reordered!$A:$I, 5, FALSE)</f>
        <v>157</v>
      </c>
      <c r="K547" t="str">
        <f>VLOOKUP($F547, codebooks_data_reordered!$A:$I, 6, FALSE)</f>
        <v>Most suitable characteristic of the party: Involved in corruprion</v>
      </c>
      <c r="L547" t="str">
        <f>VLOOKUP($F547,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is involved in corruption</v>
      </c>
      <c r="M547" t="str">
        <f>VLOOKUP($F547, codebooks_data_reordered!$A:$I, 9, FALSE)</f>
        <v>1: Most suitable Kadima; 2: Most suitable Likud; 3: Most suitable Avoda; 4: Suits all the same; 5: Doesn't suit any of them</v>
      </c>
      <c r="O547" s="2" t="str">
        <f t="shared" si="8"/>
        <v>1: Most suitable Kadima
 2: Most suitable Likud
 3: Most suitable Avoda
 4: Suits all the same
 5: Doesn't suit any of them</v>
      </c>
    </row>
    <row r="548" spans="1:15" ht="86.4" hidden="1" x14ac:dyDescent="0.3">
      <c r="A548" t="s">
        <v>6913</v>
      </c>
      <c r="B548" t="s">
        <v>7110</v>
      </c>
      <c r="C548" s="2" t="s">
        <v>7111</v>
      </c>
      <c r="D548" t="s">
        <v>5843</v>
      </c>
      <c r="E548" s="2" t="s">
        <v>7112</v>
      </c>
      <c r="F548" t="s">
        <v>493</v>
      </c>
      <c r="G548" t="str">
        <f>VLOOKUP($F548, codebooks_data_reordered!$A:$I, 2, FALSE)</f>
        <v>2006</v>
      </c>
      <c r="H548" t="str">
        <f>VLOOKUP($F548, codebooks_data_reordered!$A:$I, 3, FALSE)</f>
        <v>Most/Less Suitable Characteristic of the Party</v>
      </c>
      <c r="I548" t="str">
        <f>VLOOKUP($F548, codebooks_data_reordered!$A:$I, 4, FALSE)</f>
        <v>1</v>
      </c>
      <c r="J548" t="str">
        <f>VLOOKUP($F548, codebooks_data_reordered!$A:$I, 5, FALSE)</f>
        <v>158</v>
      </c>
      <c r="K548" t="str">
        <f>VLOOKUP($F548, codebooks_data_reordered!$A:$I, 6, FALSE)</f>
        <v>Least suitable characteristic of the party: Involved in corruprion</v>
      </c>
      <c r="L548" t="str">
        <f>VLOOKUP($F548,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is involved in corruption</v>
      </c>
      <c r="M548" t="str">
        <f>VLOOKUP($F548, codebooks_data_reordered!$A:$I, 9, FALSE)</f>
        <v>1: Least suitable Kadima; 2: Least suitable Likud; 3: Least suitable Avoda; 4: Suits all the same; 5: Doesn't suit any of them</v>
      </c>
      <c r="O548" s="2" t="str">
        <f t="shared" si="8"/>
        <v>1: Least suitable Kadima
 2: Least suitable Likud
 3: Least suitable Avoda
 4: Suits all the same
 5: Doesn't suit any of them</v>
      </c>
    </row>
    <row r="549" spans="1:15" ht="86.4" hidden="1" x14ac:dyDescent="0.3">
      <c r="A549" t="s">
        <v>6913</v>
      </c>
      <c r="B549" t="s">
        <v>7113</v>
      </c>
      <c r="C549" s="2" t="s">
        <v>7114</v>
      </c>
      <c r="D549" t="s">
        <v>5843</v>
      </c>
      <c r="E549" s="2" t="s">
        <v>7115</v>
      </c>
      <c r="F549" t="s">
        <v>497</v>
      </c>
      <c r="G549" t="str">
        <f>VLOOKUP($F549, codebooks_data_reordered!$A:$I, 2, FALSE)</f>
        <v>2006</v>
      </c>
      <c r="H549" t="str">
        <f>VLOOKUP($F549, codebooks_data_reordered!$A:$I, 3, FALSE)</f>
        <v>Most/Less Suitable Characteristic of the Party</v>
      </c>
      <c r="I549" t="str">
        <f>VLOOKUP($F549, codebooks_data_reordered!$A:$I, 4, FALSE)</f>
        <v>1</v>
      </c>
      <c r="J549" t="str">
        <f>VLOOKUP($F549, codebooks_data_reordered!$A:$I, 5, FALSE)</f>
        <v>159</v>
      </c>
      <c r="K549" t="str">
        <f>VLOOKUP($F549, codebooks_data_reordered!$A:$I, 6, FALSE)</f>
        <v>Most suitable characteristic of the party: Will decrease social gaps</v>
      </c>
      <c r="L549" t="str">
        <f>VLOOKUP($F549,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549" t="str">
        <f>VLOOKUP($F549, codebooks_data_reordered!$A:$I, 9, FALSE)</f>
        <v>1: Most suitable Kadima; 2: Most suitable Likud; 3: Most suitable Avoda; 4: Suits all the same; 5: Doesn't suit any of them</v>
      </c>
      <c r="O549" s="2" t="str">
        <f t="shared" si="8"/>
        <v>1: Most suitable Kadima
 2: Most suitable Likud
 3: Most suitable Avoda
 4: Suits all the same
 5: Doesn't suit any of them</v>
      </c>
    </row>
    <row r="550" spans="1:15" ht="86.4" hidden="1" x14ac:dyDescent="0.3">
      <c r="A550" t="s">
        <v>6913</v>
      </c>
      <c r="B550" t="s">
        <v>7116</v>
      </c>
      <c r="C550" s="2" t="s">
        <v>7117</v>
      </c>
      <c r="D550" t="s">
        <v>5843</v>
      </c>
      <c r="E550" s="2" t="s">
        <v>7118</v>
      </c>
      <c r="F550" t="s">
        <v>500</v>
      </c>
      <c r="G550" t="str">
        <f>VLOOKUP($F550, codebooks_data_reordered!$A:$I, 2, FALSE)</f>
        <v>2006</v>
      </c>
      <c r="H550" t="str">
        <f>VLOOKUP($F550, codebooks_data_reordered!$A:$I, 3, FALSE)</f>
        <v>Most/Less Suitable Characteristic of the Party</v>
      </c>
      <c r="I550" t="str">
        <f>VLOOKUP($F550, codebooks_data_reordered!$A:$I, 4, FALSE)</f>
        <v>1</v>
      </c>
      <c r="J550" t="str">
        <f>VLOOKUP($F550, codebooks_data_reordered!$A:$I, 5, FALSE)</f>
        <v>160</v>
      </c>
      <c r="K550" t="str">
        <f>VLOOKUP($F550, codebooks_data_reordered!$A:$I, 6, FALSE)</f>
        <v>Least suitable characteristic of the party: Will decrease social gaps</v>
      </c>
      <c r="L550" t="str">
        <f>VLOOKUP($F550,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550" t="str">
        <f>VLOOKUP($F550, codebooks_data_reordered!$A:$I, 9, FALSE)</f>
        <v>1: Least suitable Kadima; 2: Least suitable Likud; 3: Least suitable Avoda; 4: Suits all the same; 5: Doesn't suit any of them</v>
      </c>
      <c r="O550" s="2" t="str">
        <f t="shared" si="8"/>
        <v>1: Least suitable Kadima
 2: Least suitable Likud
 3: Least suitable Avoda
 4: Suits all the same
 5: Doesn't suit any of them</v>
      </c>
    </row>
    <row r="551" spans="1:15" ht="72" hidden="1" x14ac:dyDescent="0.3">
      <c r="A551" t="s">
        <v>6913</v>
      </c>
      <c r="B551" t="s">
        <v>7119</v>
      </c>
      <c r="C551" s="2" t="s">
        <v>7120</v>
      </c>
      <c r="D551" t="s">
        <v>5843</v>
      </c>
      <c r="E551" s="2" t="s">
        <v>7121</v>
      </c>
      <c r="F551" t="s">
        <v>505</v>
      </c>
      <c r="G551" t="str">
        <f>VLOOKUP($F551, codebooks_data_reordered!$A:$I, 2, FALSE)</f>
        <v>2006</v>
      </c>
      <c r="H551" t="str">
        <f>VLOOKUP($F551, codebooks_data_reordered!$A:$I, 3, FALSE)</f>
        <v>Most/Less Suitable Characteristic of the Party</v>
      </c>
      <c r="I551" t="str">
        <f>VLOOKUP($F551, codebooks_data_reordered!$A:$I, 4, FALSE)</f>
        <v>1</v>
      </c>
      <c r="J551" t="str">
        <f>VLOOKUP($F551, codebooks_data_reordered!$A:$I, 5, FALSE)</f>
        <v>161</v>
      </c>
      <c r="K551" t="str">
        <f>VLOOKUP($F551, codebooks_data_reordered!$A:$I, 6, FALSE)</f>
        <v>Most suitable characteristic of the party: Leadership abilites</v>
      </c>
      <c r="L551" t="str">
        <f>VLOOKUP($F551,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551" t="str">
        <f>VLOOKUP($F551, codebooks_data_reordered!$A:$I, 9, FALSE)</f>
        <v>1: Olmert; 2: Netanyahu; 3: Peretz; 4: All; 5: None</v>
      </c>
      <c r="O551" s="2" t="str">
        <f t="shared" si="8"/>
        <v>1: Olmert
 2: Netanyahu
 3: Peretz
 4: All
 5: None</v>
      </c>
    </row>
    <row r="552" spans="1:15" ht="72" hidden="1" x14ac:dyDescent="0.3">
      <c r="A552" t="s">
        <v>6913</v>
      </c>
      <c r="B552" t="s">
        <v>7122</v>
      </c>
      <c r="C552" s="2" t="s">
        <v>7120</v>
      </c>
      <c r="D552" t="s">
        <v>5843</v>
      </c>
      <c r="E552" s="2" t="s">
        <v>7121</v>
      </c>
      <c r="F552" t="s">
        <v>508</v>
      </c>
      <c r="G552" t="str">
        <f>VLOOKUP($F552, codebooks_data_reordered!$A:$I, 2, FALSE)</f>
        <v>2006</v>
      </c>
      <c r="H552" t="str">
        <f>VLOOKUP($F552, codebooks_data_reordered!$A:$I, 3, FALSE)</f>
        <v>Most/Less Suitable Characteristic of the Party</v>
      </c>
      <c r="I552" t="str">
        <f>VLOOKUP($F552, codebooks_data_reordered!$A:$I, 4, FALSE)</f>
        <v>1</v>
      </c>
      <c r="J552" t="str">
        <f>VLOOKUP($F552, codebooks_data_reordered!$A:$I, 5, FALSE)</f>
        <v>162</v>
      </c>
      <c r="K552" t="str">
        <f>VLOOKUP($F552, codebooks_data_reordered!$A:$I, 6, FALSE)</f>
        <v>Least suitable characteristic of the party: Leadership abilites</v>
      </c>
      <c r="L552" t="str">
        <f>VLOOKUP($F552,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552" t="str">
        <f>VLOOKUP($F552, codebooks_data_reordered!$A:$I, 9, FALSE)</f>
        <v>1: Olmert; 2: Netanyahu; 3: Peretz; 4: All; 5: None</v>
      </c>
      <c r="O552" s="2" t="str">
        <f t="shared" si="8"/>
        <v>1: Olmert
 2: Netanyahu
 3: Peretz
 4: All
 5: None</v>
      </c>
    </row>
    <row r="553" spans="1:15" ht="72" hidden="1" x14ac:dyDescent="0.3">
      <c r="A553" t="s">
        <v>6913</v>
      </c>
      <c r="B553" t="s">
        <v>7123</v>
      </c>
      <c r="C553" s="2" t="s">
        <v>7124</v>
      </c>
      <c r="D553" t="s">
        <v>5843</v>
      </c>
      <c r="E553" s="2" t="s">
        <v>7125</v>
      </c>
      <c r="F553" t="s">
        <v>512</v>
      </c>
      <c r="G553" t="str">
        <f>VLOOKUP($F553, codebooks_data_reordered!$A:$I, 2, FALSE)</f>
        <v>2006</v>
      </c>
      <c r="H553" t="str">
        <f>VLOOKUP($F553, codebooks_data_reordered!$A:$I, 3, FALSE)</f>
        <v>Most/Less Suitable Characteristic of the Party</v>
      </c>
      <c r="I553" t="str">
        <f>VLOOKUP($F553, codebooks_data_reordered!$A:$I, 4, FALSE)</f>
        <v>1</v>
      </c>
      <c r="J553" t="str">
        <f>VLOOKUP($F553, codebooks_data_reordered!$A:$I, 5, FALSE)</f>
        <v>163</v>
      </c>
      <c r="K553" t="str">
        <f>VLOOKUP($F553, codebooks_data_reordered!$A:$I, 6, FALSE)</f>
        <v>Most suitable characteristic of the party: Reliable</v>
      </c>
      <c r="L553" t="str">
        <f>VLOOKUP($F553,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553" t="str">
        <f>VLOOKUP($F553, codebooks_data_reordered!$A:$I, 9, FALSE)</f>
        <v>1: Olmert; 2: Netanyahu; 3: Peretz; 4: All; 5: None</v>
      </c>
      <c r="O553" s="2" t="str">
        <f t="shared" si="8"/>
        <v>1: Olmert
 2: Netanyahu
 3: Peretz
 4: All
 5: None</v>
      </c>
    </row>
    <row r="554" spans="1:15" ht="72" hidden="1" x14ac:dyDescent="0.3">
      <c r="A554" t="s">
        <v>6913</v>
      </c>
      <c r="B554" t="s">
        <v>7126</v>
      </c>
      <c r="C554" s="2" t="s">
        <v>7127</v>
      </c>
      <c r="D554" t="s">
        <v>5843</v>
      </c>
      <c r="E554" s="2" t="s">
        <v>7128</v>
      </c>
      <c r="F554" t="s">
        <v>515</v>
      </c>
      <c r="G554" t="str">
        <f>VLOOKUP($F554, codebooks_data_reordered!$A:$I, 2, FALSE)</f>
        <v>2006</v>
      </c>
      <c r="H554" t="str">
        <f>VLOOKUP($F554, codebooks_data_reordered!$A:$I, 3, FALSE)</f>
        <v>Most/Less Suitable Characteristic of the Party</v>
      </c>
      <c r="I554" t="str">
        <f>VLOOKUP($F554, codebooks_data_reordered!$A:$I, 4, FALSE)</f>
        <v>1</v>
      </c>
      <c r="J554" t="str">
        <f>VLOOKUP($F554, codebooks_data_reordered!$A:$I, 5, FALSE)</f>
        <v>164</v>
      </c>
      <c r="K554" t="str">
        <f>VLOOKUP($F554, codebooks_data_reordered!$A:$I, 6, FALSE)</f>
        <v>Least suitable characteristic of the party: Reliable</v>
      </c>
      <c r="L554" t="str">
        <f>VLOOKUP($F554,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554" t="str">
        <f>VLOOKUP($F554, codebooks_data_reordered!$A:$I, 9, FALSE)</f>
        <v>1: Olmert; 2: Netanyahu; 3: Peretz; 4: All; 5: None</v>
      </c>
      <c r="O554" s="2" t="str">
        <f t="shared" si="8"/>
        <v>1: Olmert
 2: Netanyahu
 3: Peretz
 4: All
 5: None</v>
      </c>
    </row>
    <row r="555" spans="1:15" ht="72" hidden="1" x14ac:dyDescent="0.3">
      <c r="A555" t="s">
        <v>6913</v>
      </c>
      <c r="B555" t="s">
        <v>7129</v>
      </c>
      <c r="C555" s="2" t="s">
        <v>7130</v>
      </c>
      <c r="D555" t="s">
        <v>5843</v>
      </c>
      <c r="E555" s="2" t="s">
        <v>7131</v>
      </c>
      <c r="F555" t="s">
        <v>519</v>
      </c>
      <c r="G555" t="str">
        <f>VLOOKUP($F555, codebooks_data_reordered!$A:$I, 2, FALSE)</f>
        <v>2006</v>
      </c>
      <c r="H555" t="str">
        <f>VLOOKUP($F555, codebooks_data_reordered!$A:$I, 3, FALSE)</f>
        <v>Most/Less Suitable Characteristic of the Party</v>
      </c>
      <c r="I555" t="str">
        <f>VLOOKUP($F555, codebooks_data_reordered!$A:$I, 4, FALSE)</f>
        <v>1</v>
      </c>
      <c r="J555" t="str">
        <f>VLOOKUP($F555, codebooks_data_reordered!$A:$I, 5, FALSE)</f>
        <v>165</v>
      </c>
      <c r="K555" t="str">
        <f>VLOOKUP($F555, codebooks_data_reordered!$A:$I, 6, FALSE)</f>
        <v>Most suitable characteristic of the party: Prefers the country</v>
      </c>
      <c r="L555" t="str">
        <f>VLOOKUP($F555,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v>
      </c>
      <c r="M555" t="str">
        <f>VLOOKUP($F555, codebooks_data_reordered!$A:$I, 9, FALSE)</f>
        <v>1: Olmert; 2: Netanyahu; 3: Peretz; 4: All; 5: None</v>
      </c>
      <c r="O555" s="2" t="str">
        <f t="shared" si="8"/>
        <v>1: Olmert
 2: Netanyahu
 3: Peretz
 4: All
 5: None</v>
      </c>
    </row>
    <row r="556" spans="1:15" ht="72" hidden="1" x14ac:dyDescent="0.3">
      <c r="A556" t="s">
        <v>6913</v>
      </c>
      <c r="B556" t="s">
        <v>7132</v>
      </c>
      <c r="C556" s="2" t="s">
        <v>7133</v>
      </c>
      <c r="D556" t="s">
        <v>5843</v>
      </c>
      <c r="E556" s="2" t="s">
        <v>7134</v>
      </c>
      <c r="F556" t="s">
        <v>522</v>
      </c>
      <c r="G556" t="str">
        <f>VLOOKUP($F556, codebooks_data_reordered!$A:$I, 2, FALSE)</f>
        <v>2006</v>
      </c>
      <c r="H556" t="str">
        <f>VLOOKUP($F556, codebooks_data_reordered!$A:$I, 3, FALSE)</f>
        <v>Most/Less Suitable Characteristic of the Party</v>
      </c>
      <c r="I556" t="str">
        <f>VLOOKUP($F556, codebooks_data_reordered!$A:$I, 4, FALSE)</f>
        <v>1</v>
      </c>
      <c r="J556" t="str">
        <f>VLOOKUP($F556, codebooks_data_reordered!$A:$I, 5, FALSE)</f>
        <v>166</v>
      </c>
      <c r="K556" t="str">
        <f>VLOOKUP($F556, codebooks_data_reordered!$A:$I, 6, FALSE)</f>
        <v>Least suitable characteristic of the party: Prefers the country</v>
      </c>
      <c r="L556" t="str">
        <f>VLOOKUP($F556,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v>
      </c>
      <c r="M556" t="str">
        <f>VLOOKUP($F556, codebooks_data_reordered!$A:$I, 9, FALSE)</f>
        <v>1: Olmert; 2: Netanyahu; 3: Peretz; 4: All; 5: None</v>
      </c>
      <c r="O556" s="2" t="str">
        <f t="shared" si="8"/>
        <v>1: Olmert
 2: Netanyahu
 3: Peretz
 4: All
 5: None</v>
      </c>
    </row>
    <row r="557" spans="1:15" ht="57.6" hidden="1" x14ac:dyDescent="0.3">
      <c r="A557" t="s">
        <v>6913</v>
      </c>
      <c r="B557" t="s">
        <v>7135</v>
      </c>
      <c r="C557" s="2" t="s">
        <v>7136</v>
      </c>
      <c r="D557" t="s">
        <v>5843</v>
      </c>
      <c r="E557" s="2" t="s">
        <v>7137</v>
      </c>
      <c r="F557" t="s">
        <v>368</v>
      </c>
      <c r="G557" t="str">
        <f>VLOOKUP($F557, codebooks_data_reordered!$A:$I, 2, FALSE)</f>
        <v>2006</v>
      </c>
      <c r="H557" t="str">
        <f>VLOOKUP($F557, codebooks_data_reordered!$A:$I, 3, FALSE)</f>
        <v>Influence of Different Issues on Vote</v>
      </c>
      <c r="I557" t="str">
        <f>VLOOKUP($F557, codebooks_data_reordered!$A:$I, 4, FALSE)</f>
        <v>1</v>
      </c>
      <c r="J557" t="str">
        <f>VLOOKUP($F557, codebooks_data_reordered!$A:$I, 5, FALSE)</f>
        <v>115</v>
      </c>
      <c r="K557" t="str">
        <f>VLOOKUP($F557, codebooks_data_reordered!$A:$I, 6, FALSE)</f>
        <v>Influence the following have on your vote:State and religion</v>
      </c>
      <c r="L557" t="str">
        <f>VLOOKUP($F557, codebooks_data_reordered!$A:$I, 7, FALSE)</f>
        <v>To what extent do each of the following issues effect or not effect your voting?</v>
      </c>
      <c r="M557" t="str">
        <f>VLOOKUP($F557, codebooks_data_reordered!$A:$I, 9, FALSE)</f>
        <v>1: A great deal; 2: Some; 3: Little; 4: Not at all</v>
      </c>
      <c r="O557" s="2" t="str">
        <f t="shared" si="8"/>
        <v>1: A great deal
 2: Some
 3: Little
 4: Not at all</v>
      </c>
    </row>
    <row r="558" spans="1:15" ht="57.6" hidden="1" x14ac:dyDescent="0.3">
      <c r="A558" t="s">
        <v>6913</v>
      </c>
      <c r="B558" t="s">
        <v>7138</v>
      </c>
      <c r="C558" s="2" t="s">
        <v>7139</v>
      </c>
      <c r="D558" t="s">
        <v>6225</v>
      </c>
      <c r="E558" s="2" t="s">
        <v>7140</v>
      </c>
      <c r="F558" t="s">
        <v>3047</v>
      </c>
      <c r="G558" t="str">
        <f>VLOOKUP($F558, codebooks_data_reordered!$A:$I, 2, FALSE)</f>
        <v>1988_Panel_N=416</v>
      </c>
      <c r="H558" t="str">
        <f>VLOOKUP($F558, codebooks_data_reordered!$A:$I, 3, FALSE)</f>
        <v>THE EXTENT OF APPROVAL OF THE FOLLOWING SAYINGS</v>
      </c>
      <c r="I558" t="str">
        <f>VLOOKUP($F558, codebooks_data_reordered!$A:$I, 4, FALSE)</f>
        <v>1</v>
      </c>
      <c r="J558" t="str">
        <f>VLOOKUP($F558, codebooks_data_reordered!$A:$I, 5, FALSE)</f>
        <v>78</v>
      </c>
      <c r="K558" t="str">
        <f>VLOOKUP($F558, codebooks_data_reordered!$A:$I, 6, FALSE)</f>
        <v>To what extent do you believe in our exisence in Israel in the long run</v>
      </c>
      <c r="L558">
        <f>VLOOKUP($F558, codebooks_data_reordered!$A:$I, 7, FALSE)</f>
        <v>0</v>
      </c>
      <c r="M558" t="str">
        <f>VLOOKUP($F558, codebooks_data_reordered!$A:$I, 9, FALSE)</f>
        <v>1: Definitely agrees; 2: Agrees; 3: Objects; 4: Definitely objects</v>
      </c>
      <c r="O558" s="2" t="str">
        <f t="shared" si="8"/>
        <v>1: Definitely agrees
 2: Agrees
 3: Objects
 4: Definitely objects</v>
      </c>
    </row>
    <row r="559" spans="1:15" ht="72" hidden="1" x14ac:dyDescent="0.3">
      <c r="A559" t="s">
        <v>6913</v>
      </c>
      <c r="B559" t="s">
        <v>7141</v>
      </c>
      <c r="C559" s="2" t="s">
        <v>7142</v>
      </c>
      <c r="D559" t="s">
        <v>5843</v>
      </c>
      <c r="E559" s="2" t="s">
        <v>7143</v>
      </c>
      <c r="F559" t="s">
        <v>371</v>
      </c>
      <c r="G559" t="str">
        <f>VLOOKUP($F559, codebooks_data_reordered!$A:$I, 2, FALSE)</f>
        <v>2006</v>
      </c>
      <c r="H559" t="str">
        <f>VLOOKUP($F559, codebooks_data_reordered!$A:$I, 3, FALSE)</f>
        <v>Influence of Different Issues on Vote</v>
      </c>
      <c r="I559" t="str">
        <f>VLOOKUP($F559, codebooks_data_reordered!$A:$I, 4, FALSE)</f>
        <v>1</v>
      </c>
      <c r="J559" t="str">
        <f>VLOOKUP($F559, codebooks_data_reordered!$A:$I, 5, FALSE)</f>
        <v>116</v>
      </c>
      <c r="K559" t="str">
        <f>VLOOKUP($F559, codebooks_data_reordered!$A:$I, 6, FALSE)</f>
        <v>Influence the following have on your vote:Peace and territories</v>
      </c>
      <c r="L559" t="str">
        <f>VLOOKUP($F559, codebooks_data_reordered!$A:$I, 7, FALSE)</f>
        <v>To what extent do each of the following issues effect or not effect your voting?</v>
      </c>
      <c r="M559" t="str">
        <f>VLOOKUP($F559, codebooks_data_reordered!$A:$I, 9, FALSE)</f>
        <v>1: A great deal; 2: Some; 3: Little; 4: Not at all</v>
      </c>
      <c r="O559" s="2" t="str">
        <f t="shared" si="8"/>
        <v>1: A great deal
 2: Some
 3: Little
 4: Not at all</v>
      </c>
    </row>
    <row r="560" spans="1:15" ht="57.6" hidden="1" x14ac:dyDescent="0.3">
      <c r="A560" t="s">
        <v>6913</v>
      </c>
      <c r="B560" t="s">
        <v>7144</v>
      </c>
      <c r="C560" s="2" t="s">
        <v>7145</v>
      </c>
      <c r="D560" t="s">
        <v>5843</v>
      </c>
      <c r="E560" s="2" t="s">
        <v>7146</v>
      </c>
      <c r="F560" t="s">
        <v>374</v>
      </c>
      <c r="G560" t="str">
        <f>VLOOKUP($F560, codebooks_data_reordered!$A:$I, 2, FALSE)</f>
        <v>2006</v>
      </c>
      <c r="H560" t="str">
        <f>VLOOKUP($F560, codebooks_data_reordered!$A:$I, 3, FALSE)</f>
        <v>Influence of Different Issues on Vote</v>
      </c>
      <c r="I560" t="str">
        <f>VLOOKUP($F560, codebooks_data_reordered!$A:$I, 4, FALSE)</f>
        <v>1</v>
      </c>
      <c r="J560" t="str">
        <f>VLOOKUP($F560, codebooks_data_reordered!$A:$I, 5, FALSE)</f>
        <v>117</v>
      </c>
      <c r="K560" t="str">
        <f>VLOOKUP($F560, codebooks_data_reordered!$A:$I, 6, FALSE)</f>
        <v>Influence the following have on your vote:Terror</v>
      </c>
      <c r="L560" t="str">
        <f>VLOOKUP($F560, codebooks_data_reordered!$A:$I, 7, FALSE)</f>
        <v>To what extent do each of the following issues effect or not effect your voting?</v>
      </c>
      <c r="M560" t="str">
        <f>VLOOKUP($F560, codebooks_data_reordered!$A:$I, 9, FALSE)</f>
        <v>1: A great deal; 2: Some; 3: Little; 4: Not at all</v>
      </c>
      <c r="O560" s="2" t="str">
        <f t="shared" si="8"/>
        <v>1: A great deal
 2: Some
 3: Little
 4: Not at all</v>
      </c>
    </row>
    <row r="561" spans="1:15" ht="86.4" hidden="1" x14ac:dyDescent="0.3">
      <c r="A561" t="s">
        <v>6913</v>
      </c>
      <c r="B561" t="s">
        <v>7147</v>
      </c>
      <c r="C561" s="2" t="s">
        <v>7148</v>
      </c>
      <c r="D561" t="s">
        <v>5843</v>
      </c>
      <c r="E561" s="2" t="s">
        <v>7149</v>
      </c>
      <c r="F561" t="s">
        <v>2812</v>
      </c>
      <c r="G561" t="str">
        <f>VLOOKUP($F561, codebooks_data_reordered!$A:$I, 2, FALSE)</f>
        <v>1992</v>
      </c>
      <c r="H561">
        <f>VLOOKUP($F561, codebooks_data_reordered!$A:$I, 3, FALSE)</f>
        <v>0</v>
      </c>
      <c r="I561" t="str">
        <f>VLOOKUP($F561, codebooks_data_reordered!$A:$I, 4, FALSE)</f>
        <v>1</v>
      </c>
      <c r="J561" t="str">
        <f>VLOOKUP($F561, codebooks_data_reordered!$A:$I, 5, FALSE)</f>
        <v>101</v>
      </c>
      <c r="K561" t="str">
        <f>VLOOKUP($F561, codebooks_data_reordered!$A:$I, 6, FALSE)</f>
        <v>Knows how to decrease unemployment</v>
      </c>
      <c r="L561">
        <f>VLOOKUP($F561, codebooks_data_reordered!$A:$I, 7, FALSE)</f>
        <v>0</v>
      </c>
      <c r="M561" t="str">
        <f>VLOOKUP($F561, codebooks_data_reordered!$A:$I, 9, FALSE)</f>
        <v>1: Suits Labor party; 2: Suits Likud party; 3: Both parties; 4: Neither</v>
      </c>
      <c r="O561" s="2" t="str">
        <f t="shared" si="8"/>
        <v>1: Suits Labor party
 2: Suits Likud party
 3: Both parties
 4: Neither</v>
      </c>
    </row>
    <row r="562" spans="1:15" ht="86.4" hidden="1" x14ac:dyDescent="0.3">
      <c r="A562" t="s">
        <v>6913</v>
      </c>
      <c r="B562" t="s">
        <v>7150</v>
      </c>
      <c r="C562" s="2" t="s">
        <v>7151</v>
      </c>
      <c r="D562" t="s">
        <v>5843</v>
      </c>
      <c r="E562" s="2" t="s">
        <v>7152</v>
      </c>
      <c r="F562" t="s">
        <v>2813</v>
      </c>
      <c r="G562" t="str">
        <f>VLOOKUP($F562, codebooks_data_reordered!$A:$I, 2, FALSE)</f>
        <v>1992</v>
      </c>
      <c r="H562">
        <f>VLOOKUP($F562, codebooks_data_reordered!$A:$I, 3, FALSE)</f>
        <v>0</v>
      </c>
      <c r="I562" t="str">
        <f>VLOOKUP($F562, codebooks_data_reordered!$A:$I, 4, FALSE)</f>
        <v>1</v>
      </c>
      <c r="J562" t="str">
        <f>VLOOKUP($F562, codebooks_data_reordered!$A:$I, 5, FALSE)</f>
        <v>102</v>
      </c>
      <c r="K562" t="str">
        <f>VLOOKUP($F562, codebooks_data_reordered!$A:$I, 6, FALSE)</f>
        <v>Corrupt party</v>
      </c>
      <c r="L562">
        <f>VLOOKUP($F562, codebooks_data_reordered!$A:$I, 7, FALSE)</f>
        <v>0</v>
      </c>
      <c r="M562" t="str">
        <f>VLOOKUP($F562, codebooks_data_reordered!$A:$I, 9, FALSE)</f>
        <v>1: Suits Labor party; 2: Suits Likud party; 3: Both parties; 4: Neither</v>
      </c>
      <c r="O562" s="2" t="str">
        <f t="shared" si="8"/>
        <v>1: Suits Labor party
 2: Suits Likud party
 3: Both parties
 4: Neither</v>
      </c>
    </row>
    <row r="563" spans="1:15" ht="28.8" hidden="1" x14ac:dyDescent="0.3">
      <c r="A563" t="s">
        <v>6913</v>
      </c>
      <c r="B563" t="s">
        <v>7153</v>
      </c>
      <c r="C563" s="2" t="s">
        <v>7139</v>
      </c>
      <c r="D563" t="s">
        <v>6225</v>
      </c>
      <c r="E563" s="2" t="s">
        <v>7140</v>
      </c>
      <c r="F563" t="s">
        <v>1927</v>
      </c>
      <c r="G563" t="str">
        <f>VLOOKUP($F563, codebooks_data_reordered!$A:$I, 2, FALSE)</f>
        <v>1999_1</v>
      </c>
      <c r="H563" t="str">
        <f>VLOOKUP($F563, codebooks_data_reordered!$A:$I, 3, FALSE)</f>
        <v>MORE ATTITUDES TOWARD PARTIES AND CANDIDATES</v>
      </c>
      <c r="I563" t="str">
        <f>VLOOKUP($F563, codebooks_data_reordered!$A:$I, 4, FALSE)</f>
        <v>1</v>
      </c>
      <c r="J563" t="str">
        <f>VLOOKUP($F563, codebooks_data_reordered!$A:$I, 5, FALSE)</f>
        <v>80</v>
      </c>
      <c r="K563" t="str">
        <f>VLOOKUP($F563, codebooks_data_reordered!$A:$I, 6, FALSE)</f>
        <v>Identification with Binyamin Netanyahu's socio-economic policy</v>
      </c>
      <c r="L563" t="str">
        <f>VLOOKUP($F563, codebooks_data_reordered!$A:$I, 7, FALSE)</f>
        <v>Identification with candidate on 1-10 scale: 1=Strong rejection, 10=Strong support</v>
      </c>
      <c r="M563" t="str">
        <f>VLOOKUP($F563, codebooks_data_reordered!$A:$I, 9, FALSE)</f>
        <v>1: Strong rejection; 10: Strong support</v>
      </c>
      <c r="O563" s="2" t="str">
        <f t="shared" si="8"/>
        <v>1: Strong rejection
 10: Strong support</v>
      </c>
    </row>
    <row r="564" spans="1:15" ht="72" hidden="1" x14ac:dyDescent="0.3">
      <c r="A564" t="s">
        <v>6913</v>
      </c>
      <c r="B564" t="s">
        <v>7154</v>
      </c>
      <c r="C564" s="2" t="s">
        <v>7155</v>
      </c>
      <c r="D564" t="s">
        <v>5843</v>
      </c>
      <c r="E564" s="2" t="s">
        <v>7156</v>
      </c>
      <c r="F564" t="s">
        <v>2826</v>
      </c>
      <c r="G564" t="str">
        <f>VLOOKUP($F564, codebooks_data_reordered!$A:$I, 2, FALSE)</f>
        <v>1992</v>
      </c>
      <c r="H564">
        <f>VLOOKUP($F564, codebooks_data_reordered!$A:$I, 3, FALSE)</f>
        <v>0</v>
      </c>
      <c r="I564" t="str">
        <f>VLOOKUP($F564, codebooks_data_reordered!$A:$I, 4, FALSE)</f>
        <v>1</v>
      </c>
      <c r="J564" t="str">
        <f>VLOOKUP($F564, codebooks_data_reordered!$A:$I, 5, FALSE)</f>
        <v>108</v>
      </c>
      <c r="K564" t="str">
        <f>VLOOKUP($F564, codebooks_data_reordered!$A:$I, 6, FALSE)</f>
        <v>Shimon Peres</v>
      </c>
      <c r="L564">
        <f>VLOOKUP($F564, codebooks_data_reordered!$A:$I, 7, FALSE)</f>
        <v>0</v>
      </c>
      <c r="M564" t="str">
        <f>VLOOKUP($F564, codebooks_data_reordered!$A:$I, 9, FALSE)</f>
        <v>1: Strong aversion (hate); 10: Strong affection (love)</v>
      </c>
      <c r="O564" s="2" t="str">
        <f t="shared" si="8"/>
        <v>1: Strong aversion (hate)
 10: Strong affection (love)</v>
      </c>
    </row>
    <row r="565" spans="1:15" ht="57.6" hidden="1" x14ac:dyDescent="0.3">
      <c r="A565" t="s">
        <v>6913</v>
      </c>
      <c r="B565" t="s">
        <v>7157</v>
      </c>
      <c r="C565" s="2" t="s">
        <v>7158</v>
      </c>
      <c r="D565" t="s">
        <v>5843</v>
      </c>
      <c r="E565" s="2" t="s">
        <v>7159</v>
      </c>
      <c r="F565" t="s">
        <v>2828</v>
      </c>
      <c r="G565" t="str">
        <f>VLOOKUP($F565, codebooks_data_reordered!$A:$I, 2, FALSE)</f>
        <v>1992</v>
      </c>
      <c r="H565">
        <f>VLOOKUP($F565, codebooks_data_reordered!$A:$I, 3, FALSE)</f>
        <v>0</v>
      </c>
      <c r="I565" t="str">
        <f>VLOOKUP($F565, codebooks_data_reordered!$A:$I, 4, FALSE)</f>
        <v>1</v>
      </c>
      <c r="J565" t="str">
        <f>VLOOKUP($F565, codebooks_data_reordered!$A:$I, 5, FALSE)</f>
        <v>109</v>
      </c>
      <c r="K565" t="str">
        <f>VLOOKUP($F565, codebooks_data_reordered!$A:$I, 6, FALSE)</f>
        <v>Arabs</v>
      </c>
      <c r="L565">
        <f>VLOOKUP($F565, codebooks_data_reordered!$A:$I, 7, FALSE)</f>
        <v>0</v>
      </c>
      <c r="M565" t="str">
        <f>VLOOKUP($F565, codebooks_data_reordered!$A:$I, 9, FALSE)</f>
        <v>1: Strong aversion (hate); 10: Strong affection (love)</v>
      </c>
      <c r="O565" s="2" t="str">
        <f t="shared" si="8"/>
        <v>1: Strong aversion (hate)
 10: Strong affection (love)</v>
      </c>
    </row>
    <row r="566" spans="1:15" ht="57.6" hidden="1" x14ac:dyDescent="0.3">
      <c r="A566" t="s">
        <v>6913</v>
      </c>
      <c r="B566" t="s">
        <v>7160</v>
      </c>
      <c r="C566" s="2" t="s">
        <v>7161</v>
      </c>
      <c r="D566" t="s">
        <v>5843</v>
      </c>
      <c r="E566" s="2" t="s">
        <v>7162</v>
      </c>
      <c r="F566" t="s">
        <v>2830</v>
      </c>
      <c r="G566" t="str">
        <f>VLOOKUP($F566, codebooks_data_reordered!$A:$I, 2, FALSE)</f>
        <v>1992</v>
      </c>
      <c r="H566">
        <f>VLOOKUP($F566, codebooks_data_reordered!$A:$I, 3, FALSE)</f>
        <v>0</v>
      </c>
      <c r="I566" t="str">
        <f>VLOOKUP($F566, codebooks_data_reordered!$A:$I, 4, FALSE)</f>
        <v>1</v>
      </c>
      <c r="J566" t="str">
        <f>VLOOKUP($F566, codebooks_data_reordered!$A:$I, 5, FALSE)</f>
        <v>110</v>
      </c>
      <c r="K566" t="str">
        <f>VLOOKUP($F566, codebooks_data_reordered!$A:$I, 6, FALSE)</f>
        <v>Religious people</v>
      </c>
      <c r="L566">
        <f>VLOOKUP($F566, codebooks_data_reordered!$A:$I, 7, FALSE)</f>
        <v>0</v>
      </c>
      <c r="M566" t="str">
        <f>VLOOKUP($F566, codebooks_data_reordered!$A:$I, 9, FALSE)</f>
        <v>1: Strong aversion (hate); 10: Strong affection (love)</v>
      </c>
      <c r="O566" s="2" t="str">
        <f t="shared" si="8"/>
        <v>1: Strong aversion (hate)
 10: Strong affection (love)</v>
      </c>
    </row>
    <row r="567" spans="1:15" ht="28.8" hidden="1" x14ac:dyDescent="0.3">
      <c r="A567" t="s">
        <v>6913</v>
      </c>
      <c r="B567" t="s">
        <v>7163</v>
      </c>
      <c r="C567" s="2" t="s">
        <v>7139</v>
      </c>
      <c r="D567" t="s">
        <v>6225</v>
      </c>
      <c r="E567" s="2" t="s">
        <v>7140</v>
      </c>
      <c r="F567" t="s">
        <v>3059</v>
      </c>
      <c r="G567" t="str">
        <f>VLOOKUP($F567, codebooks_data_reordered!$A:$I, 2, FALSE)</f>
        <v>1988_Panel_N=416</v>
      </c>
      <c r="H567" t="str">
        <f>VLOOKUP($F567, codebooks_data_reordered!$A:$I, 3, FALSE)</f>
        <v>ISRAEL'S CAPABILITY OF COPING WITH VARIOUS SITUATIONS</v>
      </c>
      <c r="I567" t="str">
        <f>VLOOKUP($F567, codebooks_data_reordered!$A:$I, 4, FALSE)</f>
        <v>1</v>
      </c>
      <c r="J567" t="str">
        <f>VLOOKUP($F567, codebooks_data_reordered!$A:$I, 5, FALSE)</f>
        <v>84</v>
      </c>
      <c r="K567" t="str">
        <f>VLOOKUP($F567, codebooks_data_reordered!$A:$I, 6, FALSE)</f>
        <v>Israel's capability of territories Arabs' uprising</v>
      </c>
      <c r="L567">
        <f>VLOOKUP($F567, codebooks_data_reordered!$A:$I, 7, FALSE)</f>
        <v>0</v>
      </c>
      <c r="M567" t="str">
        <f>VLOOKUP($F567, codebooks_data_reordered!$A:$I, 9, FALSE)</f>
        <v>1: Capable; 2: Incapable</v>
      </c>
      <c r="O567" s="2" t="str">
        <f t="shared" si="8"/>
        <v>1: Capable
 2: Incapable</v>
      </c>
    </row>
    <row r="568" spans="1:15" ht="201.6" hidden="1" x14ac:dyDescent="0.3">
      <c r="A568" t="s">
        <v>6913</v>
      </c>
      <c r="B568" t="s">
        <v>7164</v>
      </c>
      <c r="C568" s="2" t="s">
        <v>7165</v>
      </c>
      <c r="D568" t="s">
        <v>5843</v>
      </c>
      <c r="E568" s="2" t="s">
        <v>7166</v>
      </c>
      <c r="F568" t="s">
        <v>3668</v>
      </c>
      <c r="G568" t="str">
        <f>VLOOKUP($F568, codebooks_data_reordered!$A:$I, 2, FALSE)</f>
        <v>1988_N=873</v>
      </c>
      <c r="H568" t="str">
        <f>VLOOKUP($F568, codebooks_data_reordered!$A:$I, 3, FALSE)</f>
        <v>ISRAEL'S CAPABILITY OF COPING WITH VARIOUS SITUATIONS</v>
      </c>
      <c r="I568" t="str">
        <f>VLOOKUP($F568, codebooks_data_reordered!$A:$I, 4, FALSE)</f>
        <v>1</v>
      </c>
      <c r="J568" t="str">
        <f>VLOOKUP($F568, codebooks_data_reordered!$A:$I, 5, FALSE)</f>
        <v>32</v>
      </c>
      <c r="K568" t="str">
        <f>VLOOKUP($F568, codebooks_data_reordered!$A:$I, 6, FALSE)</f>
        <v>Uprising of Arabs from occupied territories</v>
      </c>
      <c r="L568">
        <f>VLOOKUP($F568, codebooks_data_reordered!$A:$I, 7, FALSE)</f>
        <v>0</v>
      </c>
      <c r="M568" t="str">
        <f>VLOOKUP($F568, codebooks_data_reordered!$A:$I, 9, FALSE)</f>
        <v>1: Capable; 2: Incapable</v>
      </c>
      <c r="O568" s="2" t="str">
        <f t="shared" si="8"/>
        <v>1: Capable
 2: Incapable</v>
      </c>
    </row>
    <row r="569" spans="1:15" ht="172.8" hidden="1" x14ac:dyDescent="0.3">
      <c r="A569" t="s">
        <v>6913</v>
      </c>
      <c r="B569" t="s">
        <v>7167</v>
      </c>
      <c r="C569" s="2" t="s">
        <v>7168</v>
      </c>
      <c r="D569" t="s">
        <v>5843</v>
      </c>
      <c r="E569" s="2" t="s">
        <v>7169</v>
      </c>
      <c r="F569" t="s">
        <v>3669</v>
      </c>
      <c r="G569" t="str">
        <f>VLOOKUP($F569, codebooks_data_reordered!$A:$I, 2, FALSE)</f>
        <v>1988_N=873</v>
      </c>
      <c r="H569" t="str">
        <f>VLOOKUP($F569, codebooks_data_reordered!$A:$I, 3, FALSE)</f>
        <v>ISRAEL'S CAPABILITY OF COPING WITH VARIOUS SITUATIONS</v>
      </c>
      <c r="I569" t="str">
        <f>VLOOKUP($F569, codebooks_data_reordered!$A:$I, 4, FALSE)</f>
        <v>1</v>
      </c>
      <c r="J569" t="str">
        <f>VLOOKUP($F569, codebooks_data_reordered!$A:$I, 5, FALSE)</f>
        <v>33</v>
      </c>
      <c r="K569" t="str">
        <f>VLOOKUP($F569, codebooks_data_reordered!$A:$I, 6, FALSE)</f>
        <v>Massive Soviet assistance to Arab countries in war against us</v>
      </c>
      <c r="L569">
        <f>VLOOKUP($F569, codebooks_data_reordered!$A:$I, 7, FALSE)</f>
        <v>0</v>
      </c>
      <c r="M569" t="str">
        <f>VLOOKUP($F569, codebooks_data_reordered!$A:$I, 9, FALSE)</f>
        <v>1: Capable; 2: Incapable</v>
      </c>
      <c r="O569" s="2" t="str">
        <f t="shared" si="8"/>
        <v>1: Capable
 2: Incapable</v>
      </c>
    </row>
    <row r="570" spans="1:15" ht="158.4" hidden="1" x14ac:dyDescent="0.3">
      <c r="A570" t="s">
        <v>6913</v>
      </c>
      <c r="B570" t="s">
        <v>7170</v>
      </c>
      <c r="C570" s="2" t="s">
        <v>7171</v>
      </c>
      <c r="D570" t="s">
        <v>5843</v>
      </c>
      <c r="E570" s="2" t="s">
        <v>7172</v>
      </c>
      <c r="F570" t="s">
        <v>3671</v>
      </c>
      <c r="G570" t="str">
        <f>VLOOKUP($F570, codebooks_data_reordered!$A:$I, 2, FALSE)</f>
        <v>1988_N=873</v>
      </c>
      <c r="H570" t="str">
        <f>VLOOKUP($F570, codebooks_data_reordered!$A:$I, 3, FALSE)</f>
        <v>ISRAEL'S CAPABILITY OF COPING WITH VARIOUS SITUATIONS</v>
      </c>
      <c r="I570" t="str">
        <f>VLOOKUP($F570, codebooks_data_reordered!$A:$I, 4, FALSE)</f>
        <v>1</v>
      </c>
      <c r="J570" t="str">
        <f>VLOOKUP($F570, codebooks_data_reordered!$A:$I, 5, FALSE)</f>
        <v>34</v>
      </c>
      <c r="K570" t="str">
        <f>VLOOKUP($F570, codebooks_data_reordered!$A:$I, 6, FALSE)</f>
        <v>Estimate of Arabs' ultimate goal</v>
      </c>
      <c r="L570">
        <f>VLOOKUP($F570, codebooks_data_reordered!$A:$I, 7, FALSE)</f>
        <v>0</v>
      </c>
      <c r="M570" t="str">
        <f>VLOOKUP($F570, codebooks_data_reordered!$A:$I, 9, FALSE)</f>
        <v>1: Partial return of territories; 2: Full return of territories; 3: Total takeover of Israel; 4: Total takeover of Israel and termination of major part of Je</v>
      </c>
      <c r="O570" s="2" t="str">
        <f t="shared" si="8"/>
        <v>1: Partial return of territories
 2: Full return of territories
 3: Total takeover of Israel
 4: Total takeover of Israel and termination of major part of Je</v>
      </c>
    </row>
    <row r="571" spans="1:15" ht="230.4" hidden="1" x14ac:dyDescent="0.3">
      <c r="A571" t="s">
        <v>7173</v>
      </c>
      <c r="B571" t="s">
        <v>6206</v>
      </c>
      <c r="C571" s="2" t="s">
        <v>7174</v>
      </c>
      <c r="D571" t="s">
        <v>5843</v>
      </c>
      <c r="E571" s="2" t="s">
        <v>7175</v>
      </c>
      <c r="F571" t="s">
        <v>1901</v>
      </c>
      <c r="G571" t="str">
        <f>VLOOKUP($F571, codebooks_data_reordered!$A:$I, 2, FALSE)</f>
        <v>1999_1</v>
      </c>
      <c r="H571" t="str">
        <f>VLOOKUP($F571, codebooks_data_reordered!$A:$I, 3, FALSE)</f>
        <v>MORE ATTITUDES TOWARD PARTIES AND CANDIDATES</v>
      </c>
      <c r="I571" t="str">
        <f>VLOOKUP($F571, codebooks_data_reordered!$A:$I, 4, FALSE)</f>
        <v>1</v>
      </c>
      <c r="J571" t="str">
        <f>VLOOKUP($F571, codebooks_data_reordered!$A:$I, 5, FALSE)</f>
        <v>68</v>
      </c>
      <c r="K571" t="str">
        <f>VLOOKUP($F571, codebooks_data_reordered!$A:$I, 6, FALSE)</f>
        <v>Effect of Jerusalem issue's effect on vote for PM</v>
      </c>
      <c r="L571">
        <f>VLOOKUP($F571, codebooks_data_reordered!$A:$I, 7, FALSE)</f>
        <v>0</v>
      </c>
      <c r="M571" t="str">
        <f>VLOOKUP($F571, codebooks_data_reordered!$A:$I, 9, FALSE)</f>
        <v>1: Not at all; 2: A small effect; 3: Some effect; 4: A great effect</v>
      </c>
      <c r="O571" s="2" t="str">
        <f t="shared" si="8"/>
        <v>1: Not at all
 2: A small effect
 3: Some effect
 4: A great effect</v>
      </c>
    </row>
    <row r="572" spans="1:15" ht="201.6" hidden="1" x14ac:dyDescent="0.3">
      <c r="A572" t="s">
        <v>7173</v>
      </c>
      <c r="B572" t="s">
        <v>6914</v>
      </c>
      <c r="C572" s="2" t="s">
        <v>7176</v>
      </c>
      <c r="D572" t="s">
        <v>5843</v>
      </c>
      <c r="E572" s="2" t="s">
        <v>7177</v>
      </c>
      <c r="F572" t="s">
        <v>3047</v>
      </c>
      <c r="G572" t="str">
        <f>VLOOKUP($F572, codebooks_data_reordered!$A:$I, 2, FALSE)</f>
        <v>1988_Panel_N=416</v>
      </c>
      <c r="H572" t="str">
        <f>VLOOKUP($F572, codebooks_data_reordered!$A:$I, 3, FALSE)</f>
        <v>THE EXTENT OF APPROVAL OF THE FOLLOWING SAYINGS</v>
      </c>
      <c r="I572" t="str">
        <f>VLOOKUP($F572, codebooks_data_reordered!$A:$I, 4, FALSE)</f>
        <v>1</v>
      </c>
      <c r="J572" t="str">
        <f>VLOOKUP($F572, codebooks_data_reordered!$A:$I, 5, FALSE)</f>
        <v>78</v>
      </c>
      <c r="K572" t="str">
        <f>VLOOKUP($F572, codebooks_data_reordered!$A:$I, 6, FALSE)</f>
        <v>To what extent do you believe in our exisence in Israel in the long run</v>
      </c>
      <c r="L572">
        <f>VLOOKUP($F572, codebooks_data_reordered!$A:$I, 7, FALSE)</f>
        <v>0</v>
      </c>
      <c r="M572" t="str">
        <f>VLOOKUP($F572, codebooks_data_reordered!$A:$I, 9, FALSE)</f>
        <v>1: Definitely agrees; 2: Agrees; 3: Objects; 4: Definitely objects</v>
      </c>
      <c r="O572" s="2" t="str">
        <f t="shared" si="8"/>
        <v>1: Definitely agrees
 2: Agrees
 3: Objects
 4: Definitely objects</v>
      </c>
    </row>
    <row r="573" spans="1:15" ht="172.8" hidden="1" x14ac:dyDescent="0.3">
      <c r="A573" t="s">
        <v>7173</v>
      </c>
      <c r="B573" t="s">
        <v>7178</v>
      </c>
      <c r="C573" s="2" t="s">
        <v>7179</v>
      </c>
      <c r="D573" t="s">
        <v>5843</v>
      </c>
      <c r="E573" s="2" t="s">
        <v>7180</v>
      </c>
      <c r="F573" t="s">
        <v>1838</v>
      </c>
      <c r="G573" t="str">
        <f>VLOOKUP($F573, codebooks_data_reordered!$A:$I, 2, FALSE)</f>
        <v>1999_1</v>
      </c>
      <c r="H573" t="str">
        <f>VLOOKUP($F573, codebooks_data_reordered!$A:$I, 3, FALSE)</f>
        <v>VALUES AND TRUST</v>
      </c>
      <c r="I573" t="str">
        <f>VLOOKUP($F573, codebooks_data_reordered!$A:$I, 4, FALSE)</f>
        <v>1</v>
      </c>
      <c r="J573" t="str">
        <f>VLOOKUP($F573, codebooks_data_reordered!$A:$I, 5, FALSE)</f>
        <v>43</v>
      </c>
      <c r="K573" t="str">
        <f>VLOOKUP($F573, codebooks_data_reordered!$A:$I, 6, FALSE)</f>
        <v>Greater Israel as a significant value</v>
      </c>
      <c r="L573">
        <f>VLOOKUP($F573, codebooks_data_reordered!$A:$I, 7, FALSE)</f>
        <v>0</v>
      </c>
      <c r="M573" t="str">
        <f>VLOOKUP($F573, codebooks_data_reordered!$A:$I, 9, FALSE)</f>
        <v>1: Most important value; 2: Second value; 3: Third value; 4: Fourth value</v>
      </c>
      <c r="O573" s="2" t="str">
        <f t="shared" si="8"/>
        <v>1: Most important value
 2: Second value
 3: Third value
 4: Fourth value</v>
      </c>
    </row>
    <row r="574" spans="1:15" ht="288" hidden="1" x14ac:dyDescent="0.3">
      <c r="A574" t="s">
        <v>7173</v>
      </c>
      <c r="B574" t="s">
        <v>7181</v>
      </c>
      <c r="C574" s="2" t="s">
        <v>7182</v>
      </c>
      <c r="D574" t="s">
        <v>5843</v>
      </c>
      <c r="E574" s="2" t="s">
        <v>7183</v>
      </c>
      <c r="F574" t="s">
        <v>4654</v>
      </c>
      <c r="G574" t="str">
        <f>VLOOKUP($F574, codebooks_data_reordered!$A:$I, 2, FALSE)</f>
        <v>1977_4</v>
      </c>
      <c r="H574">
        <f>VLOOKUP($F574, codebooks_data_reordered!$A:$I, 3, FALSE)</f>
        <v>0</v>
      </c>
      <c r="I574" t="str">
        <f>VLOOKUP($F574, codebooks_data_reordered!$A:$I, 4, FALSE)</f>
        <v>1</v>
      </c>
      <c r="J574" t="str">
        <f>VLOOKUP($F574, codebooks_data_reordered!$A:$I, 5, FALSE)</f>
        <v>1-4</v>
      </c>
      <c r="K574" t="str">
        <f>VLOOKUP($F574, codebooks_data_reordered!$A:$I, 6, FALSE)</f>
        <v>Identity number</v>
      </c>
      <c r="L574">
        <f>VLOOKUP($F574, codebooks_data_reordered!$A:$I, 7, FALSE)</f>
        <v>0</v>
      </c>
      <c r="M574">
        <f>VLOOKUP($F574, codebooks_data_reordered!$A:$I, 9, FALSE)</f>
        <v>0</v>
      </c>
      <c r="O574" s="2" t="str">
        <f t="shared" si="8"/>
        <v>0</v>
      </c>
    </row>
    <row r="575" spans="1:15" ht="187.2" hidden="1" x14ac:dyDescent="0.3">
      <c r="A575" t="s">
        <v>7173</v>
      </c>
      <c r="B575" t="s">
        <v>6512</v>
      </c>
      <c r="C575" s="2" t="s">
        <v>7184</v>
      </c>
      <c r="D575" t="s">
        <v>5843</v>
      </c>
      <c r="E575" s="2" t="s">
        <v>7185</v>
      </c>
      <c r="F575" t="s">
        <v>1836</v>
      </c>
      <c r="G575" t="str">
        <f>VLOOKUP($F575, codebooks_data_reordered!$A:$I, 2, FALSE)</f>
        <v>1999_1</v>
      </c>
      <c r="H575" t="str">
        <f>VLOOKUP($F575, codebooks_data_reordered!$A:$I, 3, FALSE)</f>
        <v>VALUES AND TRUST</v>
      </c>
      <c r="I575" t="str">
        <f>VLOOKUP($F575, codebooks_data_reordered!$A:$I, 4, FALSE)</f>
        <v>1</v>
      </c>
      <c r="J575" t="str">
        <f>VLOOKUP($F575, codebooks_data_reordered!$A:$I, 5, FALSE)</f>
        <v>42</v>
      </c>
      <c r="K575" t="str">
        <f>VLOOKUP($F575, codebooks_data_reordered!$A:$I, 6, FALSE)</f>
        <v>Jewish majority in Israel as a significant value</v>
      </c>
      <c r="L575">
        <f>VLOOKUP($F575, codebooks_data_reordered!$A:$I, 7, FALSE)</f>
        <v>0</v>
      </c>
      <c r="M575" t="str">
        <f>VLOOKUP($F575, codebooks_data_reordered!$A:$I, 9, FALSE)</f>
        <v>1: Most important value; 2: Second value; 3: Third value; 4: Fourth value</v>
      </c>
      <c r="O575" s="2" t="str">
        <f t="shared" si="8"/>
        <v>1: Most important value
 2: Second value
 3: Third value
 4: Fourth value</v>
      </c>
    </row>
    <row r="576" spans="1:15" ht="57.6" hidden="1" x14ac:dyDescent="0.3">
      <c r="A576" t="s">
        <v>7173</v>
      </c>
      <c r="B576" t="s">
        <v>7186</v>
      </c>
      <c r="C576" s="2" t="s">
        <v>5895</v>
      </c>
      <c r="D576" t="s">
        <v>5896</v>
      </c>
      <c r="E576" s="2" t="s">
        <v>5897</v>
      </c>
      <c r="F576" t="s">
        <v>3647</v>
      </c>
      <c r="G576" t="str">
        <f>VLOOKUP($F576, codebooks_data_reordered!$A:$I, 2, FALSE)</f>
        <v>1988_N=873</v>
      </c>
      <c r="H576" t="str">
        <f>VLOOKUP($F576, codebooks_data_reordered!$A:$I, 3, FALSE)</f>
        <v>NATIONAL SECURITY SCALE</v>
      </c>
      <c r="I576" t="str">
        <f>VLOOKUP($F576, codebooks_data_reordered!$A:$I, 4, FALSE)</f>
        <v>1</v>
      </c>
      <c r="J576" t="str">
        <f>VLOOKUP($F576, codebooks_data_reordered!$A:$I, 5, FALSE)</f>
        <v>11</v>
      </c>
      <c r="K576" t="str">
        <f>VLOOKUP($F576, codebooks_data_reordered!$A:$I, 6, FALSE)</f>
        <v>Which of the 2 solutions should Israel adopt if necessary</v>
      </c>
      <c r="L576">
        <f>VLOOKUP($F576, codebooks_data_reordered!$A:$I, 7, FALSE)</f>
        <v>0</v>
      </c>
      <c r="M576" t="str">
        <f>VLOOKUP($F576, codebooks_data_reordered!$A:$I, 9, FALSE)</f>
        <v>1: Return most of Judea,Samaria and Gaza; 2: Annexation of Judea,Samaria and Gaza</v>
      </c>
      <c r="O576" s="2" t="str">
        <f t="shared" si="8"/>
        <v>1: Return most of Judea,Samaria and Gaza
 2: Annexation of Judea,Samaria and Gaza</v>
      </c>
    </row>
    <row r="577" spans="1:15" ht="230.4" hidden="1" x14ac:dyDescent="0.3">
      <c r="A577" t="s">
        <v>7173</v>
      </c>
      <c r="B577" t="s">
        <v>5841</v>
      </c>
      <c r="C577" s="2" t="s">
        <v>7187</v>
      </c>
      <c r="D577" t="s">
        <v>5843</v>
      </c>
      <c r="E577" s="2" t="s">
        <v>7188</v>
      </c>
      <c r="F577" t="s">
        <v>237</v>
      </c>
      <c r="G577" t="str">
        <f>VLOOKUP($F577, codebooks_data_reordered!$A:$I, 2, FALSE)</f>
        <v>2006</v>
      </c>
      <c r="H577" t="str">
        <f>VLOOKUP($F577, codebooks_data_reordered!$A:$I, 3, FALSE)</f>
        <v>Personal Status</v>
      </c>
      <c r="I577" t="str">
        <f>VLOOKUP($F577, codebooks_data_reordered!$A:$I, 4, FALSE)</f>
        <v>1</v>
      </c>
      <c r="J577" t="str">
        <f>VLOOKUP($F577, codebooks_data_reordered!$A:$I, 5, FALSE)</f>
        <v>60</v>
      </c>
      <c r="K577" t="str">
        <f>VLOOKUP($F577, codebooks_data_reordered!$A:$I, 6, FALSE)</f>
        <v>Your personal status 5 years ago</v>
      </c>
      <c r="L577" t="str">
        <f>VLOOKUP($F577, codebooks_data_reordered!$A:$I, 7, FALSE)</f>
        <v>Here you have a 9 stages scale describing different situations a person can be on. The top of the ladder is 9 and that is the best possible situation that you can think of and 1 is the worst. On which rank would you place yourself?</v>
      </c>
      <c r="M577" t="str">
        <f>VLOOKUP($F577, codebooks_data_reordered!$A:$I, 9, FALSE)</f>
        <v>1: Worst; 9: Best</v>
      </c>
      <c r="O577" s="2" t="str">
        <f t="shared" si="8"/>
        <v>1: Worst
 9: Best</v>
      </c>
    </row>
    <row r="578" spans="1:15" ht="187.2" hidden="1" x14ac:dyDescent="0.3">
      <c r="A578" t="s">
        <v>7173</v>
      </c>
      <c r="B578" t="s">
        <v>7189</v>
      </c>
      <c r="C578" s="2" t="s">
        <v>7190</v>
      </c>
      <c r="D578" t="s">
        <v>5843</v>
      </c>
      <c r="E578" s="2" t="s">
        <v>7191</v>
      </c>
      <c r="F578" t="s">
        <v>792</v>
      </c>
      <c r="G578" t="str">
        <f>VLOOKUP($F578, codebooks_data_reordered!$A:$I, 2, FALSE)</f>
        <v>2006</v>
      </c>
      <c r="H578" t="str">
        <f>VLOOKUP($F578, codebooks_data_reordered!$A:$I, 3, FALSE)</f>
        <v>Rersonal and Household Details</v>
      </c>
      <c r="I578" t="str">
        <f>VLOOKUP($F578, codebooks_data_reordered!$A:$I, 4, FALSE)</f>
        <v>1</v>
      </c>
      <c r="J578" t="str">
        <f>VLOOKUP($F578, codebooks_data_reordered!$A:$I, 5, FALSE)</f>
        <v>283-285</v>
      </c>
      <c r="K578" t="str">
        <f>VLOOKUP($F578, codebooks_data_reordered!$A:$I, 6, FALSE)</f>
        <v>Father's country of birth (not for Arabs)</v>
      </c>
      <c r="L578" t="str">
        <f>VLOOKUP($F578, codebooks_data_reordered!$A:$I, 7, FALSE)</f>
        <v>69. (not for Arabs): where was your father born? (write the name of the state): if in the USSR, write the name of the republic)</v>
      </c>
      <c r="M578">
        <f>VLOOKUP($F578, codebooks_data_reordered!$A:$I, 9, FALSE)</f>
        <v>0</v>
      </c>
      <c r="O578" s="2" t="str">
        <f t="shared" ref="O578:O641" si="9">SUBSTITUTE(M578, ";", CHAR(10))</f>
        <v>0</v>
      </c>
    </row>
    <row r="579" spans="1:15" ht="230.4" hidden="1" x14ac:dyDescent="0.3">
      <c r="A579" t="s">
        <v>7173</v>
      </c>
      <c r="B579" t="s">
        <v>7192</v>
      </c>
      <c r="C579" s="2" t="s">
        <v>7193</v>
      </c>
      <c r="D579" t="s">
        <v>5843</v>
      </c>
      <c r="E579" s="2" t="s">
        <v>7194</v>
      </c>
      <c r="F579" t="s">
        <v>500</v>
      </c>
      <c r="G579" t="str">
        <f>VLOOKUP($F579, codebooks_data_reordered!$A:$I, 2, FALSE)</f>
        <v>2006</v>
      </c>
      <c r="H579" t="str">
        <f>VLOOKUP($F579, codebooks_data_reordered!$A:$I, 3, FALSE)</f>
        <v>Most/Less Suitable Characteristic of the Party</v>
      </c>
      <c r="I579" t="str">
        <f>VLOOKUP($F579, codebooks_data_reordered!$A:$I, 4, FALSE)</f>
        <v>1</v>
      </c>
      <c r="J579" t="str">
        <f>VLOOKUP($F579, codebooks_data_reordered!$A:$I, 5, FALSE)</f>
        <v>160</v>
      </c>
      <c r="K579" t="str">
        <f>VLOOKUP($F579, codebooks_data_reordered!$A:$I, 6, FALSE)</f>
        <v>Least suitable characteristic of the party: Will decrease social gaps</v>
      </c>
      <c r="L579" t="str">
        <f>VLOOKUP($F579,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579" t="str">
        <f>VLOOKUP($F579, codebooks_data_reordered!$A:$I, 9, FALSE)</f>
        <v>1: Least suitable Kadima; 2: Least suitable Likud; 3: Least suitable Avoda; 4: Suits all the same; 5: Doesn't suit any of them</v>
      </c>
      <c r="O579" s="2" t="str">
        <f t="shared" si="9"/>
        <v>1: Least suitable Kadima
 2: Least suitable Likud
 3: Least suitable Avoda
 4: Suits all the same
 5: Doesn't suit any of them</v>
      </c>
    </row>
    <row r="580" spans="1:15" ht="158.4" hidden="1" x14ac:dyDescent="0.3">
      <c r="A580" t="s">
        <v>7173</v>
      </c>
      <c r="B580" t="s">
        <v>6630</v>
      </c>
      <c r="C580" s="2" t="s">
        <v>7195</v>
      </c>
      <c r="D580" t="s">
        <v>5843</v>
      </c>
      <c r="E580" s="2" t="s">
        <v>7196</v>
      </c>
      <c r="F580" t="s">
        <v>1903</v>
      </c>
      <c r="G580" t="str">
        <f>VLOOKUP($F580, codebooks_data_reordered!$A:$I, 2, FALSE)</f>
        <v>1999_1</v>
      </c>
      <c r="H580" t="str">
        <f>VLOOKUP($F580, codebooks_data_reordered!$A:$I, 3, FALSE)</f>
        <v>MORE ATTITUDES TOWARD PARTIES AND CANDIDATES</v>
      </c>
      <c r="I580" t="str">
        <f>VLOOKUP($F580, codebooks_data_reordered!$A:$I, 4, FALSE)</f>
        <v>1</v>
      </c>
      <c r="J580" t="str">
        <f>VLOOKUP($F580, codebooks_data_reordered!$A:$I, 5, FALSE)</f>
        <v>69</v>
      </c>
      <c r="K580" t="str">
        <f>VLOOKUP($F580, codebooks_data_reordered!$A:$I, 6, FALSE)</f>
        <v>Effect of economy issue's effect on vote for PM</v>
      </c>
      <c r="L580">
        <f>VLOOKUP($F580, codebooks_data_reordered!$A:$I, 7, FALSE)</f>
        <v>0</v>
      </c>
      <c r="M580" t="str">
        <f>VLOOKUP($F580, codebooks_data_reordered!$A:$I, 9, FALSE)</f>
        <v>1: Not at all; 2: A small effect; 3: Some effect; 4: A great effect</v>
      </c>
      <c r="O580" s="2" t="str">
        <f t="shared" si="9"/>
        <v>1: Not at all
 2: A small effect
 3: Some effect
 4: A great effect</v>
      </c>
    </row>
    <row r="581" spans="1:15" ht="129.6" hidden="1" x14ac:dyDescent="0.3">
      <c r="A581" t="s">
        <v>7173</v>
      </c>
      <c r="B581" t="s">
        <v>7197</v>
      </c>
      <c r="C581" s="2" t="s">
        <v>7198</v>
      </c>
      <c r="D581" t="s">
        <v>5843</v>
      </c>
      <c r="E581" s="2" t="s">
        <v>7199</v>
      </c>
      <c r="F581" t="s">
        <v>759</v>
      </c>
      <c r="G581" t="str">
        <f>VLOOKUP($F581, codebooks_data_reordered!$A:$I, 2, FALSE)</f>
        <v>2006</v>
      </c>
      <c r="H581" t="str">
        <f>VLOOKUP($F581, codebooks_data_reordered!$A:$I, 3, FALSE)</f>
        <v>Rersonal and Household Details</v>
      </c>
      <c r="I581" t="str">
        <f>VLOOKUP($F581, codebooks_data_reordered!$A:$I, 4, FALSE)</f>
        <v>1</v>
      </c>
      <c r="J581" t="str">
        <f>VLOOKUP($F581, codebooks_data_reordered!$A:$I, 5, FALSE)</f>
        <v>272-273</v>
      </c>
      <c r="K581" t="str">
        <f>VLOOKUP($F581, codebooks_data_reordered!$A:$I, 6, FALSE)</f>
        <v>Country of birth</v>
      </c>
      <c r="L581" t="str">
        <f>VLOOKUP($F581, codebooks_data_reordered!$A:$I, 7, FALSE)</f>
        <v>57. (not for Arabs): Where were you born? (write a state) (if in the former USSR, write the name of the republic)</v>
      </c>
      <c r="M581">
        <f>VLOOKUP($F581, codebooks_data_reordered!$A:$I, 9, FALSE)</f>
        <v>0</v>
      </c>
      <c r="O581" s="2" t="str">
        <f t="shared" si="9"/>
        <v>0</v>
      </c>
    </row>
    <row r="582" spans="1:15" ht="158.4" hidden="1" x14ac:dyDescent="0.3">
      <c r="A582" t="s">
        <v>7173</v>
      </c>
      <c r="B582" t="s">
        <v>7200</v>
      </c>
      <c r="C582" s="2" t="s">
        <v>7201</v>
      </c>
      <c r="D582" t="s">
        <v>5843</v>
      </c>
      <c r="E582" s="2" t="s">
        <v>7202</v>
      </c>
      <c r="F582" t="s">
        <v>1889</v>
      </c>
      <c r="G582" t="str">
        <f>VLOOKUP($F582, codebooks_data_reordered!$A:$I, 2, FALSE)</f>
        <v>1999_1</v>
      </c>
      <c r="H582" t="str">
        <f>VLOOKUP($F582, codebooks_data_reordered!$A:$I, 3, FALSE)</f>
        <v>MORE ATTITUDES TOWARD PARTIES AND CANDIDATES</v>
      </c>
      <c r="I582" t="str">
        <f>VLOOKUP($F582, codebooks_data_reordered!$A:$I, 4, FALSE)</f>
        <v>1</v>
      </c>
      <c r="J582" t="str">
        <f>VLOOKUP($F582, codebooks_data_reordered!$A:$I, 5, FALSE)</f>
        <v>64</v>
      </c>
      <c r="K582" t="str">
        <f>VLOOKUP($F582, codebooks_data_reordered!$A:$I, 6, FALSE)</f>
        <v>Main factor affecting respondent's vote for a specific candidate</v>
      </c>
      <c r="L582">
        <f>VLOOKUP($F582, codebooks_data_reordered!$A:$I, 7, FALSE)</f>
        <v>0</v>
      </c>
      <c r="M582" t="str">
        <f>VLOOKUP($F582, codebooks_data_reordered!$A:$I, 9, FALSE)</f>
        <v>1: Candidate's qualities; 2: Identification with the candidate's party; 3: Identification with the candidate's side; 4: Candidate's positions about various issues; 5: Candidate being in government or in opposition</v>
      </c>
      <c r="O582" s="2" t="str">
        <f t="shared" si="9"/>
        <v>1: Candidate's qualities
 2: Identification with the candidate's party
 3: Identification with the candidate's side
 4: Candidate's positions about various issues
 5: Candidate being in government or in opposition</v>
      </c>
    </row>
    <row r="583" spans="1:15" ht="129.6" hidden="1" x14ac:dyDescent="0.3">
      <c r="A583" t="s">
        <v>7173</v>
      </c>
      <c r="B583" t="s">
        <v>6636</v>
      </c>
      <c r="C583" s="2" t="s">
        <v>7203</v>
      </c>
      <c r="D583" t="s">
        <v>5843</v>
      </c>
      <c r="E583" s="2" t="s">
        <v>7204</v>
      </c>
      <c r="F583" t="s">
        <v>1987</v>
      </c>
      <c r="G583" t="str">
        <f>VLOOKUP($F583, codebooks_data_reordered!$A:$I, 2, FALSE)</f>
        <v>1999_1</v>
      </c>
      <c r="H583" t="str">
        <f>VLOOKUP($F583, codebooks_data_reordered!$A:$I, 3, FALSE)</f>
        <v>POLITICAL SELF-DEFINITION</v>
      </c>
      <c r="I583" t="str">
        <f>VLOOKUP($F583, codebooks_data_reordered!$A:$I, 4, FALSE)</f>
        <v>2</v>
      </c>
      <c r="J583" t="str">
        <f>VLOOKUP($F583, codebooks_data_reordered!$A:$I, 5, FALSE)</f>
        <v>26</v>
      </c>
      <c r="K583" t="str">
        <f>VLOOKUP($F583, codebooks_data_reordered!$A:$I, 6, FALSE)</f>
        <v>Jerusalem issue's effect on vote for Knesset</v>
      </c>
      <c r="L583">
        <f>VLOOKUP($F583, codebooks_data_reordered!$A:$I, 7, FALSE)</f>
        <v>0</v>
      </c>
      <c r="M583" t="str">
        <f>VLOOKUP($F583, codebooks_data_reordered!$A:$I, 9, FALSE)</f>
        <v>1: Not at all; 2: A small effect; 3: Some effect; 4: A great effect</v>
      </c>
      <c r="O583" s="2" t="str">
        <f t="shared" si="9"/>
        <v>1: Not at all
 2: A small effect
 3: Some effect
 4: A great effect</v>
      </c>
    </row>
    <row r="584" spans="1:15" ht="129.6" hidden="1" x14ac:dyDescent="0.3">
      <c r="A584" t="s">
        <v>7173</v>
      </c>
      <c r="B584" t="s">
        <v>7205</v>
      </c>
      <c r="C584" s="2" t="s">
        <v>7206</v>
      </c>
      <c r="D584" t="s">
        <v>5843</v>
      </c>
      <c r="E584" s="2" t="s">
        <v>7207</v>
      </c>
      <c r="F584" t="s">
        <v>2343</v>
      </c>
      <c r="G584" t="str">
        <f>VLOOKUP($F584, codebooks_data_reordered!$A:$I, 2, FALSE)</f>
        <v>1996_Jews</v>
      </c>
      <c r="H584" t="str">
        <f>VLOOKUP($F584, codebooks_data_reordered!$A:$I, 3, FALSE)</f>
        <v>EFFECT OF THE FOLLOWING ISSUES ON VOTE FOR PM</v>
      </c>
      <c r="I584" t="str">
        <f>VLOOKUP($F584, codebooks_data_reordered!$A:$I, 4, FALSE)</f>
        <v>1</v>
      </c>
      <c r="J584" t="str">
        <f>VLOOKUP($F584, codebooks_data_reordered!$A:$I, 5, FALSE)</f>
        <v>90</v>
      </c>
      <c r="K584" t="str">
        <f>VLOOKUP($F584, codebooks_data_reordered!$A:$I, 6, FALSE)</f>
        <v>Effect on vote for Knesset: Jerusalem</v>
      </c>
      <c r="L584">
        <f>VLOOKUP($F584, codebooks_data_reordered!$A:$I, 7, FALSE)</f>
        <v>0</v>
      </c>
      <c r="M584" t="str">
        <f>VLOOKUP($F584, codebooks_data_reordered!$A:$I, 9, FALSE)</f>
        <v>1: Strong effect; 2: Medial effect; 3: Light effect; 4: No effect</v>
      </c>
      <c r="O584" s="2" t="str">
        <f t="shared" si="9"/>
        <v>1: Strong effect
 2: Medial effect
 3: Light effect
 4: No effect</v>
      </c>
    </row>
    <row r="585" spans="1:15" ht="129.6" hidden="1" x14ac:dyDescent="0.3">
      <c r="A585" t="s">
        <v>7173</v>
      </c>
      <c r="B585" t="s">
        <v>7208</v>
      </c>
      <c r="C585" s="2" t="s">
        <v>7209</v>
      </c>
      <c r="D585" t="s">
        <v>5843</v>
      </c>
      <c r="E585" s="2" t="s">
        <v>7210</v>
      </c>
      <c r="F585" t="s">
        <v>224</v>
      </c>
      <c r="G585" t="str">
        <f>VLOOKUP($F585, codebooks_data_reordered!$A:$I, 2, FALSE)</f>
        <v>2006</v>
      </c>
      <c r="H585" t="str">
        <f>VLOOKUP($F585, codebooks_data_reordered!$A:$I, 3, FALSE)</f>
        <v>Agree/Disagree with the Different Statements</v>
      </c>
      <c r="I585" t="str">
        <f>VLOOKUP($F585, codebooks_data_reordered!$A:$I, 4, FALSE)</f>
        <v>1</v>
      </c>
      <c r="J585" t="str">
        <f>VLOOKUP($F585, codebooks_data_reordered!$A:$I, 5, FALSE)</f>
        <v>57</v>
      </c>
      <c r="K585" t="str">
        <f>VLOOKUP($F585, codebooks_data_reordered!$A:$I, 6, FALSE)</f>
        <v>Talking about political issues</v>
      </c>
      <c r="L585" t="str">
        <f>VLOOKUP($F585, codebooks_data_reordered!$A:$I, 7, FALSE)</f>
        <v>53. To what extent do you talk with your friends and family about political issues?</v>
      </c>
      <c r="M585" t="str">
        <f>VLOOKUP($F585, codebooks_data_reordered!$A:$I, 9, FALSE)</f>
        <v>1: A great amount; 2: A certain amount; 3: A small amount; 4: Not at all</v>
      </c>
      <c r="O585" s="2" t="str">
        <f t="shared" si="9"/>
        <v>1: A great amount
 2: A certain amount
 3: A small amount
 4: Not at all</v>
      </c>
    </row>
    <row r="586" spans="1:15" ht="115.2" hidden="1" x14ac:dyDescent="0.3">
      <c r="A586" t="s">
        <v>7173</v>
      </c>
      <c r="B586" t="s">
        <v>7211</v>
      </c>
      <c r="C586" s="2" t="s">
        <v>6518</v>
      </c>
      <c r="D586" t="s">
        <v>5843</v>
      </c>
      <c r="E586" s="2" t="s">
        <v>6519</v>
      </c>
      <c r="F586" t="s">
        <v>1803</v>
      </c>
      <c r="G586" t="str">
        <f>VLOOKUP($F586, codebooks_data_reordered!$A:$I, 2, FALSE)</f>
        <v>1999_1</v>
      </c>
      <c r="H586" t="str">
        <f>VLOOKUP($F586, codebooks_data_reordered!$A:$I, 3, FALSE)</f>
        <v>GENERAL POLITICAL ATTITUDE</v>
      </c>
      <c r="I586" t="str">
        <f>VLOOKUP($F586, codebooks_data_reordered!$A:$I, 4, FALSE)</f>
        <v>1</v>
      </c>
      <c r="J586" t="str">
        <f>VLOOKUP($F586, codebooks_data_reordered!$A:$I, 5, FALSE)</f>
        <v>29</v>
      </c>
      <c r="K586" t="str">
        <f>VLOOKUP($F586, codebooks_data_reordered!$A:$I, 6, FALSE)</f>
        <v>Evaluation of Arab aspirations</v>
      </c>
      <c r="L586">
        <f>VLOOKUP($F586, codebooks_data_reordered!$A:$I, 7, FALSE)</f>
        <v>0</v>
      </c>
      <c r="M586" t="str">
        <f>VLOOKUP($F586, codebooks_data_reordered!$A:$I, 9, FALSE)</f>
        <v>1: Getting back part of the territories they lost in 1967; 2: Getting back all the territories they lost in 1967; 3: Conquering Israel; 4: Conquering Israel and demolition of Jewish population</v>
      </c>
      <c r="O586" s="2" t="str">
        <f t="shared" si="9"/>
        <v>1: Getting back part of the territories they lost in 1967
 2: Getting back all the territories they lost in 1967
 3: Conquering Israel
 4: Conquering Israel and demolition of Jewish population</v>
      </c>
    </row>
    <row r="587" spans="1:15" ht="158.4" hidden="1" x14ac:dyDescent="0.3">
      <c r="A587" t="s">
        <v>7173</v>
      </c>
      <c r="B587" t="s">
        <v>7212</v>
      </c>
      <c r="C587" s="2" t="s">
        <v>7201</v>
      </c>
      <c r="D587" t="s">
        <v>5843</v>
      </c>
      <c r="E587" s="2" t="s">
        <v>7202</v>
      </c>
      <c r="F587" t="s">
        <v>1893</v>
      </c>
      <c r="G587" t="str">
        <f>VLOOKUP($F587, codebooks_data_reordered!$A:$I, 2, FALSE)</f>
        <v>1999_1</v>
      </c>
      <c r="H587" t="str">
        <f>VLOOKUP($F587, codebooks_data_reordered!$A:$I, 3, FALSE)</f>
        <v>MORE ATTITUDES TOWARD PARTIES AND CANDIDATES</v>
      </c>
      <c r="I587" t="str">
        <f>VLOOKUP($F587, codebooks_data_reordered!$A:$I, 4, FALSE)</f>
        <v>1</v>
      </c>
      <c r="J587" t="str">
        <f>VLOOKUP($F587, codebooks_data_reordered!$A:$I, 5, FALSE)</f>
        <v>65</v>
      </c>
      <c r="K587" t="str">
        <f>VLOOKUP($F587, codebooks_data_reordered!$A:$I, 6, FALSE)</f>
        <v>Possibility of changing voting decision if candidate can't win</v>
      </c>
      <c r="L587">
        <f>VLOOKUP($F587, codebooks_data_reordered!$A:$I, 7, FALSE)</f>
        <v>0</v>
      </c>
      <c r="M587" t="str">
        <f>VLOOKUP($F587, codebooks_data_reordered!$A:$I, 9, FALSE)</f>
        <v>1: Definitely possible; 2: Possible; 3: Not likely; 4: Definitely not</v>
      </c>
      <c r="O587" s="2" t="str">
        <f t="shared" si="9"/>
        <v>1: Definitely possible
 2: Possible
 3: Not likely
 4: Definitely not</v>
      </c>
    </row>
    <row r="588" spans="1:15" ht="158.4" hidden="1" x14ac:dyDescent="0.3">
      <c r="A588" t="s">
        <v>7173</v>
      </c>
      <c r="B588" t="s">
        <v>7213</v>
      </c>
      <c r="C588" s="2" t="s">
        <v>7201</v>
      </c>
      <c r="D588" t="s">
        <v>5843</v>
      </c>
      <c r="E588" s="2" t="s">
        <v>7202</v>
      </c>
      <c r="F588" t="s">
        <v>1896</v>
      </c>
      <c r="G588" t="str">
        <f>VLOOKUP($F588, codebooks_data_reordered!$A:$I, 2, FALSE)</f>
        <v>1999_1</v>
      </c>
      <c r="H588" t="str">
        <f>VLOOKUP($F588, codebooks_data_reordered!$A:$I, 3, FALSE)</f>
        <v>MORE ATTITUDES TOWARD PARTIES AND CANDIDATES</v>
      </c>
      <c r="I588" t="str">
        <f>VLOOKUP($F588, codebooks_data_reordered!$A:$I, 4, FALSE)</f>
        <v>1</v>
      </c>
      <c r="J588" t="str">
        <f>VLOOKUP($F588, codebooks_data_reordered!$A:$I, 5, FALSE)</f>
        <v>66</v>
      </c>
      <c r="K588" t="str">
        <f>VLOOKUP($F588, codebooks_data_reordered!$A:$I, 6, FALSE)</f>
        <v>Who is expected to go on the second round in the election for PM ?(1)</v>
      </c>
      <c r="L588">
        <f>VLOOKUP($F588, codebooks_data_reordered!$A:$I, 7, FALSE)</f>
        <v>0</v>
      </c>
      <c r="M588" t="str">
        <f>VLOOKUP($F588, codebooks_data_reordered!$A:$I, 9, FALSE)</f>
        <v>1: Netanyahu; 2: Barak; 3: Mordechay; 4: Begin; 5: Bashara; 6: Raful</v>
      </c>
      <c r="O588" s="2" t="str">
        <f t="shared" si="9"/>
        <v>1: Netanyahu
 2: Barak
 3: Mordechay
 4: Begin
 5: Bashara
 6: Raful</v>
      </c>
    </row>
    <row r="589" spans="1:15" ht="57.6" hidden="1" x14ac:dyDescent="0.3">
      <c r="A589" t="s">
        <v>7173</v>
      </c>
      <c r="B589" t="s">
        <v>7214</v>
      </c>
      <c r="C589" s="2" t="s">
        <v>7215</v>
      </c>
      <c r="D589" t="s">
        <v>5986</v>
      </c>
      <c r="E589" s="2" t="s">
        <v>7216</v>
      </c>
      <c r="F589" t="s">
        <v>1907</v>
      </c>
      <c r="G589" t="str">
        <f>VLOOKUP($F589, codebooks_data_reordered!$A:$I, 2, FALSE)</f>
        <v>1999_1</v>
      </c>
      <c r="H589" t="str">
        <f>VLOOKUP($F589, codebooks_data_reordered!$A:$I, 3, FALSE)</f>
        <v>MORE ATTITUDES TOWARD PARTIES AND CANDIDATES</v>
      </c>
      <c r="I589" t="str">
        <f>VLOOKUP($F589, codebooks_data_reordered!$A:$I, 4, FALSE)</f>
        <v>1</v>
      </c>
      <c r="J589" t="str">
        <f>VLOOKUP($F589, codebooks_data_reordered!$A:$I, 5, FALSE)</f>
        <v>71</v>
      </c>
      <c r="K589" t="str">
        <f>VLOOKUP($F589, codebooks_data_reordered!$A:$I, 6, FALSE)</f>
        <v>Effect of religion and State issues' effect on vote for PM</v>
      </c>
      <c r="L589">
        <f>VLOOKUP($F589, codebooks_data_reordered!$A:$I, 7, FALSE)</f>
        <v>0</v>
      </c>
      <c r="M589" t="str">
        <f>VLOOKUP($F589, codebooks_data_reordered!$A:$I, 9, FALSE)</f>
        <v>1: Not at all; 2: A small effect; 3: Some effect; 4: A great effect</v>
      </c>
      <c r="O589" s="2" t="str">
        <f t="shared" si="9"/>
        <v>1: Not at all
 2: A small effect
 3: Some effect
 4: A great effect</v>
      </c>
    </row>
    <row r="590" spans="1:15" ht="129.6" hidden="1" x14ac:dyDescent="0.3">
      <c r="A590" t="s">
        <v>7173</v>
      </c>
      <c r="B590" t="s">
        <v>7217</v>
      </c>
      <c r="C590" s="2" t="s">
        <v>7209</v>
      </c>
      <c r="D590" t="s">
        <v>5843</v>
      </c>
      <c r="E590" s="2" t="s">
        <v>7210</v>
      </c>
      <c r="F590" t="s">
        <v>519</v>
      </c>
      <c r="G590" t="str">
        <f>VLOOKUP($F590, codebooks_data_reordered!$A:$I, 2, FALSE)</f>
        <v>2006</v>
      </c>
      <c r="H590" t="str">
        <f>VLOOKUP($F590, codebooks_data_reordered!$A:$I, 3, FALSE)</f>
        <v>Most/Less Suitable Characteristic of the Party</v>
      </c>
      <c r="I590" t="str">
        <f>VLOOKUP($F590, codebooks_data_reordered!$A:$I, 4, FALSE)</f>
        <v>1</v>
      </c>
      <c r="J590" t="str">
        <f>VLOOKUP($F590, codebooks_data_reordered!$A:$I, 5, FALSE)</f>
        <v>165</v>
      </c>
      <c r="K590" t="str">
        <f>VLOOKUP($F590, codebooks_data_reordered!$A:$I, 6, FALSE)</f>
        <v>Most suitable characteristic of the party: Prefers the country</v>
      </c>
      <c r="L590" t="str">
        <f>VLOOKUP($F590,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v>
      </c>
      <c r="M590" t="str">
        <f>VLOOKUP($F590, codebooks_data_reordered!$A:$I, 9, FALSE)</f>
        <v>1: Olmert; 2: Netanyahu; 3: Peretz; 4: All; 5: None</v>
      </c>
      <c r="O590" s="2" t="str">
        <f t="shared" si="9"/>
        <v>1: Olmert
 2: Netanyahu
 3: Peretz
 4: All
 5: None</v>
      </c>
    </row>
    <row r="591" spans="1:15" ht="115.2" hidden="1" x14ac:dyDescent="0.3">
      <c r="A591" t="s">
        <v>7173</v>
      </c>
      <c r="B591" t="s">
        <v>7218</v>
      </c>
      <c r="C591" s="2" t="s">
        <v>6518</v>
      </c>
      <c r="D591" t="s">
        <v>5843</v>
      </c>
      <c r="E591" s="2" t="s">
        <v>6519</v>
      </c>
      <c r="F591" t="s">
        <v>1779</v>
      </c>
      <c r="G591" t="str">
        <f>VLOOKUP($F591, codebooks_data_reordered!$A:$I, 2, FALSE)</f>
        <v>1999_1</v>
      </c>
      <c r="H591" t="str">
        <f>VLOOKUP($F591, codebooks_data_reordered!$A:$I, 3, FALSE)</f>
        <v>GENERAL POLITICAL ATTITUDE</v>
      </c>
      <c r="I591" t="str">
        <f>VLOOKUP($F591, codebooks_data_reordered!$A:$I, 4, FALSE)</f>
        <v>1</v>
      </c>
      <c r="J591" t="str">
        <f>VLOOKUP($F591, codebooks_data_reordered!$A:$I, 5, FALSE)</f>
        <v>19</v>
      </c>
      <c r="K591" t="str">
        <f>VLOOKUP($F591, codebooks_data_reordered!$A:$I, 6, FALSE)</f>
        <v>Peace process should be stopped even at risk of war</v>
      </c>
      <c r="L591" t="str">
        <f>VLOOKUP($F591, codebooks_data_reordered!$A:$I, 7, FALSE)</f>
        <v>Agreement with statement on 1-7 scale</v>
      </c>
      <c r="M591" t="str">
        <f>VLOOKUP($F591, codebooks_data_reordered!$A:$I, 9, FALSE)</f>
        <v>1: Strongly disagree; 7: Strongly agree</v>
      </c>
      <c r="O591" s="2" t="str">
        <f t="shared" si="9"/>
        <v>1: Strongly disagree
 7: Strongly agree</v>
      </c>
    </row>
    <row r="592" spans="1:15" ht="115.2" hidden="1" x14ac:dyDescent="0.3">
      <c r="A592" t="s">
        <v>7173</v>
      </c>
      <c r="B592" t="s">
        <v>7219</v>
      </c>
      <c r="C592" s="2" t="s">
        <v>6431</v>
      </c>
      <c r="D592" t="s">
        <v>5843</v>
      </c>
      <c r="E592" s="2" t="s">
        <v>6432</v>
      </c>
      <c r="F592" t="s">
        <v>768</v>
      </c>
      <c r="G592" t="str">
        <f>VLOOKUP($F592, codebooks_data_reordered!$A:$I, 2, FALSE)</f>
        <v>2006</v>
      </c>
      <c r="H592" t="str">
        <f>VLOOKUP($F592, codebooks_data_reordered!$A:$I, 3, FALSE)</f>
        <v>Rersonal and Household Details</v>
      </c>
      <c r="I592" t="str">
        <f>VLOOKUP($F592, codebooks_data_reordered!$A:$I, 4, FALSE)</f>
        <v>1</v>
      </c>
      <c r="J592" t="str">
        <f>VLOOKUP($F592, codebooks_data_reordered!$A:$I, 5, FALSE)</f>
        <v>276</v>
      </c>
      <c r="K592" t="str">
        <f>VLOOKUP($F592, codebooks_data_reordered!$A:$I, 6, FALSE)</f>
        <v>Russian immigrant after 1989 (not for Arabs)</v>
      </c>
      <c r="L592" t="str">
        <f>VLOOKUP($F592, codebooks_data_reordered!$A:$I, 7, FALSE)</f>
        <v>62. (not for Arabs): for the interviewer: if R came from the USSR after 1989, circle: 1. from the USSR</v>
      </c>
      <c r="M592" t="str">
        <f>VLOOKUP($F592, codebooks_data_reordered!$A:$I, 9, FALSE)</f>
        <v>1: New immigrant</v>
      </c>
      <c r="O592" s="2" t="str">
        <f t="shared" si="9"/>
        <v>1: New immigrant</v>
      </c>
    </row>
    <row r="593" spans="1:15" ht="115.2" hidden="1" x14ac:dyDescent="0.3">
      <c r="A593" t="s">
        <v>7173</v>
      </c>
      <c r="B593" t="s">
        <v>7220</v>
      </c>
      <c r="C593" s="2" t="s">
        <v>7221</v>
      </c>
      <c r="D593" t="s">
        <v>5843</v>
      </c>
      <c r="E593" s="2" t="s">
        <v>7222</v>
      </c>
      <c r="F593" t="s">
        <v>1989</v>
      </c>
      <c r="G593" t="str">
        <f>VLOOKUP($F593, codebooks_data_reordered!$A:$I, 2, FALSE)</f>
        <v>1999_1</v>
      </c>
      <c r="H593" t="str">
        <f>VLOOKUP($F593, codebooks_data_reordered!$A:$I, 3, FALSE)</f>
        <v>POLITICAL SELF-DEFINITION</v>
      </c>
      <c r="I593" t="str">
        <f>VLOOKUP($F593, codebooks_data_reordered!$A:$I, 4, FALSE)</f>
        <v>2</v>
      </c>
      <c r="J593" t="str">
        <f>VLOOKUP($F593, codebooks_data_reordered!$A:$I, 5, FALSE)</f>
        <v>27</v>
      </c>
      <c r="K593" t="str">
        <f>VLOOKUP($F593, codebooks_data_reordered!$A:$I, 6, FALSE)</f>
        <v>Economy issue's effect on vote for Knesset</v>
      </c>
      <c r="L593">
        <f>VLOOKUP($F593, codebooks_data_reordered!$A:$I, 7, FALSE)</f>
        <v>0</v>
      </c>
      <c r="M593" t="str">
        <f>VLOOKUP($F593, codebooks_data_reordered!$A:$I, 9, FALSE)</f>
        <v>1: Not at all; 2: A small effect; 3: Some effect; 4: A great effect</v>
      </c>
      <c r="O593" s="2" t="str">
        <f t="shared" si="9"/>
        <v>1: Not at all
 2: A small effect
 3: Some effect
 4: A great effect</v>
      </c>
    </row>
    <row r="594" spans="1:15" ht="129.6" hidden="1" x14ac:dyDescent="0.3">
      <c r="A594" t="s">
        <v>7173</v>
      </c>
      <c r="B594" t="s">
        <v>6535</v>
      </c>
      <c r="C594" s="2" t="s">
        <v>7209</v>
      </c>
      <c r="D594" t="s">
        <v>5843</v>
      </c>
      <c r="E594" s="2" t="s">
        <v>7210</v>
      </c>
      <c r="F594" t="s">
        <v>254</v>
      </c>
      <c r="G594" t="str">
        <f>VLOOKUP($F594, codebooks_data_reordered!$A:$I, 2, FALSE)</f>
        <v>2006</v>
      </c>
      <c r="H594" t="str">
        <f>VLOOKUP($F594, codebooks_data_reordered!$A:$I, 3, FALSE)</f>
        <v>Support/Rejection of a Group or a Person</v>
      </c>
      <c r="I594" t="str">
        <f>VLOOKUP($F594, codebooks_data_reordered!$A:$I, 4, FALSE)</f>
        <v>1</v>
      </c>
      <c r="J594" t="str">
        <f>VLOOKUP($F594, codebooks_data_reordered!$A:$I, 5, FALSE)</f>
        <v>65-66</v>
      </c>
      <c r="K594" t="str">
        <f>VLOOKUP($F594, codebooks_data_reordered!$A:$I, 6, FALSE)</f>
        <v>Support: Avoda</v>
      </c>
      <c r="L594" t="str">
        <f>VLOOKUP($F594, codebooks_data_reordered!$A:$I, 7, FALSE)</f>
        <v>Here is a scale from 1 to 10 to express support or rejection of a group or a person. '1' describes strong rejection/ hate, and '10' describes strong support/ love.</v>
      </c>
      <c r="M594" t="str">
        <f>VLOOKUP($F594, codebooks_data_reordered!$A:$I, 9, FALSE)</f>
        <v>1: Hate/rejection; 10: Love/support</v>
      </c>
      <c r="O594" s="2" t="str">
        <f t="shared" si="9"/>
        <v>1: Hate/rejection
 10: Love/support</v>
      </c>
    </row>
    <row r="595" spans="1:15" ht="129.6" hidden="1" x14ac:dyDescent="0.3">
      <c r="A595" t="s">
        <v>7173</v>
      </c>
      <c r="B595" t="s">
        <v>6933</v>
      </c>
      <c r="C595" s="2" t="s">
        <v>7223</v>
      </c>
      <c r="D595" t="s">
        <v>5843</v>
      </c>
      <c r="E595" s="2" t="s">
        <v>7224</v>
      </c>
      <c r="F595" t="s">
        <v>1647</v>
      </c>
      <c r="G595" t="str">
        <f>VLOOKUP($F595, codebooks_data_reordered!$A:$I, 2, FALSE)</f>
        <v>2001</v>
      </c>
      <c r="H595" t="str">
        <f>VLOOKUP($F595, codebooks_data_reordered!$A:$I, 3, FALSE)</f>
        <v>General political attitudes and behavior</v>
      </c>
      <c r="I595" t="str">
        <f>VLOOKUP($F595, codebooks_data_reordered!$A:$I, 4, FALSE)</f>
        <v>1</v>
      </c>
      <c r="J595" t="str">
        <f>VLOOKUP($F595, codebooks_data_reordered!$A:$I, 5, FALSE)</f>
        <v>103</v>
      </c>
      <c r="K595" t="str">
        <f>VLOOKUP($F595, codebooks_data_reordered!$A:$I, 6, FALSE)</f>
        <v>Will election ads influence your vote decision?</v>
      </c>
      <c r="L595">
        <f>VLOOKUP($F595, codebooks_data_reordered!$A:$I, 7, FALSE)</f>
        <v>0</v>
      </c>
      <c r="M595" t="str">
        <f>VLOOKUP($F595, codebooks_data_reordered!$A:$I, 9, FALSE)</f>
        <v>0: Do not see; 1: Not at all; 2: Small extent; 3: Certain extent; 4: Great extent</v>
      </c>
      <c r="O595" s="2" t="str">
        <f t="shared" si="9"/>
        <v>0: Do not see
 1: Not at all
 2: Small extent
 3: Certain extent
 4: Great extent</v>
      </c>
    </row>
    <row r="596" spans="1:15" ht="129.6" hidden="1" x14ac:dyDescent="0.3">
      <c r="A596" t="s">
        <v>7173</v>
      </c>
      <c r="B596" t="s">
        <v>7225</v>
      </c>
      <c r="C596" s="2" t="s">
        <v>7226</v>
      </c>
      <c r="D596" t="s">
        <v>5843</v>
      </c>
      <c r="E596" s="2" t="s">
        <v>7227</v>
      </c>
      <c r="F596" t="s">
        <v>1789</v>
      </c>
      <c r="G596" t="str">
        <f>VLOOKUP($F596, codebooks_data_reordered!$A:$I, 2, FALSE)</f>
        <v>1999_1</v>
      </c>
      <c r="H596" t="str">
        <f>VLOOKUP($F596, codebooks_data_reordered!$A:$I, 3, FALSE)</f>
        <v>GENERAL POLITICAL ATTITUDE</v>
      </c>
      <c r="I596" t="str">
        <f>VLOOKUP($F596, codebooks_data_reordered!$A:$I, 4, FALSE)</f>
        <v>1</v>
      </c>
      <c r="J596" t="str">
        <f>VLOOKUP($F596, codebooks_data_reordered!$A:$I, 5, FALSE)</f>
        <v>23</v>
      </c>
      <c r="K596" t="str">
        <f>VLOOKUP($F596, codebooks_data_reordered!$A:$I, 6, FALSE)</f>
        <v>Personal security of Israelis during Netanyahu's government</v>
      </c>
      <c r="L596" t="str">
        <f>VLOOKUP($F596, codebooks_data_reordered!$A:$I, 7, FALSE)</f>
        <v>Compared to Rabin and Peres' post-Oslo government</v>
      </c>
      <c r="M596" t="str">
        <f>VLOOKUP($F596, codebooks_data_reordered!$A:$I, 9, FALSE)</f>
        <v>1: Much better; 2: Better; 3: Worse; 4: Much worse</v>
      </c>
      <c r="O596" s="2" t="str">
        <f t="shared" si="9"/>
        <v>1: Much better
 2: Better
 3: Worse
 4: Much worse</v>
      </c>
    </row>
    <row r="597" spans="1:15" ht="158.4" hidden="1" x14ac:dyDescent="0.3">
      <c r="A597" t="s">
        <v>7173</v>
      </c>
      <c r="B597" t="s">
        <v>7228</v>
      </c>
      <c r="C597" s="2" t="s">
        <v>7229</v>
      </c>
      <c r="D597" t="s">
        <v>5843</v>
      </c>
      <c r="E597" s="2" t="s">
        <v>7230</v>
      </c>
      <c r="F597" t="s">
        <v>3049</v>
      </c>
      <c r="G597" t="str">
        <f>VLOOKUP($F597, codebooks_data_reordered!$A:$I, 2, FALSE)</f>
        <v>1988_Panel_N=416</v>
      </c>
      <c r="H597" t="str">
        <f>VLOOKUP($F597, codebooks_data_reordered!$A:$I, 3, FALSE)</f>
        <v>ISRAEL'S CAPABILITY OF COPING WITH VARIOUS SITUATIONS</v>
      </c>
      <c r="I597" t="str">
        <f>VLOOKUP($F597, codebooks_data_reordered!$A:$I, 4, FALSE)</f>
        <v>1</v>
      </c>
      <c r="J597" t="str">
        <f>VLOOKUP($F597, codebooks_data_reordered!$A:$I, 5, FALSE)</f>
        <v>79</v>
      </c>
      <c r="K597" t="str">
        <f>VLOOKUP($F597, codebooks_data_reordered!$A:$I, 6, FALSE)</f>
        <v>Israel's capability of total Israeli-Arab war</v>
      </c>
      <c r="L597">
        <f>VLOOKUP($F597, codebooks_data_reordered!$A:$I, 7, FALSE)</f>
        <v>0</v>
      </c>
      <c r="M597" t="str">
        <f>VLOOKUP($F597, codebooks_data_reordered!$A:$I, 9, FALSE)</f>
        <v>1: Capable; 2: Incapable</v>
      </c>
      <c r="O597" s="2" t="str">
        <f t="shared" si="9"/>
        <v>1: Capable
 2: Incapable</v>
      </c>
    </row>
    <row r="598" spans="1:15" ht="57.6" hidden="1" x14ac:dyDescent="0.3">
      <c r="A598" t="s">
        <v>7173</v>
      </c>
      <c r="B598" t="s">
        <v>7231</v>
      </c>
      <c r="C598" s="2" t="s">
        <v>7232</v>
      </c>
      <c r="D598" t="s">
        <v>5986</v>
      </c>
      <c r="E598" s="2" t="s">
        <v>7233</v>
      </c>
      <c r="F598" t="s">
        <v>2351</v>
      </c>
      <c r="G598" t="str">
        <f>VLOOKUP($F598, codebooks_data_reordered!$A:$I, 2, FALSE)</f>
        <v>1996_Jews</v>
      </c>
      <c r="H598" t="str">
        <f>VLOOKUP($F598, codebooks_data_reordered!$A:$I, 3, FALSE)</f>
        <v>EFFECT OF FOLLOWING ISSUES ON VOTE FOR KNESSET</v>
      </c>
      <c r="I598" t="str">
        <f>VLOOKUP($F598, codebooks_data_reordered!$A:$I, 4, FALSE)</f>
        <v>1</v>
      </c>
      <c r="J598" t="str">
        <f>VLOOKUP($F598, codebooks_data_reordered!$A:$I, 5, FALSE)</f>
        <v>94</v>
      </c>
      <c r="K598" t="str">
        <f>VLOOKUP($F598, codebooks_data_reordered!$A:$I, 6, FALSE)</f>
        <v>Effect on vote for Knesset: Rabin's assassination</v>
      </c>
      <c r="L598">
        <f>VLOOKUP($F598, codebooks_data_reordered!$A:$I, 7, FALSE)</f>
        <v>0</v>
      </c>
      <c r="M598" t="str">
        <f>VLOOKUP($F598, codebooks_data_reordered!$A:$I, 9, FALSE)</f>
        <v>1: Strong effect; 2: Medial effect; 3: Light effect; 4: No effect</v>
      </c>
      <c r="O598" s="2" t="str">
        <f t="shared" si="9"/>
        <v>1: Strong effect
 2: Medial effect
 3: Light effect
 4: No effect</v>
      </c>
    </row>
    <row r="599" spans="1:15" ht="230.4" hidden="1" x14ac:dyDescent="0.3">
      <c r="A599" t="s">
        <v>7173</v>
      </c>
      <c r="B599" t="s">
        <v>7234</v>
      </c>
      <c r="C599" s="2" t="s">
        <v>7235</v>
      </c>
      <c r="D599" t="s">
        <v>5843</v>
      </c>
      <c r="E599" s="2" t="s">
        <v>7236</v>
      </c>
      <c r="F599" t="s">
        <v>3064</v>
      </c>
      <c r="G599" t="str">
        <f>VLOOKUP($F599, codebooks_data_reordered!$A:$I, 2, FALSE)</f>
        <v>1988_Panel_N=416</v>
      </c>
      <c r="H599" t="str">
        <f>VLOOKUP($F599, codebooks_data_reordered!$A:$I, 3, FALSE)</f>
        <v>ISRAEL'S CAPABILITY OF COPING WITH VARIOUS SITUATIONS</v>
      </c>
      <c r="I599" t="str">
        <f>VLOOKUP($F599, codebooks_data_reordered!$A:$I, 4, FALSE)</f>
        <v>1</v>
      </c>
      <c r="J599" t="str">
        <f>VLOOKUP($F599, codebooks_data_reordered!$A:$I, 5, FALSE)</f>
        <v>86</v>
      </c>
      <c r="K599" t="str">
        <f>VLOOKUP($F599, codebooks_data_reordered!$A:$I, 6, FALSE)</f>
        <v>What probability does respondent attach to Israel's destruction</v>
      </c>
      <c r="L599">
        <f>VLOOKUP($F599, codebooks_data_reordered!$A:$I, 7, FALSE)</f>
        <v>0</v>
      </c>
      <c r="M599" t="str">
        <f>VLOOKUP($F599, codebooks_data_reordered!$A:$I, 9, FALSE)</f>
        <v>1: High; 2: Medium; 3: Low; 4: Non-existent</v>
      </c>
      <c r="O599" s="2" t="str">
        <f t="shared" si="9"/>
        <v>1: High
 2: Medium
 3: Low
 4: Non-existent</v>
      </c>
    </row>
    <row r="600" spans="1:15" ht="409.6" hidden="1" x14ac:dyDescent="0.3">
      <c r="A600" t="s">
        <v>7173</v>
      </c>
      <c r="B600" t="s">
        <v>7237</v>
      </c>
      <c r="C600" s="2" t="s">
        <v>7238</v>
      </c>
      <c r="D600" t="s">
        <v>5843</v>
      </c>
      <c r="E600" s="2" t="s">
        <v>7239</v>
      </c>
      <c r="F600" t="s">
        <v>9263</v>
      </c>
      <c r="G600" t="e">
        <f>VLOOKUP($F600, codebooks_data_reordered!$A:$I, 2, FALSE)</f>
        <v>#N/A</v>
      </c>
      <c r="H600" t="e">
        <f>VLOOKUP($F600, codebooks_data_reordered!$A:$I, 3, FALSE)</f>
        <v>#N/A</v>
      </c>
      <c r="I600" t="e">
        <f>VLOOKUP($F600, codebooks_data_reordered!$A:$I, 4, FALSE)</f>
        <v>#N/A</v>
      </c>
      <c r="J600" t="e">
        <f>VLOOKUP($F600, codebooks_data_reordered!$A:$I, 5, FALSE)</f>
        <v>#N/A</v>
      </c>
      <c r="K600" t="e">
        <f>VLOOKUP($F600, codebooks_data_reordered!$A:$I, 6, FALSE)</f>
        <v>#N/A</v>
      </c>
      <c r="L600" t="e">
        <f>VLOOKUP($F600, codebooks_data_reordered!$A:$I, 7, FALSE)</f>
        <v>#N/A</v>
      </c>
      <c r="M600" t="e">
        <f>VLOOKUP($F600, codebooks_data_reordered!$A:$I, 9, FALSE)</f>
        <v>#N/A</v>
      </c>
      <c r="O600" t="e">
        <f t="shared" si="9"/>
        <v>#N/A</v>
      </c>
    </row>
    <row r="601" spans="1:15" ht="403.2" hidden="1" x14ac:dyDescent="0.3">
      <c r="A601" t="s">
        <v>7173</v>
      </c>
      <c r="B601" t="s">
        <v>7240</v>
      </c>
      <c r="C601" s="2" t="s">
        <v>7241</v>
      </c>
      <c r="D601" t="s">
        <v>5843</v>
      </c>
      <c r="E601" s="2" t="s">
        <v>7242</v>
      </c>
      <c r="F601" t="s">
        <v>9264</v>
      </c>
      <c r="G601" t="e">
        <f>VLOOKUP($F601, codebooks_data_reordered!$A:$I, 2, FALSE)</f>
        <v>#N/A</v>
      </c>
      <c r="H601" t="e">
        <f>VLOOKUP($F601, codebooks_data_reordered!$A:$I, 3, FALSE)</f>
        <v>#N/A</v>
      </c>
      <c r="I601" t="e">
        <f>VLOOKUP($F601, codebooks_data_reordered!$A:$I, 4, FALSE)</f>
        <v>#N/A</v>
      </c>
      <c r="J601" t="e">
        <f>VLOOKUP($F601, codebooks_data_reordered!$A:$I, 5, FALSE)</f>
        <v>#N/A</v>
      </c>
      <c r="K601" t="e">
        <f>VLOOKUP($F601, codebooks_data_reordered!$A:$I, 6, FALSE)</f>
        <v>#N/A</v>
      </c>
      <c r="L601" t="e">
        <f>VLOOKUP($F601, codebooks_data_reordered!$A:$I, 7, FALSE)</f>
        <v>#N/A</v>
      </c>
      <c r="M601" t="e">
        <f>VLOOKUP($F601, codebooks_data_reordered!$A:$I, 9, FALSE)</f>
        <v>#N/A</v>
      </c>
      <c r="O601" t="e">
        <f t="shared" si="9"/>
        <v>#N/A</v>
      </c>
    </row>
    <row r="602" spans="1:15" ht="409.6" hidden="1" x14ac:dyDescent="0.3">
      <c r="A602" t="s">
        <v>7173</v>
      </c>
      <c r="B602" t="s">
        <v>6804</v>
      </c>
      <c r="C602" s="2" t="s">
        <v>7243</v>
      </c>
      <c r="D602" t="s">
        <v>5843</v>
      </c>
      <c r="E602" s="2" t="s">
        <v>7244</v>
      </c>
      <c r="F602" t="s">
        <v>3099</v>
      </c>
      <c r="G602" t="str">
        <f>VLOOKUP($F602, codebooks_data_reordered!$A:$I, 2, FALSE)</f>
        <v>1988_Panel_N=416</v>
      </c>
      <c r="H602" t="str">
        <f>VLOOKUP($F602, codebooks_data_reordered!$A:$I, 3, FALSE)</f>
        <v>WHICH OF THE FOLLOWING WOULD YOU BE WILLING TO GIVE TO MAINTAIN/STRENGTHEN THE SECURITY</v>
      </c>
      <c r="I602" t="str">
        <f>VLOOKUP($F602, codebooks_data_reordered!$A:$I, 4, FALSE)</f>
        <v>1</v>
      </c>
      <c r="J602" t="str">
        <f>VLOOKUP($F602, codebooks_data_reordered!$A:$I, 5, FALSE)</f>
        <v>100</v>
      </c>
      <c r="K602" t="str">
        <f>VLOOKUP($F602, codebooks_data_reordered!$A:$I, 6, FALSE)</f>
        <v>Willingness to serve more in the reserve service</v>
      </c>
      <c r="L602">
        <f>VLOOKUP($F602, codebooks_data_reordered!$A:$I, 7, FALSE)</f>
        <v>0</v>
      </c>
      <c r="M602" t="str">
        <f>VLOOKUP($F602, codebooks_data_reordered!$A:$I, 9, FALSE)</f>
        <v>1: Is willing; 2: Is unwilling</v>
      </c>
      <c r="O602" s="2" t="str">
        <f t="shared" si="9"/>
        <v>1: Is willing
 2: Is unwilling</v>
      </c>
    </row>
    <row r="603" spans="1:15" ht="86.4" hidden="1" x14ac:dyDescent="0.3">
      <c r="A603" t="s">
        <v>7173</v>
      </c>
      <c r="B603" t="s">
        <v>5949</v>
      </c>
      <c r="C603" s="2" t="s">
        <v>7245</v>
      </c>
      <c r="D603" t="s">
        <v>5843</v>
      </c>
      <c r="E603" s="2" t="s">
        <v>7246</v>
      </c>
      <c r="F603" t="s">
        <v>9265</v>
      </c>
      <c r="G603" t="e">
        <f>VLOOKUP($F603, codebooks_data_reordered!$A:$I, 2, FALSE)</f>
        <v>#N/A</v>
      </c>
      <c r="H603" t="e">
        <f>VLOOKUP($F603, codebooks_data_reordered!$A:$I, 3, FALSE)</f>
        <v>#N/A</v>
      </c>
      <c r="I603" t="e">
        <f>VLOOKUP($F603, codebooks_data_reordered!$A:$I, 4, FALSE)</f>
        <v>#N/A</v>
      </c>
      <c r="J603" t="e">
        <f>VLOOKUP($F603, codebooks_data_reordered!$A:$I, 5, FALSE)</f>
        <v>#N/A</v>
      </c>
      <c r="K603" t="e">
        <f>VLOOKUP($F603, codebooks_data_reordered!$A:$I, 6, FALSE)</f>
        <v>#N/A</v>
      </c>
      <c r="L603" t="e">
        <f>VLOOKUP($F603, codebooks_data_reordered!$A:$I, 7, FALSE)</f>
        <v>#N/A</v>
      </c>
      <c r="M603" t="e">
        <f>VLOOKUP($F603, codebooks_data_reordered!$A:$I, 9, FALSE)</f>
        <v>#N/A</v>
      </c>
      <c r="O603" t="e">
        <f t="shared" si="9"/>
        <v>#N/A</v>
      </c>
    </row>
    <row r="604" spans="1:15" ht="72" hidden="1" x14ac:dyDescent="0.3">
      <c r="A604" t="s">
        <v>7173</v>
      </c>
      <c r="B604" t="s">
        <v>7247</v>
      </c>
      <c r="C604" s="2" t="s">
        <v>7248</v>
      </c>
      <c r="D604" t="s">
        <v>5843</v>
      </c>
      <c r="E604" s="2" t="s">
        <v>7249</v>
      </c>
      <c r="F604" t="s">
        <v>9266</v>
      </c>
      <c r="G604" t="e">
        <f>VLOOKUP($F604, codebooks_data_reordered!$A:$I, 2, FALSE)</f>
        <v>#N/A</v>
      </c>
      <c r="H604" t="e">
        <f>VLOOKUP($F604, codebooks_data_reordered!$A:$I, 3, FALSE)</f>
        <v>#N/A</v>
      </c>
      <c r="I604" t="e">
        <f>VLOOKUP($F604, codebooks_data_reordered!$A:$I, 4, FALSE)</f>
        <v>#N/A</v>
      </c>
      <c r="J604" t="e">
        <f>VLOOKUP($F604, codebooks_data_reordered!$A:$I, 5, FALSE)</f>
        <v>#N/A</v>
      </c>
      <c r="K604" t="e">
        <f>VLOOKUP($F604, codebooks_data_reordered!$A:$I, 6, FALSE)</f>
        <v>#N/A</v>
      </c>
      <c r="L604" t="e">
        <f>VLOOKUP($F604, codebooks_data_reordered!$A:$I, 7, FALSE)</f>
        <v>#N/A</v>
      </c>
      <c r="M604" t="e">
        <f>VLOOKUP($F604, codebooks_data_reordered!$A:$I, 9, FALSE)</f>
        <v>#N/A</v>
      </c>
      <c r="O604" t="e">
        <f t="shared" si="9"/>
        <v>#N/A</v>
      </c>
    </row>
    <row r="605" spans="1:15" ht="43.2" hidden="1" x14ac:dyDescent="0.3">
      <c r="A605" t="s">
        <v>7173</v>
      </c>
      <c r="B605" t="s">
        <v>7250</v>
      </c>
      <c r="C605" s="2" t="s">
        <v>7251</v>
      </c>
      <c r="D605" t="s">
        <v>5986</v>
      </c>
      <c r="E605" s="2" t="s">
        <v>7252</v>
      </c>
      <c r="F605" t="s">
        <v>3111</v>
      </c>
      <c r="G605" t="str">
        <f>VLOOKUP($F605, codebooks_data_reordered!$A:$I, 2, FALSE)</f>
        <v>1988_Panel_N=416</v>
      </c>
      <c r="H605" t="str">
        <f>VLOOKUP($F605, codebooks_data_reordered!$A:$I, 3, FALSE)</f>
        <v>WHICH OF THE FOLLOWING WOULD YOU BE WILLING TO GIVE TO MAINTAIN/STRENGTHEN THE SECURITY</v>
      </c>
      <c r="I605" t="str">
        <f>VLOOKUP($F605, codebooks_data_reordered!$A:$I, 4, FALSE)</f>
        <v>1</v>
      </c>
      <c r="J605" t="str">
        <f>VLOOKUP($F605, codebooks_data_reordered!$A:$I, 5, FALSE)</f>
        <v>104</v>
      </c>
      <c r="K605" t="str">
        <f>VLOOKUP($F605, codebooks_data_reordered!$A:$I, 6, FALSE)</f>
        <v>What is your opinion of the defense budget</v>
      </c>
      <c r="L605">
        <f>VLOOKUP($F605, codebooks_data_reordered!$A:$I, 7, FALSE)</f>
        <v>0</v>
      </c>
      <c r="M605" t="str">
        <f>VLOOKUP($F605, codebooks_data_reordered!$A:$I, 9, FALSE)</f>
        <v>1: It should be increased; 2: It should stay as is; 3: It should be cut</v>
      </c>
      <c r="O605" s="2" t="str">
        <f t="shared" si="9"/>
        <v>1: It should be increased
 2: It should stay as is
 3: It should be cut</v>
      </c>
    </row>
    <row r="606" spans="1:15" ht="201.6" hidden="1" x14ac:dyDescent="0.3">
      <c r="A606" t="s">
        <v>7173</v>
      </c>
      <c r="B606" t="s">
        <v>7253</v>
      </c>
      <c r="C606" s="2" t="s">
        <v>7254</v>
      </c>
      <c r="D606" t="s">
        <v>5986</v>
      </c>
      <c r="E606" s="2" t="s">
        <v>7255</v>
      </c>
      <c r="F606" t="s">
        <v>3092</v>
      </c>
      <c r="G606" t="str">
        <f>VLOOKUP($F606, codebooks_data_reordered!$A:$I, 2, FALSE)</f>
        <v>1988_Panel_N=416</v>
      </c>
      <c r="H606" t="str">
        <f>VLOOKUP($F606, codebooks_data_reordered!$A:$I, 3, FALSE)</f>
        <v>WHICH OF THE FOLLOWING IS A REASON FOR THE ARABS OBJECTING TO ISRAEL'S EXISTENCE</v>
      </c>
      <c r="I606" t="str">
        <f>VLOOKUP($F606, codebooks_data_reordered!$A:$I, 4, FALSE)</f>
        <v>1</v>
      </c>
      <c r="J606" t="str">
        <f>VLOOKUP($F606, codebooks_data_reordered!$A:$I, 5, FALSE)</f>
        <v>97</v>
      </c>
      <c r="K606" t="str">
        <f>VLOOKUP($F606, codebooks_data_reordered!$A:$I, 6, FALSE)</f>
        <v>From the above list name second main cause for their opposition to us</v>
      </c>
      <c r="L606">
        <f>VLOOKUP($F606, codebooks_data_reordered!$A:$I, 7, FALSE)</f>
        <v>0</v>
      </c>
      <c r="M606" t="str">
        <f>VLOOKUP($F606, codebooks_data_reordered!$A:$I, 9, FALSE)</f>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c r="O606" s="2" t="str">
        <f t="shared" si="9"/>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row>
    <row r="607" spans="1:15" ht="28.8" hidden="1" x14ac:dyDescent="0.3">
      <c r="A607" t="s">
        <v>7173</v>
      </c>
      <c r="B607" t="s">
        <v>7256</v>
      </c>
      <c r="C607" s="2" t="s">
        <v>7257</v>
      </c>
      <c r="D607" t="s">
        <v>5986</v>
      </c>
      <c r="E607" s="2" t="s">
        <v>7258</v>
      </c>
      <c r="F607" t="s">
        <v>3095</v>
      </c>
      <c r="G607" t="str">
        <f>VLOOKUP($F607, codebooks_data_reordered!$A:$I, 2, FALSE)</f>
        <v>1988_Panel_N=416</v>
      </c>
      <c r="H607" t="str">
        <f>VLOOKUP($F607, codebooks_data_reordered!$A:$I, 3, FALSE)</f>
        <v>WHICH OF THE FOLLOWING WOULD YOU BE WILLING TO GIVE TO MAINTAIN/STRENGTHEN THE SECURITY</v>
      </c>
      <c r="I607" t="str">
        <f>VLOOKUP($F607, codebooks_data_reordered!$A:$I, 4, FALSE)</f>
        <v>1</v>
      </c>
      <c r="J607" t="str">
        <f>VLOOKUP($F607, codebooks_data_reordered!$A:$I, 5, FALSE)</f>
        <v>98</v>
      </c>
      <c r="K607" t="str">
        <f>VLOOKUP($F607, codebooks_data_reordered!$A:$I, 6, FALSE)</f>
        <v>Willingness to have taxes raised so that the respondent pays more to increase security budget</v>
      </c>
      <c r="L607">
        <f>VLOOKUP($F607, codebooks_data_reordered!$A:$I, 7, FALSE)</f>
        <v>0</v>
      </c>
      <c r="M607" t="str">
        <f>VLOOKUP($F607, codebooks_data_reordered!$A:$I, 9, FALSE)</f>
        <v>1: Is willing; 2: Is unwilling</v>
      </c>
      <c r="O607" s="2" t="str">
        <f t="shared" si="9"/>
        <v>1: Is willing
 2: Is unwilling</v>
      </c>
    </row>
    <row r="608" spans="1:15" ht="28.8" hidden="1" x14ac:dyDescent="0.3">
      <c r="A608" t="s">
        <v>7173</v>
      </c>
      <c r="B608" t="s">
        <v>7259</v>
      </c>
      <c r="C608" s="2" t="s">
        <v>7260</v>
      </c>
      <c r="D608" t="s">
        <v>5986</v>
      </c>
      <c r="E608" s="2" t="s">
        <v>7261</v>
      </c>
      <c r="F608" t="s">
        <v>9267</v>
      </c>
      <c r="G608" t="e">
        <f>VLOOKUP($F608, codebooks_data_reordered!$A:$I, 2, FALSE)</f>
        <v>#N/A</v>
      </c>
      <c r="H608" t="e">
        <f>VLOOKUP($F608, codebooks_data_reordered!$A:$I, 3, FALSE)</f>
        <v>#N/A</v>
      </c>
      <c r="I608" t="e">
        <f>VLOOKUP($F608, codebooks_data_reordered!$A:$I, 4, FALSE)</f>
        <v>#N/A</v>
      </c>
      <c r="J608" t="e">
        <f>VLOOKUP($F608, codebooks_data_reordered!$A:$I, 5, FALSE)</f>
        <v>#N/A</v>
      </c>
      <c r="K608" t="e">
        <f>VLOOKUP($F608, codebooks_data_reordered!$A:$I, 6, FALSE)</f>
        <v>#N/A</v>
      </c>
      <c r="L608" t="e">
        <f>VLOOKUP($F608, codebooks_data_reordered!$A:$I, 7, FALSE)</f>
        <v>#N/A</v>
      </c>
      <c r="M608" t="e">
        <f>VLOOKUP($F608, codebooks_data_reordered!$A:$I, 9, FALSE)</f>
        <v>#N/A</v>
      </c>
      <c r="O608" t="e">
        <f t="shared" si="9"/>
        <v>#N/A</v>
      </c>
    </row>
    <row r="609" spans="1:15" ht="345.6" hidden="1" x14ac:dyDescent="0.3">
      <c r="A609" t="s">
        <v>7173</v>
      </c>
      <c r="B609" t="s">
        <v>7262</v>
      </c>
      <c r="C609" s="2" t="s">
        <v>7263</v>
      </c>
      <c r="D609" t="s">
        <v>5986</v>
      </c>
      <c r="E609" s="2" t="s">
        <v>7264</v>
      </c>
      <c r="F609" t="s">
        <v>690</v>
      </c>
      <c r="G609" t="str">
        <f>VLOOKUP($F609, codebooks_data_reordered!$A:$I, 2, FALSE)</f>
        <v>2006</v>
      </c>
      <c r="H609" t="str">
        <f>VLOOKUP($F609, codebooks_data_reordered!$A:$I, 3, FALSE)</f>
        <v>Previous Elections</v>
      </c>
      <c r="I609" t="str">
        <f>VLOOKUP($F609, codebooks_data_reordered!$A:$I, 4, FALSE)</f>
        <v>1</v>
      </c>
      <c r="J609" t="str">
        <f>VLOOKUP($F609, codebooks_data_reordered!$A:$I, 5, FALSE)</f>
        <v>253-254</v>
      </c>
      <c r="K609" t="str">
        <f>VLOOKUP($F609, codebooks_data_reordered!$A:$I, 6, FALSE)</f>
        <v>Respondent party vote if elections for PM were also held</v>
      </c>
      <c r="L609" t="str">
        <f>VLOOKUP($F609, codebooks_data_reordered!$A:$I, 7, FALSE)</f>
        <v>38. And for the Knesset? (for the interviewer: use the code in question 73)</v>
      </c>
      <c r="M609" t="str">
        <f>VLOOKUP($F609, codebooks_data_reordered!$A:$I, 9, FALSE)</f>
        <v>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v>
      </c>
      <c r="O609" s="2" t="str">
        <f t="shared" si="9"/>
        <v>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v>
      </c>
    </row>
    <row r="610" spans="1:15" ht="72" hidden="1" x14ac:dyDescent="0.3">
      <c r="A610" t="s">
        <v>7173</v>
      </c>
      <c r="B610" t="s">
        <v>7265</v>
      </c>
      <c r="C610" s="2" t="s">
        <v>7266</v>
      </c>
      <c r="D610" t="s">
        <v>5986</v>
      </c>
      <c r="E610" s="2" t="s">
        <v>7267</v>
      </c>
      <c r="F610" t="s">
        <v>575</v>
      </c>
      <c r="G610" t="str">
        <f>VLOOKUP($F610, codebooks_data_reordered!$A:$I, 2, FALSE)</f>
        <v>2006</v>
      </c>
      <c r="H610" t="str">
        <f>VLOOKUP($F610, codebooks_data_reordered!$A:$I, 3, FALSE)</f>
        <v>Newspaper/TV</v>
      </c>
      <c r="I610" t="str">
        <f>VLOOKUP($F610, codebooks_data_reordered!$A:$I, 4, FALSE)</f>
        <v>1</v>
      </c>
      <c r="J610" t="str">
        <f>VLOOKUP($F610, codebooks_data_reordered!$A:$I, 5, FALSE)</f>
        <v>180</v>
      </c>
      <c r="K610" t="str">
        <f>VLOOKUP($F610, codebooks_data_reordered!$A:$I, 6, FALSE)</f>
        <v>Election campaign broadcasts on TV</v>
      </c>
      <c r="L610" t="str">
        <f>VLOOKUP($F610, codebooks_data_reordered!$A:$I, 7, FALSE)</f>
        <v>69. Do you usually watch the election campaign broadcasts on TV?(for interviews before the beginning of broadcasts (March 7, 2006): Do you intend to watch the campaign broadcasts on TV?)</v>
      </c>
      <c r="M610" t="str">
        <f>VLOOKUP($F610, codebooks_data_reordered!$A:$I, 9, FALSE)</f>
        <v>1: Every day; 2: Usually; 3: Sometimes; 4: Not very often; 5: Never</v>
      </c>
      <c r="O610" s="2" t="str">
        <f t="shared" si="9"/>
        <v>1: Every day
 2: Usually
 3: Sometimes
 4: Not very often
 5: Never</v>
      </c>
    </row>
    <row r="611" spans="1:15" ht="28.8" hidden="1" x14ac:dyDescent="0.3">
      <c r="A611" t="s">
        <v>7173</v>
      </c>
      <c r="B611" t="s">
        <v>6695</v>
      </c>
      <c r="C611" s="2" t="s">
        <v>7266</v>
      </c>
      <c r="D611" t="s">
        <v>5986</v>
      </c>
      <c r="E611" s="2" t="s">
        <v>7267</v>
      </c>
      <c r="F611" t="s">
        <v>404</v>
      </c>
      <c r="G611" t="str">
        <f>VLOOKUP($F611, codebooks_data_reordered!$A:$I, 2, FALSE)</f>
        <v>2006</v>
      </c>
      <c r="H611" t="str">
        <f>VLOOKUP($F611, codebooks_data_reordered!$A:$I, 3, FALSE)</f>
        <v>Ranking on a Right/Left Political Scale</v>
      </c>
      <c r="I611" t="str">
        <f>VLOOKUP($F611, codebooks_data_reordered!$A:$I, 4, FALSE)</f>
        <v>1</v>
      </c>
      <c r="J611" t="str">
        <f>VLOOKUP($F611, codebooks_data_reordered!$A:$I, 5, FALSE)</f>
        <v>130-131</v>
      </c>
      <c r="K611" t="str">
        <f>VLOOKUP($F611, codebooks_data_reordered!$A:$I, 6, FALSE)</f>
        <v>Ranking on a right/left political scale:Ihud-Leumi Mafdal</v>
      </c>
      <c r="L611" t="str">
        <f>VLOOKUP($F611, codebooks_data_reordered!$A:$I, 7, FALSE)</f>
        <v>How would you rate the following parties on the left-right scale from 0 to 10, 0 stands for left, and 10 stands for right and 5 is in the middle.</v>
      </c>
      <c r="M611" t="str">
        <f>VLOOKUP($F611, codebooks_data_reordered!$A:$I, 9, FALSE)</f>
        <v>0: Left; 10: Right</v>
      </c>
      <c r="O611" s="2" t="str">
        <f t="shared" si="9"/>
        <v>0: Left
 10: Right</v>
      </c>
    </row>
    <row r="612" spans="1:15" ht="72" hidden="1" x14ac:dyDescent="0.3">
      <c r="A612" t="s">
        <v>7173</v>
      </c>
      <c r="B612" t="s">
        <v>7268</v>
      </c>
      <c r="C612" s="2" t="s">
        <v>7269</v>
      </c>
      <c r="D612" t="s">
        <v>5986</v>
      </c>
      <c r="E612" s="2" t="s">
        <v>7270</v>
      </c>
      <c r="F612" t="s">
        <v>2169</v>
      </c>
      <c r="G612" t="str">
        <f>VLOOKUP($F612, codebooks_data_reordered!$A:$I, 2, FALSE)</f>
        <v>1999_1</v>
      </c>
      <c r="H612" t="str">
        <f>VLOOKUP($F612, codebooks_data_reordered!$A:$I, 3, FALSE)</f>
        <v>VOTING PATTERNS</v>
      </c>
      <c r="I612" t="str">
        <f>VLOOKUP($F612, codebooks_data_reordered!$A:$I, 4, FALSE)</f>
        <v>3</v>
      </c>
      <c r="J612" t="str">
        <f>VLOOKUP($F612, codebooks_data_reordered!$A:$I, 5, FALSE)</f>
        <v>20</v>
      </c>
      <c r="K612" t="str">
        <f>VLOOKUP($F612, codebooks_data_reordered!$A:$I, 6, FALSE)</f>
        <v>Vote for PM in 1996</v>
      </c>
      <c r="L612">
        <f>VLOOKUP($F612, codebooks_data_reordered!$A:$I, 7, FALSE)</f>
        <v>0</v>
      </c>
      <c r="M612" t="str">
        <f>VLOOKUP($F612, codebooks_data_reordered!$A:$I, 9, FALSE)</f>
        <v>1: Netanyahu; 2: Peres; 3: Blank note; 4: Did not vote; 5: Do not remember</v>
      </c>
      <c r="O612" s="2" t="str">
        <f t="shared" si="9"/>
        <v>1: Netanyahu
 2: Peres
 3: Blank note
 4: Did not vote
 5: Do not remember</v>
      </c>
    </row>
    <row r="613" spans="1:15" ht="43.2" hidden="1" x14ac:dyDescent="0.3">
      <c r="A613" t="s">
        <v>7173</v>
      </c>
      <c r="B613" t="s">
        <v>7271</v>
      </c>
      <c r="C613" s="2" t="s">
        <v>7272</v>
      </c>
      <c r="D613" t="s">
        <v>5986</v>
      </c>
      <c r="E613" s="2" t="s">
        <v>7273</v>
      </c>
      <c r="F613" t="s">
        <v>2554</v>
      </c>
      <c r="G613" t="str">
        <f>VLOOKUP($F613, codebooks_data_reordered!$A:$I, 2, FALSE)</f>
        <v>1996_Jews</v>
      </c>
      <c r="H613" t="str">
        <f>VLOOKUP($F613, codebooks_data_reordered!$A:$I, 3, FALSE)</f>
        <v>WHICH PM CANDID. BEST SUITS EACH DESCRIPTION?</v>
      </c>
      <c r="I613" t="str">
        <f>VLOOKUP($F613, codebooks_data_reordered!$A:$I, 4, FALSE)</f>
        <v>1</v>
      </c>
      <c r="J613" t="str">
        <f>VLOOKUP($F613, codebooks_data_reordered!$A:$I, 5, FALSE)</f>
        <v>185</v>
      </c>
      <c r="K613" t="str">
        <f>VLOOKUP($F613, codebooks_data_reordered!$A:$I, 6, FALSE)</f>
        <v>Party that will be biggest in next Knesset</v>
      </c>
      <c r="L613">
        <f>VLOOKUP($F613, codebooks_data_reordered!$A:$I, 7, FALSE)</f>
        <v>0</v>
      </c>
      <c r="M613" t="str">
        <f>VLOOKUP($F613, codebooks_data_reordered!$A:$I, 9, FALSE)</f>
        <v>1: Labor; 2: Likud; 3: Do not know (not read)</v>
      </c>
      <c r="O613" s="2" t="str">
        <f t="shared" si="9"/>
        <v>1: Labor
 2: Likud
 3: Do not know (not read)</v>
      </c>
    </row>
    <row r="614" spans="1:15" ht="43.2" hidden="1" x14ac:dyDescent="0.3">
      <c r="A614" t="s">
        <v>7173</v>
      </c>
      <c r="B614" t="s">
        <v>7274</v>
      </c>
      <c r="C614" s="2" t="s">
        <v>7275</v>
      </c>
      <c r="D614" t="s">
        <v>5986</v>
      </c>
      <c r="E614" s="2" t="s">
        <v>7276</v>
      </c>
      <c r="F614" t="s">
        <v>2027</v>
      </c>
      <c r="G614" t="str">
        <f>VLOOKUP($F614, codebooks_data_reordered!$A:$I, 2, FALSE)</f>
        <v>1999_1</v>
      </c>
      <c r="H614" t="str">
        <f>VLOOKUP($F614, codebooks_data_reordered!$A:$I, 3, FALSE)</f>
        <v>MAIN POLITICAL ISSUES</v>
      </c>
      <c r="I614" t="str">
        <f>VLOOKUP($F614, codebooks_data_reordered!$A:$I, 4, FALSE)</f>
        <v>2</v>
      </c>
      <c r="J614" t="str">
        <f>VLOOKUP($F614, codebooks_data_reordered!$A:$I, 5, FALSE)</f>
        <v>44</v>
      </c>
      <c r="K614" t="str">
        <f>VLOOKUP($F614, codebooks_data_reordered!$A:$I, 6, FALSE)</f>
        <v>Government expenditures on education</v>
      </c>
      <c r="L614">
        <f>VLOOKUP($F614, codebooks_data_reordered!$A:$I, 7, FALSE)</f>
        <v>0</v>
      </c>
      <c r="M614" t="str">
        <f>VLOOKUP($F614, codebooks_data_reordered!$A:$I, 9, FALSE)</f>
        <v>1: Should increase; 2: Should decrease; 3: Should stay the same</v>
      </c>
      <c r="O614" s="2" t="str">
        <f t="shared" si="9"/>
        <v>1: Should increase
 2: Should decrease
 3: Should stay the same</v>
      </c>
    </row>
    <row r="615" spans="1:15" ht="28.8" hidden="1" x14ac:dyDescent="0.3">
      <c r="A615" t="s">
        <v>7173</v>
      </c>
      <c r="B615" t="s">
        <v>7277</v>
      </c>
      <c r="C615" s="2" t="s">
        <v>7278</v>
      </c>
      <c r="D615" t="s">
        <v>5986</v>
      </c>
      <c r="E615" s="2" t="s">
        <v>7279</v>
      </c>
      <c r="F615" t="s">
        <v>263</v>
      </c>
      <c r="G615" t="str">
        <f>VLOOKUP($F615, codebooks_data_reordered!$A:$I, 2, FALSE)</f>
        <v>2006</v>
      </c>
      <c r="H615" t="str">
        <f>VLOOKUP($F615, codebooks_data_reordered!$A:$I, 3, FALSE)</f>
        <v>Support/Rejection of a Group or a Person</v>
      </c>
      <c r="I615" t="str">
        <f>VLOOKUP($F615, codebooks_data_reordered!$A:$I, 4, FALSE)</f>
        <v>1</v>
      </c>
      <c r="J615" t="str">
        <f>VLOOKUP($F615, codebooks_data_reordered!$A:$I, 5, FALSE)</f>
        <v>71-72</v>
      </c>
      <c r="K615" t="str">
        <f>VLOOKUP($F615, codebooks_data_reordered!$A:$I, 6, FALSE)</f>
        <v>Support: Ihud Leumi - Mafdal</v>
      </c>
      <c r="L615" t="str">
        <f>VLOOKUP($F615, codebooks_data_reordered!$A:$I, 7, FALSE)</f>
        <v>Here is a scale from 1 to 10 to express support or rejection of a group or a person. '1' describes strong rejection/ hate, and '10' describes strong support/ love.</v>
      </c>
      <c r="M615" t="str">
        <f>VLOOKUP($F615, codebooks_data_reordered!$A:$I, 9, FALSE)</f>
        <v>1: Hate/rejection; 10: Love/support</v>
      </c>
      <c r="O615" s="2" t="str">
        <f t="shared" si="9"/>
        <v>1: Hate/rejection
 10: Love/support</v>
      </c>
    </row>
    <row r="616" spans="1:15" ht="28.8" hidden="1" x14ac:dyDescent="0.3">
      <c r="A616" t="s">
        <v>7173</v>
      </c>
      <c r="B616" t="s">
        <v>7280</v>
      </c>
      <c r="C616" s="2" t="s">
        <v>7278</v>
      </c>
      <c r="D616" t="s">
        <v>5986</v>
      </c>
      <c r="E616" s="2" t="s">
        <v>7279</v>
      </c>
      <c r="F616" t="s">
        <v>642</v>
      </c>
      <c r="G616" t="str">
        <f>VLOOKUP($F616, codebooks_data_reordered!$A:$I, 2, FALSE)</f>
        <v>2006</v>
      </c>
      <c r="H616" t="str">
        <f>VLOOKUP($F616, codebooks_data_reordered!$A:$I, 3, FALSE)</f>
        <v>Different Coalitions after the Elections</v>
      </c>
      <c r="I616" t="str">
        <f>VLOOKUP($F616, codebooks_data_reordered!$A:$I, 4, FALSE)</f>
        <v>1</v>
      </c>
      <c r="J616" t="str">
        <f>VLOOKUP($F616, codebooks_data_reordered!$A:$I, 5, FALSE)</f>
        <v>219-221</v>
      </c>
      <c r="K616" t="str">
        <f>VLOOKUP($F616, codebooks_data_reordered!$A:$I, 6, FALSE)</f>
        <v>Chances for Kadima-Labor-Haredim coalition</v>
      </c>
      <c r="L616" t="str">
        <f>VLOOKUP($F616,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616">
        <f>VLOOKUP($F616, codebooks_data_reordered!$A:$I, 9, FALSE)</f>
        <v>0</v>
      </c>
      <c r="O616" s="2" t="str">
        <f t="shared" si="9"/>
        <v>0</v>
      </c>
    </row>
    <row r="617" spans="1:15" ht="374.4" hidden="1" x14ac:dyDescent="0.3">
      <c r="A617" t="s">
        <v>7173</v>
      </c>
      <c r="B617" t="s">
        <v>7281</v>
      </c>
      <c r="C617" s="2" t="s">
        <v>7278</v>
      </c>
      <c r="D617" t="s">
        <v>5986</v>
      </c>
      <c r="E617" s="2" t="s">
        <v>7279</v>
      </c>
      <c r="F617" t="s">
        <v>3780</v>
      </c>
      <c r="G617" t="str">
        <f>VLOOKUP($F617, codebooks_data_reordered!$A:$I, 2, FALSE)</f>
        <v>1988_N=873</v>
      </c>
      <c r="H617" t="str">
        <f>VLOOKUP($F617, codebooks_data_reordered!$A:$I, 3, FALSE)</f>
        <v>APPROVAL OF FOLLOWING SAYINGS ON SOCIAL AND STATE MATTERS</v>
      </c>
      <c r="I617" t="str">
        <f>VLOOKUP($F617, codebooks_data_reordered!$A:$I, 4, FALSE)</f>
        <v>1</v>
      </c>
      <c r="J617" t="str">
        <f>VLOOKUP($F617, codebooks_data_reordered!$A:$I, 5, FALSE)</f>
        <v>137-138</v>
      </c>
      <c r="K617" t="str">
        <f>VLOOKUP($F617, codebooks_data_reordered!$A:$I, 6, FALSE)</f>
        <v>Interviewee's vote if elections were held now</v>
      </c>
      <c r="L617">
        <f>VLOOKUP($F617, codebooks_data_reordered!$A:$I, 7, FALSE)</f>
        <v>0</v>
      </c>
      <c r="M617" t="str">
        <f>VLOOKUP($F617, codebooks_data_reordered!$A:$I, 9, FALSE)</f>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v>
      </c>
      <c r="O617" s="2" t="str">
        <f t="shared" si="9"/>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v>
      </c>
    </row>
    <row r="618" spans="1:15" ht="115.2" hidden="1" x14ac:dyDescent="0.3">
      <c r="A618" t="s">
        <v>7173</v>
      </c>
      <c r="B618" t="s">
        <v>6698</v>
      </c>
      <c r="C618" s="2" t="s">
        <v>7282</v>
      </c>
      <c r="D618" t="s">
        <v>5986</v>
      </c>
      <c r="E618" s="2" t="s">
        <v>7283</v>
      </c>
      <c r="F618" t="s">
        <v>188</v>
      </c>
      <c r="G618" t="str">
        <f>VLOOKUP($F618, codebooks_data_reordered!$A:$I, 2, FALSE)</f>
        <v>2006</v>
      </c>
      <c r="H618" t="str">
        <f>VLOOKUP($F618, codebooks_data_reordered!$A:$I, 3, FALSE)</f>
        <v>Threat of Different Issues</v>
      </c>
      <c r="I618" t="str">
        <f>VLOOKUP($F618, codebooks_data_reordered!$A:$I, 4, FALSE)</f>
        <v>1</v>
      </c>
      <c r="J618" t="str">
        <f>VLOOKUP($F618, codebooks_data_reordered!$A:$I, 5, FALSE)</f>
        <v>49</v>
      </c>
      <c r="K618" t="str">
        <f>VLOOKUP($F618, codebooks_data_reordered!$A:$I, 6, FALSE)</f>
        <v>Public life according to Halacha</v>
      </c>
      <c r="L618" t="str">
        <f>VLOOKUP($F618, codebooks_data_reordered!$A:$I, 7, FALSE)</f>
        <v>44. (not asked of Arabs): Do you think the Israeli government should or should not see to it that public life in Israel be conducted according to Jewish religious tradition?</v>
      </c>
      <c r="M618" t="str">
        <f>VLOOKUP($F618, codebooks_data_reordered!$A:$I, 9, FALSE)</f>
        <v>1: Should definitely see to it; 2: Maybe should see to it; 3: I do not think the government should see to it; 4: The government should definitely not see to it</v>
      </c>
      <c r="O618" s="2" t="str">
        <f t="shared" si="9"/>
        <v>1: Should definitely see to it
 2: Maybe should see to it
 3: I do not think the government should see to it
 4: The government should definitely not see to it</v>
      </c>
    </row>
    <row r="619" spans="1:15" ht="57.6" hidden="1" x14ac:dyDescent="0.3">
      <c r="A619" t="s">
        <v>7173</v>
      </c>
      <c r="B619" t="s">
        <v>6940</v>
      </c>
      <c r="C619" s="2" t="s">
        <v>7284</v>
      </c>
      <c r="D619" t="s">
        <v>5986</v>
      </c>
      <c r="E619" s="2" t="s">
        <v>7285</v>
      </c>
      <c r="F619" t="s">
        <v>3490</v>
      </c>
      <c r="G619" t="str">
        <f>VLOOKUP($F619, codebooks_data_reordered!$A:$I, 2, FALSE)</f>
        <v>1988_Panel_N=416</v>
      </c>
      <c r="H619" t="str">
        <f>VLOOKUP($F619, codebooks_data_reordered!$A:$I, 3, FALSE)</f>
        <v>FOR EACH OF THE FOLLOWING STATE TO WHICH PARTY IT SUITS THE MOST</v>
      </c>
      <c r="I619" t="str">
        <f>VLOOKUP($F619, codebooks_data_reordered!$A:$I, 4, FALSE)</f>
        <v>3</v>
      </c>
      <c r="J619" t="str">
        <f>VLOOKUP($F619, codebooks_data_reordered!$A:$I, 5, FALSE)</f>
        <v>96</v>
      </c>
      <c r="K619" t="str">
        <f>VLOOKUP($F619, codebooks_data_reordered!$A:$I, 6, FALSE)</f>
        <v>Which party secures country's future</v>
      </c>
      <c r="L619">
        <f>VLOOKUP($F619, codebooks_data_reordered!$A:$I, 7, FALSE)</f>
        <v>0</v>
      </c>
      <c r="M619" t="str">
        <f>VLOOKUP($F619, codebooks_data_reordered!$A:$I, 9, FALSE)</f>
        <v>1: Suits Labor; 2: Suits Likud; 3: Both equally; 4: Neither</v>
      </c>
      <c r="O619" s="2" t="str">
        <f t="shared" si="9"/>
        <v>1: Suits Labor
 2: Suits Likud
 3: Both equally
 4: Neither</v>
      </c>
    </row>
    <row r="620" spans="1:15" ht="28.8" hidden="1" x14ac:dyDescent="0.3">
      <c r="A620" t="s">
        <v>7173</v>
      </c>
      <c r="B620" t="s">
        <v>7286</v>
      </c>
      <c r="C620" s="2" t="s">
        <v>7284</v>
      </c>
      <c r="D620" t="s">
        <v>5986</v>
      </c>
      <c r="E620" s="2" t="s">
        <v>7285</v>
      </c>
      <c r="F620" t="s">
        <v>9268</v>
      </c>
      <c r="G620" t="e">
        <f>VLOOKUP($F620, codebooks_data_reordered!$A:$I, 2, FALSE)</f>
        <v>#N/A</v>
      </c>
      <c r="H620" t="e">
        <f>VLOOKUP($F620, codebooks_data_reordered!$A:$I, 3, FALSE)</f>
        <v>#N/A</v>
      </c>
      <c r="I620" t="e">
        <f>VLOOKUP($F620, codebooks_data_reordered!$A:$I, 4, FALSE)</f>
        <v>#N/A</v>
      </c>
      <c r="J620" t="e">
        <f>VLOOKUP($F620, codebooks_data_reordered!$A:$I, 5, FALSE)</f>
        <v>#N/A</v>
      </c>
      <c r="K620" t="e">
        <f>VLOOKUP($F620, codebooks_data_reordered!$A:$I, 6, FALSE)</f>
        <v>#N/A</v>
      </c>
      <c r="L620" t="e">
        <f>VLOOKUP($F620, codebooks_data_reordered!$A:$I, 7, FALSE)</f>
        <v>#N/A</v>
      </c>
      <c r="M620" t="e">
        <f>VLOOKUP($F620, codebooks_data_reordered!$A:$I, 9, FALSE)</f>
        <v>#N/A</v>
      </c>
      <c r="O620" t="e">
        <f t="shared" si="9"/>
        <v>#N/A</v>
      </c>
    </row>
    <row r="621" spans="1:15" ht="57.6" hidden="1" x14ac:dyDescent="0.3">
      <c r="A621" t="s">
        <v>7173</v>
      </c>
      <c r="B621" t="s">
        <v>6699</v>
      </c>
      <c r="C621" s="2" t="s">
        <v>7284</v>
      </c>
      <c r="D621" t="s">
        <v>5986</v>
      </c>
      <c r="E621" s="2" t="s">
        <v>7285</v>
      </c>
      <c r="F621" t="s">
        <v>3156</v>
      </c>
      <c r="G621" t="str">
        <f>VLOOKUP($F621, codebooks_data_reordered!$A:$I, 2, FALSE)</f>
        <v>1988_Panel_N=416</v>
      </c>
      <c r="H621" t="str">
        <f>VLOOKUP($F621, codebooks_data_reordered!$A:$I, 3, FALSE)</f>
        <v>THE EXTENT OF APPROVAL OF THE FOLLOWING</v>
      </c>
      <c r="I621" t="str">
        <f>VLOOKUP($F621, codebooks_data_reordered!$A:$I, 4, FALSE)</f>
        <v>1</v>
      </c>
      <c r="J621" t="str">
        <f>VLOOKUP($F621, codebooks_data_reordered!$A:$I, 5, FALSE)</f>
        <v>121</v>
      </c>
      <c r="K621" t="str">
        <f>VLOOKUP($F621, codebooks_data_reordered!$A:$I, 6, FALSE)</f>
        <v>Israel has been and always will be isolated</v>
      </c>
      <c r="L621">
        <f>VLOOKUP($F621, codebooks_data_reordered!$A:$I, 7, FALSE)</f>
        <v>0</v>
      </c>
      <c r="M621" t="str">
        <f>VLOOKUP($F621, codebooks_data_reordered!$A:$I, 9, FALSE)</f>
        <v>1: Definitely agrees; 2: Agrees; 3: Disagrees; 4: Definitely disagrees</v>
      </c>
      <c r="O621" s="2" t="str">
        <f t="shared" si="9"/>
        <v>1: Definitely agrees
 2: Agrees
 3: Disagrees
 4: Definitely disagrees</v>
      </c>
    </row>
    <row r="622" spans="1:15" ht="144" hidden="1" x14ac:dyDescent="0.3">
      <c r="A622" t="s">
        <v>7173</v>
      </c>
      <c r="B622" t="s">
        <v>7287</v>
      </c>
      <c r="C622" s="2" t="s">
        <v>7288</v>
      </c>
      <c r="D622" t="s">
        <v>5986</v>
      </c>
      <c r="E622" s="2" t="s">
        <v>7289</v>
      </c>
      <c r="F622" t="s">
        <v>2162</v>
      </c>
      <c r="G622" t="str">
        <f>VLOOKUP($F622, codebooks_data_reordered!$A:$I, 2, FALSE)</f>
        <v>1999_1</v>
      </c>
      <c r="H622" t="str">
        <f>VLOOKUP($F622, codebooks_data_reordered!$A:$I, 3, FALSE)</f>
        <v>VOTING PATTERNS</v>
      </c>
      <c r="I622" t="str">
        <f>VLOOKUP($F622, codebooks_data_reordered!$A:$I, 4, FALSE)</f>
        <v>3</v>
      </c>
      <c r="J622" t="str">
        <f>VLOOKUP($F622, codebooks_data_reordered!$A:$I, 5, FALSE)</f>
        <v>17</v>
      </c>
      <c r="K622" t="str">
        <f>VLOOKUP($F622, codebooks_data_reordered!$A:$I, 6, FALSE)</f>
        <v>Vote for PM, if election were held today</v>
      </c>
      <c r="L622">
        <f>VLOOKUP($F622, codebooks_data_reordered!$A:$I, 7, FALSE)</f>
        <v>0</v>
      </c>
      <c r="M622" t="str">
        <f>VLOOKUP($F622, codebooks_data_reordered!$A:$I, 9, FALSE)</f>
        <v>0: Haven't decided yet; 1: Netanyahu; 2: Barak; 3: Mordechai; 4: Begin; 5: Bashara; 6: Raful; 7: Other; 8: Blank note; 9: Won't vote</v>
      </c>
      <c r="O622" s="2" t="str">
        <f t="shared" si="9"/>
        <v>0: Haven't decided yet
 1: Netanyahu
 2: Barak
 3: Mordechai
 4: Begin
 5: Bashara
 6: Raful
 7: Other
 8: Blank note
 9: Won't vote</v>
      </c>
    </row>
    <row r="623" spans="1:15" ht="100.8" hidden="1" x14ac:dyDescent="0.3">
      <c r="A623" t="s">
        <v>7173</v>
      </c>
      <c r="B623" t="s">
        <v>7290</v>
      </c>
      <c r="C623" s="2" t="s">
        <v>7288</v>
      </c>
      <c r="D623" t="s">
        <v>5986</v>
      </c>
      <c r="E623" s="2" t="s">
        <v>7289</v>
      </c>
      <c r="F623" t="s">
        <v>1640</v>
      </c>
      <c r="G623" t="str">
        <f>VLOOKUP($F623, codebooks_data_reordered!$A:$I, 2, FALSE)</f>
        <v>2001</v>
      </c>
      <c r="H623" t="str">
        <f>VLOOKUP($F623, codebooks_data_reordered!$A:$I, 3, FALSE)</f>
        <v>General political attitudes and behavior</v>
      </c>
      <c r="I623" t="str">
        <f>VLOOKUP($F623, codebooks_data_reordered!$A:$I, 4, FALSE)</f>
        <v>1</v>
      </c>
      <c r="J623" t="str">
        <f>VLOOKUP($F623, codebooks_data_reordered!$A:$I, 5, FALSE)</f>
        <v>100</v>
      </c>
      <c r="K623" t="str">
        <f>VLOOKUP($F623, codebooks_data_reordered!$A:$I, 6, FALSE)</f>
        <v>Frequency of watching TV news</v>
      </c>
      <c r="L623">
        <f>VLOOKUP($F623, codebooks_data_reordered!$A:$I, 7, FALSE)</f>
        <v>0</v>
      </c>
      <c r="M623" t="str">
        <f>VLOOKUP($F623, codebooks_data_reordered!$A:$I, 9, FALSE)</f>
        <v>1: Never; 2: Rarely; 3: Once a week; 4: Two or three a week; 5: Almost every day; 6: More than one every day</v>
      </c>
      <c r="O623" s="2" t="str">
        <f t="shared" si="9"/>
        <v>1: Never
 2: Rarely
 3: Once a week
 4: Two or three a week
 5: Almost every day
 6: More than one every day</v>
      </c>
    </row>
    <row r="624" spans="1:15" ht="57.6" hidden="1" x14ac:dyDescent="0.3">
      <c r="A624" t="s">
        <v>7173</v>
      </c>
      <c r="B624" t="s">
        <v>7291</v>
      </c>
      <c r="C624" s="2" t="s">
        <v>7288</v>
      </c>
      <c r="D624" t="s">
        <v>5986</v>
      </c>
      <c r="E624" s="2" t="s">
        <v>7289</v>
      </c>
      <c r="F624" t="s">
        <v>33</v>
      </c>
      <c r="G624" t="str">
        <f>VLOOKUP($F624, codebooks_data_reordered!$A:$I, 2, FALSE)</f>
        <v>2006</v>
      </c>
      <c r="H624" t="str">
        <f>VLOOKUP($F624, codebooks_data_reordered!$A:$I, 3, FALSE)</f>
        <v>Pre-Election Survey</v>
      </c>
      <c r="I624" t="str">
        <f>VLOOKUP($F624, codebooks_data_reordered!$A:$I, 4, FALSE)</f>
        <v>1</v>
      </c>
      <c r="J624" t="str">
        <f>VLOOKUP($F624, codebooks_data_reordered!$A:$I, 5, FALSE)</f>
        <v>10</v>
      </c>
      <c r="K624" t="str">
        <f>VLOOKUP($F624, codebooks_data_reordered!$A:$I, 6, FALSE)</f>
        <v>The way government handles problems</v>
      </c>
      <c r="L624" t="str">
        <f>VLOOKUP($F624, codebooks_data_reordered!$A:$I, 7, FALSE)</f>
        <v>7. What do you think about the way the government is handling the problems that exist in Israel today?</v>
      </c>
      <c r="M624" t="str">
        <f>VLOOKUP($F624, codebooks_data_reordered!$A:$I, 9, FALSE)</f>
        <v>1: Very good way; 2: Good way; 3: Bad way; 4: Very badly</v>
      </c>
      <c r="O624" s="2" t="str">
        <f t="shared" si="9"/>
        <v>1: Very good way
 2: Good way
 3: Bad way
 4: Very badly</v>
      </c>
    </row>
    <row r="625" spans="1:15" ht="28.8" hidden="1" x14ac:dyDescent="0.3">
      <c r="A625" t="s">
        <v>7173</v>
      </c>
      <c r="B625" t="s">
        <v>7292</v>
      </c>
      <c r="C625" s="2" t="s">
        <v>7288</v>
      </c>
      <c r="D625" t="s">
        <v>5986</v>
      </c>
      <c r="E625" s="2" t="s">
        <v>7289</v>
      </c>
      <c r="F625" t="s">
        <v>3102</v>
      </c>
      <c r="G625" t="str">
        <f>VLOOKUP($F625, codebooks_data_reordered!$A:$I, 2, FALSE)</f>
        <v>1988_Panel_N=416</v>
      </c>
      <c r="H625" t="str">
        <f>VLOOKUP($F625, codebooks_data_reordered!$A:$I, 3, FALSE)</f>
        <v>WHICH OF THE FOLLOWING WOULD YOU BE WILLING TO GIVE TO MAINTAIN/STRENGTHEN THE SECURITY</v>
      </c>
      <c r="I625" t="str">
        <f>VLOOKUP($F625, codebooks_data_reordered!$A:$I, 4, FALSE)</f>
        <v>1</v>
      </c>
      <c r="J625" t="str">
        <f>VLOOKUP($F625, codebooks_data_reordered!$A:$I, 5, FALSE)</f>
        <v>101</v>
      </c>
      <c r="K625" t="str">
        <f>VLOOKUP($F625, codebooks_data_reordered!$A:$I, 6, FALSE)</f>
        <v>Is the burden of the military service divided up justly</v>
      </c>
      <c r="L625">
        <f>VLOOKUP($F625, codebooks_data_reordered!$A:$I, 7, FALSE)</f>
        <v>0</v>
      </c>
      <c r="M625" t="str">
        <f>VLOOKUP($F625, codebooks_data_reordered!$A:$I, 9, FALSE)</f>
        <v>1: Just; 2: Unjust</v>
      </c>
      <c r="O625" s="2" t="str">
        <f t="shared" si="9"/>
        <v>1: Just
 2: Unjust</v>
      </c>
    </row>
    <row r="626" spans="1:15" ht="43.2" hidden="1" x14ac:dyDescent="0.3">
      <c r="A626" t="s">
        <v>7173</v>
      </c>
      <c r="B626" t="s">
        <v>7293</v>
      </c>
      <c r="C626" s="2" t="s">
        <v>7294</v>
      </c>
      <c r="D626" t="s">
        <v>5986</v>
      </c>
      <c r="E626" s="2" t="s">
        <v>7295</v>
      </c>
      <c r="F626" t="s">
        <v>5407</v>
      </c>
      <c r="G626" t="str">
        <f>VLOOKUP($F626, codebooks_data_reordered!$A:$I, 2, FALSE)</f>
        <v>1973_5</v>
      </c>
      <c r="H626" t="str">
        <f>VLOOKUP($F626, codebooks_data_reordered!$A:$I, 3, FALSE)</f>
        <v>POLITICAL LEADERS AND HOW INTERVIEWEE RELATES TO THEM, HOW IMPORTANT THIS FACTOR WAS TO INTERVIEWEE'S VOTE</v>
      </c>
      <c r="I626" t="str">
        <f>VLOOKUP($F626, codebooks_data_reordered!$A:$I, 4, FALSE)</f>
        <v>1</v>
      </c>
      <c r="J626" t="str">
        <f>VLOOKUP($F626, codebooks_data_reordered!$A:$I, 5, FALSE)</f>
        <v>52</v>
      </c>
      <c r="K626" t="str">
        <f>VLOOKUP($F626, codebooks_data_reordered!$A:$I, 6, FALSE)</f>
        <v>Party position interviewee identifies with on foreign and security affairs</v>
      </c>
      <c r="L626">
        <f>VLOOKUP($F626, codebooks_data_reordered!$A:$I, 7, FALSE)</f>
        <v>0</v>
      </c>
      <c r="M626" t="str">
        <f>VLOOKUP($F626, codebooks_data_reordered!$A:$I, 9, FALSE)</f>
        <v>1: The Alignment's; 2: The Likud's; 3: The Left's</v>
      </c>
      <c r="O626" s="2" t="str">
        <f t="shared" si="9"/>
        <v>1: The Alignment's
 2: The Likud's
 3: The Left's</v>
      </c>
    </row>
    <row r="627" spans="1:15" ht="28.8" hidden="1" x14ac:dyDescent="0.3">
      <c r="A627" t="s">
        <v>7173</v>
      </c>
      <c r="B627" t="s">
        <v>7296</v>
      </c>
      <c r="C627" s="2" t="s">
        <v>7294</v>
      </c>
      <c r="D627" t="s">
        <v>5986</v>
      </c>
      <c r="E627" s="2" t="s">
        <v>7295</v>
      </c>
      <c r="F627" t="s">
        <v>3813</v>
      </c>
      <c r="G627" t="str">
        <f>VLOOKUP($F627, codebooks_data_reordered!$A:$I, 2, FALSE)</f>
        <v>1988_N=873</v>
      </c>
      <c r="H627" t="str">
        <f>VLOOKUP($F627, codebooks_data_reordered!$A:$I, 3, FALSE)</f>
        <v>FOR WHICH PARTIES WOULD YOU VOTE FOR IF NO LIMITATION IS POSED</v>
      </c>
      <c r="I627" t="str">
        <f>VLOOKUP($F627, codebooks_data_reordered!$A:$I, 4, FALSE)</f>
        <v>1</v>
      </c>
      <c r="J627" t="str">
        <f>VLOOKUP($F627, codebooks_data_reordered!$A:$I, 5, FALSE)</f>
        <v>168-169</v>
      </c>
      <c r="K627" t="str">
        <f>VLOOKUP($F627, codebooks_data_reordered!$A:$I, 6, FALSE)</f>
        <v>Estimate of percentage of public approving breaking off relations with South-Africa,(Precise estimate)</v>
      </c>
      <c r="L627">
        <f>VLOOKUP($F627, codebooks_data_reordered!$A:$I, 7, FALSE)</f>
        <v>0</v>
      </c>
      <c r="M627" t="str">
        <f>VLOOKUP($F627, codebooks_data_reordered!$A:$I, 9, FALSE)</f>
        <v>0: Minority; 99: Majority</v>
      </c>
      <c r="O627" s="2" t="str">
        <f t="shared" si="9"/>
        <v>0: Minority
 99: Majority</v>
      </c>
    </row>
    <row r="628" spans="1:15" ht="72" hidden="1" x14ac:dyDescent="0.3">
      <c r="A628" t="s">
        <v>7173</v>
      </c>
      <c r="B628" t="s">
        <v>7297</v>
      </c>
      <c r="C628" s="2" t="s">
        <v>7294</v>
      </c>
      <c r="D628" t="s">
        <v>5986</v>
      </c>
      <c r="E628" s="2" t="s">
        <v>7295</v>
      </c>
      <c r="F628" t="s">
        <v>3680</v>
      </c>
      <c r="G628" t="str">
        <f>VLOOKUP($F628, codebooks_data_reordered!$A:$I, 2, FALSE)</f>
        <v>1988_N=873</v>
      </c>
      <c r="H628" t="str">
        <f>VLOOKUP($F628, codebooks_data_reordered!$A:$I, 3, FALSE)</f>
        <v>EFFECT OF INTIFADAH ON FOLLOWING ISSUES</v>
      </c>
      <c r="I628" t="str">
        <f>VLOOKUP($F628, codebooks_data_reordered!$A:$I, 4, FALSE)</f>
        <v>1</v>
      </c>
      <c r="J628" t="str">
        <f>VLOOKUP($F628, codebooks_data_reordered!$A:$I, 5, FALSE)</f>
        <v>43</v>
      </c>
      <c r="K628" t="str">
        <f>VLOOKUP($F628, codebooks_data_reordered!$A:$I, 6, FALSE)</f>
        <v>Effect of Intifadah on evaluation of political situation and degree of security</v>
      </c>
      <c r="L628">
        <f>VLOOKUP($F628, codebooks_data_reordered!$A:$I, 7, FALSE)</f>
        <v>0</v>
      </c>
      <c r="M628" t="str">
        <f>VLOOKUP($F628, codebooks_data_reordered!$A:$I, 9, FALSE)</f>
        <v>1: No change; 2: More ready for concessions; 3: Less ready for concessions</v>
      </c>
      <c r="O628" s="2" t="str">
        <f t="shared" si="9"/>
        <v>1: No change
 2: More ready for concessions
 3: Less ready for concessions</v>
      </c>
    </row>
    <row r="629" spans="1:15" ht="57.6" hidden="1" x14ac:dyDescent="0.3">
      <c r="A629" t="s">
        <v>7173</v>
      </c>
      <c r="B629" t="s">
        <v>7298</v>
      </c>
      <c r="C629" s="2" t="s">
        <v>7299</v>
      </c>
      <c r="D629" t="s">
        <v>5986</v>
      </c>
      <c r="E629" s="2" t="s">
        <v>7300</v>
      </c>
      <c r="F629" t="s">
        <v>2144</v>
      </c>
      <c r="G629" t="str">
        <f>VLOOKUP($F629, codebooks_data_reordered!$A:$I, 2, FALSE)</f>
        <v>1999_1</v>
      </c>
      <c r="H629" t="str">
        <f>VLOOKUP($F629, codebooks_data_reordered!$A:$I, 3, FALSE)</f>
        <v>IMPACT OF MEDIA</v>
      </c>
      <c r="I629" t="str">
        <f>VLOOKUP($F629, codebooks_data_reordered!$A:$I, 4, FALSE)</f>
        <v>3</v>
      </c>
      <c r="J629" t="str">
        <f>VLOOKUP($F629, codebooks_data_reordered!$A:$I, 5, FALSE)</f>
        <v>9</v>
      </c>
      <c r="K629" t="str">
        <f>VLOOKUP($F629, codebooks_data_reordered!$A:$I, 6, FALSE)</f>
        <v>Belief that election polls influence voting</v>
      </c>
      <c r="L629">
        <f>VLOOKUP($F629, codebooks_data_reordered!$A:$I, 7, FALSE)</f>
        <v>0</v>
      </c>
      <c r="M629" t="str">
        <f>VLOOKUP($F629, codebooks_data_reordered!$A:$I, 9, FALSE)</f>
        <v>1: Very much; 2: To some extent; 3: A little; 4: Not at all</v>
      </c>
      <c r="O629" s="2" t="str">
        <f t="shared" si="9"/>
        <v>1: Very much
 2: To some extent
 3: A little
 4: Not at all</v>
      </c>
    </row>
    <row r="630" spans="1:15" ht="72" hidden="1" x14ac:dyDescent="0.3">
      <c r="A630" t="s">
        <v>7173</v>
      </c>
      <c r="B630" t="s">
        <v>7301</v>
      </c>
      <c r="C630" s="2" t="s">
        <v>7299</v>
      </c>
      <c r="D630" t="s">
        <v>5986</v>
      </c>
      <c r="E630" s="2" t="s">
        <v>7300</v>
      </c>
      <c r="F630" t="s">
        <v>522</v>
      </c>
      <c r="G630" t="str">
        <f>VLOOKUP($F630, codebooks_data_reordered!$A:$I, 2, FALSE)</f>
        <v>2006</v>
      </c>
      <c r="H630" t="str">
        <f>VLOOKUP($F630, codebooks_data_reordered!$A:$I, 3, FALSE)</f>
        <v>Most/Less Suitable Characteristic of the Party</v>
      </c>
      <c r="I630" t="str">
        <f>VLOOKUP($F630, codebooks_data_reordered!$A:$I, 4, FALSE)</f>
        <v>1</v>
      </c>
      <c r="J630" t="str">
        <f>VLOOKUP($F630, codebooks_data_reordered!$A:$I, 5, FALSE)</f>
        <v>166</v>
      </c>
      <c r="K630" t="str">
        <f>VLOOKUP($F630, codebooks_data_reordered!$A:$I, 6, FALSE)</f>
        <v>Least suitable characteristic of the party: Prefers the country</v>
      </c>
      <c r="L630" t="str">
        <f>VLOOKUP($F630,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v>
      </c>
      <c r="M630" t="str">
        <f>VLOOKUP($F630, codebooks_data_reordered!$A:$I, 9, FALSE)</f>
        <v>1: Olmert; 2: Netanyahu; 3: Peretz; 4: All; 5: None</v>
      </c>
      <c r="O630" s="2" t="str">
        <f t="shared" si="9"/>
        <v>1: Olmert
 2: Netanyahu
 3: Peretz
 4: All
 5: None</v>
      </c>
    </row>
    <row r="631" spans="1:15" ht="187.2" hidden="1" x14ac:dyDescent="0.3">
      <c r="A631" t="s">
        <v>7173</v>
      </c>
      <c r="B631" t="s">
        <v>7302</v>
      </c>
      <c r="C631" s="2" t="s">
        <v>7299</v>
      </c>
      <c r="D631" t="s">
        <v>5986</v>
      </c>
      <c r="E631" s="2" t="s">
        <v>7300</v>
      </c>
      <c r="F631" t="s">
        <v>541</v>
      </c>
      <c r="G631" t="str">
        <f>VLOOKUP($F631, codebooks_data_reordered!$A:$I, 2, FALSE)</f>
        <v>2006</v>
      </c>
      <c r="H631" t="str">
        <f>VLOOKUP($F631, codebooks_data_reordered!$A:$I, 3, FALSE)</f>
        <v>Most/Less Suitable Characteristic of the Party</v>
      </c>
      <c r="I631" t="str">
        <f>VLOOKUP($F631, codebooks_data_reordered!$A:$I, 4, FALSE)</f>
        <v>1</v>
      </c>
      <c r="J631" t="str">
        <f>VLOOKUP($F631, codebooks_data_reordered!$A:$I, 5, FALSE)</f>
        <v>171</v>
      </c>
      <c r="K631" t="str">
        <f>VLOOKUP($F631, codebooks_data_reordered!$A:$I, 6, FALSE)</f>
        <v>Issues at the center of campaign</v>
      </c>
      <c r="L631" t="str">
        <f>VLOOKUP($F631, codebooks_data_reordered!$A:$I, 7, FALSE)</f>
        <v>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v>
      </c>
      <c r="M631" t="str">
        <f>VLOOKUP($F631, codebooks_data_reordered!$A:$I, 9, FALSE)</f>
        <v>1: Peace process with the Palestinians; 2: The security situation; 3: Socio-economic situation; 4: Relationships between religious and nonreligious; 5: Corruption and the rule of law; 6: The unity of the people; 7: Other; 8: Do not know; 9: More than one answer</v>
      </c>
      <c r="O631" s="2" t="str">
        <f t="shared" si="9"/>
        <v>1: Peace process with the Palestinians
 2: The security situation
 3: Socio-economic situation
 4: Relationships between religious and nonreligious
 5: Corruption and the rule of law
 6: The unity of the people
 7: Other
 8: Do not know
 9: More than one answer</v>
      </c>
    </row>
    <row r="632" spans="1:15" ht="100.8" hidden="1" x14ac:dyDescent="0.3">
      <c r="A632" t="s">
        <v>7173</v>
      </c>
      <c r="B632" t="s">
        <v>7303</v>
      </c>
      <c r="C632" s="2" t="s">
        <v>7304</v>
      </c>
      <c r="D632" t="s">
        <v>5843</v>
      </c>
      <c r="E632" s="2" t="s">
        <v>7305</v>
      </c>
      <c r="F632" t="s">
        <v>1656</v>
      </c>
      <c r="G632" t="str">
        <f>VLOOKUP($F632, codebooks_data_reordered!$A:$I, 2, FALSE)</f>
        <v>2003</v>
      </c>
      <c r="H632" t="str">
        <f>VLOOKUP($F632, codebooks_data_reordered!$A:$I, 3, FALSE)</f>
        <v>Likelihood for parties to be in the coalition</v>
      </c>
      <c r="I632" t="str">
        <f>VLOOKUP($F632, codebooks_data_reordered!$A:$I, 4, FALSE)</f>
        <v>1</v>
      </c>
      <c r="J632" t="str">
        <f>VLOOKUP($F632, codebooks_data_reordered!$A:$I, 5, FALSE)</f>
        <v>122-124</v>
      </c>
      <c r="K632" t="str">
        <f>VLOOKUP($F632, codebooks_data_reordered!$A:$I, 6, FALSE)</f>
        <v>Likelihood for Meretz to be in the coalition (%)</v>
      </c>
      <c r="L632" t="str">
        <f>VLOOKUP($F632, codebooks_data_reordered!$A:$I, 7, FALSE)</f>
        <v>On a scale from 0 -100, how likely is it that Meretz will be in the governing coalition? Asked only in first survey</v>
      </c>
      <c r="M632">
        <f>VLOOKUP($F632, codebooks_data_reordered!$A:$I, 9, FALSE)</f>
        <v>0</v>
      </c>
      <c r="O632" s="2" t="str">
        <f t="shared" si="9"/>
        <v>0</v>
      </c>
    </row>
    <row r="633" spans="1:15" ht="409.6" hidden="1" x14ac:dyDescent="0.3">
      <c r="A633" t="s">
        <v>7173</v>
      </c>
      <c r="B633" t="s">
        <v>7306</v>
      </c>
      <c r="C633" s="2" t="s">
        <v>7307</v>
      </c>
      <c r="D633" t="s">
        <v>5843</v>
      </c>
      <c r="E633" s="2" t="s">
        <v>7308</v>
      </c>
      <c r="F633" t="s">
        <v>2159</v>
      </c>
      <c r="G633" t="str">
        <f>VLOOKUP($F633, codebooks_data_reordered!$A:$I, 2, FALSE)</f>
        <v>1999_1</v>
      </c>
      <c r="H633" t="str">
        <f>VLOOKUP($F633, codebooks_data_reordered!$A:$I, 3, FALSE)</f>
        <v>VOTING PATTERNS</v>
      </c>
      <c r="I633" t="str">
        <f>VLOOKUP($F633, codebooks_data_reordered!$A:$I, 4, FALSE)</f>
        <v>3</v>
      </c>
      <c r="J633" t="str">
        <f>VLOOKUP($F633, codebooks_data_reordered!$A:$I, 5, FALSE)</f>
        <v>15-16</v>
      </c>
      <c r="K633" t="str">
        <f>VLOOKUP($F633, codebooks_data_reordered!$A:$I, 6, FALSE)</f>
        <v>Party vote, if elections were held today</v>
      </c>
      <c r="L633">
        <f>VLOOKUP($F633, codebooks_data_reordered!$A:$I, 7, FALSE)</f>
        <v>0</v>
      </c>
      <c r="M633" t="str">
        <f>VLOOKUP($F633, codebooks_data_reordered!$A:$I, 9, FALSE)</f>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c r="O633" s="2" t="str">
        <f t="shared" si="9"/>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row>
    <row r="634" spans="1:15" ht="72" hidden="1" x14ac:dyDescent="0.3">
      <c r="A634" t="s">
        <v>7173</v>
      </c>
      <c r="B634" t="s">
        <v>7309</v>
      </c>
      <c r="C634" s="2" t="s">
        <v>7310</v>
      </c>
      <c r="D634" t="s">
        <v>5843</v>
      </c>
      <c r="E634" s="2" t="s">
        <v>7311</v>
      </c>
      <c r="F634" t="s">
        <v>2533</v>
      </c>
      <c r="G634" t="str">
        <f>VLOOKUP($F634, codebooks_data_reordered!$A:$I, 2, FALSE)</f>
        <v>1996_Jews</v>
      </c>
      <c r="H634" t="str">
        <f>VLOOKUP($F634, codebooks_data_reordered!$A:$I, 3, FALSE)</f>
        <v>WHICH PM CANDID. BEST SUITS EACH DESCRIPTION?</v>
      </c>
      <c r="I634" t="str">
        <f>VLOOKUP($F634, codebooks_data_reordered!$A:$I, 4, FALSE)</f>
        <v>1</v>
      </c>
      <c r="J634" t="str">
        <f>VLOOKUP($F634, codebooks_data_reordered!$A:$I, 5, FALSE)</f>
        <v>176</v>
      </c>
      <c r="K634" t="str">
        <f>VLOOKUP($F634, codebooks_data_reordered!$A:$I, 6, FALSE)</f>
        <v>Would vote for Likud, Tzomet or Gesger?</v>
      </c>
      <c r="L634">
        <f>VLOOKUP($F634, codebooks_data_reordered!$A:$I, 7, FALSE)</f>
        <v>0</v>
      </c>
      <c r="M634" t="str">
        <f>VLOOKUP($F634, codebooks_data_reordered!$A:$I, 9, FALSE)</f>
        <v>1: Likud; 2: Tzomet; 3: Gesher; 4: Another party; 5: Don't know</v>
      </c>
      <c r="O634" s="2" t="str">
        <f t="shared" si="9"/>
        <v>1: Likud
 2: Tzomet
 3: Gesher
 4: Another party
 5: Don't know</v>
      </c>
    </row>
    <row r="635" spans="1:15" ht="409.6" hidden="1" x14ac:dyDescent="0.3">
      <c r="A635" t="s">
        <v>7173</v>
      </c>
      <c r="B635" t="s">
        <v>7312</v>
      </c>
      <c r="C635" s="2" t="s">
        <v>7313</v>
      </c>
      <c r="D635" t="s">
        <v>5843</v>
      </c>
      <c r="E635" s="2" t="s">
        <v>7314</v>
      </c>
      <c r="F635" t="s">
        <v>1717</v>
      </c>
      <c r="G635" t="str">
        <f>VLOOKUP($F635, codebooks_data_reordered!$A:$I, 2, FALSE)</f>
        <v>2003</v>
      </c>
      <c r="H635" t="str">
        <f>VLOOKUP($F635, codebooks_data_reordered!$A:$I, 3, FALSE)</f>
        <v>Preference for each of the following coalitions</v>
      </c>
      <c r="I635" t="str">
        <f>VLOOKUP($F635, codebooks_data_reordered!$A:$I, 4, FALSE)</f>
        <v>1</v>
      </c>
      <c r="J635" t="str">
        <f>VLOOKUP($F635, codebooks_data_reordered!$A:$I, 5, FALSE)</f>
        <v>175-176</v>
      </c>
      <c r="K635" t="str">
        <f>VLOOKUP($F635, codebooks_data_reordered!$A:$I, 6, FALSE)</f>
        <v>Respondent party vote if elections for PM were also held</v>
      </c>
      <c r="L635" t="str">
        <f>VLOOKUP($F635, codebooks_data_reordered!$A:$I, 7, FALSE)</f>
        <v>And for the Knesset?</v>
      </c>
      <c r="M635" t="str">
        <f>VLOOKUP($F635, codebooks_data_reordered!$A:$I, 9, FALSE)</f>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c r="O635" s="2" t="str">
        <f t="shared" si="9"/>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row>
    <row r="636" spans="1:15" ht="100.8" hidden="1" x14ac:dyDescent="0.3">
      <c r="A636" t="s">
        <v>7173</v>
      </c>
      <c r="B636" t="s">
        <v>6302</v>
      </c>
      <c r="C636" s="2" t="s">
        <v>7315</v>
      </c>
      <c r="D636" t="s">
        <v>5843</v>
      </c>
      <c r="E636" s="2" t="s">
        <v>7316</v>
      </c>
      <c r="F636" t="s">
        <v>1663</v>
      </c>
      <c r="G636" t="str">
        <f>VLOOKUP($F636, codebooks_data_reordered!$A:$I, 2, FALSE)</f>
        <v>2001</v>
      </c>
      <c r="H636" t="str">
        <f>VLOOKUP($F636, codebooks_data_reordered!$A:$I, 3, FALSE)</f>
        <v>General political attitudes and behavior</v>
      </c>
      <c r="I636" t="str">
        <f>VLOOKUP($F636, codebooks_data_reordered!$A:$I, 4, FALSE)</f>
        <v>1</v>
      </c>
      <c r="J636" t="str">
        <f>VLOOKUP($F636, codebooks_data_reordered!$A:$I, 5, FALSE)</f>
        <v>111</v>
      </c>
      <c r="K636" t="str">
        <f>VLOOKUP($F636, codebooks_data_reordered!$A:$I, 6, FALSE)</f>
        <v>Whom do you expect to win the PM elections?</v>
      </c>
      <c r="L636">
        <f>VLOOKUP($F636, codebooks_data_reordered!$A:$I, 7, FALSE)</f>
        <v>0</v>
      </c>
      <c r="M636" t="str">
        <f>VLOOKUP($F636, codebooks_data_reordered!$A:$I, 9, FALSE)</f>
        <v>1: Sharon; 2: Barak</v>
      </c>
      <c r="O636" s="2" t="str">
        <f t="shared" si="9"/>
        <v>1: Sharon
 2: Barak</v>
      </c>
    </row>
    <row r="637" spans="1:15" ht="144" hidden="1" x14ac:dyDescent="0.3">
      <c r="A637" t="s">
        <v>7173</v>
      </c>
      <c r="B637" t="s">
        <v>6305</v>
      </c>
      <c r="C637" s="2" t="s">
        <v>7317</v>
      </c>
      <c r="D637" t="s">
        <v>5843</v>
      </c>
      <c r="E637" s="2" t="s">
        <v>7318</v>
      </c>
      <c r="F637" t="s">
        <v>2165</v>
      </c>
      <c r="G637" t="str">
        <f>VLOOKUP($F637, codebooks_data_reordered!$A:$I, 2, FALSE)</f>
        <v>1999_1</v>
      </c>
      <c r="H637" t="str">
        <f>VLOOKUP($F637, codebooks_data_reordered!$A:$I, 3, FALSE)</f>
        <v>VOTING PATTERNS</v>
      </c>
      <c r="I637" t="str">
        <f>VLOOKUP($F637, codebooks_data_reordered!$A:$I, 4, FALSE)</f>
        <v>3</v>
      </c>
      <c r="J637" t="str">
        <f>VLOOKUP($F637, codebooks_data_reordered!$A:$I, 5, FALSE)</f>
        <v>19</v>
      </c>
      <c r="K637" t="str">
        <f>VLOOKUP($F637, codebooks_data_reordered!$A:$I, 6, FALSE)</f>
        <v>Whom do you expect to win the PM elections?</v>
      </c>
      <c r="L637">
        <f>VLOOKUP($F637, codebooks_data_reordered!$A:$I, 7, FALSE)</f>
        <v>0</v>
      </c>
      <c r="M637" t="str">
        <f>VLOOKUP($F637, codebooks_data_reordered!$A:$I, 9, FALSE)</f>
        <v>1: Netanyahu; 2: Barak; 3: Mordechai</v>
      </c>
      <c r="O637" s="2" t="str">
        <f t="shared" si="9"/>
        <v>1: Netanyahu
 2: Barak
 3: Mordechai</v>
      </c>
    </row>
    <row r="638" spans="1:15" ht="144" hidden="1" x14ac:dyDescent="0.3">
      <c r="A638" t="s">
        <v>7173</v>
      </c>
      <c r="B638" t="s">
        <v>6308</v>
      </c>
      <c r="C638" s="2" t="s">
        <v>7319</v>
      </c>
      <c r="D638" t="s">
        <v>5843</v>
      </c>
      <c r="E638" s="2" t="s">
        <v>7320</v>
      </c>
      <c r="F638" t="s">
        <v>2162</v>
      </c>
      <c r="G638" t="str">
        <f>VLOOKUP($F638, codebooks_data_reordered!$A:$I, 2, FALSE)</f>
        <v>1999_1</v>
      </c>
      <c r="H638" t="str">
        <f>VLOOKUP($F638, codebooks_data_reordered!$A:$I, 3, FALSE)</f>
        <v>VOTING PATTERNS</v>
      </c>
      <c r="I638" t="str">
        <f>VLOOKUP($F638, codebooks_data_reordered!$A:$I, 4, FALSE)</f>
        <v>3</v>
      </c>
      <c r="J638" t="str">
        <f>VLOOKUP($F638, codebooks_data_reordered!$A:$I, 5, FALSE)</f>
        <v>17</v>
      </c>
      <c r="K638" t="str">
        <f>VLOOKUP($F638, codebooks_data_reordered!$A:$I, 6, FALSE)</f>
        <v>Vote for PM, if election were held today</v>
      </c>
      <c r="L638">
        <f>VLOOKUP($F638, codebooks_data_reordered!$A:$I, 7, FALSE)</f>
        <v>0</v>
      </c>
      <c r="M638" t="str">
        <f>VLOOKUP($F638, codebooks_data_reordered!$A:$I, 9, FALSE)</f>
        <v>0: Haven't decided yet; 1: Netanyahu; 2: Barak; 3: Mordechai; 4: Begin; 5: Bashara; 6: Raful; 7: Other; 8: Blank note; 9: Won't vote</v>
      </c>
      <c r="O638" s="2" t="str">
        <f t="shared" si="9"/>
        <v>0: Haven't decided yet
 1: Netanyahu
 2: Barak
 3: Mordechai
 4: Begin
 5: Bashara
 6: Raful
 7: Other
 8: Blank note
 9: Won't vote</v>
      </c>
    </row>
    <row r="639" spans="1:15" ht="43.2" hidden="1" x14ac:dyDescent="0.3">
      <c r="A639" t="s">
        <v>7173</v>
      </c>
      <c r="B639" t="s">
        <v>5968</v>
      </c>
      <c r="C639" s="2" t="s">
        <v>7321</v>
      </c>
      <c r="D639" t="s">
        <v>5986</v>
      </c>
      <c r="E639" s="2" t="s">
        <v>7322</v>
      </c>
      <c r="F639" t="s">
        <v>9269</v>
      </c>
      <c r="G639" t="e">
        <f>VLOOKUP($F639, codebooks_data_reordered!$A:$I, 2, FALSE)</f>
        <v>#N/A</v>
      </c>
      <c r="H639" t="e">
        <f>VLOOKUP($F639, codebooks_data_reordered!$A:$I, 3, FALSE)</f>
        <v>#N/A</v>
      </c>
      <c r="I639" t="e">
        <f>VLOOKUP($F639, codebooks_data_reordered!$A:$I, 4, FALSE)</f>
        <v>#N/A</v>
      </c>
      <c r="J639" t="e">
        <f>VLOOKUP($F639, codebooks_data_reordered!$A:$I, 5, FALSE)</f>
        <v>#N/A</v>
      </c>
      <c r="K639" t="e">
        <f>VLOOKUP($F639, codebooks_data_reordered!$A:$I, 6, FALSE)</f>
        <v>#N/A</v>
      </c>
      <c r="L639" t="e">
        <f>VLOOKUP($F639, codebooks_data_reordered!$A:$I, 7, FALSE)</f>
        <v>#N/A</v>
      </c>
      <c r="M639" t="e">
        <f>VLOOKUP($F639, codebooks_data_reordered!$A:$I, 9, FALSE)</f>
        <v>#N/A</v>
      </c>
      <c r="O639" t="e">
        <f t="shared" si="9"/>
        <v>#N/A</v>
      </c>
    </row>
    <row r="640" spans="1:15" ht="302.39999999999998" hidden="1" x14ac:dyDescent="0.3">
      <c r="A640" t="s">
        <v>7173</v>
      </c>
      <c r="B640" t="s">
        <v>6317</v>
      </c>
      <c r="C640" s="2" t="s">
        <v>7275</v>
      </c>
      <c r="D640" t="s">
        <v>5986</v>
      </c>
      <c r="E640" s="2" t="s">
        <v>7276</v>
      </c>
      <c r="F640" t="s">
        <v>2557</v>
      </c>
      <c r="G640" t="str">
        <f>VLOOKUP($F640, codebooks_data_reordered!$A:$I, 2, FALSE)</f>
        <v>1996_Jews</v>
      </c>
      <c r="H640" t="str">
        <f>VLOOKUP($F640, codebooks_data_reordered!$A:$I, 3, FALSE)</f>
        <v>WHICH PM CANDID. BEST SUITS EACH DESCRIPTION?</v>
      </c>
      <c r="I640" t="str">
        <f>VLOOKUP($F640, codebooks_data_reordered!$A:$I, 4, FALSE)</f>
        <v>1</v>
      </c>
      <c r="J640" t="str">
        <f>VLOOKUP($F640, codebooks_data_reordered!$A:$I, 5, FALSE)</f>
        <v>186-187</v>
      </c>
      <c r="K640" t="str">
        <f>VLOOKUP($F640, codebooks_data_reordered!$A:$I, 6, FALSE)</f>
        <v>Vote for party in last elections (1992)</v>
      </c>
      <c r="L640">
        <f>VLOOKUP($F640, codebooks_data_reordered!$A:$I, 7, FALSE)</f>
        <v>0</v>
      </c>
      <c r="M640" t="str">
        <f>VLOOKUP($F640, codebooks_data_reordered!$A:$I, 9, FALSE)</f>
        <v>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v>
      </c>
      <c r="O640" s="2" t="str">
        <f t="shared" si="9"/>
        <v>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v>
      </c>
    </row>
    <row r="641" spans="1:15" ht="28.8" hidden="1" x14ac:dyDescent="0.3">
      <c r="A641" t="s">
        <v>7173</v>
      </c>
      <c r="B641" t="s">
        <v>6941</v>
      </c>
      <c r="C641" s="2" t="s">
        <v>7288</v>
      </c>
      <c r="D641" t="s">
        <v>5986</v>
      </c>
      <c r="E641" s="2" t="s">
        <v>7289</v>
      </c>
      <c r="F641" t="s">
        <v>3492</v>
      </c>
      <c r="G641" t="str">
        <f>VLOOKUP($F641, codebooks_data_reordered!$A:$I, 2, FALSE)</f>
        <v>2003</v>
      </c>
      <c r="H641" t="str">
        <f>VLOOKUP($F641, codebooks_data_reordered!$A:$I, 3, FALSE)</f>
        <v>Respondent's demographic details</v>
      </c>
      <c r="I641" t="str">
        <f>VLOOKUP($F641, codebooks_data_reordered!$A:$I, 4, FALSE)</f>
        <v>1</v>
      </c>
      <c r="J641" t="str">
        <f>VLOOKUP($F641, codebooks_data_reordered!$A:$I, 5, FALSE)</f>
        <v>205-206</v>
      </c>
      <c r="K641" t="str">
        <f>VLOOKUP($F641, codebooks_data_reordered!$A:$I, 6, FALSE)</f>
        <v>Day of interview</v>
      </c>
      <c r="L641" t="str">
        <f>VLOOKUP($F641, codebooks_data_reordered!$A:$I, 7, FALSE)</f>
        <v>Date of interview - day</v>
      </c>
      <c r="M641">
        <f>VLOOKUP($F641, codebooks_data_reordered!$A:$I, 9, FALSE)</f>
        <v>0</v>
      </c>
      <c r="O641" s="2" t="str">
        <f t="shared" si="9"/>
        <v>0</v>
      </c>
    </row>
    <row r="642" spans="1:15" ht="28.8" hidden="1" x14ac:dyDescent="0.3">
      <c r="A642" t="s">
        <v>7173</v>
      </c>
      <c r="B642" t="s">
        <v>7323</v>
      </c>
      <c r="C642" s="2" t="s">
        <v>7288</v>
      </c>
      <c r="D642" t="s">
        <v>5986</v>
      </c>
      <c r="E642" s="2" t="s">
        <v>7289</v>
      </c>
      <c r="F642" t="s">
        <v>9270</v>
      </c>
      <c r="G642" t="e">
        <f>VLOOKUP($F642, codebooks_data_reordered!$A:$I, 2, FALSE)</f>
        <v>#N/A</v>
      </c>
      <c r="H642" t="e">
        <f>VLOOKUP($F642, codebooks_data_reordered!$A:$I, 3, FALSE)</f>
        <v>#N/A</v>
      </c>
      <c r="I642" t="e">
        <f>VLOOKUP($F642, codebooks_data_reordered!$A:$I, 4, FALSE)</f>
        <v>#N/A</v>
      </c>
      <c r="J642" t="e">
        <f>VLOOKUP($F642, codebooks_data_reordered!$A:$I, 5, FALSE)</f>
        <v>#N/A</v>
      </c>
      <c r="K642" t="e">
        <f>VLOOKUP($F642, codebooks_data_reordered!$A:$I, 6, FALSE)</f>
        <v>#N/A</v>
      </c>
      <c r="L642" t="e">
        <f>VLOOKUP($F642, codebooks_data_reordered!$A:$I, 7, FALSE)</f>
        <v>#N/A</v>
      </c>
      <c r="M642" t="e">
        <f>VLOOKUP($F642, codebooks_data_reordered!$A:$I, 9, FALSE)</f>
        <v>#N/A</v>
      </c>
      <c r="O642" t="e">
        <f t="shared" ref="O642:O705" si="10">SUBSTITUTE(M642, ";", CHAR(10))</f>
        <v>#N/A</v>
      </c>
    </row>
    <row r="643" spans="1:15" ht="57.6" hidden="1" x14ac:dyDescent="0.3">
      <c r="A643" t="s">
        <v>7173</v>
      </c>
      <c r="B643" t="s">
        <v>7324</v>
      </c>
      <c r="C643" s="2" t="s">
        <v>7288</v>
      </c>
      <c r="D643" t="s">
        <v>5986</v>
      </c>
      <c r="E643" s="2" t="s">
        <v>7289</v>
      </c>
      <c r="F643" t="s">
        <v>3158</v>
      </c>
      <c r="G643" t="str">
        <f>VLOOKUP($F643, codebooks_data_reordered!$A:$I, 2, FALSE)</f>
        <v>1988_Panel_N=416</v>
      </c>
      <c r="H643" t="str">
        <f>VLOOKUP($F643, codebooks_data_reordered!$A:$I, 3, FALSE)</f>
        <v>THE EXTENT OF APPROVAL OF THE FOLLOWING</v>
      </c>
      <c r="I643" t="str">
        <f>VLOOKUP($F643, codebooks_data_reordered!$A:$I, 4, FALSE)</f>
        <v>1</v>
      </c>
      <c r="J643" t="str">
        <f>VLOOKUP($F643, codebooks_data_reordered!$A:$I, 5, FALSE)</f>
        <v>122</v>
      </c>
      <c r="K643" t="str">
        <f>VLOOKUP($F643, codebooks_data_reordered!$A:$I, 6, FALSE)</f>
        <v>I would die for my country</v>
      </c>
      <c r="L643">
        <f>VLOOKUP($F643, codebooks_data_reordered!$A:$I, 7, FALSE)</f>
        <v>0</v>
      </c>
      <c r="M643" t="str">
        <f>VLOOKUP($F643, codebooks_data_reordered!$A:$I, 9, FALSE)</f>
        <v>1: Definitely agrees; 2: Agrees; 3: Disagrees; 4: Definitely disagrees</v>
      </c>
      <c r="O643" s="2" t="str">
        <f t="shared" si="10"/>
        <v>1: Definitely agrees
 2: Agrees
 3: Disagrees
 4: Definitely disagrees</v>
      </c>
    </row>
    <row r="644" spans="1:15" ht="28.8" hidden="1" x14ac:dyDescent="0.3">
      <c r="A644" t="s">
        <v>7173</v>
      </c>
      <c r="B644" t="s">
        <v>7325</v>
      </c>
      <c r="C644" s="2" t="s">
        <v>7294</v>
      </c>
      <c r="D644" t="s">
        <v>5986</v>
      </c>
      <c r="E644" s="2" t="s">
        <v>7295</v>
      </c>
      <c r="F644" t="s">
        <v>3105</v>
      </c>
      <c r="G644" t="str">
        <f>VLOOKUP($F644, codebooks_data_reordered!$A:$I, 2, FALSE)</f>
        <v>1988_Panel_N=416</v>
      </c>
      <c r="H644" t="str">
        <f>VLOOKUP($F644, codebooks_data_reordered!$A:$I, 3, FALSE)</f>
        <v>WHICH OF THE FOLLOWING WOULD YOU BE WILLING TO GIVE TO MAINTAIN/STRENGTHEN THE SECURITY</v>
      </c>
      <c r="I644" t="str">
        <f>VLOOKUP($F644, codebooks_data_reordered!$A:$I, 4, FALSE)</f>
        <v>1</v>
      </c>
      <c r="J644" t="str">
        <f>VLOOKUP($F644, codebooks_data_reordered!$A:$I, 5, FALSE)</f>
        <v>102</v>
      </c>
      <c r="K644" t="str">
        <f>VLOOKUP($F644, codebooks_data_reordered!$A:$I, 6, FALSE)</f>
        <v>Is the reserve military service used efficiently or wasted</v>
      </c>
      <c r="L644">
        <f>VLOOKUP($F644, codebooks_data_reordered!$A:$I, 7, FALSE)</f>
        <v>0</v>
      </c>
      <c r="M644" t="str">
        <f>VLOOKUP($F644, codebooks_data_reordered!$A:$I, 9, FALSE)</f>
        <v>1: Usually used efficiently; 2: Usually wasted</v>
      </c>
      <c r="O644" s="2" t="str">
        <f t="shared" si="10"/>
        <v>1: Usually used efficiently
 2: Usually wasted</v>
      </c>
    </row>
    <row r="645" spans="1:15" ht="28.8" hidden="1" x14ac:dyDescent="0.3">
      <c r="A645" t="s">
        <v>7173</v>
      </c>
      <c r="B645" t="s">
        <v>7326</v>
      </c>
      <c r="C645" s="2" t="s">
        <v>7251</v>
      </c>
      <c r="D645" t="s">
        <v>5986</v>
      </c>
      <c r="E645" s="2" t="s">
        <v>7252</v>
      </c>
      <c r="F645" t="s">
        <v>9271</v>
      </c>
      <c r="G645" t="e">
        <f>VLOOKUP($F645, codebooks_data_reordered!$A:$I, 2, FALSE)</f>
        <v>#N/A</v>
      </c>
      <c r="H645" t="e">
        <f>VLOOKUP($F645, codebooks_data_reordered!$A:$I, 3, FALSE)</f>
        <v>#N/A</v>
      </c>
      <c r="I645" t="e">
        <f>VLOOKUP($F645, codebooks_data_reordered!$A:$I, 4, FALSE)</f>
        <v>#N/A</v>
      </c>
      <c r="J645" t="e">
        <f>VLOOKUP($F645, codebooks_data_reordered!$A:$I, 5, FALSE)</f>
        <v>#N/A</v>
      </c>
      <c r="K645" t="e">
        <f>VLOOKUP($F645, codebooks_data_reordered!$A:$I, 6, FALSE)</f>
        <v>#N/A</v>
      </c>
      <c r="L645" t="e">
        <f>VLOOKUP($F645, codebooks_data_reordered!$A:$I, 7, FALSE)</f>
        <v>#N/A</v>
      </c>
      <c r="M645" t="e">
        <f>VLOOKUP($F645, codebooks_data_reordered!$A:$I, 9, FALSE)</f>
        <v>#N/A</v>
      </c>
      <c r="O645" t="e">
        <f t="shared" si="10"/>
        <v>#N/A</v>
      </c>
    </row>
    <row r="646" spans="1:15" ht="28.8" hidden="1" x14ac:dyDescent="0.3">
      <c r="A646" t="s">
        <v>7173</v>
      </c>
      <c r="B646" t="s">
        <v>5975</v>
      </c>
      <c r="C646" s="2" t="s">
        <v>7294</v>
      </c>
      <c r="D646" t="s">
        <v>5986</v>
      </c>
      <c r="E646" s="2" t="s">
        <v>7295</v>
      </c>
      <c r="F646" t="s">
        <v>3494</v>
      </c>
      <c r="G646" t="str">
        <f>VLOOKUP($F646, codebooks_data_reordered!$A:$I, 2, FALSE)</f>
        <v>2003</v>
      </c>
      <c r="H646" t="str">
        <f>VLOOKUP($F646, codebooks_data_reordered!$A:$I, 3, FALSE)</f>
        <v>Respondent's demographic details</v>
      </c>
      <c r="I646" t="str">
        <f>VLOOKUP($F646, codebooks_data_reordered!$A:$I, 4, FALSE)</f>
        <v>1</v>
      </c>
      <c r="J646" t="str">
        <f>VLOOKUP($F646, codebooks_data_reordered!$A:$I, 5, FALSE)</f>
        <v>207</v>
      </c>
      <c r="K646" t="str">
        <f>VLOOKUP($F646, codebooks_data_reordered!$A:$I, 6, FALSE)</f>
        <v>Month of interview</v>
      </c>
      <c r="L646" t="str">
        <f>VLOOKUP($F646, codebooks_data_reordered!$A:$I, 7, FALSE)</f>
        <v>Date of interview - month</v>
      </c>
      <c r="M646">
        <f>VLOOKUP($F646, codebooks_data_reordered!$A:$I, 9, FALSE)</f>
        <v>0</v>
      </c>
      <c r="O646" s="2" t="str">
        <f t="shared" si="10"/>
        <v>0</v>
      </c>
    </row>
    <row r="647" spans="1:15" ht="388.8" hidden="1" x14ac:dyDescent="0.3">
      <c r="A647" t="s">
        <v>7173</v>
      </c>
      <c r="B647" t="s">
        <v>7327</v>
      </c>
      <c r="C647" s="2" t="s">
        <v>7328</v>
      </c>
      <c r="D647" t="s">
        <v>5843</v>
      </c>
      <c r="E647" s="2" t="s">
        <v>7329</v>
      </c>
      <c r="F647" t="s">
        <v>695</v>
      </c>
      <c r="G647" t="str">
        <f>VLOOKUP($F647, codebooks_data_reordered!$A:$I, 2, FALSE)</f>
        <v>2006</v>
      </c>
      <c r="H647" t="str">
        <f>VLOOKUP($F647, codebooks_data_reordered!$A:$I, 3, FALSE)</f>
        <v>Previous Elections</v>
      </c>
      <c r="I647" t="str">
        <f>VLOOKUP($F647, codebooks_data_reordered!$A:$I, 4, FALSE)</f>
        <v>1</v>
      </c>
      <c r="J647" t="str">
        <f>VLOOKUP($F647, codebooks_data_reordered!$A:$I, 5, FALSE)</f>
        <v>255-256</v>
      </c>
      <c r="K647" t="str">
        <f>VLOOKUP($F647, codebooks_data_reordered!$A:$I, 6, FALSE)</f>
        <v>Vote in 2003 elections</v>
      </c>
      <c r="L647" t="str">
        <f>VLOOKUP($F647, codebooks_data_reordered!$A:$I, 7, FALSE)</f>
        <v>40. For which party did you vote in the previous elections in 2003? (do not read the answers)</v>
      </c>
      <c r="M647" t="str">
        <f>VLOOKUP($F647, codebooks_data_reordered!$A:$I, 9, FALSE)</f>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c r="N647" t="s">
        <v>1515</v>
      </c>
      <c r="O647" s="2" t="str">
        <f t="shared" si="10"/>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row>
    <row r="648" spans="1:15" ht="360" hidden="1" x14ac:dyDescent="0.3">
      <c r="A648" t="s">
        <v>7173</v>
      </c>
      <c r="B648" t="s">
        <v>7330</v>
      </c>
      <c r="C648" s="2" t="s">
        <v>7331</v>
      </c>
      <c r="D648" t="s">
        <v>5843</v>
      </c>
      <c r="E648" s="2" t="s">
        <v>7332</v>
      </c>
      <c r="F648" t="s">
        <v>570</v>
      </c>
      <c r="G648" t="str">
        <f>VLOOKUP($F648, codebooks_data_reordered!$A:$I, 2, FALSE)</f>
        <v>2006</v>
      </c>
      <c r="H648" t="str">
        <f>VLOOKUP($F648, codebooks_data_reordered!$A:$I, 3, FALSE)</f>
        <v>Newspaper/TV</v>
      </c>
      <c r="I648" t="str">
        <f>VLOOKUP($F648, codebooks_data_reordered!$A:$I, 4, FALSE)</f>
        <v>1</v>
      </c>
      <c r="J648" t="str">
        <f>VLOOKUP($F648, codebooks_data_reordered!$A:$I, 5, FALSE)</f>
        <v>178-179</v>
      </c>
      <c r="K648" t="str">
        <f>VLOOKUP($F648, codebooks_data_reordered!$A:$I, 6, FALSE)</f>
        <v>Which TV channel</v>
      </c>
      <c r="L648" t="str">
        <f>VLOOKUP($F648, codebooks_data_reordered!$A:$I, 7, FALSE)</f>
        <v>67. And which TV channel do you usually watch? (do not read)</v>
      </c>
      <c r="M648" t="str">
        <f>VLOOKUP($F648, codebooks_data_reordered!$A:$I, 9, FALSE)</f>
        <v>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v>
      </c>
      <c r="O648" s="2" t="str">
        <f t="shared" si="10"/>
        <v>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v>
      </c>
    </row>
    <row r="649" spans="1:15" ht="57.6" hidden="1" x14ac:dyDescent="0.3">
      <c r="A649" t="s">
        <v>7173</v>
      </c>
      <c r="B649" t="s">
        <v>7333</v>
      </c>
      <c r="C649" s="2" t="s">
        <v>7334</v>
      </c>
      <c r="D649" t="s">
        <v>5843</v>
      </c>
      <c r="E649" s="2" t="s">
        <v>7335</v>
      </c>
      <c r="F649" t="s">
        <v>9272</v>
      </c>
      <c r="G649" t="e">
        <f>VLOOKUP($F649, codebooks_data_reordered!$A:$I, 2, FALSE)</f>
        <v>#N/A</v>
      </c>
      <c r="H649" t="e">
        <f>VLOOKUP($F649, codebooks_data_reordered!$A:$I, 3, FALSE)</f>
        <v>#N/A</v>
      </c>
      <c r="I649" t="e">
        <f>VLOOKUP($F649, codebooks_data_reordered!$A:$I, 4, FALSE)</f>
        <v>#N/A</v>
      </c>
      <c r="J649" t="e">
        <f>VLOOKUP($F649, codebooks_data_reordered!$A:$I, 5, FALSE)</f>
        <v>#N/A</v>
      </c>
      <c r="K649" t="e">
        <f>VLOOKUP($F649, codebooks_data_reordered!$A:$I, 6, FALSE)</f>
        <v>#N/A</v>
      </c>
      <c r="L649" t="e">
        <f>VLOOKUP($F649, codebooks_data_reordered!$A:$I, 7, FALSE)</f>
        <v>#N/A</v>
      </c>
      <c r="M649" t="e">
        <f>VLOOKUP($F649, codebooks_data_reordered!$A:$I, 9, FALSE)</f>
        <v>#N/A</v>
      </c>
      <c r="O649" t="e">
        <f t="shared" si="10"/>
        <v>#N/A</v>
      </c>
    </row>
    <row r="650" spans="1:15" ht="409.6" hidden="1" x14ac:dyDescent="0.3">
      <c r="A650" t="s">
        <v>7173</v>
      </c>
      <c r="B650" t="s">
        <v>7336</v>
      </c>
      <c r="C650" s="2" t="s">
        <v>7337</v>
      </c>
      <c r="D650" t="s">
        <v>5843</v>
      </c>
      <c r="E650" s="2" t="s">
        <v>7338</v>
      </c>
      <c r="F650" t="s">
        <v>9273</v>
      </c>
      <c r="G650" t="e">
        <f>VLOOKUP($F650, codebooks_data_reordered!$A:$I, 2, FALSE)</f>
        <v>#N/A</v>
      </c>
      <c r="H650" t="e">
        <f>VLOOKUP($F650, codebooks_data_reordered!$A:$I, 3, FALSE)</f>
        <v>#N/A</v>
      </c>
      <c r="I650" t="e">
        <f>VLOOKUP($F650, codebooks_data_reordered!$A:$I, 4, FALSE)</f>
        <v>#N/A</v>
      </c>
      <c r="J650" t="e">
        <f>VLOOKUP($F650, codebooks_data_reordered!$A:$I, 5, FALSE)</f>
        <v>#N/A</v>
      </c>
      <c r="K650" t="e">
        <f>VLOOKUP($F650, codebooks_data_reordered!$A:$I, 6, FALSE)</f>
        <v>#N/A</v>
      </c>
      <c r="L650" t="e">
        <f>VLOOKUP($F650, codebooks_data_reordered!$A:$I, 7, FALSE)</f>
        <v>#N/A</v>
      </c>
      <c r="M650" t="e">
        <f>VLOOKUP($F650, codebooks_data_reordered!$A:$I, 9, FALSE)</f>
        <v>#N/A</v>
      </c>
      <c r="O650" t="e">
        <f t="shared" si="10"/>
        <v>#N/A</v>
      </c>
    </row>
    <row r="651" spans="1:15" ht="409.6" hidden="1" x14ac:dyDescent="0.3">
      <c r="A651" t="s">
        <v>7173</v>
      </c>
      <c r="B651" t="s">
        <v>7339</v>
      </c>
      <c r="C651" s="2" t="s">
        <v>7243</v>
      </c>
      <c r="D651" t="s">
        <v>5843</v>
      </c>
      <c r="E651" s="2" t="s">
        <v>7244</v>
      </c>
      <c r="F651" t="s">
        <v>9274</v>
      </c>
      <c r="G651" t="e">
        <f>VLOOKUP($F651, codebooks_data_reordered!$A:$I, 2, FALSE)</f>
        <v>#N/A</v>
      </c>
      <c r="H651" t="e">
        <f>VLOOKUP($F651, codebooks_data_reordered!$A:$I, 3, FALSE)</f>
        <v>#N/A</v>
      </c>
      <c r="I651" t="e">
        <f>VLOOKUP($F651, codebooks_data_reordered!$A:$I, 4, FALSE)</f>
        <v>#N/A</v>
      </c>
      <c r="J651" t="e">
        <f>VLOOKUP($F651, codebooks_data_reordered!$A:$I, 5, FALSE)</f>
        <v>#N/A</v>
      </c>
      <c r="K651" t="e">
        <f>VLOOKUP($F651, codebooks_data_reordered!$A:$I, 6, FALSE)</f>
        <v>#N/A</v>
      </c>
      <c r="L651" t="e">
        <f>VLOOKUP($F651, codebooks_data_reordered!$A:$I, 7, FALSE)</f>
        <v>#N/A</v>
      </c>
      <c r="M651" t="e">
        <f>VLOOKUP($F651, codebooks_data_reordered!$A:$I, 9, FALSE)</f>
        <v>#N/A</v>
      </c>
      <c r="O651" t="e">
        <f t="shared" si="10"/>
        <v>#N/A</v>
      </c>
    </row>
    <row r="652" spans="1:15" ht="43.2" hidden="1" x14ac:dyDescent="0.3">
      <c r="A652" t="s">
        <v>7173</v>
      </c>
      <c r="B652" t="s">
        <v>7340</v>
      </c>
      <c r="C652" s="2" t="s">
        <v>5947</v>
      </c>
      <c r="D652" t="s">
        <v>5843</v>
      </c>
      <c r="E652" s="2" t="s">
        <v>5948</v>
      </c>
      <c r="F652" t="s">
        <v>884</v>
      </c>
      <c r="G652" t="str">
        <f>VLOOKUP($F652, codebooks_data_reordered!$A:$I, 2, FALSE)</f>
        <v>2006</v>
      </c>
      <c r="H652" t="str">
        <f>VLOOKUP($F652, codebooks_data_reordered!$A:$I, 3, FALSE)</f>
        <v>Post-Election Survey</v>
      </c>
      <c r="I652" t="str">
        <f>VLOOKUP($F652, codebooks_data_reordered!$A:$I, 4, FALSE)</f>
        <v>1</v>
      </c>
      <c r="J652" t="str">
        <f>VLOOKUP($F652, codebooks_data_reordered!$A:$I, 5, FALSE)</f>
        <v>321-322</v>
      </c>
      <c r="K652" t="str">
        <f>VLOOKUP($F652, codebooks_data_reordered!$A:$I, 6, FALSE)</f>
        <v>Favored coalition</v>
      </c>
      <c r="L652" t="str">
        <f>VLOOKUP($F652, codebooks_data_reordered!$A:$I, 7, FALSE)</f>
        <v>8. And among the following coalitions, which coalition do you favor? (Interviewer: record the exact answer)</v>
      </c>
      <c r="M652">
        <f>VLOOKUP($F652, codebooks_data_reordered!$A:$I, 9, FALSE)</f>
        <v>0</v>
      </c>
      <c r="O652" s="2" t="str">
        <f t="shared" si="10"/>
        <v>0</v>
      </c>
    </row>
    <row r="653" spans="1:15" ht="57.6" hidden="1" x14ac:dyDescent="0.3">
      <c r="A653" t="s">
        <v>7173</v>
      </c>
      <c r="B653" t="s">
        <v>7341</v>
      </c>
      <c r="C653" s="2" t="s">
        <v>7342</v>
      </c>
      <c r="D653" t="s">
        <v>5843</v>
      </c>
      <c r="E653" s="2" t="s">
        <v>7343</v>
      </c>
      <c r="F653" t="s">
        <v>889</v>
      </c>
      <c r="G653" t="str">
        <f>VLOOKUP($F653, codebooks_data_reordered!$A:$I, 2, FALSE)</f>
        <v>2006</v>
      </c>
      <c r="H653" t="str">
        <f>VLOOKUP($F653, codebooks_data_reordered!$A:$I, 3, FALSE)</f>
        <v>Post-Election Survey</v>
      </c>
      <c r="I653" t="str">
        <f>VLOOKUP($F653, codebooks_data_reordered!$A:$I, 4, FALSE)</f>
        <v>1</v>
      </c>
      <c r="J653" t="str">
        <f>VLOOKUP($F653, codebooks_data_reordered!$A:$I, 5, FALSE)</f>
        <v>323</v>
      </c>
      <c r="K653" t="str">
        <f>VLOOKUP($F653, codebooks_data_reordered!$A:$I, 6, FALSE)</f>
        <v>Pleased with election results</v>
      </c>
      <c r="L653" t="str">
        <f>VLOOKUP($F653, codebooks_data_reordered!$A:$I, 7, FALSE)</f>
        <v>10. In general, are you pleased or not pleased with the election results?</v>
      </c>
      <c r="M653" t="str">
        <f>VLOOKUP($F653, codebooks_data_reordered!$A:$I, 9, FALSE)</f>
        <v>1: Very pleased; 2: Pleased; 3: Not very pleased; 4: Not pleased at all</v>
      </c>
      <c r="O653" s="2" t="str">
        <f t="shared" si="10"/>
        <v>1: Very pleased
 2: Pleased
 3: Not very pleased
 4: Not pleased at all</v>
      </c>
    </row>
    <row r="654" spans="1:15" ht="216" hidden="1" x14ac:dyDescent="0.3">
      <c r="A654" t="s">
        <v>7173</v>
      </c>
      <c r="B654" t="s">
        <v>7344</v>
      </c>
      <c r="C654" s="2" t="s">
        <v>7345</v>
      </c>
      <c r="D654" t="s">
        <v>5843</v>
      </c>
      <c r="E654" s="2" t="s">
        <v>7346</v>
      </c>
      <c r="F654" t="s">
        <v>42</v>
      </c>
      <c r="G654" t="str">
        <f>VLOOKUP($F654, codebooks_data_reordered!$A:$I, 2, FALSE)</f>
        <v>2006</v>
      </c>
      <c r="H654" t="str">
        <f>VLOOKUP($F654, codebooks_data_reordered!$A:$I, 3, FALSE)</f>
        <v>Pre-Election Survey</v>
      </c>
      <c r="I654" t="str">
        <f>VLOOKUP($F654, codebooks_data_reordered!$A:$I, 4, FALSE)</f>
        <v>1</v>
      </c>
      <c r="J654" t="str">
        <f>VLOOKUP($F654, codebooks_data_reordered!$A:$I, 5, FALSE)</f>
        <v>13</v>
      </c>
      <c r="K654" t="str">
        <f>VLOOKUP($F654, codebooks_data_reordered!$A:$I, 6, FALSE)</f>
        <v>Economic situation in past 3 years</v>
      </c>
      <c r="L654" t="str">
        <f>VLOOKUP($F654, codebooks_data_reordered!$A:$I, 7, FALSE)</f>
        <v>10. Do you think that the economic situation in the past 3 years has improved, didn't change, or got worse?</v>
      </c>
      <c r="M654" t="str">
        <f>VLOOKUP($F654, codebooks_data_reordered!$A:$I, 9, FALSE)</f>
        <v>1: Improved a lot; 2: Improved a bit; 3: Didn't change; 4: Got a bit worse; 5: Got much worse</v>
      </c>
      <c r="O654" s="2" t="str">
        <f t="shared" si="10"/>
        <v>1: Improved a lot
 2: Improved a bit
 3: Didn't change
 4: Got a bit worse
 5: Got much worse</v>
      </c>
    </row>
    <row r="655" spans="1:15" ht="86.4" hidden="1" x14ac:dyDescent="0.3">
      <c r="A655" t="s">
        <v>7173</v>
      </c>
      <c r="B655" t="s">
        <v>7347</v>
      </c>
      <c r="C655" s="2" t="s">
        <v>7348</v>
      </c>
      <c r="D655" t="s">
        <v>5843</v>
      </c>
      <c r="E655" s="2" t="s">
        <v>7349</v>
      </c>
      <c r="F655" t="s">
        <v>4938</v>
      </c>
      <c r="G655" t="str">
        <f>VLOOKUP($F655, codebooks_data_reordered!$A:$I, 2, FALSE)</f>
        <v>1973_2</v>
      </c>
      <c r="H655" t="str">
        <f>VLOOKUP($F655, codebooks_data_reordered!$A:$I, 3, FALSE)</f>
        <v>DO YOU AGREE WITH THE FOLLOWING STATEMENT</v>
      </c>
      <c r="I655" t="str">
        <f>VLOOKUP($F655, codebooks_data_reordered!$A:$I, 4, FALSE)</f>
        <v>2</v>
      </c>
      <c r="J655" t="str">
        <f>VLOOKUP($F655, codebooks_data_reordered!$A:$I, 5, FALSE)</f>
        <v>5</v>
      </c>
      <c r="K655" t="str">
        <f>VLOOKUP($F655, codebooks_data_reordered!$A:$I, 6, FALSE)</f>
        <v>To what extent do you think corruption will influence the election results</v>
      </c>
      <c r="L655">
        <f>VLOOKUP($F655, codebooks_data_reordered!$A:$I, 7, FALSE)</f>
        <v>0</v>
      </c>
      <c r="M655" t="str">
        <f>VLOOKUP($F655, codebooks_data_reordered!$A:$I, 9, FALSE)</f>
        <v>0: No answer; 1: To a great extent; 2: To a certain extent; 3: To a small extent; 4: Not at all</v>
      </c>
      <c r="O655" s="2" t="str">
        <f t="shared" si="10"/>
        <v>0: No answer
 1: To a great extent
 2: To a certain extent
 3: To a small extent
 4: Not at all</v>
      </c>
    </row>
    <row r="656" spans="1:15" ht="115.2" hidden="1" x14ac:dyDescent="0.3">
      <c r="A656" t="s">
        <v>7173</v>
      </c>
      <c r="B656" t="s">
        <v>7350</v>
      </c>
      <c r="C656" s="2" t="s">
        <v>7351</v>
      </c>
      <c r="D656" t="s">
        <v>5843</v>
      </c>
      <c r="E656" s="2" t="s">
        <v>7352</v>
      </c>
      <c r="F656" t="s">
        <v>4942</v>
      </c>
      <c r="G656" t="str">
        <f>VLOOKUP($F656, codebooks_data_reordered!$A:$I, 2, FALSE)</f>
        <v>1973_2</v>
      </c>
      <c r="H656" t="str">
        <f>VLOOKUP($F656, codebooks_data_reordered!$A:$I, 3, FALSE)</f>
        <v>DO YOU AGREE WITH THE FOLLOWING STATEMENT</v>
      </c>
      <c r="I656" t="str">
        <f>VLOOKUP($F656, codebooks_data_reordered!$A:$I, 4, FALSE)</f>
        <v>2</v>
      </c>
      <c r="J656" t="str">
        <f>VLOOKUP($F656, codebooks_data_reordered!$A:$I, 5, FALSE)</f>
        <v>6</v>
      </c>
      <c r="K656" t="str">
        <f>VLOOKUP($F656, codebooks_data_reordered!$A:$I, 6, FALSE)</f>
        <v>To what extent do you think there are differences between parties on corruption</v>
      </c>
      <c r="L656">
        <f>VLOOKUP($F656, codebooks_data_reordered!$A:$I, 7, FALSE)</f>
        <v>0</v>
      </c>
      <c r="M656" t="str">
        <f>VLOOKUP($F656, codebooks_data_reordered!$A:$I, 9, FALSE)</f>
        <v>0: No answer; 1: There certainly are differences; 2: There are differences; 3: Maybe there are differences; 4: There are no differences</v>
      </c>
      <c r="O656" s="2" t="str">
        <f t="shared" si="10"/>
        <v>0: No answer
 1: There certainly are differences
 2: There are differences
 3: Maybe there are differences
 4: There are no differences</v>
      </c>
    </row>
    <row r="657" spans="1:15" ht="216" hidden="1" x14ac:dyDescent="0.3">
      <c r="A657" t="s">
        <v>7173</v>
      </c>
      <c r="B657" t="s">
        <v>7353</v>
      </c>
      <c r="C657" s="2" t="s">
        <v>5947</v>
      </c>
      <c r="D657" t="s">
        <v>5843</v>
      </c>
      <c r="E657" s="2" t="s">
        <v>5948</v>
      </c>
      <c r="F657" t="s">
        <v>871</v>
      </c>
      <c r="G657" t="str">
        <f>VLOOKUP($F657, codebooks_data_reordered!$A:$I, 2, FALSE)</f>
        <v>2006</v>
      </c>
      <c r="H657" t="str">
        <f>VLOOKUP($F657, codebooks_data_reordered!$A:$I, 3, FALSE)</f>
        <v>Rersonal and Household Details</v>
      </c>
      <c r="I657" t="str">
        <f>VLOOKUP($F657, codebooks_data_reordered!$A:$I, 4, FALSE)</f>
        <v>1</v>
      </c>
      <c r="J657" t="str">
        <f>VLOOKUP($F657, codebooks_data_reordered!$A:$I, 5, FALSE)</f>
        <v>316-317</v>
      </c>
      <c r="K657" t="str">
        <f>VLOOKUP($F657, codebooks_data_reordered!$A:$I, 6, FALSE)</f>
        <v>Origin in categories</v>
      </c>
      <c r="L657">
        <f>VLOOKUP($F657, codebooks_data_reordered!$A:$I, 7, FALSE)</f>
        <v>0</v>
      </c>
      <c r="M657" t="str">
        <f>VLOOKUP($F657, codebooks_data_reordered!$A:$I, 9, FALSE)</f>
        <v>1: North Africa; 2: Asia; 3: Eastern Europe; 4: West and Central Europe; 5: America Australia South Africa; 6: Israel Israel; 7: Israel North Africa; 8: Israel Asia; 9: Israel Eastern Europe; 10: Israel West Central Europe; 11: Israel America Australia South Africa</v>
      </c>
      <c r="O657" s="2" t="str">
        <f t="shared" si="10"/>
        <v>1: North Africa
 2: Asia
 3: Eastern Europe
 4: West and Central Europe
 5: America Australia South Africa
 6: Israel Israel
 7: Israel North Africa
 8: Israel Asia
 9: Israel Eastern Europe
 10: Israel West Central Europe
 11: Israel America Australia South Africa</v>
      </c>
    </row>
    <row r="658" spans="1:15" ht="244.8" hidden="1" x14ac:dyDescent="0.3">
      <c r="A658" t="s">
        <v>7173</v>
      </c>
      <c r="B658" t="s">
        <v>7354</v>
      </c>
      <c r="C658" s="2" t="s">
        <v>7355</v>
      </c>
      <c r="D658" t="s">
        <v>5843</v>
      </c>
      <c r="E658" s="2" t="s">
        <v>7356</v>
      </c>
      <c r="F658" t="s">
        <v>875</v>
      </c>
      <c r="G658" t="str">
        <f>VLOOKUP($F658, codebooks_data_reordered!$A:$I, 2, FALSE)</f>
        <v>2006</v>
      </c>
      <c r="H658" t="str">
        <f>VLOOKUP($F658, codebooks_data_reordered!$A:$I, 3, FALSE)</f>
        <v>Post-Election Survey</v>
      </c>
      <c r="I658" t="str">
        <f>VLOOKUP($F658, codebooks_data_reordered!$A:$I, 4, FALSE)</f>
        <v>1</v>
      </c>
      <c r="J658" t="str">
        <f>VLOOKUP($F658, codebooks_data_reordered!$A:$I, 5, FALSE)</f>
        <v>318</v>
      </c>
      <c r="K658" t="str">
        <f>VLOOKUP($F658, codebooks_data_reordered!$A:$I, 6, FALSE)</f>
        <v>Voted in the last Knesset elections</v>
      </c>
      <c r="L658" t="str">
        <f>VLOOKUP($F658, codebooks_data_reordered!$A:$I, 7, FALSE)</f>
        <v>5. Did you vote in the last Knesset elections?</v>
      </c>
      <c r="M658" t="str">
        <f>VLOOKUP($F658, codebooks_data_reordered!$A:$I, 9, FALSE)</f>
        <v>1: Yes; 2: No</v>
      </c>
      <c r="O658" s="2" t="str">
        <f t="shared" si="10"/>
        <v>1: Yes
 2: No</v>
      </c>
    </row>
    <row r="659" spans="1:15" ht="57.6" hidden="1" x14ac:dyDescent="0.3">
      <c r="A659" t="s">
        <v>7173</v>
      </c>
      <c r="B659" t="s">
        <v>7357</v>
      </c>
      <c r="C659" s="2" t="s">
        <v>7358</v>
      </c>
      <c r="D659" t="s">
        <v>5906</v>
      </c>
      <c r="E659" s="2" t="s">
        <v>7359</v>
      </c>
      <c r="F659" t="s">
        <v>9275</v>
      </c>
      <c r="G659" t="e">
        <f>VLOOKUP($F659, codebooks_data_reordered!$A:$I, 2, FALSE)</f>
        <v>#N/A</v>
      </c>
      <c r="H659" t="e">
        <f>VLOOKUP($F659, codebooks_data_reordered!$A:$I, 3, FALSE)</f>
        <v>#N/A</v>
      </c>
      <c r="I659" t="e">
        <f>VLOOKUP($F659, codebooks_data_reordered!$A:$I, 4, FALSE)</f>
        <v>#N/A</v>
      </c>
      <c r="J659" t="e">
        <f>VLOOKUP($F659, codebooks_data_reordered!$A:$I, 5, FALSE)</f>
        <v>#N/A</v>
      </c>
      <c r="K659" t="e">
        <f>VLOOKUP($F659, codebooks_data_reordered!$A:$I, 6, FALSE)</f>
        <v>#N/A</v>
      </c>
      <c r="L659" t="e">
        <f>VLOOKUP($F659, codebooks_data_reordered!$A:$I, 7, FALSE)</f>
        <v>#N/A</v>
      </c>
      <c r="M659" t="e">
        <f>VLOOKUP($F659, codebooks_data_reordered!$A:$I, 9, FALSE)</f>
        <v>#N/A</v>
      </c>
      <c r="O659" t="e">
        <f t="shared" si="10"/>
        <v>#N/A</v>
      </c>
    </row>
    <row r="660" spans="1:15" ht="273.60000000000002" hidden="1" x14ac:dyDescent="0.3">
      <c r="A660" t="s">
        <v>7173</v>
      </c>
      <c r="B660" t="s">
        <v>7360</v>
      </c>
      <c r="C660" s="2" t="s">
        <v>7361</v>
      </c>
      <c r="D660" t="s">
        <v>5843</v>
      </c>
      <c r="E660" s="2" t="s">
        <v>7362</v>
      </c>
      <c r="F660" t="s">
        <v>3102</v>
      </c>
      <c r="G660" t="str">
        <f>VLOOKUP($F660, codebooks_data_reordered!$A:$I, 2, FALSE)</f>
        <v>1988_Panel_N=416</v>
      </c>
      <c r="H660" t="str">
        <f>VLOOKUP($F660, codebooks_data_reordered!$A:$I, 3, FALSE)</f>
        <v>WHICH OF THE FOLLOWING WOULD YOU BE WILLING TO GIVE TO MAINTAIN/STRENGTHEN THE SECURITY</v>
      </c>
      <c r="I660" t="str">
        <f>VLOOKUP($F660, codebooks_data_reordered!$A:$I, 4, FALSE)</f>
        <v>1</v>
      </c>
      <c r="J660" t="str">
        <f>VLOOKUP($F660, codebooks_data_reordered!$A:$I, 5, FALSE)</f>
        <v>101</v>
      </c>
      <c r="K660" t="str">
        <f>VLOOKUP($F660, codebooks_data_reordered!$A:$I, 6, FALSE)</f>
        <v>Is the burden of the military service divided up justly</v>
      </c>
      <c r="L660">
        <f>VLOOKUP($F660, codebooks_data_reordered!$A:$I, 7, FALSE)</f>
        <v>0</v>
      </c>
      <c r="M660" t="str">
        <f>VLOOKUP($F660, codebooks_data_reordered!$A:$I, 9, FALSE)</f>
        <v>1: Just; 2: Unjust</v>
      </c>
      <c r="O660" s="2" t="str">
        <f t="shared" si="10"/>
        <v>1: Just
 2: Unjust</v>
      </c>
    </row>
    <row r="661" spans="1:15" ht="57.6" hidden="1" x14ac:dyDescent="0.3">
      <c r="A661" t="s">
        <v>7173</v>
      </c>
      <c r="B661" t="s">
        <v>7363</v>
      </c>
      <c r="C661" s="2" t="s">
        <v>7364</v>
      </c>
      <c r="D661" t="s">
        <v>7439</v>
      </c>
      <c r="E661" s="2" t="s">
        <v>7365</v>
      </c>
      <c r="F661" t="s">
        <v>9276</v>
      </c>
      <c r="G661" t="e">
        <f>VLOOKUP($F661, codebooks_data_reordered!$A:$I, 2, FALSE)</f>
        <v>#N/A</v>
      </c>
      <c r="H661" t="e">
        <f>VLOOKUP($F661, codebooks_data_reordered!$A:$I, 3, FALSE)</f>
        <v>#N/A</v>
      </c>
      <c r="I661" t="e">
        <f>VLOOKUP($F661, codebooks_data_reordered!$A:$I, 4, FALSE)</f>
        <v>#N/A</v>
      </c>
      <c r="J661" t="e">
        <f>VLOOKUP($F661, codebooks_data_reordered!$A:$I, 5, FALSE)</f>
        <v>#N/A</v>
      </c>
      <c r="K661" t="e">
        <f>VLOOKUP($F661, codebooks_data_reordered!$A:$I, 6, FALSE)</f>
        <v>#N/A</v>
      </c>
      <c r="L661" t="e">
        <f>VLOOKUP($F661, codebooks_data_reordered!$A:$I, 7, FALSE)</f>
        <v>#N/A</v>
      </c>
      <c r="M661" t="e">
        <f>VLOOKUP($F661, codebooks_data_reordered!$A:$I, 9, FALSE)</f>
        <v>#N/A</v>
      </c>
      <c r="O661" t="e">
        <f t="shared" si="10"/>
        <v>#N/A</v>
      </c>
    </row>
    <row r="662" spans="1:15" ht="72" hidden="1" x14ac:dyDescent="0.3">
      <c r="A662" t="s">
        <v>7173</v>
      </c>
      <c r="B662" t="s">
        <v>7366</v>
      </c>
      <c r="C662" s="2" t="s">
        <v>7367</v>
      </c>
      <c r="D662" t="s">
        <v>7439</v>
      </c>
      <c r="E662" s="2" t="s">
        <v>7368</v>
      </c>
      <c r="F662" t="s">
        <v>9277</v>
      </c>
      <c r="G662" t="e">
        <f>VLOOKUP($F662, codebooks_data_reordered!$A:$I, 2, FALSE)</f>
        <v>#N/A</v>
      </c>
      <c r="H662" t="e">
        <f>VLOOKUP($F662, codebooks_data_reordered!$A:$I, 3, FALSE)</f>
        <v>#N/A</v>
      </c>
      <c r="I662" t="e">
        <f>VLOOKUP($F662, codebooks_data_reordered!$A:$I, 4, FALSE)</f>
        <v>#N/A</v>
      </c>
      <c r="J662" t="e">
        <f>VLOOKUP($F662, codebooks_data_reordered!$A:$I, 5, FALSE)</f>
        <v>#N/A</v>
      </c>
      <c r="K662" t="e">
        <f>VLOOKUP($F662, codebooks_data_reordered!$A:$I, 6, FALSE)</f>
        <v>#N/A</v>
      </c>
      <c r="L662" t="e">
        <f>VLOOKUP($F662, codebooks_data_reordered!$A:$I, 7, FALSE)</f>
        <v>#N/A</v>
      </c>
      <c r="M662" t="e">
        <f>VLOOKUP($F662, codebooks_data_reordered!$A:$I, 9, FALSE)</f>
        <v>#N/A</v>
      </c>
      <c r="N662" t="s">
        <v>9393</v>
      </c>
      <c r="O662" t="e">
        <f t="shared" si="10"/>
        <v>#N/A</v>
      </c>
    </row>
    <row r="663" spans="1:15" ht="230.4" hidden="1" x14ac:dyDescent="0.3">
      <c r="A663" t="s">
        <v>7173</v>
      </c>
      <c r="B663" t="s">
        <v>6946</v>
      </c>
      <c r="C663" s="2" t="s">
        <v>7369</v>
      </c>
      <c r="D663" t="s">
        <v>5843</v>
      </c>
      <c r="E663" s="2" t="s">
        <v>7370</v>
      </c>
      <c r="F663" t="s">
        <v>3080</v>
      </c>
      <c r="G663" t="str">
        <f>VLOOKUP($F663, codebooks_data_reordered!$A:$I, 2, FALSE)</f>
        <v>1988_Panel_N=416</v>
      </c>
      <c r="H663" t="str">
        <f>VLOOKUP($F663, codebooks_data_reordered!$A:$I, 3, FALSE)</f>
        <v>WHICH OF THE FOLLOWING IS A REASON FOR THE ARABS OBJECTING TO ISRAEL'S EXISTENCE</v>
      </c>
      <c r="I663" t="str">
        <f>VLOOKUP($F663, codebooks_data_reordered!$A:$I, 4, FALSE)</f>
        <v>1</v>
      </c>
      <c r="J663" t="str">
        <f>VLOOKUP($F663, codebooks_data_reordered!$A:$I, 5, FALSE)</f>
        <v>92</v>
      </c>
      <c r="K663" t="str">
        <f>VLOOKUP($F663, codebooks_data_reordered!$A:$I, 6, FALSE)</f>
        <v>Reason for the arabs objecting to Israels' existence:Our technological advantage scares them</v>
      </c>
      <c r="L663">
        <f>VLOOKUP($F663, codebooks_data_reordered!$A:$I, 7, FALSE)</f>
        <v>0</v>
      </c>
      <c r="M663" t="str">
        <f>VLOOKUP($F663, codebooks_data_reordered!$A:$I, 9, FALSE)</f>
        <v>1: Is a reason; 2: Is not a reason</v>
      </c>
      <c r="O663" s="2" t="str">
        <f t="shared" si="10"/>
        <v>1: Is a reason
 2: Is not a reason</v>
      </c>
    </row>
    <row r="664" spans="1:15" ht="230.4" hidden="1" x14ac:dyDescent="0.3">
      <c r="A664" t="s">
        <v>7173</v>
      </c>
      <c r="B664" t="s">
        <v>7371</v>
      </c>
      <c r="C664" s="2" t="s">
        <v>7372</v>
      </c>
      <c r="D664" t="s">
        <v>5843</v>
      </c>
      <c r="E664" s="2" t="s">
        <v>7373</v>
      </c>
      <c r="F664" t="s">
        <v>9278</v>
      </c>
      <c r="G664" t="e">
        <f>VLOOKUP($F664, codebooks_data_reordered!$A:$I, 2, FALSE)</f>
        <v>#N/A</v>
      </c>
      <c r="H664" t="e">
        <f>VLOOKUP($F664, codebooks_data_reordered!$A:$I, 3, FALSE)</f>
        <v>#N/A</v>
      </c>
      <c r="I664" t="e">
        <f>VLOOKUP($F664, codebooks_data_reordered!$A:$I, 4, FALSE)</f>
        <v>#N/A</v>
      </c>
      <c r="J664" t="e">
        <f>VLOOKUP($F664, codebooks_data_reordered!$A:$I, 5, FALSE)</f>
        <v>#N/A</v>
      </c>
      <c r="K664" t="e">
        <f>VLOOKUP($F664, codebooks_data_reordered!$A:$I, 6, FALSE)</f>
        <v>#N/A</v>
      </c>
      <c r="L664" t="e">
        <f>VLOOKUP($F664, codebooks_data_reordered!$A:$I, 7, FALSE)</f>
        <v>#N/A</v>
      </c>
      <c r="M664" t="e">
        <f>VLOOKUP($F664, codebooks_data_reordered!$A:$I, 9, FALSE)</f>
        <v>#N/A</v>
      </c>
      <c r="O664" t="e">
        <f t="shared" si="10"/>
        <v>#N/A</v>
      </c>
    </row>
    <row r="665" spans="1:15" ht="374.4" hidden="1" x14ac:dyDescent="0.3">
      <c r="A665" t="s">
        <v>7173</v>
      </c>
      <c r="B665" t="s">
        <v>6726</v>
      </c>
      <c r="C665" s="2" t="s">
        <v>7374</v>
      </c>
      <c r="D665" t="s">
        <v>5843</v>
      </c>
      <c r="E665" s="2" t="s">
        <v>7375</v>
      </c>
      <c r="F665" t="s">
        <v>880</v>
      </c>
      <c r="G665" t="str">
        <f>VLOOKUP($F665, codebooks_data_reordered!$A:$I, 2, FALSE)</f>
        <v>2006</v>
      </c>
      <c r="H665" t="str">
        <f>VLOOKUP($F665, codebooks_data_reordered!$A:$I, 3, FALSE)</f>
        <v>Post-Election Survey</v>
      </c>
      <c r="I665" t="str">
        <f>VLOOKUP($F665, codebooks_data_reordered!$A:$I, 4, FALSE)</f>
        <v>1</v>
      </c>
      <c r="J665" t="str">
        <f>VLOOKUP($F665, codebooks_data_reordered!$A:$I, 5, FALSE)</f>
        <v>319-320</v>
      </c>
      <c r="K665" t="str">
        <f>VLOOKUP($F665, codebooks_data_reordered!$A:$I, 6, FALSE)</f>
        <v>List voted for in the last Knesset elections</v>
      </c>
      <c r="L665" t="str">
        <f>VLOOKUP($F665, codebooks_data_reordered!$A:$I, 7, FALSE)</f>
        <v>6. For which list did you vote in the last Knesset elections? (do not read answers)</v>
      </c>
      <c r="M665" t="str">
        <f>VLOOKUP($F665, codebooks_data_reordered!$A:$I, 9, FALSE)</f>
        <v>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v>
      </c>
      <c r="O665" s="2" t="str">
        <f t="shared" si="10"/>
        <v>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v>
      </c>
    </row>
    <row r="666" spans="1:15" ht="187.2" hidden="1" x14ac:dyDescent="0.3">
      <c r="A666" t="s">
        <v>7173</v>
      </c>
      <c r="B666" t="s">
        <v>7376</v>
      </c>
      <c r="C666" s="2" t="s">
        <v>7377</v>
      </c>
      <c r="D666" t="s">
        <v>5843</v>
      </c>
      <c r="E666" s="2" t="s">
        <v>7378</v>
      </c>
      <c r="F666" t="s">
        <v>5350</v>
      </c>
      <c r="G666" t="str">
        <f>VLOOKUP($F666, codebooks_data_reordered!$A:$I, 2, FALSE)</f>
        <v>1973_5</v>
      </c>
      <c r="H666" t="str">
        <f>VLOOKUP($F666, codebooks_data_reordered!$A:$I, 3, FALSE)</f>
        <v>POLITICAL LEADERS AND HOW INTERVIEWEE RELATES TO THEM, HOW IMPORTANT THIS FACTOR WAS TO INTERVIEWEE'S VOTE</v>
      </c>
      <c r="I666" t="str">
        <f>VLOOKUP($F666, codebooks_data_reordered!$A:$I, 4, FALSE)</f>
        <v>1</v>
      </c>
      <c r="J666" t="str">
        <f>VLOOKUP($F666, codebooks_data_reordered!$A:$I, 5, FALSE)</f>
        <v>28</v>
      </c>
      <c r="K666" t="str">
        <f>VLOOKUP($F666, codebooks_data_reordered!$A:$I, 6, FALSE)</f>
        <v>To what extent interviewee is certain in the future he will continue to support party he supported these elections</v>
      </c>
      <c r="L666">
        <f>VLOOKUP($F666, codebooks_data_reordered!$A:$I, 7, FALSE)</f>
        <v>0</v>
      </c>
      <c r="M666" t="str">
        <f>VLOOKUP($F666, codebooks_data_reordered!$A:$I, 9, FALSE)</f>
        <v>1: Very certain; 2: Certain; 3: Not so certain; 4: Not at all</v>
      </c>
      <c r="O666" s="2" t="str">
        <f t="shared" si="10"/>
        <v>1: Very certain
 2: Certain
 3: Not so certain
 4: Not at all</v>
      </c>
    </row>
    <row r="667" spans="1:15" ht="230.4" hidden="1" x14ac:dyDescent="0.3">
      <c r="A667" t="s">
        <v>7173</v>
      </c>
      <c r="B667" t="s">
        <v>7379</v>
      </c>
      <c r="C667" s="2" t="s">
        <v>7380</v>
      </c>
      <c r="D667" t="s">
        <v>5843</v>
      </c>
      <c r="E667" s="2" t="s">
        <v>7381</v>
      </c>
      <c r="F667" t="s">
        <v>5247</v>
      </c>
      <c r="G667" t="str">
        <f>VLOOKUP($F667, codebooks_data_reordered!$A:$I, 2, FALSE)</f>
        <v>1973_4</v>
      </c>
      <c r="H667" t="str">
        <f>VLOOKUP($F667, codebooks_data_reordered!$A:$I, 3, FALSE)</f>
        <v>December 1973</v>
      </c>
      <c r="I667" t="str">
        <f>VLOOKUP($F667, codebooks_data_reordered!$A:$I, 4, FALSE)</f>
        <v>1</v>
      </c>
      <c r="J667" t="str">
        <f>VLOOKUP($F667, codebooks_data_reordered!$A:$I, 5, FALSE)</f>
        <v>43</v>
      </c>
      <c r="K667" t="str">
        <f>VLOOKUP($F667, codebooks_data_reordered!$A:$I, 6, FALSE)</f>
        <v>To what extent interviewee is certain about whom to vote for</v>
      </c>
      <c r="L667">
        <f>VLOOKUP($F667, codebooks_data_reordered!$A:$I, 7, FALSE)</f>
        <v>0</v>
      </c>
      <c r="M667" t="str">
        <f>VLOOKUP($F667, codebooks_data_reordered!$A:$I, 9, FALSE)</f>
        <v>1: To a great extent; 2: To a certain extent; 3: To a small extent; 4: Not at all; 5: Will not vote</v>
      </c>
      <c r="O667" s="2" t="str">
        <f t="shared" si="10"/>
        <v>1: To a great extent
 2: To a certain extent
 3: To a small extent
 4: Not at all
 5: Will not vote</v>
      </c>
    </row>
    <row r="668" spans="1:15" ht="72" hidden="1" x14ac:dyDescent="0.3">
      <c r="A668" t="s">
        <v>7173</v>
      </c>
      <c r="B668" t="s">
        <v>7382</v>
      </c>
      <c r="C668" s="2" t="s">
        <v>7383</v>
      </c>
      <c r="D668" t="s">
        <v>5843</v>
      </c>
      <c r="E668" s="2" t="s">
        <v>7384</v>
      </c>
      <c r="F668" t="s">
        <v>9279</v>
      </c>
      <c r="G668" t="e">
        <f>VLOOKUP($F668, codebooks_data_reordered!$A:$I, 2, FALSE)</f>
        <v>#N/A</v>
      </c>
      <c r="H668" t="e">
        <f>VLOOKUP($F668, codebooks_data_reordered!$A:$I, 3, FALSE)</f>
        <v>#N/A</v>
      </c>
      <c r="I668" t="e">
        <f>VLOOKUP($F668, codebooks_data_reordered!$A:$I, 4, FALSE)</f>
        <v>#N/A</v>
      </c>
      <c r="J668" t="e">
        <f>VLOOKUP($F668, codebooks_data_reordered!$A:$I, 5, FALSE)</f>
        <v>#N/A</v>
      </c>
      <c r="K668" t="e">
        <f>VLOOKUP($F668, codebooks_data_reordered!$A:$I, 6, FALSE)</f>
        <v>#N/A</v>
      </c>
      <c r="L668" t="e">
        <f>VLOOKUP($F668, codebooks_data_reordered!$A:$I, 7, FALSE)</f>
        <v>#N/A</v>
      </c>
      <c r="M668" t="e">
        <f>VLOOKUP($F668, codebooks_data_reordered!$A:$I, 9, FALSE)</f>
        <v>#N/A</v>
      </c>
      <c r="O668" t="e">
        <f t="shared" si="10"/>
        <v>#N/A</v>
      </c>
    </row>
    <row r="669" spans="1:15" ht="100.8" hidden="1" x14ac:dyDescent="0.3">
      <c r="A669" t="s">
        <v>7173</v>
      </c>
      <c r="B669" t="s">
        <v>6971</v>
      </c>
      <c r="C669" s="2" t="s">
        <v>7385</v>
      </c>
      <c r="D669" t="s">
        <v>5843</v>
      </c>
      <c r="E669" s="2" t="s">
        <v>7386</v>
      </c>
      <c r="F669" t="s">
        <v>9280</v>
      </c>
      <c r="G669" t="e">
        <f>VLOOKUP($F669, codebooks_data_reordered!$A:$I, 2, FALSE)</f>
        <v>#N/A</v>
      </c>
      <c r="H669" t="e">
        <f>VLOOKUP($F669, codebooks_data_reordered!$A:$I, 3, FALSE)</f>
        <v>#N/A</v>
      </c>
      <c r="I669" t="e">
        <f>VLOOKUP($F669, codebooks_data_reordered!$A:$I, 4, FALSE)</f>
        <v>#N/A</v>
      </c>
      <c r="J669" t="e">
        <f>VLOOKUP($F669, codebooks_data_reordered!$A:$I, 5, FALSE)</f>
        <v>#N/A</v>
      </c>
      <c r="K669" t="e">
        <f>VLOOKUP($F669, codebooks_data_reordered!$A:$I, 6, FALSE)</f>
        <v>#N/A</v>
      </c>
      <c r="L669" t="e">
        <f>VLOOKUP($F669, codebooks_data_reordered!$A:$I, 7, FALSE)</f>
        <v>#N/A</v>
      </c>
      <c r="M669" t="e">
        <f>VLOOKUP($F669, codebooks_data_reordered!$A:$I, 9, FALSE)</f>
        <v>#N/A</v>
      </c>
      <c r="O669" t="e">
        <f t="shared" si="10"/>
        <v>#N/A</v>
      </c>
    </row>
    <row r="670" spans="1:15" ht="72" hidden="1" x14ac:dyDescent="0.3">
      <c r="A670" t="s">
        <v>7173</v>
      </c>
      <c r="B670" t="s">
        <v>6082</v>
      </c>
      <c r="C670" s="2" t="s">
        <v>7387</v>
      </c>
      <c r="D670" t="s">
        <v>7439</v>
      </c>
      <c r="E670" s="2" t="s">
        <v>7388</v>
      </c>
      <c r="F670" t="s">
        <v>9281</v>
      </c>
      <c r="G670" t="e">
        <f>VLOOKUP($F670, codebooks_data_reordered!$A:$I, 2, FALSE)</f>
        <v>#N/A</v>
      </c>
      <c r="H670" t="e">
        <f>VLOOKUP($F670, codebooks_data_reordered!$A:$I, 3, FALSE)</f>
        <v>#N/A</v>
      </c>
      <c r="I670" t="e">
        <f>VLOOKUP($F670, codebooks_data_reordered!$A:$I, 4, FALSE)</f>
        <v>#N/A</v>
      </c>
      <c r="J670" t="e">
        <f>VLOOKUP($F670, codebooks_data_reordered!$A:$I, 5, FALSE)</f>
        <v>#N/A</v>
      </c>
      <c r="K670" t="e">
        <f>VLOOKUP($F670, codebooks_data_reordered!$A:$I, 6, FALSE)</f>
        <v>#N/A</v>
      </c>
      <c r="L670" t="e">
        <f>VLOOKUP($F670, codebooks_data_reordered!$A:$I, 7, FALSE)</f>
        <v>#N/A</v>
      </c>
      <c r="M670" t="e">
        <f>VLOOKUP($F670, codebooks_data_reordered!$A:$I, 9, FALSE)</f>
        <v>#N/A</v>
      </c>
      <c r="O670" t="e">
        <f t="shared" si="10"/>
        <v>#N/A</v>
      </c>
    </row>
    <row r="671" spans="1:15" ht="115.2" hidden="1" x14ac:dyDescent="0.3">
      <c r="A671" t="s">
        <v>7173</v>
      </c>
      <c r="B671" t="s">
        <v>7389</v>
      </c>
      <c r="C671" s="2" t="s">
        <v>7390</v>
      </c>
      <c r="D671" t="s">
        <v>5843</v>
      </c>
      <c r="E671" s="2" t="s">
        <v>7391</v>
      </c>
      <c r="F671" t="s">
        <v>398</v>
      </c>
      <c r="G671" t="str">
        <f>VLOOKUP($F671, codebooks_data_reordered!$A:$I, 2, FALSE)</f>
        <v>2006</v>
      </c>
      <c r="H671" t="str">
        <f>VLOOKUP($F671, codebooks_data_reordered!$A:$I, 3, FALSE)</f>
        <v>Ranking on a Right/Left Political Scale</v>
      </c>
      <c r="I671" t="str">
        <f>VLOOKUP($F671, codebooks_data_reordered!$A:$I, 4, FALSE)</f>
        <v>1</v>
      </c>
      <c r="J671" t="str">
        <f>VLOOKUP($F671, codebooks_data_reordered!$A:$I, 5, FALSE)</f>
        <v>126-127</v>
      </c>
      <c r="K671" t="str">
        <f>VLOOKUP($F671, codebooks_data_reordered!$A:$I, 6, FALSE)</f>
        <v>Ranking on a right/left political scale:Kadima</v>
      </c>
      <c r="L671" t="str">
        <f>VLOOKUP($F671, codebooks_data_reordered!$A:$I, 7, FALSE)</f>
        <v>How would you rate the following parties on the left-right scale from 0 to 10, 0 stands for left, and 10 stands for right and 5 is in the middle.</v>
      </c>
      <c r="M671" t="str">
        <f>VLOOKUP($F671, codebooks_data_reordered!$A:$I, 9, FALSE)</f>
        <v>0: Left; 10: Right</v>
      </c>
      <c r="O671" s="2" t="str">
        <f t="shared" si="10"/>
        <v>0: Left
 10: Right</v>
      </c>
    </row>
    <row r="672" spans="1:15" ht="144" hidden="1" x14ac:dyDescent="0.3">
      <c r="A672" t="s">
        <v>7173</v>
      </c>
      <c r="B672" t="s">
        <v>6608</v>
      </c>
      <c r="C672" s="2" t="s">
        <v>7392</v>
      </c>
      <c r="D672" t="s">
        <v>5843</v>
      </c>
      <c r="E672" s="2" t="s">
        <v>7393</v>
      </c>
      <c r="F672" t="s">
        <v>2536</v>
      </c>
      <c r="G672" t="str">
        <f>VLOOKUP($F672, codebooks_data_reordered!$A:$I, 2, FALSE)</f>
        <v>1996_Jews</v>
      </c>
      <c r="H672" t="str">
        <f>VLOOKUP($F672, codebooks_data_reordered!$A:$I, 3, FALSE)</f>
        <v>WHICH PM CANDID. BEST SUITS EACH DESCRIPTION?</v>
      </c>
      <c r="I672" t="str">
        <f>VLOOKUP($F672, codebooks_data_reordered!$A:$I, 4, FALSE)</f>
        <v>1</v>
      </c>
      <c r="J672" t="str">
        <f>VLOOKUP($F672, codebooks_data_reordered!$A:$I, 5, FALSE)</f>
        <v>177</v>
      </c>
      <c r="K672" t="str">
        <f>VLOOKUP($F672, codebooks_data_reordered!$A:$I, 6, FALSE)</f>
        <v>Vote for PM, if elections were held today</v>
      </c>
      <c r="L672">
        <f>VLOOKUP($F672, codebooks_data_reordered!$A:$I, 7, FALSE)</f>
        <v>0</v>
      </c>
      <c r="M672" t="str">
        <f>VLOOKUP($F672, codebooks_data_reordered!$A:$I, 9, FALSE)</f>
        <v>1: Binyamin Netanyahu; 2: Shimon Peres; 3: Blank note; 4: I will not vote; 5: Have not decided yet; 6: Refuses to answer</v>
      </c>
      <c r="O672" s="2" t="str">
        <f t="shared" si="10"/>
        <v>1: Binyamin Netanyahu
 2: Shimon Peres
 3: Blank note
 4: I will not vote
 5: Have not decided yet
 6: Refuses to answer</v>
      </c>
    </row>
    <row r="673" spans="1:15" ht="144" hidden="1" x14ac:dyDescent="0.3">
      <c r="A673" t="s">
        <v>7173</v>
      </c>
      <c r="B673" t="s">
        <v>7394</v>
      </c>
      <c r="C673" s="2" t="s">
        <v>7395</v>
      </c>
      <c r="D673" t="s">
        <v>5843</v>
      </c>
      <c r="E673" s="2" t="s">
        <v>7396</v>
      </c>
      <c r="F673" t="s">
        <v>9282</v>
      </c>
      <c r="G673" t="e">
        <f>VLOOKUP($F673, codebooks_data_reordered!$A:$I, 2, FALSE)</f>
        <v>#N/A</v>
      </c>
      <c r="H673" t="e">
        <f>VLOOKUP($F673, codebooks_data_reordered!$A:$I, 3, FALSE)</f>
        <v>#N/A</v>
      </c>
      <c r="I673" t="e">
        <f>VLOOKUP($F673, codebooks_data_reordered!$A:$I, 4, FALSE)</f>
        <v>#N/A</v>
      </c>
      <c r="J673" t="e">
        <f>VLOOKUP($F673, codebooks_data_reordered!$A:$I, 5, FALSE)</f>
        <v>#N/A</v>
      </c>
      <c r="K673" t="e">
        <f>VLOOKUP($F673, codebooks_data_reordered!$A:$I, 6, FALSE)</f>
        <v>#N/A</v>
      </c>
      <c r="L673" t="e">
        <f>VLOOKUP($F673, codebooks_data_reordered!$A:$I, 7, FALSE)</f>
        <v>#N/A</v>
      </c>
      <c r="M673" t="e">
        <f>VLOOKUP($F673, codebooks_data_reordered!$A:$I, 9, FALSE)</f>
        <v>#N/A</v>
      </c>
      <c r="O673" t="e">
        <f t="shared" si="10"/>
        <v>#N/A</v>
      </c>
    </row>
    <row r="674" spans="1:15" ht="115.2" hidden="1" x14ac:dyDescent="0.3">
      <c r="A674" t="s">
        <v>7173</v>
      </c>
      <c r="B674" t="s">
        <v>6088</v>
      </c>
      <c r="C674" s="2" t="s">
        <v>6431</v>
      </c>
      <c r="D674" t="s">
        <v>5843</v>
      </c>
      <c r="E674" s="2" t="s">
        <v>6432</v>
      </c>
      <c r="F674" t="s">
        <v>5403</v>
      </c>
      <c r="G674" t="str">
        <f>VLOOKUP($F674, codebooks_data_reordered!$A:$I, 2, FALSE)</f>
        <v>1973_5</v>
      </c>
      <c r="H674" t="str">
        <f>VLOOKUP($F674, codebooks_data_reordered!$A:$I, 3, FALSE)</f>
        <v>POLITICAL LEADERS AND HOW INTERVIEWEE RELATES TO THEM, HOW IMPORTANT THIS FACTOR WAS TO INTERVIEWEE'S VOTE</v>
      </c>
      <c r="I674" t="str">
        <f>VLOOKUP($F674, codebooks_data_reordered!$A:$I, 4, FALSE)</f>
        <v>1</v>
      </c>
      <c r="J674" t="str">
        <f>VLOOKUP($F674, codebooks_data_reordered!$A:$I, 5, FALSE)</f>
        <v>50</v>
      </c>
      <c r="K674" t="str">
        <f>VLOOKUP($F674, codebooks_data_reordered!$A:$I, 6, FALSE)</f>
        <v>To what extent interviewee read public opinion polls before the elections</v>
      </c>
      <c r="L674">
        <f>VLOOKUP($F674, codebooks_data_reordered!$A:$I, 7, FALSE)</f>
        <v>0</v>
      </c>
      <c r="M674" t="str">
        <f>VLOOKUP($F674, codebooks_data_reordered!$A:$I, 9, FALSE)</f>
        <v>1: To a great extent; 2: To a certain extent; 3: To a small extent; 4: Not at all</v>
      </c>
      <c r="O674" s="2" t="str">
        <f t="shared" si="10"/>
        <v>1: To a great extent
 2: To a certain extent
 3: To a small extent
 4: Not at all</v>
      </c>
    </row>
    <row r="675" spans="1:15" ht="115.2" hidden="1" x14ac:dyDescent="0.3">
      <c r="A675" t="s">
        <v>7173</v>
      </c>
      <c r="B675" t="s">
        <v>7397</v>
      </c>
      <c r="C675" s="2" t="s">
        <v>6318</v>
      </c>
      <c r="D675" t="s">
        <v>5843</v>
      </c>
      <c r="E675" s="2" t="s">
        <v>6319</v>
      </c>
      <c r="F675" t="s">
        <v>629</v>
      </c>
      <c r="G675" t="str">
        <f>VLOOKUP($F675, codebooks_data_reordered!$A:$I, 2, FALSE)</f>
        <v>2006</v>
      </c>
      <c r="H675" t="str">
        <f>VLOOKUP($F675, codebooks_data_reordered!$A:$I, 3, FALSE)</f>
        <v>Chance the Party to be in the Next Government</v>
      </c>
      <c r="I675" t="str">
        <f>VLOOKUP($F675, codebooks_data_reordered!$A:$I, 4, FALSE)</f>
        <v>1</v>
      </c>
      <c r="J675" t="str">
        <f>VLOOKUP($F675, codebooks_data_reordered!$A:$I, 5, FALSE)</f>
        <v>207-209</v>
      </c>
      <c r="K675" t="str">
        <f>VLOOKUP($F675, codebooks_data_reordered!$A:$I, 6, FALSE)</f>
        <v>Number of seats you think the party you vote will win</v>
      </c>
      <c r="L675" t="str">
        <f>VLOOKUP($F675, codebooks_data_reordered!$A:$I, 7, FALSE)</f>
        <v>And what about the number of MKs these parties will have in the next Knesset? How many MKs willhave? And (the party he said he will vote for in the previous question)</v>
      </c>
      <c r="M675">
        <f>VLOOKUP($F675, codebooks_data_reordered!$A:$I, 9, FALSE)</f>
        <v>0</v>
      </c>
      <c r="O675" s="2" t="str">
        <f t="shared" si="10"/>
        <v>0</v>
      </c>
    </row>
    <row r="676" spans="1:15" ht="172.8" hidden="1" x14ac:dyDescent="0.3">
      <c r="A676" t="s">
        <v>7173</v>
      </c>
      <c r="B676" t="s">
        <v>6738</v>
      </c>
      <c r="C676" s="2" t="s">
        <v>7398</v>
      </c>
      <c r="D676" t="s">
        <v>5843</v>
      </c>
      <c r="E676" s="2" t="s">
        <v>7399</v>
      </c>
      <c r="F676" t="s">
        <v>3471</v>
      </c>
      <c r="G676" t="str">
        <f>VLOOKUP($F676, codebooks_data_reordered!$A:$I, 2, FALSE)</f>
        <v>2003</v>
      </c>
      <c r="H676" t="str">
        <f>VLOOKUP($F676, codebooks_data_reordered!$A:$I, 3, FALSE)</f>
        <v>Respondent's demographic details</v>
      </c>
      <c r="I676" t="str">
        <f>VLOOKUP($F676, codebooks_data_reordered!$A:$I, 4, FALSE)</f>
        <v>1</v>
      </c>
      <c r="J676" t="str">
        <f>VLOOKUP($F676, codebooks_data_reordered!$A:$I, 5, FALSE)</f>
        <v>194</v>
      </c>
      <c r="K676" t="str">
        <f>VLOOKUP($F676, codebooks_data_reordered!$A:$I, 6, FALSE)</f>
        <v>Monthly family expenditure (relative to average of 9,300 NIS)</v>
      </c>
      <c r="L676" t="str">
        <f>VLOOKUP($F676, codebooks_data_reordered!$A:$I, 7, FALSE)</f>
        <v>The monthly expenditure for a family of 4 was 9,300 shekel last month. Based on your expenses and the size of your family, do you spend:</v>
      </c>
      <c r="M676" t="str">
        <f>VLOOKUP($F676, codebooks_data_reordered!$A:$I, 9, FALSE)</f>
        <v>1: Much more than average; 2: A little above average; 3: Average; 4: Below average; 5: Much below average</v>
      </c>
      <c r="O676" s="2" t="str">
        <f t="shared" si="10"/>
        <v>1: Much more than average
 2: A little above average
 3: Average
 4: Below average
 5: Much below average</v>
      </c>
    </row>
    <row r="677" spans="1:15" ht="129.6" hidden="1" x14ac:dyDescent="0.3">
      <c r="A677" t="s">
        <v>7173</v>
      </c>
      <c r="B677" t="s">
        <v>7400</v>
      </c>
      <c r="C677" s="2" t="s">
        <v>7401</v>
      </c>
      <c r="D677" t="s">
        <v>5843</v>
      </c>
      <c r="E677" s="2" t="s">
        <v>7402</v>
      </c>
      <c r="F677" t="s">
        <v>388</v>
      </c>
      <c r="G677" t="str">
        <f>VLOOKUP($F677, codebooks_data_reordered!$A:$I, 2, FALSE)</f>
        <v>2006</v>
      </c>
      <c r="H677" t="str">
        <f>VLOOKUP($F677, codebooks_data_reordered!$A:$I, 3, FALSE)</f>
        <v>Ranking on a Right/Left Political Scale</v>
      </c>
      <c r="I677" t="str">
        <f>VLOOKUP($F677, codebooks_data_reordered!$A:$I, 4, FALSE)</f>
        <v>1</v>
      </c>
      <c r="J677" t="str">
        <f>VLOOKUP($F677, codebooks_data_reordered!$A:$I, 5, FALSE)</f>
        <v>120-121</v>
      </c>
      <c r="K677" t="str">
        <f>VLOOKUP($F677, codebooks_data_reordered!$A:$I, 6, FALSE)</f>
        <v>Self-ranking on a right/left political scale</v>
      </c>
      <c r="L677" t="str">
        <f>VLOOKUP($F677, codebooks_data_reordered!$A:$I, 7, FALSE)</f>
        <v>7. There is a lot of talk about left and right in politics. How would you rank yourself from 0 to 10, 0 means left and 10 means right and 5 is in the middle.</v>
      </c>
      <c r="M677" t="str">
        <f>VLOOKUP($F677, codebooks_data_reordered!$A:$I, 9, FALSE)</f>
        <v>0: Left; 10: Right</v>
      </c>
      <c r="O677" s="2" t="str">
        <f t="shared" si="10"/>
        <v>0: Left
 10: Right</v>
      </c>
    </row>
    <row r="678" spans="1:15" ht="115.2" hidden="1" x14ac:dyDescent="0.3">
      <c r="A678" t="s">
        <v>7173</v>
      </c>
      <c r="B678" t="s">
        <v>7403</v>
      </c>
      <c r="C678" s="2" t="s">
        <v>6318</v>
      </c>
      <c r="D678" t="s">
        <v>5843</v>
      </c>
      <c r="E678" s="2" t="s">
        <v>6319</v>
      </c>
      <c r="F678" t="s">
        <v>2147</v>
      </c>
      <c r="G678" t="str">
        <f>VLOOKUP($F678, codebooks_data_reordered!$A:$I, 2, FALSE)</f>
        <v>1999_1</v>
      </c>
      <c r="H678" t="str">
        <f>VLOOKUP($F678, codebooks_data_reordered!$A:$I, 3, FALSE)</f>
        <v>IMPACT OF MEDIA</v>
      </c>
      <c r="I678" t="str">
        <f>VLOOKUP($F678, codebooks_data_reordered!$A:$I, 4, FALSE)</f>
        <v>3</v>
      </c>
      <c r="J678" t="str">
        <f>VLOOKUP($F678, codebooks_data_reordered!$A:$I, 5, FALSE)</f>
        <v>10</v>
      </c>
      <c r="K678" t="str">
        <f>VLOOKUP($F678, codebooks_data_reordered!$A:$I, 6, FALSE)</f>
        <v>Intentions to watch election ads on TV</v>
      </c>
      <c r="L678">
        <f>VLOOKUP($F678, codebooks_data_reordered!$A:$I, 7, FALSE)</f>
        <v>0</v>
      </c>
      <c r="M678" t="str">
        <f>VLOOKUP($F678, codebooks_data_reordered!$A:$I, 9, FALSE)</f>
        <v>1: Daily; 2: Frequently; 3: Sometimes; 4: Rarely; 5: Never</v>
      </c>
      <c r="O678" s="2" t="str">
        <f t="shared" si="10"/>
        <v>1: Daily
 2: Frequently
 3: Sometimes
 4: Rarely
 5: Never</v>
      </c>
    </row>
    <row r="679" spans="1:15" ht="115.2" hidden="1" x14ac:dyDescent="0.3">
      <c r="A679" t="s">
        <v>7173</v>
      </c>
      <c r="B679" t="s">
        <v>7404</v>
      </c>
      <c r="C679" s="2" t="s">
        <v>6431</v>
      </c>
      <c r="D679" t="s">
        <v>5843</v>
      </c>
      <c r="E679" s="2" t="s">
        <v>6432</v>
      </c>
      <c r="F679" t="s">
        <v>1801</v>
      </c>
      <c r="G679" t="str">
        <f>VLOOKUP($F679, codebooks_data_reordered!$A:$I, 2, FALSE)</f>
        <v>1999_1</v>
      </c>
      <c r="H679" t="str">
        <f>VLOOKUP($F679, codebooks_data_reordered!$A:$I, 3, FALSE)</f>
        <v>GENERAL POLITICAL ATTITUDE</v>
      </c>
      <c r="I679" t="str">
        <f>VLOOKUP($F679, codebooks_data_reordered!$A:$I, 4, FALSE)</f>
        <v>1</v>
      </c>
      <c r="J679" t="str">
        <f>VLOOKUP($F679, codebooks_data_reordered!$A:$I, 5, FALSE)</f>
        <v>28</v>
      </c>
      <c r="K679" t="str">
        <f>VLOOKUP($F679, codebooks_data_reordered!$A:$I, 6, FALSE)</f>
        <v>Should government encourage Arab emmigration from Israel?</v>
      </c>
      <c r="L679">
        <f>VLOOKUP($F679, codebooks_data_reordered!$A:$I, 7, FALSE)</f>
        <v>0</v>
      </c>
      <c r="M679" t="str">
        <f>VLOOKUP($F679, codebooks_data_reordered!$A:$I, 9, FALSE)</f>
        <v>1: Definitely yes; 2: Yes; 3: No; 4: Definitely not</v>
      </c>
      <c r="O679" s="2" t="str">
        <f t="shared" si="10"/>
        <v>1: Definitely yes
 2: Yes
 3: No
 4: Definitely not</v>
      </c>
    </row>
    <row r="680" spans="1:15" ht="57.6" hidden="1" x14ac:dyDescent="0.3">
      <c r="A680" t="s">
        <v>7173</v>
      </c>
      <c r="B680" t="s">
        <v>7405</v>
      </c>
      <c r="C680" s="2" t="s">
        <v>7406</v>
      </c>
      <c r="D680" t="s">
        <v>5986</v>
      </c>
      <c r="E680" s="2" t="s">
        <v>7407</v>
      </c>
      <c r="F680" t="s">
        <v>5383</v>
      </c>
      <c r="G680" t="str">
        <f>VLOOKUP($F680, codebooks_data_reordered!$A:$I, 2, FALSE)</f>
        <v>1973_5</v>
      </c>
      <c r="H680" t="str">
        <f>VLOOKUP($F680, codebooks_data_reordered!$A:$I, 3, FALSE)</f>
        <v>POLITICAL LEADERS AND HOW INTERVIEWEE RELATES TO THEM, HOW IMPORTANT THIS FACTOR WAS TO INTERVIEWEE'S VOTE</v>
      </c>
      <c r="I680" t="str">
        <f>VLOOKUP($F680, codebooks_data_reordered!$A:$I, 4, FALSE)</f>
        <v>1</v>
      </c>
      <c r="J680" t="str">
        <f>VLOOKUP($F680, codebooks_data_reordered!$A:$I, 5, FALSE)</f>
        <v>41</v>
      </c>
      <c r="K680" t="str">
        <f>VLOOKUP($F680, codebooks_data_reordered!$A:$I, 6, FALSE)</f>
        <v>To what extent radio advertisements helped interviewee decide whom to vote for</v>
      </c>
      <c r="L680">
        <f>VLOOKUP($F680, codebooks_data_reordered!$A:$I, 7, FALSE)</f>
        <v>0</v>
      </c>
      <c r="M680" t="str">
        <f>VLOOKUP($F680, codebooks_data_reordered!$A:$I, 9, FALSE)</f>
        <v>1: To a great extent; 2: To a certain extent; 3: To a small extent; 4: Not at all</v>
      </c>
      <c r="O680" s="2" t="str">
        <f t="shared" si="10"/>
        <v>1: To a great extent
 2: To a certain extent
 3: To a small extent
 4: Not at all</v>
      </c>
    </row>
    <row r="681" spans="1:15" ht="230.4" hidden="1" x14ac:dyDescent="0.3">
      <c r="A681" t="s">
        <v>7173</v>
      </c>
      <c r="B681" t="s">
        <v>7408</v>
      </c>
      <c r="C681" s="2" t="s">
        <v>7406</v>
      </c>
      <c r="D681" t="s">
        <v>5986</v>
      </c>
      <c r="E681" s="2" t="s">
        <v>7407</v>
      </c>
      <c r="F681" t="s">
        <v>5212</v>
      </c>
      <c r="G681" t="str">
        <f>VLOOKUP($F681, codebooks_data_reordered!$A:$I, 2, FALSE)</f>
        <v>1973_4</v>
      </c>
      <c r="H681" t="str">
        <f>VLOOKUP($F681, codebooks_data_reordered!$A:$I, 3, FALSE)</f>
        <v>December 1973</v>
      </c>
      <c r="I681" t="str">
        <f>VLOOKUP($F681, codebooks_data_reordered!$A:$I, 4, FALSE)</f>
        <v>1</v>
      </c>
      <c r="J681" t="str">
        <f>VLOOKUP($F681, codebooks_data_reordered!$A:$I, 5, FALSE)</f>
        <v>24-25</v>
      </c>
      <c r="K681" t="str">
        <f>VLOOKUP($F681, codebooks_data_reordered!$A:$I, 6, FALSE)</f>
        <v>If yes, party whose ads interviewee mainly sees</v>
      </c>
      <c r="L681">
        <f>VLOOKUP($F681, codebooks_data_reordered!$A:$I, 7, FALSE)</f>
        <v>0</v>
      </c>
      <c r="M681" t="str">
        <f>VLOOKUP($F681, codebooks_data_reordered!$A:$I, 9, FALSE)</f>
        <v>01: Independent Liberals; 02: Alignment; 03: Poalei Agudat Yisrael; 04: National Religious Party; 05: Agudat Yisrael; 06: Moked; 07: Rakach; 08: Meri; 09: Israeli Democrats; 10: Likud; 11: Gahal; 12: Reshima Mamlachtit; 13: Free Center; 14: Other; 15: Several parties</v>
      </c>
      <c r="O681" s="2" t="str">
        <f t="shared" si="10"/>
        <v>01: Independent Liberals
 02: Alignment
 03: Poalei Agudat Yisrael
 04: National Religious Party
 05: Agudat Yisrael
 06: Moked
 07: Rakach
 08: Meri
 09: Israeli Democrats
 10: Likud
 11: Gahal
 12: Reshima Mamlachtit
 13: Free Center
 14: Other
 15: Several parties</v>
      </c>
    </row>
    <row r="682" spans="1:15" ht="115.2" hidden="1" x14ac:dyDescent="0.3">
      <c r="A682" t="s">
        <v>7173</v>
      </c>
      <c r="B682" t="s">
        <v>7409</v>
      </c>
      <c r="C682" s="2" t="s">
        <v>6431</v>
      </c>
      <c r="D682" t="s">
        <v>5843</v>
      </c>
      <c r="E682" s="2" t="s">
        <v>6432</v>
      </c>
      <c r="F682" t="s">
        <v>642</v>
      </c>
      <c r="G682" t="str">
        <f>VLOOKUP($F682, codebooks_data_reordered!$A:$I, 2, FALSE)</f>
        <v>2006</v>
      </c>
      <c r="H682" t="str">
        <f>VLOOKUP($F682, codebooks_data_reordered!$A:$I, 3, FALSE)</f>
        <v>Different Coalitions after the Elections</v>
      </c>
      <c r="I682" t="str">
        <f>VLOOKUP($F682, codebooks_data_reordered!$A:$I, 4, FALSE)</f>
        <v>1</v>
      </c>
      <c r="J682" t="str">
        <f>VLOOKUP($F682, codebooks_data_reordered!$A:$I, 5, FALSE)</f>
        <v>219-221</v>
      </c>
      <c r="K682" t="str">
        <f>VLOOKUP($F682, codebooks_data_reordered!$A:$I, 6, FALSE)</f>
        <v>Chances for Kadima-Labor-Haredim coalition</v>
      </c>
      <c r="L682" t="str">
        <f>VLOOKUP($F682,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682">
        <f>VLOOKUP($F682, codebooks_data_reordered!$A:$I, 9, FALSE)</f>
        <v>0</v>
      </c>
      <c r="O682" s="2" t="str">
        <f t="shared" si="10"/>
        <v>0</v>
      </c>
    </row>
    <row r="683" spans="1:15" ht="129.6" hidden="1" x14ac:dyDescent="0.3">
      <c r="A683" t="s">
        <v>7173</v>
      </c>
      <c r="B683" t="s">
        <v>7410</v>
      </c>
      <c r="C683" s="2" t="s">
        <v>7411</v>
      </c>
      <c r="D683" t="s">
        <v>5843</v>
      </c>
      <c r="E683" s="2" t="s">
        <v>7412</v>
      </c>
      <c r="F683" t="s">
        <v>3512</v>
      </c>
      <c r="G683" t="str">
        <f>VLOOKUP($F683, codebooks_data_reordered!$A:$I, 2, FALSE)</f>
        <v>1988_Panel_N=416</v>
      </c>
      <c r="H683" t="str">
        <f>VLOOKUP($F683, codebooks_data_reordered!$A:$I, 3, FALSE)</f>
        <v>FOR EACH OF THE FOLLOWING STATE TO WHICH PARTY IT SUITS THE MOST</v>
      </c>
      <c r="I683" t="str">
        <f>VLOOKUP($F683, codebooks_data_reordered!$A:$I, 4, FALSE)</f>
        <v>3</v>
      </c>
      <c r="J683" t="str">
        <f>VLOOKUP($F683, codebooks_data_reordered!$A:$I, 5, FALSE)</f>
        <v>107</v>
      </c>
      <c r="K683" t="str">
        <f>VLOOKUP($F683, codebooks_data_reordered!$A:$I, 6, FALSE)</f>
        <v>Party to know when and how to lead to successful war</v>
      </c>
      <c r="L683">
        <f>VLOOKUP($F683, codebooks_data_reordered!$A:$I, 7, FALSE)</f>
        <v>0</v>
      </c>
      <c r="M683" t="str">
        <f>VLOOKUP($F683, codebooks_data_reordered!$A:$I, 9, FALSE)</f>
        <v>1: Suits Labor; 2: Suits Likud; 3: Both equally; 4: Neither</v>
      </c>
      <c r="O683" s="2" t="str">
        <f t="shared" si="10"/>
        <v>1: Suits Labor
 2: Suits Likud
 3: Both equally
 4: Neither</v>
      </c>
    </row>
    <row r="684" spans="1:15" ht="57.6" hidden="1" x14ac:dyDescent="0.3">
      <c r="A684" t="s">
        <v>7173</v>
      </c>
      <c r="B684" t="s">
        <v>7413</v>
      </c>
      <c r="C684" s="2" t="s">
        <v>7406</v>
      </c>
      <c r="D684" t="s">
        <v>5986</v>
      </c>
      <c r="E684" s="2" t="s">
        <v>7407</v>
      </c>
      <c r="F684" t="s">
        <v>5379</v>
      </c>
      <c r="G684" t="str">
        <f>VLOOKUP($F684, codebooks_data_reordered!$A:$I, 2, FALSE)</f>
        <v>1973_5</v>
      </c>
      <c r="H684" t="str">
        <f>VLOOKUP($F684, codebooks_data_reordered!$A:$I, 3, FALSE)</f>
        <v>POLITICAL LEADERS AND HOW INTERVIEWEE RELATES TO THEM, HOW IMPORTANT THIS FACTOR WAS TO INTERVIEWEE'S VOTE</v>
      </c>
      <c r="I684" t="str">
        <f>VLOOKUP($F684, codebooks_data_reordered!$A:$I, 4, FALSE)</f>
        <v>1</v>
      </c>
      <c r="J684" t="str">
        <f>VLOOKUP($F684, codebooks_data_reordered!$A:$I, 5, FALSE)</f>
        <v>39</v>
      </c>
      <c r="K684" t="str">
        <f>VLOOKUP($F684, codebooks_data_reordered!$A:$I, 6, FALSE)</f>
        <v>To what extent the election campaign helped interviewee decide whom to vote for</v>
      </c>
      <c r="L684">
        <f>VLOOKUP($F684, codebooks_data_reordered!$A:$I, 7, FALSE)</f>
        <v>0</v>
      </c>
      <c r="M684" t="str">
        <f>VLOOKUP($F684, codebooks_data_reordered!$A:$I, 9, FALSE)</f>
        <v>1: To a great extent; 2: To a certain extent; 3: To a small extent; 4: Not at all</v>
      </c>
      <c r="O684" s="2" t="str">
        <f t="shared" si="10"/>
        <v>1: To a great extent
 2: To a certain extent
 3: To a small extent
 4: Not at all</v>
      </c>
    </row>
    <row r="685" spans="1:15" ht="57.6" hidden="1" x14ac:dyDescent="0.3">
      <c r="A685" t="s">
        <v>7173</v>
      </c>
      <c r="B685" t="s">
        <v>7414</v>
      </c>
      <c r="C685" s="2" t="s">
        <v>7415</v>
      </c>
      <c r="D685" t="s">
        <v>5986</v>
      </c>
      <c r="E685" s="2" t="s">
        <v>7416</v>
      </c>
      <c r="F685" t="s">
        <v>3766</v>
      </c>
      <c r="G685" t="str">
        <f>VLOOKUP($F685, codebooks_data_reordered!$A:$I, 2, FALSE)</f>
        <v>1988_N=873</v>
      </c>
      <c r="H685" t="str">
        <f>VLOOKUP($F685, codebooks_data_reordered!$A:$I, 3, FALSE)</f>
        <v>APPROVAL OF FOLLOWING SAYINGS ON SOCIAL AND STATE MATTERS</v>
      </c>
      <c r="I685" t="str">
        <f>VLOOKUP($F685, codebooks_data_reordered!$A:$I, 4, FALSE)</f>
        <v>1</v>
      </c>
      <c r="J685" t="str">
        <f>VLOOKUP($F685, codebooks_data_reordered!$A:$I, 5, FALSE)</f>
        <v>129</v>
      </c>
      <c r="K685" t="str">
        <f>VLOOKUP($F685, codebooks_data_reordered!$A:$I, 6, FALSE)</f>
        <v>Government should see to it that public life be conducted according to Jewish religious law</v>
      </c>
      <c r="L685">
        <f>VLOOKUP($F685, codebooks_data_reordered!$A:$I, 7, FALSE)</f>
        <v>0</v>
      </c>
      <c r="M685" t="str">
        <f>VLOOKUP($F685, codebooks_data_reordered!$A:$I, 9, FALSE)</f>
        <v>1: Definitely; 2: Maybe; 3: Maybe not; 4: Definitely not</v>
      </c>
      <c r="O685" s="2" t="str">
        <f t="shared" si="10"/>
        <v>1: Definitely
 2: Maybe
 3: Maybe not
 4: Definitely not</v>
      </c>
    </row>
    <row r="686" spans="1:15" ht="115.2" hidden="1" x14ac:dyDescent="0.3">
      <c r="A686" t="s">
        <v>7173</v>
      </c>
      <c r="B686" t="s">
        <v>7417</v>
      </c>
      <c r="C686" s="2" t="s">
        <v>6431</v>
      </c>
      <c r="D686" t="s">
        <v>5843</v>
      </c>
      <c r="E686" s="2" t="s">
        <v>6432</v>
      </c>
      <c r="F686" t="s">
        <v>636</v>
      </c>
      <c r="G686" t="str">
        <f>VLOOKUP($F686, codebooks_data_reordered!$A:$I, 2, FALSE)</f>
        <v>2006</v>
      </c>
      <c r="H686" t="str">
        <f>VLOOKUP($F686, codebooks_data_reordered!$A:$I, 3, FALSE)</f>
        <v>Different Coalitions after the Elections</v>
      </c>
      <c r="I686" t="str">
        <f>VLOOKUP($F686, codebooks_data_reordered!$A:$I, 4, FALSE)</f>
        <v>1</v>
      </c>
      <c r="J686" t="str">
        <f>VLOOKUP($F686, codebooks_data_reordered!$A:$I, 5, FALSE)</f>
        <v>213-215</v>
      </c>
      <c r="K686" t="str">
        <f>VLOOKUP($F686, codebooks_data_reordered!$A:$I, 6, FALSE)</f>
        <v>Chances for Kadima-Likud coalition</v>
      </c>
      <c r="L686" t="str">
        <f>VLOOKUP($F686,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686">
        <f>VLOOKUP($F686, codebooks_data_reordered!$A:$I, 9, FALSE)</f>
        <v>0</v>
      </c>
      <c r="O686" s="2" t="str">
        <f t="shared" si="10"/>
        <v>0</v>
      </c>
    </row>
    <row r="687" spans="1:15" ht="115.2" hidden="1" x14ac:dyDescent="0.3">
      <c r="A687" t="s">
        <v>7173</v>
      </c>
      <c r="B687" t="s">
        <v>7418</v>
      </c>
      <c r="C687" s="2" t="s">
        <v>6518</v>
      </c>
      <c r="D687" t="s">
        <v>5843</v>
      </c>
      <c r="E687" s="2" t="s">
        <v>6519</v>
      </c>
      <c r="F687" t="s">
        <v>1798</v>
      </c>
      <c r="G687" t="str">
        <f>VLOOKUP($F687, codebooks_data_reordered!$A:$I, 2, FALSE)</f>
        <v>1999_1</v>
      </c>
      <c r="H687" t="str">
        <f>VLOOKUP($F687, codebooks_data_reordered!$A:$I, 3, FALSE)</f>
        <v>GENERAL POLITICAL ATTITUDE</v>
      </c>
      <c r="I687" t="str">
        <f>VLOOKUP($F687, codebooks_data_reordered!$A:$I, 4, FALSE)</f>
        <v>1</v>
      </c>
      <c r="J687" t="str">
        <f>VLOOKUP($F687, codebooks_data_reordered!$A:$I, 5, FALSE)</f>
        <v>27</v>
      </c>
      <c r="K687" t="str">
        <f>VLOOKUP($F687, codebooks_data_reordered!$A:$I, 6, FALSE)</f>
        <v>Forecast future public support for a Palestinian State</v>
      </c>
      <c r="L687">
        <f>VLOOKUP($F687, codebooks_data_reordered!$A:$I, 7, FALSE)</f>
        <v>0</v>
      </c>
      <c r="M687" t="str">
        <f>VLOOKUP($F687, codebooks_data_reordered!$A:$I, 9, FALSE)</f>
        <v>1: More people will support; 2: Less people will support</v>
      </c>
      <c r="O687" s="2" t="str">
        <f t="shared" si="10"/>
        <v>1: More people will support
 2: Less people will support</v>
      </c>
    </row>
    <row r="688" spans="1:15" ht="115.2" hidden="1" x14ac:dyDescent="0.3">
      <c r="A688" t="s">
        <v>7173</v>
      </c>
      <c r="B688" t="s">
        <v>7419</v>
      </c>
      <c r="C688" s="2" t="s">
        <v>6518</v>
      </c>
      <c r="D688" t="s">
        <v>5843</v>
      </c>
      <c r="E688" s="2" t="s">
        <v>6519</v>
      </c>
      <c r="F688" t="s">
        <v>1795</v>
      </c>
      <c r="G688" t="str">
        <f>VLOOKUP($F688, codebooks_data_reordered!$A:$I, 2, FALSE)</f>
        <v>1999_1</v>
      </c>
      <c r="H688" t="str">
        <f>VLOOKUP($F688, codebooks_data_reordered!$A:$I, 3, FALSE)</f>
        <v>GENERAL POLITICAL ATTITUDE</v>
      </c>
      <c r="I688" t="str">
        <f>VLOOKUP($F688, codebooks_data_reordered!$A:$I, 4, FALSE)</f>
        <v>1</v>
      </c>
      <c r="J688" t="str">
        <f>VLOOKUP($F688, codebooks_data_reordered!$A:$I, 5, FALSE)</f>
        <v>25-26</v>
      </c>
      <c r="K688" t="str">
        <f>VLOOKUP($F688, codebooks_data_reordered!$A:$I, 6, FALSE)</f>
        <v>Estimate Israeli public support for a Palestinian State (percentage)</v>
      </c>
      <c r="L688">
        <f>VLOOKUP($F688, codebooks_data_reordered!$A:$I, 7, FALSE)</f>
        <v>0</v>
      </c>
      <c r="M688">
        <f>VLOOKUP($F688, codebooks_data_reordered!$A:$I, 9, FALSE)</f>
        <v>0</v>
      </c>
      <c r="O688" s="2" t="str">
        <f t="shared" si="10"/>
        <v>0</v>
      </c>
    </row>
    <row r="689" spans="1:15" ht="57.6" hidden="1" x14ac:dyDescent="0.3">
      <c r="A689" t="s">
        <v>7173</v>
      </c>
      <c r="B689" t="s">
        <v>7420</v>
      </c>
      <c r="C689" s="2" t="s">
        <v>7406</v>
      </c>
      <c r="D689" t="s">
        <v>5986</v>
      </c>
      <c r="E689" s="2" t="s">
        <v>7407</v>
      </c>
      <c r="F689" t="s">
        <v>5381</v>
      </c>
      <c r="G689" t="str">
        <f>VLOOKUP($F689, codebooks_data_reordered!$A:$I, 2, FALSE)</f>
        <v>1973_5</v>
      </c>
      <c r="H689" t="str">
        <f>VLOOKUP($F689, codebooks_data_reordered!$A:$I, 3, FALSE)</f>
        <v>POLITICAL LEADERS AND HOW INTERVIEWEE RELATES TO THEM, HOW IMPORTANT THIS FACTOR WAS TO INTERVIEWEE'S VOTE</v>
      </c>
      <c r="I689" t="str">
        <f>VLOOKUP($F689, codebooks_data_reordered!$A:$I, 4, FALSE)</f>
        <v>1</v>
      </c>
      <c r="J689" t="str">
        <f>VLOOKUP($F689, codebooks_data_reordered!$A:$I, 5, FALSE)</f>
        <v>40</v>
      </c>
      <c r="K689" t="str">
        <f>VLOOKUP($F689, codebooks_data_reordered!$A:$I, 6, FALSE)</f>
        <v>To what extent party advertisements helped interviewee decide whom to vote for</v>
      </c>
      <c r="L689">
        <f>VLOOKUP($F689, codebooks_data_reordered!$A:$I, 7, FALSE)</f>
        <v>0</v>
      </c>
      <c r="M689" t="str">
        <f>VLOOKUP($F689, codebooks_data_reordered!$A:$I, 9, FALSE)</f>
        <v>1: To a great extent; 2: To a certain extent; 3: To a small extent; 4: Not at all</v>
      </c>
      <c r="O689" s="2" t="str">
        <f t="shared" si="10"/>
        <v>1: To a great extent
 2: To a certain extent
 3: To a small extent
 4: Not at all</v>
      </c>
    </row>
    <row r="690" spans="1:15" ht="172.8" hidden="1" x14ac:dyDescent="0.3">
      <c r="A690" t="s">
        <v>7173</v>
      </c>
      <c r="B690" t="s">
        <v>6747</v>
      </c>
      <c r="C690" s="2" t="s">
        <v>7415</v>
      </c>
      <c r="D690" t="s">
        <v>5986</v>
      </c>
      <c r="E690" s="2" t="s">
        <v>7416</v>
      </c>
      <c r="F690" t="s">
        <v>3771</v>
      </c>
      <c r="G690" t="str">
        <f>VLOOKUP($F690, codebooks_data_reordered!$A:$I, 2, FALSE)</f>
        <v>1988_N=873</v>
      </c>
      <c r="H690" t="str">
        <f>VLOOKUP($F690, codebooks_data_reordered!$A:$I, 3, FALSE)</f>
        <v>APPROVAL OF FOLLOWING SAYINGS ON SOCIAL AND STATE MATTERS</v>
      </c>
      <c r="I690" t="str">
        <f>VLOOKUP($F690, codebooks_data_reordered!$A:$I, 4, FALSE)</f>
        <v>1</v>
      </c>
      <c r="J690" t="str">
        <f>VLOOKUP($F690, codebooks_data_reordered!$A:$I, 5, FALSE)</f>
        <v>132</v>
      </c>
      <c r="K690" t="str">
        <f>VLOOKUP($F690, codebooks_data_reordered!$A:$I, 6, FALSE)</f>
        <v>Approval of partly constitutional system of elections to Knesset vs. present one</v>
      </c>
      <c r="L690">
        <f>VLOOKUP($F690, codebooks_data_reordered!$A:$I, 7, FALSE)</f>
        <v>0</v>
      </c>
      <c r="M690" t="str">
        <f>VLOOKUP($F690, codebooks_data_reordered!$A:$I, 9, FALSE)</f>
        <v>1: Definitely go on with present system; 2: Probably go on with present system; 3: Probably shift to partly constitutional; 4: Definitely shift to partly constitutional; 5: No opinion; 6: Both systems are no good and shift to fully constitutional s</v>
      </c>
      <c r="O690" s="2" t="str">
        <f t="shared" si="10"/>
        <v>1: Definitely go on with present system
 2: Probably go on with present system
 3: Probably shift to partly constitutional
 4: Definitely shift to partly constitutional
 5: No opinion
 6: Both systems are no good and shift to fully constitutional s</v>
      </c>
    </row>
    <row r="691" spans="1:15" ht="115.2" hidden="1" x14ac:dyDescent="0.3">
      <c r="A691" t="s">
        <v>7173</v>
      </c>
      <c r="B691" t="s">
        <v>7421</v>
      </c>
      <c r="C691" s="2" t="s">
        <v>6431</v>
      </c>
      <c r="D691" t="s">
        <v>5843</v>
      </c>
      <c r="E691" s="2" t="s">
        <v>6432</v>
      </c>
      <c r="F691" t="s">
        <v>639</v>
      </c>
      <c r="G691" t="str">
        <f>VLOOKUP($F691, codebooks_data_reordered!$A:$I, 2, FALSE)</f>
        <v>2006</v>
      </c>
      <c r="H691" t="str">
        <f>VLOOKUP($F691, codebooks_data_reordered!$A:$I, 3, FALSE)</f>
        <v>Different Coalitions after the Elections</v>
      </c>
      <c r="I691" t="str">
        <f>VLOOKUP($F691, codebooks_data_reordered!$A:$I, 4, FALSE)</f>
        <v>1</v>
      </c>
      <c r="J691" t="str">
        <f>VLOOKUP($F691, codebooks_data_reordered!$A:$I, 5, FALSE)</f>
        <v>216-218</v>
      </c>
      <c r="K691" t="str">
        <f>VLOOKUP($F691, codebooks_data_reordered!$A:$I, 6, FALSE)</f>
        <v>Chances for Kadima-Likud-Haredim coalition</v>
      </c>
      <c r="L691" t="str">
        <f>VLOOKUP($F691,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691">
        <f>VLOOKUP($F691, codebooks_data_reordered!$A:$I, 9, FALSE)</f>
        <v>0</v>
      </c>
      <c r="O691" s="2" t="str">
        <f t="shared" si="10"/>
        <v>0</v>
      </c>
    </row>
    <row r="692" spans="1:15" ht="57.6" hidden="1" x14ac:dyDescent="0.3">
      <c r="A692" t="s">
        <v>7173</v>
      </c>
      <c r="B692" t="s">
        <v>7422</v>
      </c>
      <c r="C692" s="2" t="s">
        <v>7406</v>
      </c>
      <c r="D692" t="s">
        <v>5986</v>
      </c>
      <c r="E692" s="2" t="s">
        <v>7407</v>
      </c>
      <c r="F692" t="s">
        <v>5385</v>
      </c>
      <c r="G692" t="str">
        <f>VLOOKUP($F692, codebooks_data_reordered!$A:$I, 2, FALSE)</f>
        <v>1973_5</v>
      </c>
      <c r="H692" t="str">
        <f>VLOOKUP($F692, codebooks_data_reordered!$A:$I, 3, FALSE)</f>
        <v>POLITICAL LEADERS AND HOW INTERVIEWEE RELATES TO THEM, HOW IMPORTANT THIS FACTOR WAS TO INTERVIEWEE'S VOTE</v>
      </c>
      <c r="I692" t="str">
        <f>VLOOKUP($F692, codebooks_data_reordered!$A:$I, 4, FALSE)</f>
        <v>1</v>
      </c>
      <c r="J692" t="str">
        <f>VLOOKUP($F692, codebooks_data_reordered!$A:$I, 5, FALSE)</f>
        <v>42</v>
      </c>
      <c r="K692" t="str">
        <f>VLOOKUP($F692, codebooks_data_reordered!$A:$I, 6, FALSE)</f>
        <v>To what extent television advertisements helped interviewee decide whom to vote for</v>
      </c>
      <c r="L692">
        <f>VLOOKUP($F692, codebooks_data_reordered!$A:$I, 7, FALSE)</f>
        <v>0</v>
      </c>
      <c r="M692" t="str">
        <f>VLOOKUP($F692, codebooks_data_reordered!$A:$I, 9, FALSE)</f>
        <v>1: To a great extent; 2: To a certain extent; 3: To a small extent; 4: Not at all</v>
      </c>
      <c r="O692" s="2" t="str">
        <f t="shared" si="10"/>
        <v>1: To a great extent
 2: To a certain extent
 3: To a small extent
 4: Not at all</v>
      </c>
    </row>
    <row r="693" spans="1:15" ht="115.2" hidden="1" x14ac:dyDescent="0.3">
      <c r="A693" t="s">
        <v>7173</v>
      </c>
      <c r="B693" t="s">
        <v>7423</v>
      </c>
      <c r="C693" s="2" t="s">
        <v>6431</v>
      </c>
      <c r="D693" t="s">
        <v>5843</v>
      </c>
      <c r="E693" s="2" t="s">
        <v>6432</v>
      </c>
      <c r="F693" t="s">
        <v>3651</v>
      </c>
      <c r="G693" t="str">
        <f>VLOOKUP($F693, codebooks_data_reordered!$A:$I, 2, FALSE)</f>
        <v>1988_N=873</v>
      </c>
      <c r="H693" t="str">
        <f>VLOOKUP($F693, codebooks_data_reordered!$A:$I, 3, FALSE)</f>
        <v>NATIONAL SECURITY SCALE</v>
      </c>
      <c r="I693" t="str">
        <f>VLOOKUP($F693, codebooks_data_reordered!$A:$I, 4, FALSE)</f>
        <v>1</v>
      </c>
      <c r="J693" t="str">
        <f>VLOOKUP($F693, codebooks_data_reordered!$A:$I, 5, FALSE)</f>
        <v>15</v>
      </c>
      <c r="K693" t="str">
        <f>VLOOKUP($F693, codebooks_data_reordered!$A:$I, 6, FALSE)</f>
        <v>Should Israel agree to establishment of Palestinian state in occupied territories</v>
      </c>
      <c r="L693">
        <f>VLOOKUP($F693, codebooks_data_reordered!$A:$I, 7, FALSE)</f>
        <v>0</v>
      </c>
      <c r="M693" t="str">
        <f>VLOOKUP($F693, codebooks_data_reordered!$A:$I, 9, FALSE)</f>
        <v>1: Definitely; 2: Probably; 3: Probably not; 4: Definitely not</v>
      </c>
      <c r="O693" s="2" t="str">
        <f t="shared" si="10"/>
        <v>1: Definitely
 2: Probably
 3: Probably not
 4: Definitely not</v>
      </c>
    </row>
    <row r="694" spans="1:15" ht="115.2" hidden="1" x14ac:dyDescent="0.3">
      <c r="A694" t="s">
        <v>7173</v>
      </c>
      <c r="B694" t="s">
        <v>7424</v>
      </c>
      <c r="C694" s="2" t="s">
        <v>6431</v>
      </c>
      <c r="D694" t="s">
        <v>5843</v>
      </c>
      <c r="E694" s="2" t="s">
        <v>6432</v>
      </c>
      <c r="F694" t="s">
        <v>3652</v>
      </c>
      <c r="G694" t="str">
        <f>VLOOKUP($F694, codebooks_data_reordered!$A:$I, 2, FALSE)</f>
        <v>1988_N=873</v>
      </c>
      <c r="H694" t="str">
        <f>VLOOKUP($F694, codebooks_data_reordered!$A:$I, 3, FALSE)</f>
        <v>NATIONAL SECURITY SCALE</v>
      </c>
      <c r="I694" t="str">
        <f>VLOOKUP($F694, codebooks_data_reordered!$A:$I, 4, FALSE)</f>
        <v>1</v>
      </c>
      <c r="J694" t="str">
        <f>VLOOKUP($F694, codebooks_data_reordered!$A:$I, 5, FALSE)</f>
        <v>16</v>
      </c>
      <c r="K694" t="str">
        <f>VLOOKUP($F694, codebooks_data_reordered!$A:$I, 6, FALSE)</f>
        <v>Rights to be given to Palestinians if territories are annexed</v>
      </c>
      <c r="L694">
        <f>VLOOKUP($F694, codebooks_data_reordered!$A:$I, 7, FALSE)</f>
        <v>0</v>
      </c>
      <c r="M694" t="str">
        <f>VLOOKUP($F694, codebooks_data_reordered!$A:$I, 9, FALSE)</f>
        <v>1: Full civil rights(incl. suffrage); 2: Civil rights (excluding suffrage); 3: Leave current situation unchanged; 4: Decrease current rights</v>
      </c>
      <c r="O694" s="2" t="str">
        <f t="shared" si="10"/>
        <v>1: Full civil rights(incl. suffrage)
 2: Civil rights (excluding suffrage)
 3: Leave current situation unchanged
 4: Decrease current rights</v>
      </c>
    </row>
    <row r="695" spans="1:15" ht="129.6" hidden="1" x14ac:dyDescent="0.3">
      <c r="A695" t="s">
        <v>7173</v>
      </c>
      <c r="B695" t="s">
        <v>6124</v>
      </c>
      <c r="C695" s="2" t="s">
        <v>7425</v>
      </c>
      <c r="D695" t="s">
        <v>5843</v>
      </c>
      <c r="E695" s="2" t="s">
        <v>7426</v>
      </c>
      <c r="F695" t="s">
        <v>3069</v>
      </c>
      <c r="G695" t="str">
        <f>VLOOKUP($F695, codebooks_data_reordered!$A:$I, 2, FALSE)</f>
        <v>1988_Panel_N=416</v>
      </c>
      <c r="H695" t="str">
        <f>VLOOKUP($F695, codebooks_data_reordered!$A:$I, 3, FALSE)</f>
        <v>ISRAEL'S CAPABILITY OF COPING WITH VARIOUS SITUATIONS</v>
      </c>
      <c r="I695" t="str">
        <f>VLOOKUP($F695, codebooks_data_reordered!$A:$I, 4, FALSE)</f>
        <v>1</v>
      </c>
      <c r="J695" t="str">
        <f>VLOOKUP($F695, codebooks_data_reordered!$A:$I, 5, FALSE)</f>
        <v>88</v>
      </c>
      <c r="K695" t="str">
        <f>VLOOKUP($F695, codebooks_data_reordered!$A:$I, 6, FALSE)</f>
        <v>Level of rationality of the Arab states' foreign and security policy</v>
      </c>
      <c r="L695">
        <f>VLOOKUP($F695, codebooks_data_reordered!$A:$I, 7, FALSE)</f>
        <v>0</v>
      </c>
      <c r="M695" t="str">
        <f>VLOOKUP($F695, codebooks_data_reordered!$A:$I, 9, FALSE)</f>
        <v>1: Always rational; 2: Usually rational; 3: Some times rational at others not; 4: Usually irrational; 5: Always irrational</v>
      </c>
      <c r="O695" s="2" t="str">
        <f t="shared" si="10"/>
        <v>1: Always rational
 2: Usually rational
 3: Some times rational at others not
 4: Usually irrational
 5: Always irrational</v>
      </c>
    </row>
    <row r="696" spans="1:15" ht="316.8" hidden="1" x14ac:dyDescent="0.3">
      <c r="A696" t="s">
        <v>7173</v>
      </c>
      <c r="B696" t="s">
        <v>7427</v>
      </c>
      <c r="C696" s="2" t="s">
        <v>6727</v>
      </c>
      <c r="D696" t="s">
        <v>5843</v>
      </c>
      <c r="E696" s="2" t="s">
        <v>6728</v>
      </c>
      <c r="F696" t="s">
        <v>3793</v>
      </c>
      <c r="G696" t="str">
        <f>VLOOKUP($F696, codebooks_data_reordered!$A:$I, 2, FALSE)</f>
        <v>1988_N=873</v>
      </c>
      <c r="H696" t="str">
        <f>VLOOKUP($F696, codebooks_data_reordered!$A:$I, 3, FALSE)</f>
        <v>FOR WHICH PARTIES WOULD YOU VOTE FOR IF NO LIMITATION IS POSED</v>
      </c>
      <c r="I696" t="str">
        <f>VLOOKUP($F696, codebooks_data_reordered!$A:$I, 4, FALSE)</f>
        <v>1</v>
      </c>
      <c r="J696" t="str">
        <f>VLOOKUP($F696, codebooks_data_reordered!$A:$I, 5, FALSE)</f>
        <v>150-151</v>
      </c>
      <c r="K696" t="str">
        <f>VLOOKUP($F696, codebooks_data_reordered!$A:$I, 6, FALSE)</f>
        <v>Interviewee's spouse's vote at forthcoming elections</v>
      </c>
      <c r="L696">
        <f>VLOOKUP($F696, codebooks_data_reordered!$A:$I, 7, FALSE)</f>
        <v>0</v>
      </c>
      <c r="M696" t="str">
        <f>VLOOKUP($F696, codebooks_data_reordered!$A:$I, 9, FALSE)</f>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c r="O696" s="2" t="str">
        <f t="shared" si="10"/>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row>
    <row r="697" spans="1:15" ht="201.6" hidden="1" x14ac:dyDescent="0.3">
      <c r="A697" t="s">
        <v>7173</v>
      </c>
      <c r="B697" t="s">
        <v>7428</v>
      </c>
      <c r="C697" s="2" t="s">
        <v>7429</v>
      </c>
      <c r="D697" t="s">
        <v>5843</v>
      </c>
      <c r="E697" s="2" t="s">
        <v>7430</v>
      </c>
      <c r="F697" t="s">
        <v>3646</v>
      </c>
      <c r="G697" t="str">
        <f>VLOOKUP($F697, codebooks_data_reordered!$A:$I, 2, FALSE)</f>
        <v>1988_N=873</v>
      </c>
      <c r="H697" t="str">
        <f>VLOOKUP($F697, codebooks_data_reordered!$A:$I, 3, FALSE)</f>
        <v>NATIONAL SECURITY SCALE</v>
      </c>
      <c r="I697" t="str">
        <f>VLOOKUP($F697, codebooks_data_reordered!$A:$I, 4, FALSE)</f>
        <v>1</v>
      </c>
      <c r="J697" t="str">
        <f>VLOOKUP($F697, codebooks_data_reordered!$A:$I, 5, FALSE)</f>
        <v>10</v>
      </c>
      <c r="K697" t="str">
        <f>VLOOKUP($F697, codebooks_data_reordered!$A:$I, 6, FALSE)</f>
        <v>Desired solution to territories issue</v>
      </c>
      <c r="L697">
        <f>VLOOKUP($F697, codebooks_data_reordered!$A:$I, 7, FALSE)</f>
        <v>0</v>
      </c>
      <c r="M697" t="str">
        <f>VLOOKUP($F697, codebooks_data_reordered!$A:$I, 9, FALSE)</f>
        <v>1: Conceding territories in return for peace; 2: Annexation of territories; 3: Leave current situation unchanged</v>
      </c>
      <c r="O697" s="2" t="str">
        <f t="shared" si="10"/>
        <v>1: Conceding territories in return for peace
 2: Annexation of territories
 3: Leave current situation unchanged</v>
      </c>
    </row>
    <row r="698" spans="1:15" ht="72" hidden="1" x14ac:dyDescent="0.3">
      <c r="A698" t="s">
        <v>7173</v>
      </c>
      <c r="B698" t="s">
        <v>7431</v>
      </c>
      <c r="C698" s="2" t="s">
        <v>7432</v>
      </c>
      <c r="D698" t="s">
        <v>7439</v>
      </c>
      <c r="E698" s="2" t="s">
        <v>7433</v>
      </c>
      <c r="F698" t="s">
        <v>9283</v>
      </c>
      <c r="G698" t="e">
        <f>VLOOKUP($F698, codebooks_data_reordered!$A:$I, 2, FALSE)</f>
        <v>#N/A</v>
      </c>
      <c r="H698" t="e">
        <f>VLOOKUP($F698, codebooks_data_reordered!$A:$I, 3, FALSE)</f>
        <v>#N/A</v>
      </c>
      <c r="I698" t="e">
        <f>VLOOKUP($F698, codebooks_data_reordered!$A:$I, 4, FALSE)</f>
        <v>#N/A</v>
      </c>
      <c r="J698" t="e">
        <f>VLOOKUP($F698, codebooks_data_reordered!$A:$I, 5, FALSE)</f>
        <v>#N/A</v>
      </c>
      <c r="K698" t="e">
        <f>VLOOKUP($F698, codebooks_data_reordered!$A:$I, 6, FALSE)</f>
        <v>#N/A</v>
      </c>
      <c r="L698" t="e">
        <f>VLOOKUP($F698, codebooks_data_reordered!$A:$I, 7, FALSE)</f>
        <v>#N/A</v>
      </c>
      <c r="M698" t="e">
        <f>VLOOKUP($F698, codebooks_data_reordered!$A:$I, 9, FALSE)</f>
        <v>#N/A</v>
      </c>
      <c r="O698" t="e">
        <f t="shared" si="10"/>
        <v>#N/A</v>
      </c>
    </row>
    <row r="699" spans="1:15" ht="144" hidden="1" x14ac:dyDescent="0.3">
      <c r="A699" t="s">
        <v>7173</v>
      </c>
      <c r="B699" t="s">
        <v>7434</v>
      </c>
      <c r="C699" s="2" t="s">
        <v>7435</v>
      </c>
      <c r="D699" t="s">
        <v>5843</v>
      </c>
      <c r="E699" s="2" t="s">
        <v>7436</v>
      </c>
      <c r="F699" t="s">
        <v>3073</v>
      </c>
      <c r="G699" t="str">
        <f>VLOOKUP($F699, codebooks_data_reordered!$A:$I, 2, FALSE)</f>
        <v>1988_Panel_N=416</v>
      </c>
      <c r="H699" t="str">
        <f>VLOOKUP($F699, codebooks_data_reordered!$A:$I, 3, FALSE)</f>
        <v>ISRAEL'S CAPABILITY OF COPING WITH VARIOUS SITUATIONS</v>
      </c>
      <c r="I699" t="str">
        <f>VLOOKUP($F699, codebooks_data_reordered!$A:$I, 4, FALSE)</f>
        <v>1</v>
      </c>
      <c r="J699" t="str">
        <f>VLOOKUP($F699, codebooks_data_reordered!$A:$I, 5, FALSE)</f>
        <v>89</v>
      </c>
      <c r="K699" t="str">
        <f>VLOOKUP($F699, codebooks_data_reordered!$A:$I, 6, FALSE)</f>
        <v>Estimate of the Arabs' ultimate goal</v>
      </c>
      <c r="L699">
        <f>VLOOKUP($F699, codebooks_data_reordered!$A:$I, 7, FALSE)</f>
        <v>0</v>
      </c>
      <c r="M699" t="str">
        <f>VLOOKUP($F699, codebooks_data_reordered!$A:$I, 9, FALSE)</f>
        <v>1: To retrieve part of the territories seized during the 6 Day War; 2: To retrieve all of the territories seized during the 6 Day War; 3: To conquer Israel; 4: To conquer Israel and annihilate most of the Jewish population</v>
      </c>
      <c r="O699" s="2" t="str">
        <f t="shared" si="10"/>
        <v>1: To retrieve part of the territories seized during the 6 Day War
 2: To retrieve all of the territories seized during the 6 Day War
 3: To conquer Israel
 4: To conquer Israel and annihilate most of the Jewish population</v>
      </c>
    </row>
    <row r="700" spans="1:15" ht="57.6" hidden="1" x14ac:dyDescent="0.3">
      <c r="A700" t="s">
        <v>7173</v>
      </c>
      <c r="B700" t="s">
        <v>7437</v>
      </c>
      <c r="C700" s="2" t="s">
        <v>7438</v>
      </c>
      <c r="D700" t="s">
        <v>7439</v>
      </c>
      <c r="E700" s="2" t="s">
        <v>7440</v>
      </c>
      <c r="F700" t="s">
        <v>9276</v>
      </c>
      <c r="G700" t="e">
        <f>VLOOKUP($F700, codebooks_data_reordered!$A:$I, 2, FALSE)</f>
        <v>#N/A</v>
      </c>
      <c r="H700" t="e">
        <f>VLOOKUP($F700, codebooks_data_reordered!$A:$I, 3, FALSE)</f>
        <v>#N/A</v>
      </c>
      <c r="I700" t="e">
        <f>VLOOKUP($F700, codebooks_data_reordered!$A:$I, 4, FALSE)</f>
        <v>#N/A</v>
      </c>
      <c r="J700" t="e">
        <f>VLOOKUP($F700, codebooks_data_reordered!$A:$I, 5, FALSE)</f>
        <v>#N/A</v>
      </c>
      <c r="K700" t="e">
        <f>VLOOKUP($F700, codebooks_data_reordered!$A:$I, 6, FALSE)</f>
        <v>#N/A</v>
      </c>
      <c r="L700" t="e">
        <f>VLOOKUP($F700, codebooks_data_reordered!$A:$I, 7, FALSE)</f>
        <v>#N/A</v>
      </c>
      <c r="M700" t="e">
        <f>VLOOKUP($F700, codebooks_data_reordered!$A:$I, 9, FALSE)</f>
        <v>#N/A</v>
      </c>
      <c r="N700" t="s">
        <v>9393</v>
      </c>
      <c r="O700" t="e">
        <f t="shared" si="10"/>
        <v>#N/A</v>
      </c>
    </row>
    <row r="701" spans="1:15" ht="273.60000000000002" hidden="1" x14ac:dyDescent="0.3">
      <c r="A701" t="s">
        <v>7173</v>
      </c>
      <c r="B701" t="s">
        <v>7441</v>
      </c>
      <c r="C701" s="2" t="s">
        <v>7442</v>
      </c>
      <c r="D701" t="s">
        <v>5843</v>
      </c>
      <c r="E701" s="2" t="s">
        <v>7443</v>
      </c>
      <c r="F701" t="s">
        <v>3084</v>
      </c>
      <c r="G701" t="str">
        <f>VLOOKUP($F701, codebooks_data_reordered!$A:$I, 2, FALSE)</f>
        <v>1988_Panel_N=416</v>
      </c>
      <c r="H701" t="str">
        <f>VLOOKUP($F701, codebooks_data_reordered!$A:$I, 3, FALSE)</f>
        <v>WHICH OF THE FOLLOWING IS A REASON FOR THE ARABS OBJECTING TO ISRAEL'S EXISTENCE</v>
      </c>
      <c r="I701" t="str">
        <f>VLOOKUP($F701, codebooks_data_reordered!$A:$I, 4, FALSE)</f>
        <v>1</v>
      </c>
      <c r="J701" t="str">
        <f>VLOOKUP($F701, codebooks_data_reordered!$A:$I, 5, FALSE)</f>
        <v>94</v>
      </c>
      <c r="K701" t="str">
        <f>VLOOKUP($F701, codebooks_data_reordered!$A:$I, 6, FALSE)</f>
        <v>Reason for the arabs objecting to Israels' existence:They only want to retrieve those lands which were taken during the 6 Day War</v>
      </c>
      <c r="L701">
        <f>VLOOKUP($F701, codebooks_data_reordered!$A:$I, 7, FALSE)</f>
        <v>0</v>
      </c>
      <c r="M701" t="str">
        <f>VLOOKUP($F701, codebooks_data_reordered!$A:$I, 9, FALSE)</f>
        <v>1: Is a reason; 2: Is not a reason</v>
      </c>
      <c r="O701" s="2" t="str">
        <f t="shared" si="10"/>
        <v>1: Is a reason
 2: Is not a reason</v>
      </c>
    </row>
    <row r="702" spans="1:15" ht="409.6" hidden="1" x14ac:dyDescent="0.3">
      <c r="A702" t="s">
        <v>7173</v>
      </c>
      <c r="B702" t="s">
        <v>7444</v>
      </c>
      <c r="C702" s="2" t="s">
        <v>7445</v>
      </c>
      <c r="D702" t="s">
        <v>5843</v>
      </c>
      <c r="E702" s="2" t="s">
        <v>7446</v>
      </c>
      <c r="F702" t="s">
        <v>2530</v>
      </c>
      <c r="G702" t="str">
        <f>VLOOKUP($F702, codebooks_data_reordered!$A:$I, 2, FALSE)</f>
        <v>1996_Jews</v>
      </c>
      <c r="H702" t="str">
        <f>VLOOKUP($F702, codebooks_data_reordered!$A:$I, 3, FALSE)</f>
        <v>WHICH PM CANDID. BEST SUITS EACH DESCRIPTION?</v>
      </c>
      <c r="I702" t="str">
        <f>VLOOKUP($F702, codebooks_data_reordered!$A:$I, 4, FALSE)</f>
        <v>1</v>
      </c>
      <c r="J702" t="str">
        <f>VLOOKUP($F702, codebooks_data_reordered!$A:$I, 5, FALSE)</f>
        <v>172-173</v>
      </c>
      <c r="K702" t="str">
        <f>VLOOKUP($F702, codebooks_data_reordered!$A:$I, 6, FALSE)</f>
        <v>Vote for party, if elections were held today</v>
      </c>
      <c r="L702">
        <f>VLOOKUP($F702, codebooks_data_reordered!$A:$I, 7, FALSE)</f>
        <v>0</v>
      </c>
      <c r="M702" t="str">
        <f>VLOOKUP($F702, codebooks_data_reordered!$A:$I, 9, FALSE)</f>
        <v>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v>
      </c>
      <c r="O702" s="2" t="str">
        <f t="shared" si="10"/>
        <v>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v>
      </c>
    </row>
    <row r="703" spans="1:15" ht="158.4" hidden="1" x14ac:dyDescent="0.3">
      <c r="A703" t="s">
        <v>7173</v>
      </c>
      <c r="B703" t="s">
        <v>7447</v>
      </c>
      <c r="C703" s="2" t="s">
        <v>7448</v>
      </c>
      <c r="D703" t="s">
        <v>5843</v>
      </c>
      <c r="E703" s="2" t="s">
        <v>7449</v>
      </c>
      <c r="F703" t="s">
        <v>9284</v>
      </c>
      <c r="G703" t="e">
        <f>VLOOKUP($F703, codebooks_data_reordered!$A:$I, 2, FALSE)</f>
        <v>#N/A</v>
      </c>
      <c r="H703" t="e">
        <f>VLOOKUP($F703, codebooks_data_reordered!$A:$I, 3, FALSE)</f>
        <v>#N/A</v>
      </c>
      <c r="I703" t="e">
        <f>VLOOKUP($F703, codebooks_data_reordered!$A:$I, 4, FALSE)</f>
        <v>#N/A</v>
      </c>
      <c r="J703" t="e">
        <f>VLOOKUP($F703, codebooks_data_reordered!$A:$I, 5, FALSE)</f>
        <v>#N/A</v>
      </c>
      <c r="K703" t="e">
        <f>VLOOKUP($F703, codebooks_data_reordered!$A:$I, 6, FALSE)</f>
        <v>#N/A</v>
      </c>
      <c r="L703" t="e">
        <f>VLOOKUP($F703, codebooks_data_reordered!$A:$I, 7, FALSE)</f>
        <v>#N/A</v>
      </c>
      <c r="M703" t="e">
        <f>VLOOKUP($F703, codebooks_data_reordered!$A:$I, 9, FALSE)</f>
        <v>#N/A</v>
      </c>
      <c r="N703">
        <v>2015</v>
      </c>
      <c r="O703" t="e">
        <f t="shared" si="10"/>
        <v>#N/A</v>
      </c>
    </row>
    <row r="704" spans="1:15" ht="57.6" hidden="1" x14ac:dyDescent="0.3">
      <c r="A704" t="s">
        <v>7173</v>
      </c>
      <c r="B704" t="s">
        <v>7450</v>
      </c>
      <c r="C704" s="2" t="s">
        <v>7451</v>
      </c>
      <c r="D704" t="s">
        <v>5843</v>
      </c>
      <c r="E704" s="2" t="s">
        <v>7452</v>
      </c>
      <c r="F704" t="s">
        <v>3095</v>
      </c>
      <c r="G704" t="str">
        <f>VLOOKUP($F704, codebooks_data_reordered!$A:$I, 2, FALSE)</f>
        <v>1988_Panel_N=416</v>
      </c>
      <c r="H704" t="str">
        <f>VLOOKUP($F704, codebooks_data_reordered!$A:$I, 3, FALSE)</f>
        <v>WHICH OF THE FOLLOWING WOULD YOU BE WILLING TO GIVE TO MAINTAIN/STRENGTHEN THE SECURITY</v>
      </c>
      <c r="I704" t="str">
        <f>VLOOKUP($F704, codebooks_data_reordered!$A:$I, 4, FALSE)</f>
        <v>1</v>
      </c>
      <c r="J704" t="str">
        <f>VLOOKUP($F704, codebooks_data_reordered!$A:$I, 5, FALSE)</f>
        <v>98</v>
      </c>
      <c r="K704" t="str">
        <f>VLOOKUP($F704, codebooks_data_reordered!$A:$I, 6, FALSE)</f>
        <v>Willingness to have taxes raised so that the respondent pays more to increase security budget</v>
      </c>
      <c r="L704">
        <f>VLOOKUP($F704, codebooks_data_reordered!$A:$I, 7, FALSE)</f>
        <v>0</v>
      </c>
      <c r="M704" t="str">
        <f>VLOOKUP($F704, codebooks_data_reordered!$A:$I, 9, FALSE)</f>
        <v>1: Is willing; 2: Is unwilling</v>
      </c>
      <c r="O704" s="2" t="str">
        <f t="shared" si="10"/>
        <v>1: Is willing
 2: Is unwilling</v>
      </c>
    </row>
    <row r="705" spans="1:15" ht="57.6" hidden="1" x14ac:dyDescent="0.3">
      <c r="A705" t="s">
        <v>7173</v>
      </c>
      <c r="B705" t="s">
        <v>7453</v>
      </c>
      <c r="C705" s="2" t="s">
        <v>7454</v>
      </c>
      <c r="D705" t="s">
        <v>5843</v>
      </c>
      <c r="E705" s="2" t="s">
        <v>7455</v>
      </c>
      <c r="F705" t="s">
        <v>3099</v>
      </c>
      <c r="G705" t="str">
        <f>VLOOKUP($F705, codebooks_data_reordered!$A:$I, 2, FALSE)</f>
        <v>1988_Panel_N=416</v>
      </c>
      <c r="H705" t="str">
        <f>VLOOKUP($F705, codebooks_data_reordered!$A:$I, 3, FALSE)</f>
        <v>WHICH OF THE FOLLOWING WOULD YOU BE WILLING TO GIVE TO MAINTAIN/STRENGTHEN THE SECURITY</v>
      </c>
      <c r="I705" t="str">
        <f>VLOOKUP($F705, codebooks_data_reordered!$A:$I, 4, FALSE)</f>
        <v>1</v>
      </c>
      <c r="J705" t="str">
        <f>VLOOKUP($F705, codebooks_data_reordered!$A:$I, 5, FALSE)</f>
        <v>100</v>
      </c>
      <c r="K705" t="str">
        <f>VLOOKUP($F705, codebooks_data_reordered!$A:$I, 6, FALSE)</f>
        <v>Willingness to serve more in the reserve service</v>
      </c>
      <c r="L705">
        <f>VLOOKUP($F705, codebooks_data_reordered!$A:$I, 7, FALSE)</f>
        <v>0</v>
      </c>
      <c r="M705" t="str">
        <f>VLOOKUP($F705, codebooks_data_reordered!$A:$I, 9, FALSE)</f>
        <v>1: Is willing; 2: Is unwilling</v>
      </c>
      <c r="O705" s="2" t="str">
        <f t="shared" si="10"/>
        <v>1: Is willing
 2: Is unwilling</v>
      </c>
    </row>
    <row r="706" spans="1:15" ht="57.6" hidden="1" x14ac:dyDescent="0.3">
      <c r="A706" t="s">
        <v>7173</v>
      </c>
      <c r="B706" t="s">
        <v>7456</v>
      </c>
      <c r="C706" s="2" t="s">
        <v>7457</v>
      </c>
      <c r="D706" t="s">
        <v>5843</v>
      </c>
      <c r="E706" s="2" t="s">
        <v>7458</v>
      </c>
      <c r="F706" t="s">
        <v>3102</v>
      </c>
      <c r="G706" t="str">
        <f>VLOOKUP($F706, codebooks_data_reordered!$A:$I, 2, FALSE)</f>
        <v>1988_Panel_N=416</v>
      </c>
      <c r="H706" t="str">
        <f>VLOOKUP($F706, codebooks_data_reordered!$A:$I, 3, FALSE)</f>
        <v>WHICH OF THE FOLLOWING WOULD YOU BE WILLING TO GIVE TO MAINTAIN/STRENGTHEN THE SECURITY</v>
      </c>
      <c r="I706" t="str">
        <f>VLOOKUP($F706, codebooks_data_reordered!$A:$I, 4, FALSE)</f>
        <v>1</v>
      </c>
      <c r="J706" t="str">
        <f>VLOOKUP($F706, codebooks_data_reordered!$A:$I, 5, FALSE)</f>
        <v>101</v>
      </c>
      <c r="K706" t="str">
        <f>VLOOKUP($F706, codebooks_data_reordered!$A:$I, 6, FALSE)</f>
        <v>Is the burden of the military service divided up justly</v>
      </c>
      <c r="L706">
        <f>VLOOKUP($F706, codebooks_data_reordered!$A:$I, 7, FALSE)</f>
        <v>0</v>
      </c>
      <c r="M706" t="str">
        <f>VLOOKUP($F706, codebooks_data_reordered!$A:$I, 9, FALSE)</f>
        <v>1: Just; 2: Unjust</v>
      </c>
      <c r="O706" s="2" t="str">
        <f t="shared" ref="O706:O769" si="11">SUBSTITUTE(M706, ";", CHAR(10))</f>
        <v>1: Just
 2: Unjust</v>
      </c>
    </row>
    <row r="707" spans="1:15" ht="158.4" hidden="1" x14ac:dyDescent="0.3">
      <c r="A707" t="s">
        <v>7173</v>
      </c>
      <c r="B707" t="s">
        <v>7459</v>
      </c>
      <c r="C707" s="2" t="s">
        <v>7195</v>
      </c>
      <c r="D707" t="s">
        <v>5843</v>
      </c>
      <c r="E707" s="2" t="s">
        <v>7196</v>
      </c>
      <c r="F707" t="s">
        <v>3150</v>
      </c>
      <c r="G707" t="str">
        <f>VLOOKUP($F707, codebooks_data_reordered!$A:$I, 2, FALSE)</f>
        <v>1988_Panel_N=416</v>
      </c>
      <c r="H707" t="str">
        <f>VLOOKUP($F707, codebooks_data_reordered!$A:$I, 3, FALSE)</f>
        <v>THE EXTENT OF APPROVAL OF THE FOLLOWING</v>
      </c>
      <c r="I707" t="str">
        <f>VLOOKUP($F707, codebooks_data_reordered!$A:$I, 4, FALSE)</f>
        <v>1</v>
      </c>
      <c r="J707" t="str">
        <f>VLOOKUP($F707, codebooks_data_reordered!$A:$I, 5, FALSE)</f>
        <v>118</v>
      </c>
      <c r="K707" t="str">
        <f>VLOOKUP($F707, codebooks_data_reordered!$A:$I, 6, FALSE)</f>
        <v>Massada will never fall again</v>
      </c>
      <c r="L707">
        <f>VLOOKUP($F707, codebooks_data_reordered!$A:$I, 7, FALSE)</f>
        <v>0</v>
      </c>
      <c r="M707" t="str">
        <f>VLOOKUP($F707, codebooks_data_reordered!$A:$I, 9, FALSE)</f>
        <v>1: Definitely agrees; 2: Agrees; 3: Disagrees; 4: Definitely disagrees</v>
      </c>
      <c r="O707" s="2" t="str">
        <f t="shared" si="11"/>
        <v>1: Definitely agrees
 2: Agrees
 3: Disagrees
 4: Definitely disagrees</v>
      </c>
    </row>
    <row r="708" spans="1:15" ht="28.8" hidden="1" x14ac:dyDescent="0.3">
      <c r="A708" t="s">
        <v>7173</v>
      </c>
      <c r="B708" t="s">
        <v>7460</v>
      </c>
      <c r="C708" s="2" t="s">
        <v>6831</v>
      </c>
      <c r="D708" t="s">
        <v>5906</v>
      </c>
      <c r="E708" s="2" t="s">
        <v>6832</v>
      </c>
      <c r="F708" t="s">
        <v>9285</v>
      </c>
      <c r="G708" t="e">
        <f>VLOOKUP($F708, codebooks_data_reordered!$A:$I, 2, FALSE)</f>
        <v>#N/A</v>
      </c>
      <c r="H708" t="e">
        <f>VLOOKUP($F708, codebooks_data_reordered!$A:$I, 3, FALSE)</f>
        <v>#N/A</v>
      </c>
      <c r="I708" t="e">
        <f>VLOOKUP($F708, codebooks_data_reordered!$A:$I, 4, FALSE)</f>
        <v>#N/A</v>
      </c>
      <c r="J708" t="e">
        <f>VLOOKUP($F708, codebooks_data_reordered!$A:$I, 5, FALSE)</f>
        <v>#N/A</v>
      </c>
      <c r="K708" t="e">
        <f>VLOOKUP($F708, codebooks_data_reordered!$A:$I, 6, FALSE)</f>
        <v>#N/A</v>
      </c>
      <c r="L708" t="e">
        <f>VLOOKUP($F708, codebooks_data_reordered!$A:$I, 7, FALSE)</f>
        <v>#N/A</v>
      </c>
      <c r="M708" t="e">
        <f>VLOOKUP($F708, codebooks_data_reordered!$A:$I, 9, FALSE)</f>
        <v>#N/A</v>
      </c>
      <c r="O708" t="e">
        <f t="shared" si="11"/>
        <v>#N/A</v>
      </c>
    </row>
    <row r="709" spans="1:15" ht="28.8" hidden="1" x14ac:dyDescent="0.3">
      <c r="A709" t="s">
        <v>7173</v>
      </c>
      <c r="B709" t="s">
        <v>6836</v>
      </c>
      <c r="C709" s="2" t="s">
        <v>6831</v>
      </c>
      <c r="D709" t="s">
        <v>5906</v>
      </c>
      <c r="E709" s="2" t="s">
        <v>6832</v>
      </c>
      <c r="F709" t="s">
        <v>9286</v>
      </c>
      <c r="G709" t="e">
        <f>VLOOKUP($F709, codebooks_data_reordered!$A:$I, 2, FALSE)</f>
        <v>#N/A</v>
      </c>
      <c r="H709" t="e">
        <f>VLOOKUP($F709, codebooks_data_reordered!$A:$I, 3, FALSE)</f>
        <v>#N/A</v>
      </c>
      <c r="I709" t="e">
        <f>VLOOKUP($F709, codebooks_data_reordered!$A:$I, 4, FALSE)</f>
        <v>#N/A</v>
      </c>
      <c r="J709" t="e">
        <f>VLOOKUP($F709, codebooks_data_reordered!$A:$I, 5, FALSE)</f>
        <v>#N/A</v>
      </c>
      <c r="K709" t="e">
        <f>VLOOKUP($F709, codebooks_data_reordered!$A:$I, 6, FALSE)</f>
        <v>#N/A</v>
      </c>
      <c r="L709" t="e">
        <f>VLOOKUP($F709, codebooks_data_reordered!$A:$I, 7, FALSE)</f>
        <v>#N/A</v>
      </c>
      <c r="M709" t="e">
        <f>VLOOKUP($F709, codebooks_data_reordered!$A:$I, 9, FALSE)</f>
        <v>#N/A</v>
      </c>
      <c r="O709" t="e">
        <f t="shared" si="11"/>
        <v>#N/A</v>
      </c>
    </row>
    <row r="710" spans="1:15" ht="115.2" hidden="1" x14ac:dyDescent="0.3">
      <c r="A710" t="s">
        <v>7173</v>
      </c>
      <c r="B710" t="s">
        <v>7461</v>
      </c>
      <c r="C710" s="2" t="s">
        <v>6318</v>
      </c>
      <c r="D710" t="s">
        <v>5843</v>
      </c>
      <c r="E710" s="2" t="s">
        <v>6319</v>
      </c>
      <c r="F710" t="s">
        <v>4189</v>
      </c>
      <c r="G710" t="str">
        <f>VLOOKUP($F710, codebooks_data_reordered!$A:$I, 2, FALSE)</f>
        <v>1981_1</v>
      </c>
      <c r="H710" t="str">
        <f>VLOOKUP($F710, codebooks_data_reordered!$A:$I, 3, FALSE)</f>
        <v>CHARACTERIZATION OF MOSHE DAYAN, GRADED SCALE 1-6</v>
      </c>
      <c r="I710" t="str">
        <f>VLOOKUP($F710, codebooks_data_reordered!$A:$I, 4, FALSE)</f>
        <v>1</v>
      </c>
      <c r="J710" t="str">
        <f>VLOOKUP($F710, codebooks_data_reordered!$A:$I, 5, FALSE)</f>
        <v>139</v>
      </c>
      <c r="K710" t="str">
        <f>VLOOKUP($F710, codebooks_data_reordered!$A:$I, 6, FALSE)</f>
        <v>Place of birth/father's place of birth</v>
      </c>
      <c r="L710">
        <f>VLOOKUP($F710, codebooks_data_reordered!$A:$I, 7, FALSE)</f>
        <v>0</v>
      </c>
      <c r="M710" t="str">
        <f>VLOOKUP($F710, codebooks_data_reordered!$A:$I, 9, FALSE)</f>
        <v>1: Israel/Israel; 2: Israel/Asia-Africa; 3: Israel/Europe-America; 4: Asia-Africa/Asia-Africa; 5: Europe-America/Europe-America; 6: Any other combination</v>
      </c>
      <c r="O710" s="2" t="str">
        <f t="shared" si="11"/>
        <v>1: Israel/Israel
 2: Israel/Asia-Africa
 3: Israel/Europe-America
 4: Asia-Africa/Asia-Africa
 5: Europe-America/Europe-America
 6: Any other combination</v>
      </c>
    </row>
    <row r="711" spans="1:15" ht="115.2" hidden="1" x14ac:dyDescent="0.3">
      <c r="A711" t="s">
        <v>7173</v>
      </c>
      <c r="B711" t="s">
        <v>7462</v>
      </c>
      <c r="C711" s="2" t="s">
        <v>7463</v>
      </c>
      <c r="D711" t="s">
        <v>5843</v>
      </c>
      <c r="E711" s="2" t="s">
        <v>7464</v>
      </c>
      <c r="F711" t="s">
        <v>1793</v>
      </c>
      <c r="G711" t="str">
        <f>VLOOKUP($F711, codebooks_data_reordered!$A:$I, 2, FALSE)</f>
        <v>1999_1</v>
      </c>
      <c r="H711" t="str">
        <f>VLOOKUP($F711, codebooks_data_reordered!$A:$I, 3, FALSE)</f>
        <v>GENERAL POLITICAL ATTITUDE</v>
      </c>
      <c r="I711" t="str">
        <f>VLOOKUP($F711, codebooks_data_reordered!$A:$I, 4, FALSE)</f>
        <v>1</v>
      </c>
      <c r="J711" t="str">
        <f>VLOOKUP($F711, codebooks_data_reordered!$A:$I, 5, FALSE)</f>
        <v>24</v>
      </c>
      <c r="K711" t="str">
        <f>VLOOKUP($F711, codebooks_data_reordered!$A:$I, 6, FALSE)</f>
        <v>Opinion on the establishment of a Palestinian state</v>
      </c>
      <c r="L711">
        <f>VLOOKUP($F711, codebooks_data_reordered!$A:$I, 7, FALSE)</f>
        <v>0</v>
      </c>
      <c r="M711" t="str">
        <f>VLOOKUP($F711, codebooks_data_reordered!$A:$I, 9, FALSE)</f>
        <v>1: Definitely agree; 2: Agree; 3: Disagree; 4: Definitely disagree</v>
      </c>
      <c r="O711" s="2" t="str">
        <f t="shared" si="11"/>
        <v>1: Definitely agree
 2: Agree
 3: Disagree
 4: Definitely disagree</v>
      </c>
    </row>
    <row r="712" spans="1:15" ht="115.2" hidden="1" x14ac:dyDescent="0.3">
      <c r="A712" t="s">
        <v>7173</v>
      </c>
      <c r="B712" t="s">
        <v>7465</v>
      </c>
      <c r="C712" s="2" t="s">
        <v>7406</v>
      </c>
      <c r="D712" t="s">
        <v>5986</v>
      </c>
      <c r="E712" s="2" t="s">
        <v>7407</v>
      </c>
      <c r="F712" t="s">
        <v>5377</v>
      </c>
      <c r="G712" t="str">
        <f>VLOOKUP($F712, codebooks_data_reordered!$A:$I, 2, FALSE)</f>
        <v>1973_5</v>
      </c>
      <c r="H712" t="str">
        <f>VLOOKUP($F712, codebooks_data_reordered!$A:$I, 3, FALSE)</f>
        <v>POLITICAL LEADERS AND HOW INTERVIEWEE RELATES TO THEM, HOW IMPORTANT THIS FACTOR WAS TO INTERVIEWEE'S VOTE</v>
      </c>
      <c r="I712" t="str">
        <f>VLOOKUP($F712, codebooks_data_reordered!$A:$I, 4, FALSE)</f>
        <v>1</v>
      </c>
      <c r="J712" t="str">
        <f>VLOOKUP($F712, codebooks_data_reordered!$A:$I, 5, FALSE)</f>
        <v>38</v>
      </c>
      <c r="K712" t="str">
        <f>VLOOKUP($F712, codebooks_data_reordered!$A:$I, 6, FALSE)</f>
        <v>There should be a change in Alignment members forming the cabinet if the coalition partners in next govt. are same as in outgoing govt</v>
      </c>
      <c r="L712">
        <f>VLOOKUP($F712, codebooks_data_reordered!$A:$I, 7, FALSE)</f>
        <v>0</v>
      </c>
      <c r="M712" t="str">
        <f>VLOOKUP($F712, codebooks_data_reordered!$A:$I, 9, FALSE)</f>
        <v>1: Some of them should be substituted; 2: Some ministers should have diff. roles; 3: New ministers, important minis. remain; 4: No significant changes necessary</v>
      </c>
      <c r="O712" s="2" t="str">
        <f t="shared" si="11"/>
        <v>1: Some of them should be substituted
 2: Some ministers should have diff. roles
 3: New ministers, important minis. remain
 4: No significant changes necessary</v>
      </c>
    </row>
    <row r="713" spans="1:15" ht="57.6" hidden="1" x14ac:dyDescent="0.3">
      <c r="A713" t="s">
        <v>7173</v>
      </c>
      <c r="B713" t="s">
        <v>7466</v>
      </c>
      <c r="C713" s="2" t="s">
        <v>7415</v>
      </c>
      <c r="D713" t="s">
        <v>5986</v>
      </c>
      <c r="E713" s="2" t="s">
        <v>7416</v>
      </c>
      <c r="F713" t="s">
        <v>5189</v>
      </c>
      <c r="G713" t="str">
        <f>VLOOKUP($F713, codebooks_data_reordered!$A:$I, 2, FALSE)</f>
        <v>1973_4</v>
      </c>
      <c r="H713" t="str">
        <f>VLOOKUP($F713, codebooks_data_reordered!$A:$I, 3, FALSE)</f>
        <v>December 1973</v>
      </c>
      <c r="I713" t="str">
        <f>VLOOKUP($F713, codebooks_data_reordered!$A:$I, 4, FALSE)</f>
        <v>1</v>
      </c>
      <c r="J713" t="str">
        <f>VLOOKUP($F713, codebooks_data_reordered!$A:$I, 5, FALSE)</f>
        <v>7</v>
      </c>
      <c r="K713" t="str">
        <f>VLOOKUP($F713, codebooks_data_reordered!$A:$I, 6, FALSE)</f>
        <v>Interviewee is satisfied with way election campaign for Knesset is being conducted</v>
      </c>
      <c r="L713">
        <f>VLOOKUP($F713, codebooks_data_reordered!$A:$I, 7, FALSE)</f>
        <v>0</v>
      </c>
      <c r="M713" t="str">
        <f>VLOOKUP($F713, codebooks_data_reordered!$A:$I, 9, FALSE)</f>
        <v>1: Very satisfied; 2: Satisfied; 3: Not so satisfied; 4: Not at all satisfied</v>
      </c>
      <c r="O713" s="2" t="str">
        <f t="shared" si="11"/>
        <v>1: Very satisfied
 2: Satisfied
 3: Not so satisfied
 4: Not at all satisfied</v>
      </c>
    </row>
    <row r="714" spans="1:15" ht="115.2" hidden="1" x14ac:dyDescent="0.3">
      <c r="A714" t="s">
        <v>7173</v>
      </c>
      <c r="B714" t="s">
        <v>6992</v>
      </c>
      <c r="C714" s="2" t="s">
        <v>6318</v>
      </c>
      <c r="D714" t="s">
        <v>5843</v>
      </c>
      <c r="E714" s="2" t="s">
        <v>6319</v>
      </c>
      <c r="F714" t="s">
        <v>1833</v>
      </c>
      <c r="G714" t="str">
        <f>VLOOKUP($F714, codebooks_data_reordered!$A:$I, 2, FALSE)</f>
        <v>1999_1</v>
      </c>
      <c r="H714" t="str">
        <f>VLOOKUP($F714, codebooks_data_reordered!$A:$I, 3, FALSE)</f>
        <v>VALUES AND TRUST</v>
      </c>
      <c r="I714" t="str">
        <f>VLOOKUP($F714, codebooks_data_reordered!$A:$I, 4, FALSE)</f>
        <v>1</v>
      </c>
      <c r="J714" t="str">
        <f>VLOOKUP($F714, codebooks_data_reordered!$A:$I, 5, FALSE)</f>
        <v>41</v>
      </c>
      <c r="K714" t="str">
        <f>VLOOKUP($F714, codebooks_data_reordered!$A:$I, 6, FALSE)</f>
        <v>Satisfaction with public discussion in Israel</v>
      </c>
      <c r="L714">
        <f>VLOOKUP($F714, codebooks_data_reordered!$A:$I, 7, FALSE)</f>
        <v>0</v>
      </c>
      <c r="M714" t="str">
        <f>VLOOKUP($F714, codebooks_data_reordered!$A:$I, 9, FALSE)</f>
        <v>1: Very satisfied; 2: Quite satisfied; 3: Not so satisfied; 4: Not satisfied at all</v>
      </c>
      <c r="O714" s="2" t="str">
        <f t="shared" si="11"/>
        <v>1: Very satisfied
 2: Quite satisfied
 3: Not so satisfied
 4: Not satisfied at all</v>
      </c>
    </row>
    <row r="715" spans="1:15" ht="331.2" hidden="1" x14ac:dyDescent="0.3">
      <c r="A715" t="s">
        <v>7173</v>
      </c>
      <c r="B715" t="s">
        <v>7467</v>
      </c>
      <c r="C715" s="2" t="s">
        <v>7468</v>
      </c>
      <c r="D715" t="s">
        <v>5843</v>
      </c>
      <c r="E715" s="2" t="s">
        <v>7469</v>
      </c>
      <c r="F715" t="s">
        <v>9287</v>
      </c>
      <c r="G715" t="e">
        <f>VLOOKUP($F715, codebooks_data_reordered!$A:$I, 2, FALSE)</f>
        <v>#N/A</v>
      </c>
      <c r="H715" t="e">
        <f>VLOOKUP($F715, codebooks_data_reordered!$A:$I, 3, FALSE)</f>
        <v>#N/A</v>
      </c>
      <c r="I715" t="e">
        <f>VLOOKUP($F715, codebooks_data_reordered!$A:$I, 4, FALSE)</f>
        <v>#N/A</v>
      </c>
      <c r="J715" t="e">
        <f>VLOOKUP($F715, codebooks_data_reordered!$A:$I, 5, FALSE)</f>
        <v>#N/A</v>
      </c>
      <c r="K715" t="e">
        <f>VLOOKUP($F715, codebooks_data_reordered!$A:$I, 6, FALSE)</f>
        <v>#N/A</v>
      </c>
      <c r="L715" t="e">
        <f>VLOOKUP($F715, codebooks_data_reordered!$A:$I, 7, FALSE)</f>
        <v>#N/A</v>
      </c>
      <c r="M715" t="e">
        <f>VLOOKUP($F715, codebooks_data_reordered!$A:$I, 9, FALSE)</f>
        <v>#N/A</v>
      </c>
      <c r="O715" t="e">
        <f t="shared" si="11"/>
        <v>#N/A</v>
      </c>
    </row>
    <row r="716" spans="1:15" ht="409.6" hidden="1" x14ac:dyDescent="0.3">
      <c r="A716" t="s">
        <v>7173</v>
      </c>
      <c r="B716" t="s">
        <v>7470</v>
      </c>
      <c r="C716" s="2" t="s">
        <v>7471</v>
      </c>
      <c r="D716" t="s">
        <v>5843</v>
      </c>
      <c r="E716" s="2" t="s">
        <v>7472</v>
      </c>
      <c r="F716" t="s">
        <v>107</v>
      </c>
      <c r="G716" t="str">
        <f>VLOOKUP($F716, codebooks_data_reordered!$A:$I, 2, FALSE)</f>
        <v>2006</v>
      </c>
      <c r="H716" t="str">
        <f>VLOOKUP($F716, codebooks_data_reordered!$A:$I, 3, FALSE)</f>
        <v>Pre-Election Survey</v>
      </c>
      <c r="I716" t="str">
        <f>VLOOKUP($F716, codebooks_data_reordered!$A:$I, 4, FALSE)</f>
        <v>1</v>
      </c>
      <c r="J716" t="str">
        <f>VLOOKUP($F716, codebooks_data_reordered!$A:$I, 5, FALSE)</f>
        <v>29</v>
      </c>
      <c r="K716" t="str">
        <f>VLOOKUP($F716, codebooks_data_reordered!$A:$I, 6, FALSE)</f>
        <v>Are you worried about being injured by Arabs</v>
      </c>
      <c r="L716" t="str">
        <f>VLOOKUP($F716, codebooks_data_reordered!$A:$I, 7, FALSE)</f>
        <v>24. To what extent are you worried or not worried that you or a member of your family could be injured in your daily life?</v>
      </c>
      <c r="M716" t="str">
        <f>VLOOKUP($F716, codebooks_data_reordered!$A:$I, 9, FALSE)</f>
        <v>1: Very worried; 2: Worried; 3: Not worried; 4: Not worried at all</v>
      </c>
      <c r="O716" s="2" t="str">
        <f t="shared" si="11"/>
        <v>1: Very worried
 2: Worried
 3: Not worried
 4: Not worried at all</v>
      </c>
    </row>
    <row r="717" spans="1:15" ht="158.4" hidden="1" x14ac:dyDescent="0.3">
      <c r="A717" t="s">
        <v>7173</v>
      </c>
      <c r="B717" t="s">
        <v>7473</v>
      </c>
      <c r="C717" s="2" t="s">
        <v>7474</v>
      </c>
      <c r="D717" t="s">
        <v>5843</v>
      </c>
      <c r="E717" s="2" t="s">
        <v>7475</v>
      </c>
      <c r="F717" t="s">
        <v>904</v>
      </c>
      <c r="G717" t="str">
        <f>VLOOKUP($F717, codebooks_data_reordered!$A:$I, 2, FALSE)</f>
        <v>2006</v>
      </c>
      <c r="H717" t="str">
        <f>VLOOKUP($F717, codebooks_data_reordered!$A:$I, 3, FALSE)</f>
        <v>Post-Election Survey</v>
      </c>
      <c r="I717" t="str">
        <f>VLOOKUP($F717, codebooks_data_reordered!$A:$I, 4, FALSE)</f>
        <v>1</v>
      </c>
      <c r="J717" t="str">
        <f>VLOOKUP($F717, codebooks_data_reordered!$A:$I, 5, FALSE)</f>
        <v>327</v>
      </c>
      <c r="K717" t="str">
        <f>VLOOKUP($F717, codebooks_data_reordered!$A:$I, 6, FALSE)</f>
        <v>Contact by a party or group during the campaign</v>
      </c>
      <c r="L717" t="str">
        <f>VLOOKUP($F717, codebooks_data_reordered!$A:$I, 7, FALSE)</f>
        <v>14. Were you contact by a party or group during the campaign in an effort to convince you how to vote?</v>
      </c>
      <c r="M717" t="str">
        <f>VLOOKUP($F717, codebooks_data_reordered!$A:$I, 9, FALSE)</f>
        <v>1: Yes; 2: No</v>
      </c>
      <c r="O717" s="2" t="str">
        <f t="shared" si="11"/>
        <v>1: Yes
 2: No</v>
      </c>
    </row>
    <row r="718" spans="1:15" ht="43.2" hidden="1" x14ac:dyDescent="0.3">
      <c r="A718" t="s">
        <v>7173</v>
      </c>
      <c r="B718" t="s">
        <v>6186</v>
      </c>
      <c r="C718" s="2" t="s">
        <v>7476</v>
      </c>
      <c r="D718" t="s">
        <v>5843</v>
      </c>
      <c r="E718" s="2" t="s">
        <v>7477</v>
      </c>
      <c r="F718" t="s">
        <v>2029</v>
      </c>
      <c r="G718" t="str">
        <f>VLOOKUP($F718, codebooks_data_reordered!$A:$I, 2, FALSE)</f>
        <v>1999_1</v>
      </c>
      <c r="H718" t="str">
        <f>VLOOKUP($F718, codebooks_data_reordered!$A:$I, 3, FALSE)</f>
        <v>MAIN POLITICAL ISSUES</v>
      </c>
      <c r="I718" t="str">
        <f>VLOOKUP($F718, codebooks_data_reordered!$A:$I, 4, FALSE)</f>
        <v>2</v>
      </c>
      <c r="J718" t="str">
        <f>VLOOKUP($F718, codebooks_data_reordered!$A:$I, 5, FALSE)</f>
        <v>45</v>
      </c>
      <c r="K718" t="str">
        <f>VLOOKUP($F718, codebooks_data_reordered!$A:$I, 6, FALSE)</f>
        <v>Government expendtiures on ecology/the environment</v>
      </c>
      <c r="L718">
        <f>VLOOKUP($F718, codebooks_data_reordered!$A:$I, 7, FALSE)</f>
        <v>0</v>
      </c>
      <c r="M718" t="str">
        <f>VLOOKUP($F718, codebooks_data_reordered!$A:$I, 9, FALSE)</f>
        <v>1: Should increase; 2: Should decrease; 3: Should stay the same</v>
      </c>
      <c r="O718" s="2" t="str">
        <f t="shared" si="11"/>
        <v>1: Should increase
 2: Should decrease
 3: Should stay the same</v>
      </c>
    </row>
    <row r="719" spans="1:15" ht="57.6" hidden="1" x14ac:dyDescent="0.3">
      <c r="A719" t="s">
        <v>7173</v>
      </c>
      <c r="B719" t="s">
        <v>7478</v>
      </c>
      <c r="C719" s="2" t="s">
        <v>7479</v>
      </c>
      <c r="D719" t="s">
        <v>5843</v>
      </c>
      <c r="E719" s="2" t="s">
        <v>7480</v>
      </c>
      <c r="F719" t="s">
        <v>9288</v>
      </c>
      <c r="G719" t="e">
        <f>VLOOKUP($F719, codebooks_data_reordered!$A:$I, 2, FALSE)</f>
        <v>#N/A</v>
      </c>
      <c r="H719" t="e">
        <f>VLOOKUP($F719, codebooks_data_reordered!$A:$I, 3, FALSE)</f>
        <v>#N/A</v>
      </c>
      <c r="I719" t="e">
        <f>VLOOKUP($F719, codebooks_data_reordered!$A:$I, 4, FALSE)</f>
        <v>#N/A</v>
      </c>
      <c r="J719" t="e">
        <f>VLOOKUP($F719, codebooks_data_reordered!$A:$I, 5, FALSE)</f>
        <v>#N/A</v>
      </c>
      <c r="K719" t="e">
        <f>VLOOKUP($F719, codebooks_data_reordered!$A:$I, 6, FALSE)</f>
        <v>#N/A</v>
      </c>
      <c r="L719" t="e">
        <f>VLOOKUP($F719, codebooks_data_reordered!$A:$I, 7, FALSE)</f>
        <v>#N/A</v>
      </c>
      <c r="M719" t="e">
        <f>VLOOKUP($F719, codebooks_data_reordered!$A:$I, 9, FALSE)</f>
        <v>#N/A</v>
      </c>
      <c r="O719" t="e">
        <f t="shared" si="11"/>
        <v>#N/A</v>
      </c>
    </row>
    <row r="720" spans="1:15" ht="43.2" hidden="1" x14ac:dyDescent="0.3">
      <c r="A720" t="s">
        <v>7173</v>
      </c>
      <c r="B720" t="s">
        <v>7481</v>
      </c>
      <c r="C720" s="2" t="s">
        <v>5947</v>
      </c>
      <c r="D720" t="s">
        <v>5843</v>
      </c>
      <c r="E720" s="2" t="s">
        <v>5948</v>
      </c>
      <c r="F720" t="s">
        <v>9289</v>
      </c>
      <c r="G720" t="e">
        <f>VLOOKUP($F720, codebooks_data_reordered!$A:$I, 2, FALSE)</f>
        <v>#N/A</v>
      </c>
      <c r="H720" t="e">
        <f>VLOOKUP($F720, codebooks_data_reordered!$A:$I, 3, FALSE)</f>
        <v>#N/A</v>
      </c>
      <c r="I720" t="e">
        <f>VLOOKUP($F720, codebooks_data_reordered!$A:$I, 4, FALSE)</f>
        <v>#N/A</v>
      </c>
      <c r="J720" t="e">
        <f>VLOOKUP($F720, codebooks_data_reordered!$A:$I, 5, FALSE)</f>
        <v>#N/A</v>
      </c>
      <c r="K720" t="e">
        <f>VLOOKUP($F720, codebooks_data_reordered!$A:$I, 6, FALSE)</f>
        <v>#N/A</v>
      </c>
      <c r="L720" t="e">
        <f>VLOOKUP($F720, codebooks_data_reordered!$A:$I, 7, FALSE)</f>
        <v>#N/A</v>
      </c>
      <c r="M720" t="e">
        <f>VLOOKUP($F720, codebooks_data_reordered!$A:$I, 9, FALSE)</f>
        <v>#N/A</v>
      </c>
      <c r="O720" t="e">
        <f t="shared" si="11"/>
        <v>#N/A</v>
      </c>
    </row>
    <row r="721" spans="1:15" ht="409.6" hidden="1" x14ac:dyDescent="0.3">
      <c r="A721" t="s">
        <v>7173</v>
      </c>
      <c r="B721" t="s">
        <v>7482</v>
      </c>
      <c r="C721" s="2" t="s">
        <v>7483</v>
      </c>
      <c r="D721" t="s">
        <v>5843</v>
      </c>
      <c r="E721" s="2" t="s">
        <v>7484</v>
      </c>
      <c r="F721" t="s">
        <v>1712</v>
      </c>
      <c r="G721" t="str">
        <f>VLOOKUP($F721, codebooks_data_reordered!$A:$I, 2, FALSE)</f>
        <v>2003</v>
      </c>
      <c r="H721" t="str">
        <f>VLOOKUP($F721, codebooks_data_reordered!$A:$I, 3, FALSE)</f>
        <v>Preference for each of the following coalitions</v>
      </c>
      <c r="I721" t="str">
        <f>VLOOKUP($F721, codebooks_data_reordered!$A:$I, 4, FALSE)</f>
        <v>1</v>
      </c>
      <c r="J721" t="str">
        <f>VLOOKUP($F721, codebooks_data_reordered!$A:$I, 5, FALSE)</f>
        <v>172-173</v>
      </c>
      <c r="K721" t="str">
        <f>VLOOKUP($F721, codebooks_data_reordered!$A:$I, 6, FALSE)</f>
        <v>Respondent party vote if elections were held today</v>
      </c>
      <c r="L721" t="str">
        <f>VLOOKUP($F721, codebooks_data_reordered!$A:$I, 7, FALSE)</f>
        <v>In this election we will vote only for the Knesset and not with two ballots. If the Knesset elections were held today, for which list would you vote?</v>
      </c>
      <c r="M721" t="str">
        <f>VLOOKUP($F721, codebooks_data_reordered!$A:$I, 9, FALSE)</f>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c r="O721" s="2" t="str">
        <f t="shared" si="11"/>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row>
    <row r="722" spans="1:15" ht="129.6" hidden="1" x14ac:dyDescent="0.3">
      <c r="A722" t="s">
        <v>7173</v>
      </c>
      <c r="B722" t="s">
        <v>7485</v>
      </c>
      <c r="C722" s="2" t="s">
        <v>7486</v>
      </c>
      <c r="D722" t="s">
        <v>5843</v>
      </c>
      <c r="E722" s="2" t="s">
        <v>7487</v>
      </c>
      <c r="F722" t="s">
        <v>246</v>
      </c>
      <c r="G722" t="str">
        <f>VLOOKUP($F722, codebooks_data_reordered!$A:$I, 2, FALSE)</f>
        <v>2006</v>
      </c>
      <c r="H722" t="str">
        <f>VLOOKUP($F722, codebooks_data_reordered!$A:$I, 3, FALSE)</f>
        <v>Personal Status</v>
      </c>
      <c r="I722" t="str">
        <f>VLOOKUP($F722, codebooks_data_reordered!$A:$I, 4, FALSE)</f>
        <v>1</v>
      </c>
      <c r="J722" t="str">
        <f>VLOOKUP($F722, codebooks_data_reordered!$A:$I, 5, FALSE)</f>
        <v>62</v>
      </c>
      <c r="K722" t="str">
        <f>VLOOKUP($F722, codebooks_data_reordered!$A:$I, 6, FALSE)</f>
        <v>Satisfaction with the way Israeli democracy functions</v>
      </c>
      <c r="L722" t="str">
        <f>VLOOKUP($F722, codebooks_data_reordered!$A:$I, 7, FALSE)</f>
        <v>58. Generally speaking, to what extent are you satisfied or dissatisfied with the way Israeli democracy functions?</v>
      </c>
      <c r="M722" t="str">
        <f>VLOOKUP($F722, codebooks_data_reordered!$A:$I, 9, FALSE)</f>
        <v>1: Very dissatisfied; 2: Dissatisfied; 3: Satisfied; 4: Very satisfied</v>
      </c>
      <c r="O722" s="2" t="str">
        <f t="shared" si="11"/>
        <v>1: Very dissatisfied
 2: Dissatisfied
 3: Satisfied
 4: Very satisfied</v>
      </c>
    </row>
    <row r="723" spans="1:15" ht="129.6" hidden="1" x14ac:dyDescent="0.3">
      <c r="A723" t="s">
        <v>7173</v>
      </c>
      <c r="B723" t="s">
        <v>7488</v>
      </c>
      <c r="C723" s="2" t="s">
        <v>7206</v>
      </c>
      <c r="D723" t="s">
        <v>5843</v>
      </c>
      <c r="E723" s="2" t="s">
        <v>7207</v>
      </c>
      <c r="F723" t="s">
        <v>2330</v>
      </c>
      <c r="G723" t="str">
        <f>VLOOKUP($F723, codebooks_data_reordered!$A:$I, 2, FALSE)</f>
        <v>1996_Jews</v>
      </c>
      <c r="H723" t="str">
        <f>VLOOKUP($F723, codebooks_data_reordered!$A:$I, 3, FALSE)</f>
        <v>EFFECT OF THE FOLLOWING ISSUES ON VOTE FOR PM</v>
      </c>
      <c r="I723" t="str">
        <f>VLOOKUP($F723, codebooks_data_reordered!$A:$I, 4, FALSE)</f>
        <v>1</v>
      </c>
      <c r="J723" t="str">
        <f>VLOOKUP($F723, codebooks_data_reordered!$A:$I, 5, FALSE)</f>
        <v>84</v>
      </c>
      <c r="K723" t="str">
        <f>VLOOKUP($F723, codebooks_data_reordered!$A:$I, 6, FALSE)</f>
        <v>Effect on vote for PM: Jerusalem</v>
      </c>
      <c r="L723">
        <f>VLOOKUP($F723, codebooks_data_reordered!$A:$I, 7, FALSE)</f>
        <v>0</v>
      </c>
      <c r="M723" t="str">
        <f>VLOOKUP($F723, codebooks_data_reordered!$A:$I, 9, FALSE)</f>
        <v>1: Strong effect; 2: Medial effect; 3: Light effect; 4: No effect</v>
      </c>
      <c r="O723" s="2" t="str">
        <f t="shared" si="11"/>
        <v>1: Strong effect
 2: Medial effect
 3: Light effect
 4: No effect</v>
      </c>
    </row>
    <row r="724" spans="1:15" ht="57.6" hidden="1" x14ac:dyDescent="0.3">
      <c r="A724" t="s">
        <v>7173</v>
      </c>
      <c r="B724" t="s">
        <v>7489</v>
      </c>
      <c r="C724" s="2" t="s">
        <v>7490</v>
      </c>
      <c r="D724" t="s">
        <v>5843</v>
      </c>
      <c r="E724" s="2" t="s">
        <v>7491</v>
      </c>
      <c r="F724" t="s">
        <v>257</v>
      </c>
      <c r="G724" t="str">
        <f>VLOOKUP($F724, codebooks_data_reordered!$A:$I, 2, FALSE)</f>
        <v>2006</v>
      </c>
      <c r="H724" t="str">
        <f>VLOOKUP($F724, codebooks_data_reordered!$A:$I, 3, FALSE)</f>
        <v>Support/Rejection of a Group or a Person</v>
      </c>
      <c r="I724" t="str">
        <f>VLOOKUP($F724, codebooks_data_reordered!$A:$I, 4, FALSE)</f>
        <v>1</v>
      </c>
      <c r="J724" t="str">
        <f>VLOOKUP($F724, codebooks_data_reordered!$A:$I, 5, FALSE)</f>
        <v>67-68</v>
      </c>
      <c r="K724" t="str">
        <f>VLOOKUP($F724, codebooks_data_reordered!$A:$I, 6, FALSE)</f>
        <v>Support: Likud</v>
      </c>
      <c r="L724" t="str">
        <f>VLOOKUP($F724, codebooks_data_reordered!$A:$I, 7, FALSE)</f>
        <v>Here is a scale from 1 to 10 to express support or rejection of a group or a person. '1' describes strong rejection/ hate, and '10' describes strong support/ love.</v>
      </c>
      <c r="M724" t="str">
        <f>VLOOKUP($F724, codebooks_data_reordered!$A:$I, 9, FALSE)</f>
        <v>1: Hate/rejection; 10: Love/support</v>
      </c>
      <c r="O724" s="2" t="str">
        <f t="shared" si="11"/>
        <v>1: Hate/rejection
 10: Love/support</v>
      </c>
    </row>
    <row r="725" spans="1:15" ht="129.6" hidden="1" x14ac:dyDescent="0.3">
      <c r="A725" t="s">
        <v>7173</v>
      </c>
      <c r="B725" t="s">
        <v>7492</v>
      </c>
      <c r="C725" s="2" t="s">
        <v>7203</v>
      </c>
      <c r="D725" t="s">
        <v>5843</v>
      </c>
      <c r="E725" s="2" t="s">
        <v>7204</v>
      </c>
      <c r="F725" t="s">
        <v>240</v>
      </c>
      <c r="G725" t="str">
        <f>VLOOKUP($F725, codebooks_data_reordered!$A:$I, 2, FALSE)</f>
        <v>2006</v>
      </c>
      <c r="H725" t="str">
        <f>VLOOKUP($F725, codebooks_data_reordered!$A:$I, 3, FALSE)</f>
        <v>Personal Status</v>
      </c>
      <c r="I725" t="str">
        <f>VLOOKUP($F725, codebooks_data_reordered!$A:$I, 4, FALSE)</f>
        <v>1</v>
      </c>
      <c r="J725" t="str">
        <f>VLOOKUP($F725, codebooks_data_reordered!$A:$I, 5, FALSE)</f>
        <v>61</v>
      </c>
      <c r="K725" t="str">
        <f>VLOOKUP($F725, codebooks_data_reordered!$A:$I, 6, FALSE)</f>
        <v>Your personal status 5 years from now</v>
      </c>
      <c r="L725" t="str">
        <f>VLOOKUP($F725, codebooks_data_reordered!$A:$I, 7, FALSE)</f>
        <v>Here you have a 9 stages scale describing different situations a person can be on. The top of the ladder is 9 and that is the best possible situation that you can think of and 1 is the worst. On which rank would you place yourself?</v>
      </c>
      <c r="M725" t="str">
        <f>VLOOKUP($F725, codebooks_data_reordered!$A:$I, 9, FALSE)</f>
        <v>1: Worst; 9: Best</v>
      </c>
      <c r="O725" s="2" t="str">
        <f t="shared" si="11"/>
        <v>1: Worst
 9: Best</v>
      </c>
    </row>
    <row r="726" spans="1:15" ht="57.6" hidden="1" x14ac:dyDescent="0.3">
      <c r="A726" t="s">
        <v>7173</v>
      </c>
      <c r="B726" t="s">
        <v>7493</v>
      </c>
      <c r="C726" s="2" t="s">
        <v>7494</v>
      </c>
      <c r="D726" t="s">
        <v>5986</v>
      </c>
      <c r="E726" s="2" t="s">
        <v>7495</v>
      </c>
      <c r="F726" t="s">
        <v>2338</v>
      </c>
      <c r="G726" t="str">
        <f>VLOOKUP($F726, codebooks_data_reordered!$A:$I, 2, FALSE)</f>
        <v>1996_Jews</v>
      </c>
      <c r="H726" t="str">
        <f>VLOOKUP($F726, codebooks_data_reordered!$A:$I, 3, FALSE)</f>
        <v>EFFECT OF THE FOLLOWING ISSUES ON VOTE FOR PM</v>
      </c>
      <c r="I726" t="str">
        <f>VLOOKUP($F726, codebooks_data_reordered!$A:$I, 4, FALSE)</f>
        <v>1</v>
      </c>
      <c r="J726" t="str">
        <f>VLOOKUP($F726, codebooks_data_reordered!$A:$I, 5, FALSE)</f>
        <v>88</v>
      </c>
      <c r="K726" t="str">
        <f>VLOOKUP($F726, codebooks_data_reordered!$A:$I, 6, FALSE)</f>
        <v>Effect on vote for PM: Rabin's assassination</v>
      </c>
      <c r="L726">
        <f>VLOOKUP($F726, codebooks_data_reordered!$A:$I, 7, FALSE)</f>
        <v>0</v>
      </c>
      <c r="M726" t="str">
        <f>VLOOKUP($F726, codebooks_data_reordered!$A:$I, 9, FALSE)</f>
        <v>1: Strong effect; 2: Medial effect; 3: Light effect; 4: No effect</v>
      </c>
      <c r="O726" s="2" t="str">
        <f t="shared" si="11"/>
        <v>1: Strong effect
 2: Medial effect
 3: Light effect
 4: No effect</v>
      </c>
    </row>
    <row r="727" spans="1:15" ht="100.8" hidden="1" x14ac:dyDescent="0.3">
      <c r="A727" t="s">
        <v>7173</v>
      </c>
      <c r="B727" t="s">
        <v>7496</v>
      </c>
      <c r="C727" s="2" t="s">
        <v>7497</v>
      </c>
      <c r="D727" t="s">
        <v>5843</v>
      </c>
      <c r="E727" s="2" t="s">
        <v>7498</v>
      </c>
      <c r="F727" t="s">
        <v>2626</v>
      </c>
      <c r="G727" t="str">
        <f>VLOOKUP($F727, codebooks_data_reordered!$A:$I, 2, FALSE)</f>
        <v>1996_Jews</v>
      </c>
      <c r="H727" t="str">
        <f>VLOOKUP($F727, codebooks_data_reordered!$A:$I, 3, FALSE)</f>
        <v>PERSONAL DATA</v>
      </c>
      <c r="I727" t="str">
        <f>VLOOKUP($F727, codebooks_data_reordered!$A:$I, 4, FALSE)</f>
        <v>1</v>
      </c>
      <c r="J727" t="str">
        <f>VLOOKUP($F727, codebooks_data_reordered!$A:$I, 5, FALSE)</f>
        <v>223</v>
      </c>
      <c r="K727" t="str">
        <f>VLOOKUP($F727, codebooks_data_reordered!$A:$I, 6, FALSE)</f>
        <v>Monthly family expenditures</v>
      </c>
      <c r="L727">
        <f>VLOOKUP($F727, codebooks_data_reordered!$A:$I, 7, FALSE)</f>
        <v>0</v>
      </c>
      <c r="M727" t="str">
        <f>VLOOKUP($F727, codebooks_data_reordered!$A:$I, 9, FALSE)</f>
        <v>1: Much above average; 2: More than average; 3: Average; 4: Below average; 5: Much below average</v>
      </c>
      <c r="O727" s="2" t="str">
        <f t="shared" si="11"/>
        <v>1: Much above average
 2: More than average
 3: Average
 4: Below average
 5: Much below average</v>
      </c>
    </row>
    <row r="728" spans="1:15" ht="100.8" hidden="1" x14ac:dyDescent="0.3">
      <c r="A728" t="s">
        <v>7173</v>
      </c>
      <c r="B728" t="s">
        <v>7499</v>
      </c>
      <c r="C728" s="2" t="s">
        <v>7500</v>
      </c>
      <c r="D728" t="s">
        <v>5906</v>
      </c>
      <c r="E728" s="2" t="s">
        <v>7501</v>
      </c>
      <c r="F728" t="s">
        <v>2176</v>
      </c>
      <c r="G728" t="str">
        <f>VLOOKUP($F728, codebooks_data_reordered!$A:$I, 2, FALSE)</f>
        <v>1999_1</v>
      </c>
      <c r="H728" t="str">
        <f>VLOOKUP($F728, codebooks_data_reordered!$A:$I, 3, FALSE)</f>
        <v>VOTING PATTERNS</v>
      </c>
      <c r="I728" t="str">
        <f>VLOOKUP($F728, codebooks_data_reordered!$A:$I, 4, FALSE)</f>
        <v>3</v>
      </c>
      <c r="J728" t="str">
        <f>VLOOKUP($F728, codebooks_data_reordered!$A:$I, 5, FALSE)</f>
        <v>24</v>
      </c>
      <c r="K728" t="str">
        <f>VLOOKUP($F728, codebooks_data_reordered!$A:$I, 6, FALSE)</f>
        <v>Political identification</v>
      </c>
      <c r="L728">
        <f>VLOOKUP($F728, codebooks_data_reordered!$A:$I, 7, FALSE)</f>
        <v>0</v>
      </c>
      <c r="M728" t="str">
        <f>VLOOKUP($F728, codebooks_data_reordered!$A:$I, 9, FALSE)</f>
        <v>1: Left; 2: Moderate left; 3: Center; 4: Moderate right; 5: Right; 6: Religious; 7: None</v>
      </c>
      <c r="O728" s="2" t="str">
        <f t="shared" si="11"/>
        <v>1: Left
 2: Moderate left
 3: Center
 4: Moderate right
 5: Right
 6: Religious
 7: None</v>
      </c>
    </row>
    <row r="729" spans="1:15" ht="316.8" hidden="1" x14ac:dyDescent="0.3">
      <c r="A729" t="s">
        <v>7173</v>
      </c>
      <c r="B729" t="s">
        <v>7502</v>
      </c>
      <c r="C729" s="2" t="s">
        <v>7503</v>
      </c>
      <c r="D729" t="s">
        <v>5906</v>
      </c>
      <c r="E729" s="2" t="s">
        <v>7504</v>
      </c>
      <c r="F729" t="s">
        <v>3783</v>
      </c>
      <c r="G729" t="str">
        <f>VLOOKUP($F729, codebooks_data_reordered!$A:$I, 2, FALSE)</f>
        <v>1988_N=873</v>
      </c>
      <c r="H729" t="str">
        <f>VLOOKUP($F729, codebooks_data_reordered!$A:$I, 3, FALSE)</f>
        <v>APPROVAL OF FOLLOWING SAYINGS ON SOCIAL AND STATE MATTERS</v>
      </c>
      <c r="I729" t="str">
        <f>VLOOKUP($F729, codebooks_data_reordered!$A:$I, 4, FALSE)</f>
        <v>1</v>
      </c>
      <c r="J729" t="str">
        <f>VLOOKUP($F729, codebooks_data_reordered!$A:$I, 5, FALSE)</f>
        <v>139-140</v>
      </c>
      <c r="K729" t="str">
        <f>VLOOKUP($F729, codebooks_data_reordered!$A:$I, 6, FALSE)</f>
        <v>Interviewee's vote at last elections on July,1984</v>
      </c>
      <c r="L729">
        <f>VLOOKUP($F729, codebooks_data_reordered!$A:$I, 7, FALSE)</f>
        <v>0</v>
      </c>
      <c r="M729" t="str">
        <f>VLOOKUP($F729, codebooks_data_reordered!$A:$I, 9, FALSE)</f>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c r="O729" s="2" t="str">
        <f t="shared" si="11"/>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row>
    <row r="730" spans="1:15" ht="57.6" hidden="1" x14ac:dyDescent="0.3">
      <c r="A730" t="s">
        <v>7173</v>
      </c>
      <c r="B730" t="s">
        <v>7505</v>
      </c>
      <c r="C730" s="2" t="s">
        <v>7506</v>
      </c>
      <c r="D730" t="s">
        <v>5986</v>
      </c>
      <c r="E730" s="2" t="s">
        <v>7507</v>
      </c>
      <c r="F730" t="s">
        <v>3477</v>
      </c>
      <c r="G730" t="str">
        <f>VLOOKUP($F730, codebooks_data_reordered!$A:$I, 2, FALSE)</f>
        <v>2003</v>
      </c>
      <c r="H730" t="str">
        <f>VLOOKUP($F730, codebooks_data_reordered!$A:$I, 3, FALSE)</f>
        <v>Respondent's demographic details</v>
      </c>
      <c r="I730" t="str">
        <f>VLOOKUP($F730, codebooks_data_reordered!$A:$I, 4, FALSE)</f>
        <v>1</v>
      </c>
      <c r="J730" t="str">
        <f>VLOOKUP($F730, codebooks_data_reordered!$A:$I, 5, FALSE)</f>
        <v>198</v>
      </c>
      <c r="K730" t="str">
        <f>VLOOKUP($F730, codebooks_data_reordered!$A:$I, 6, FALSE)</f>
        <v>Social class (self identified)</v>
      </c>
      <c r="L730" t="str">
        <f>VLOOKUP($F730, codebooks_data_reordered!$A:$I, 7, FALSE)</f>
        <v>To which social class do you belong?</v>
      </c>
      <c r="M730" t="str">
        <f>VLOOKUP($F730, codebooks_data_reordered!$A:$I, 9, FALSE)</f>
        <v>1: Upper class; 2: Middle upper; 3: Middle; 4: Lower</v>
      </c>
      <c r="O730" s="2" t="str">
        <f t="shared" si="11"/>
        <v>1: Upper class
 2: Middle upper
 3: Middle
 4: Lower</v>
      </c>
    </row>
    <row r="731" spans="1:15" ht="57.6" hidden="1" x14ac:dyDescent="0.3">
      <c r="A731" t="s">
        <v>7173</v>
      </c>
      <c r="B731" t="s">
        <v>7508</v>
      </c>
      <c r="C731" s="2" t="s">
        <v>7509</v>
      </c>
      <c r="D731" t="s">
        <v>5843</v>
      </c>
      <c r="E731" s="2" t="s">
        <v>7510</v>
      </c>
      <c r="F731" t="s">
        <v>2854</v>
      </c>
      <c r="G731" t="str">
        <f>VLOOKUP($F731, codebooks_data_reordered!$A:$I, 2, FALSE)</f>
        <v>1992</v>
      </c>
      <c r="H731">
        <f>VLOOKUP($F731, codebooks_data_reordered!$A:$I, 3, FALSE)</f>
        <v>0</v>
      </c>
      <c r="I731" t="str">
        <f>VLOOKUP($F731, codebooks_data_reordered!$A:$I, 4, FALSE)</f>
        <v>1</v>
      </c>
      <c r="J731" t="str">
        <f>VLOOKUP($F731, codebooks_data_reordered!$A:$I, 5, FALSE)</f>
        <v>122</v>
      </c>
      <c r="K731" t="str">
        <f>VLOOKUP($F731, codebooks_data_reordered!$A:$I, 6, FALSE)</f>
        <v>Leader representing interviewee's stand on territories issues</v>
      </c>
      <c r="L731">
        <f>VLOOKUP($F731, codebooks_data_reordered!$A:$I, 7, FALSE)</f>
        <v>0</v>
      </c>
      <c r="M731" t="str">
        <f>VLOOKUP($F731, codebooks_data_reordered!$A:$I, 9, FALSE)</f>
        <v>1: Yitzhak Shamir; 2: Yitzhak Rabin</v>
      </c>
      <c r="O731" s="2" t="str">
        <f t="shared" si="11"/>
        <v>1: Yitzhak Shamir
 2: Yitzhak Rabin</v>
      </c>
    </row>
    <row r="732" spans="1:15" ht="216" hidden="1" x14ac:dyDescent="0.3">
      <c r="A732" t="s">
        <v>7173</v>
      </c>
      <c r="B732" t="s">
        <v>7511</v>
      </c>
      <c r="C732" s="2" t="s">
        <v>7512</v>
      </c>
      <c r="D732" t="s">
        <v>5843</v>
      </c>
      <c r="E732" s="2" t="s">
        <v>7513</v>
      </c>
      <c r="F732" t="s">
        <v>266</v>
      </c>
      <c r="G732" t="str">
        <f>VLOOKUP($F732, codebooks_data_reordered!$A:$I, 2, FALSE)</f>
        <v>2006</v>
      </c>
      <c r="H732" t="str">
        <f>VLOOKUP($F732, codebooks_data_reordered!$A:$I, 3, FALSE)</f>
        <v>Support/Rejection of a Group or a Person</v>
      </c>
      <c r="I732" t="str">
        <f>VLOOKUP($F732, codebooks_data_reordered!$A:$I, 4, FALSE)</f>
        <v>1</v>
      </c>
      <c r="J732" t="str">
        <f>VLOOKUP($F732, codebooks_data_reordered!$A:$I, 5, FALSE)</f>
        <v>73-74</v>
      </c>
      <c r="K732" t="str">
        <f>VLOOKUP($F732, codebooks_data_reordered!$A:$I, 6, FALSE)</f>
        <v>Support: Israel Beiteinu</v>
      </c>
      <c r="L732" t="str">
        <f>VLOOKUP($F732, codebooks_data_reordered!$A:$I, 7, FALSE)</f>
        <v>Here is a scale from 1 to 10 to express support or rejection of a group or a person. '1' describes strong rejection/ hate, and '10' describes strong support/ love.</v>
      </c>
      <c r="M732" t="str">
        <f>VLOOKUP($F732, codebooks_data_reordered!$A:$I, 9, FALSE)</f>
        <v>1: Hate/rejection; 10: Love/support</v>
      </c>
      <c r="O732" s="2" t="str">
        <f t="shared" si="11"/>
        <v>1: Hate/rejection
 10: Love/support</v>
      </c>
    </row>
    <row r="733" spans="1:15" ht="115.2" hidden="1" x14ac:dyDescent="0.3">
      <c r="A733" t="s">
        <v>7173</v>
      </c>
      <c r="B733" t="s">
        <v>7514</v>
      </c>
      <c r="C733" s="2" t="s">
        <v>7515</v>
      </c>
      <c r="D733" t="s">
        <v>5843</v>
      </c>
      <c r="E733" s="2" t="s">
        <v>7516</v>
      </c>
      <c r="F733" t="s">
        <v>2410</v>
      </c>
      <c r="G733" t="str">
        <f>VLOOKUP($F733, codebooks_data_reordered!$A:$I, 2, FALSE)</f>
        <v>1996_Jews</v>
      </c>
      <c r="H733" t="str">
        <f>VLOOKUP($F733, codebooks_data_reordered!$A:$I, 3, FALSE)</f>
        <v>SHOULD THE GOVERNMENT SPEND MORE/LESS ON?</v>
      </c>
      <c r="I733" t="str">
        <f>VLOOKUP($F733, codebooks_data_reordered!$A:$I, 4, FALSE)</f>
        <v>1</v>
      </c>
      <c r="J733" t="str">
        <f>VLOOKUP($F733, codebooks_data_reordered!$A:$I, 5, FALSE)</f>
        <v>123</v>
      </c>
      <c r="K733" t="str">
        <f>VLOOKUP($F733, codebooks_data_reordered!$A:$I, 6, FALSE)</f>
        <v>Frequency of discussing politics with friends/family</v>
      </c>
      <c r="L733">
        <f>VLOOKUP($F733, codebooks_data_reordered!$A:$I, 7, FALSE)</f>
        <v>0</v>
      </c>
      <c r="M733" t="str">
        <f>VLOOKUP($F733, codebooks_data_reordered!$A:$I, 9, FALSE)</f>
        <v>1: Often; 2: Sometimes; 3: Little; 4: Never</v>
      </c>
      <c r="O733" s="2" t="str">
        <f t="shared" si="11"/>
        <v>1: Often
 2: Sometimes
 3: Little
 4: Never</v>
      </c>
    </row>
    <row r="734" spans="1:15" ht="158.4" hidden="1" x14ac:dyDescent="0.3">
      <c r="A734" t="s">
        <v>7173</v>
      </c>
      <c r="B734" t="s">
        <v>7517</v>
      </c>
      <c r="C734" s="2" t="s">
        <v>7518</v>
      </c>
      <c r="D734" t="s">
        <v>5843</v>
      </c>
      <c r="E734" s="2" t="s">
        <v>7519</v>
      </c>
      <c r="F734" t="s">
        <v>1836</v>
      </c>
      <c r="G734" t="str">
        <f>VLOOKUP($F734, codebooks_data_reordered!$A:$I, 2, FALSE)</f>
        <v>1999_1</v>
      </c>
      <c r="H734" t="str">
        <f>VLOOKUP($F734, codebooks_data_reordered!$A:$I, 3, FALSE)</f>
        <v>VALUES AND TRUST</v>
      </c>
      <c r="I734" t="str">
        <f>VLOOKUP($F734, codebooks_data_reordered!$A:$I, 4, FALSE)</f>
        <v>1</v>
      </c>
      <c r="J734" t="str">
        <f>VLOOKUP($F734, codebooks_data_reordered!$A:$I, 5, FALSE)</f>
        <v>42</v>
      </c>
      <c r="K734" t="str">
        <f>VLOOKUP($F734, codebooks_data_reordered!$A:$I, 6, FALSE)</f>
        <v>Jewish majority in Israel as a significant value</v>
      </c>
      <c r="L734">
        <f>VLOOKUP($F734, codebooks_data_reordered!$A:$I, 7, FALSE)</f>
        <v>0</v>
      </c>
      <c r="M734" t="str">
        <f>VLOOKUP($F734, codebooks_data_reordered!$A:$I, 9, FALSE)</f>
        <v>1: Most important value; 2: Second value; 3: Third value; 4: Fourth value</v>
      </c>
      <c r="O734" s="2" t="str">
        <f t="shared" si="11"/>
        <v>1: Most important value
 2: Second value
 3: Third value
 4: Fourth value</v>
      </c>
    </row>
    <row r="735" spans="1:15" ht="409.6" hidden="1" x14ac:dyDescent="0.3">
      <c r="A735" t="s">
        <v>7173</v>
      </c>
      <c r="B735" t="s">
        <v>7520</v>
      </c>
      <c r="C735" s="2" t="s">
        <v>7521</v>
      </c>
      <c r="D735" t="s">
        <v>5843</v>
      </c>
      <c r="E735" s="2" t="s">
        <v>7522</v>
      </c>
      <c r="F735" t="s">
        <v>1712</v>
      </c>
      <c r="G735" t="str">
        <f>VLOOKUP($F735, codebooks_data_reordered!$A:$I, 2, FALSE)</f>
        <v>2003</v>
      </c>
      <c r="H735" t="str">
        <f>VLOOKUP($F735, codebooks_data_reordered!$A:$I, 3, FALSE)</f>
        <v>Preference for each of the following coalitions</v>
      </c>
      <c r="I735" t="str">
        <f>VLOOKUP($F735, codebooks_data_reordered!$A:$I, 4, FALSE)</f>
        <v>1</v>
      </c>
      <c r="J735" t="str">
        <f>VLOOKUP($F735, codebooks_data_reordered!$A:$I, 5, FALSE)</f>
        <v>172-173</v>
      </c>
      <c r="K735" t="str">
        <f>VLOOKUP($F735, codebooks_data_reordered!$A:$I, 6, FALSE)</f>
        <v>Respondent party vote if elections were held today</v>
      </c>
      <c r="L735" t="str">
        <f>VLOOKUP($F735, codebooks_data_reordered!$A:$I, 7, FALSE)</f>
        <v>In this election we will vote only for the Knesset and not with two ballots. If the Knesset elections were held today, for which list would you vote?</v>
      </c>
      <c r="M735" t="str">
        <f>VLOOKUP($F735, codebooks_data_reordered!$A:$I, 9, FALSE)</f>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c r="O735" s="2" t="str">
        <f t="shared" si="11"/>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row>
    <row r="736" spans="1:15" ht="144" hidden="1" x14ac:dyDescent="0.3">
      <c r="A736" t="s">
        <v>7173</v>
      </c>
      <c r="B736" t="s">
        <v>7523</v>
      </c>
      <c r="C736" s="2" t="s">
        <v>7524</v>
      </c>
      <c r="D736" t="s">
        <v>5843</v>
      </c>
      <c r="E736" s="2" t="s">
        <v>7525</v>
      </c>
      <c r="F736" t="s">
        <v>5232</v>
      </c>
      <c r="G736" t="str">
        <f>VLOOKUP($F736, codebooks_data_reordered!$A:$I, 2, FALSE)</f>
        <v>1973_4</v>
      </c>
      <c r="H736" t="str">
        <f>VLOOKUP($F736, codebooks_data_reordered!$A:$I, 3, FALSE)</f>
        <v>December 1973</v>
      </c>
      <c r="I736" t="str">
        <f>VLOOKUP($F736, codebooks_data_reordered!$A:$I, 4, FALSE)</f>
        <v>1</v>
      </c>
      <c r="J736" t="str">
        <f>VLOOKUP($F736, codebooks_data_reordered!$A:$I, 5, FALSE)</f>
        <v>35</v>
      </c>
      <c r="K736" t="str">
        <f>VLOOKUP($F736, codebooks_data_reordered!$A:$I, 6, FALSE)</f>
        <v>Interviewee takes into consideration her husband's wish when deciding whom to vote for (for women only)</v>
      </c>
      <c r="L736">
        <f>VLOOKUP($F736, codebooks_data_reordered!$A:$I, 7, FALSE)</f>
        <v>0</v>
      </c>
      <c r="M736" t="str">
        <f>VLOOKUP($F736, codebooks_data_reordered!$A:$I, 9, FALSE)</f>
        <v>1: Certainly yes; 2: Thinks so; 3: Does not think so; 4: Absolutely not; 5: Husband doesn't know party she votes for; 6: Does not matter to husband which party; 7: The interviewee is a man</v>
      </c>
      <c r="O736" s="2" t="str">
        <f t="shared" si="11"/>
        <v>1: Certainly yes
 2: Thinks so
 3: Does not think so
 4: Absolutely not
 5: Husband doesn't know party she votes for
 6: Does not matter to husband which party
 7: The interviewee is a man</v>
      </c>
    </row>
    <row r="737" spans="1:15" ht="409.6" hidden="1" x14ac:dyDescent="0.3">
      <c r="A737" t="s">
        <v>7173</v>
      </c>
      <c r="B737" t="s">
        <v>7526</v>
      </c>
      <c r="C737" s="2" t="s">
        <v>7521</v>
      </c>
      <c r="D737" t="s">
        <v>5843</v>
      </c>
      <c r="E737" s="2" t="s">
        <v>7522</v>
      </c>
      <c r="F737" t="s">
        <v>1717</v>
      </c>
      <c r="G737" t="str">
        <f>VLOOKUP($F737, codebooks_data_reordered!$A:$I, 2, FALSE)</f>
        <v>2003</v>
      </c>
      <c r="H737" t="str">
        <f>VLOOKUP($F737, codebooks_data_reordered!$A:$I, 3, FALSE)</f>
        <v>Preference for each of the following coalitions</v>
      </c>
      <c r="I737" t="str">
        <f>VLOOKUP($F737, codebooks_data_reordered!$A:$I, 4, FALSE)</f>
        <v>1</v>
      </c>
      <c r="J737" t="str">
        <f>VLOOKUP($F737, codebooks_data_reordered!$A:$I, 5, FALSE)</f>
        <v>175-176</v>
      </c>
      <c r="K737" t="str">
        <f>VLOOKUP($F737, codebooks_data_reordered!$A:$I, 6, FALSE)</f>
        <v>Respondent party vote if elections for PM were also held</v>
      </c>
      <c r="L737" t="str">
        <f>VLOOKUP($F737, codebooks_data_reordered!$A:$I, 7, FALSE)</f>
        <v>And for the Knesset?</v>
      </c>
      <c r="M737" t="str">
        <f>VLOOKUP($F737, codebooks_data_reordered!$A:$I, 9, FALSE)</f>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c r="O737" s="2" t="str">
        <f t="shared" si="11"/>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row>
    <row r="738" spans="1:15" ht="100.8" hidden="1" x14ac:dyDescent="0.3">
      <c r="A738" t="s">
        <v>7173</v>
      </c>
      <c r="B738" t="s">
        <v>6465</v>
      </c>
      <c r="C738" s="2" t="s">
        <v>7521</v>
      </c>
      <c r="D738" t="s">
        <v>5843</v>
      </c>
      <c r="E738" s="2" t="s">
        <v>7522</v>
      </c>
      <c r="F738" t="s">
        <v>560</v>
      </c>
      <c r="G738" t="str">
        <f>VLOOKUP($F738, codebooks_data_reordered!$A:$I, 2, FALSE)</f>
        <v>2006</v>
      </c>
      <c r="H738" t="str">
        <f>VLOOKUP($F738, codebooks_data_reordered!$A:$I, 3, FALSE)</f>
        <v>Newspaper/TV</v>
      </c>
      <c r="I738" t="str">
        <f>VLOOKUP($F738, codebooks_data_reordered!$A:$I, 4, FALSE)</f>
        <v>1</v>
      </c>
      <c r="J738" t="str">
        <f>VLOOKUP($F738, codebooks_data_reordered!$A:$I, 5, FALSE)</f>
        <v>175-176</v>
      </c>
      <c r="K738" t="str">
        <f>VLOOKUP($F738, codebooks_data_reordered!$A:$I, 6, FALSE)</f>
        <v>Newspaper usually read</v>
      </c>
      <c r="L738" t="str">
        <f>VLOOKUP($F738, codebooks_data_reordered!$A:$I, 7, FALSE)</f>
        <v>64. Which newspaper do you usually read, which is your main newspaper? (do not read)</v>
      </c>
      <c r="M738">
        <f>VLOOKUP($F738, codebooks_data_reordered!$A:$I, 9, FALSE)</f>
        <v>0</v>
      </c>
      <c r="O738" s="2" t="str">
        <f t="shared" si="11"/>
        <v>0</v>
      </c>
    </row>
    <row r="739" spans="1:15" ht="403.2" hidden="1" x14ac:dyDescent="0.3">
      <c r="A739" t="s">
        <v>7173</v>
      </c>
      <c r="B739" t="s">
        <v>7527</v>
      </c>
      <c r="C739" s="2" t="s">
        <v>7528</v>
      </c>
      <c r="D739" t="s">
        <v>5843</v>
      </c>
      <c r="E739" s="2" t="s">
        <v>7529</v>
      </c>
      <c r="F739" t="s">
        <v>3790</v>
      </c>
      <c r="G739" t="str">
        <f>VLOOKUP($F739, codebooks_data_reordered!$A:$I, 2, FALSE)</f>
        <v>1988_N=873</v>
      </c>
      <c r="H739" t="str">
        <f>VLOOKUP($F739, codebooks_data_reordered!$A:$I, 3, FALSE)</f>
        <v>FOR WHICH PARTIES WOULD YOU VOTE FOR IF NO LIMITATION IS POSED</v>
      </c>
      <c r="I739" t="str">
        <f>VLOOKUP($F739, codebooks_data_reordered!$A:$I, 4, FALSE)</f>
        <v>1</v>
      </c>
      <c r="J739" t="str">
        <f>VLOOKUP($F739, codebooks_data_reordered!$A:$I, 5, FALSE)</f>
        <v>145-146</v>
      </c>
      <c r="K739" t="str">
        <f>VLOOKUP($F739, codebooks_data_reordered!$A:$I, 6, FALSE)</f>
        <v>Interviewee's father's vote at forthcoming elections</v>
      </c>
      <c r="L739">
        <f>VLOOKUP($F739, codebooks_data_reordered!$A:$I, 7, FALSE)</f>
        <v>0</v>
      </c>
      <c r="M739" t="str">
        <f>VLOOKUP($F739, codebooks_data_reordered!$A:$I, 9, FALSE)</f>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Did not decide who to vote for; 20: Do not know; 21: Died,lives abroad,no suffrage</v>
      </c>
      <c r="O739" s="2" t="str">
        <f t="shared" si="11"/>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Did not decide who to vote for
 20: Do not know
 21: Died,lives abroad,no suffrage</v>
      </c>
    </row>
    <row r="740" spans="1:15" ht="144" hidden="1" x14ac:dyDescent="0.3">
      <c r="A740" t="s">
        <v>7173</v>
      </c>
      <c r="B740" t="s">
        <v>7530</v>
      </c>
      <c r="C740" s="2" t="s">
        <v>7531</v>
      </c>
      <c r="D740" t="s">
        <v>5843</v>
      </c>
      <c r="E740" s="2" t="s">
        <v>7532</v>
      </c>
      <c r="F740" t="s">
        <v>283</v>
      </c>
      <c r="G740" t="str">
        <f>VLOOKUP($F740, codebooks_data_reordered!$A:$I, 2, FALSE)</f>
        <v>2006</v>
      </c>
      <c r="H740" t="str">
        <f>VLOOKUP($F740, codebooks_data_reordered!$A:$I, 3, FALSE)</f>
        <v>Support/Rejection of a Group or a Person</v>
      </c>
      <c r="I740" t="str">
        <f>VLOOKUP($F740, codebooks_data_reordered!$A:$I, 4, FALSE)</f>
        <v>1</v>
      </c>
      <c r="J740" t="str">
        <f>VLOOKUP($F740, codebooks_data_reordered!$A:$I, 5, FALSE)</f>
        <v>83-84</v>
      </c>
      <c r="K740" t="str">
        <f>VLOOKUP($F740, codebooks_data_reordered!$A:$I, 6, FALSE)</f>
        <v>Support: Netanyahu</v>
      </c>
      <c r="L740">
        <f>VLOOKUP($F740, codebooks_data_reordered!$A:$I, 7, FALSE)</f>
        <v>0</v>
      </c>
      <c r="M740" t="str">
        <f>VLOOKUP($F740, codebooks_data_reordered!$A:$I, 9, FALSE)</f>
        <v>1: Hate/rejection; 10: Love/support</v>
      </c>
      <c r="O740" s="2" t="str">
        <f t="shared" si="11"/>
        <v>1: Hate/rejection
 10: Love/support</v>
      </c>
    </row>
    <row r="741" spans="1:15" ht="216" hidden="1" x14ac:dyDescent="0.3">
      <c r="A741" t="s">
        <v>7173</v>
      </c>
      <c r="B741" t="s">
        <v>7533</v>
      </c>
      <c r="C741" s="2" t="s">
        <v>7534</v>
      </c>
      <c r="D741" t="s">
        <v>5843</v>
      </c>
      <c r="E741" s="2" t="s">
        <v>7535</v>
      </c>
      <c r="F741" t="s">
        <v>286</v>
      </c>
      <c r="G741" t="str">
        <f>VLOOKUP($F741, codebooks_data_reordered!$A:$I, 2, FALSE)</f>
        <v>2006</v>
      </c>
      <c r="H741" t="str">
        <f>VLOOKUP($F741, codebooks_data_reordered!$A:$I, 3, FALSE)</f>
        <v>Support/Rejection of a Group or a Person</v>
      </c>
      <c r="I741" t="str">
        <f>VLOOKUP($F741, codebooks_data_reordered!$A:$I, 4, FALSE)</f>
        <v>1</v>
      </c>
      <c r="J741" t="str">
        <f>VLOOKUP($F741, codebooks_data_reordered!$A:$I, 5, FALSE)</f>
        <v>85-86</v>
      </c>
      <c r="K741" t="str">
        <f>VLOOKUP($F741, codebooks_data_reordered!$A:$I, 6, FALSE)</f>
        <v>Support: Peres</v>
      </c>
      <c r="L741">
        <f>VLOOKUP($F741, codebooks_data_reordered!$A:$I, 7, FALSE)</f>
        <v>0</v>
      </c>
      <c r="M741" t="str">
        <f>VLOOKUP($F741, codebooks_data_reordered!$A:$I, 9, FALSE)</f>
        <v>1: Hate/rejection; 10: Love/support</v>
      </c>
      <c r="O741" s="2" t="str">
        <f t="shared" si="11"/>
        <v>1: Hate/rejection
 10: Love/support</v>
      </c>
    </row>
    <row r="742" spans="1:15" ht="244.8" hidden="1" x14ac:dyDescent="0.3">
      <c r="A742" t="s">
        <v>7173</v>
      </c>
      <c r="B742" t="s">
        <v>7536</v>
      </c>
      <c r="C742" s="2" t="s">
        <v>7537</v>
      </c>
      <c r="D742" t="s">
        <v>5843</v>
      </c>
      <c r="E742" s="2" t="s">
        <v>7538</v>
      </c>
      <c r="F742" t="s">
        <v>289</v>
      </c>
      <c r="G742" t="str">
        <f>VLOOKUP($F742, codebooks_data_reordered!$A:$I, 2, FALSE)</f>
        <v>2006</v>
      </c>
      <c r="H742" t="str">
        <f>VLOOKUP($F742, codebooks_data_reordered!$A:$I, 3, FALSE)</f>
        <v>Support/Rejection of a Group or a Person</v>
      </c>
      <c r="I742" t="str">
        <f>VLOOKUP($F742, codebooks_data_reordered!$A:$I, 4, FALSE)</f>
        <v>1</v>
      </c>
      <c r="J742" t="str">
        <f>VLOOKUP($F742, codebooks_data_reordered!$A:$I, 5, FALSE)</f>
        <v>87-88</v>
      </c>
      <c r="K742" t="str">
        <f>VLOOKUP($F742, codebooks_data_reordered!$A:$I, 6, FALSE)</f>
        <v>Support: Yishai</v>
      </c>
      <c r="L742">
        <f>VLOOKUP($F742, codebooks_data_reordered!$A:$I, 7, FALSE)</f>
        <v>0</v>
      </c>
      <c r="M742" t="str">
        <f>VLOOKUP($F742, codebooks_data_reordered!$A:$I, 9, FALSE)</f>
        <v>1: Hate/rejection; 10: Love/support</v>
      </c>
      <c r="O742" s="2" t="str">
        <f t="shared" si="11"/>
        <v>1: Hate/rejection
 10: Love/support</v>
      </c>
    </row>
    <row r="743" spans="1:15" ht="144" hidden="1" x14ac:dyDescent="0.3">
      <c r="A743" t="s">
        <v>7173</v>
      </c>
      <c r="B743" t="s">
        <v>7539</v>
      </c>
      <c r="C743" s="2" t="s">
        <v>7540</v>
      </c>
      <c r="D743" t="s">
        <v>5843</v>
      </c>
      <c r="E743" s="2" t="s">
        <v>7541</v>
      </c>
      <c r="F743" t="s">
        <v>292</v>
      </c>
      <c r="G743" t="str">
        <f>VLOOKUP($F743, codebooks_data_reordered!$A:$I, 2, FALSE)</f>
        <v>2006</v>
      </c>
      <c r="H743" t="str">
        <f>VLOOKUP($F743, codebooks_data_reordered!$A:$I, 3, FALSE)</f>
        <v>Support/Rejection of a Group or a Person</v>
      </c>
      <c r="I743" t="str">
        <f>VLOOKUP($F743, codebooks_data_reordered!$A:$I, 4, FALSE)</f>
        <v>1</v>
      </c>
      <c r="J743" t="str">
        <f>VLOOKUP($F743, codebooks_data_reordered!$A:$I, 5, FALSE)</f>
        <v>89-90</v>
      </c>
      <c r="K743" t="str">
        <f>VLOOKUP($F743, codebooks_data_reordered!$A:$I, 6, FALSE)</f>
        <v>Support: Sharon</v>
      </c>
      <c r="L743">
        <f>VLOOKUP($F743, codebooks_data_reordered!$A:$I, 7, FALSE)</f>
        <v>0</v>
      </c>
      <c r="M743" t="str">
        <f>VLOOKUP($F743, codebooks_data_reordered!$A:$I, 9, FALSE)</f>
        <v>1: Hate/rejection; 10: Love/support</v>
      </c>
      <c r="O743" s="2" t="str">
        <f t="shared" si="11"/>
        <v>1: Hate/rejection
 10: Love/support</v>
      </c>
    </row>
    <row r="744" spans="1:15" ht="244.8" hidden="1" x14ac:dyDescent="0.3">
      <c r="A744" t="s">
        <v>7173</v>
      </c>
      <c r="B744" t="s">
        <v>7542</v>
      </c>
      <c r="C744" s="2" t="s">
        <v>7543</v>
      </c>
      <c r="D744" t="s">
        <v>5843</v>
      </c>
      <c r="E744" s="2" t="s">
        <v>7544</v>
      </c>
      <c r="F744" t="s">
        <v>508</v>
      </c>
      <c r="G744" t="str">
        <f>VLOOKUP($F744, codebooks_data_reordered!$A:$I, 2, FALSE)</f>
        <v>2006</v>
      </c>
      <c r="H744" t="str">
        <f>VLOOKUP($F744, codebooks_data_reordered!$A:$I, 3, FALSE)</f>
        <v>Most/Less Suitable Characteristic of the Party</v>
      </c>
      <c r="I744" t="str">
        <f>VLOOKUP($F744, codebooks_data_reordered!$A:$I, 4, FALSE)</f>
        <v>1</v>
      </c>
      <c r="J744" t="str">
        <f>VLOOKUP($F744, codebooks_data_reordered!$A:$I, 5, FALSE)</f>
        <v>162</v>
      </c>
      <c r="K744" t="str">
        <f>VLOOKUP($F744, codebooks_data_reordered!$A:$I, 6, FALSE)</f>
        <v>Least suitable characteristic of the party: Leadership abilites</v>
      </c>
      <c r="L744" t="str">
        <f>VLOOKUP($F744,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744" t="str">
        <f>VLOOKUP($F744, codebooks_data_reordered!$A:$I, 9, FALSE)</f>
        <v>1: Olmert; 2: Netanyahu; 3: Peretz; 4: All; 5: None</v>
      </c>
      <c r="O744" s="2" t="str">
        <f t="shared" si="11"/>
        <v>1: Olmert
 2: Netanyahu
 3: Peretz
 4: All
 5: None</v>
      </c>
    </row>
    <row r="745" spans="1:15" ht="129.6" hidden="1" x14ac:dyDescent="0.3">
      <c r="A745" t="s">
        <v>7173</v>
      </c>
      <c r="B745" t="s">
        <v>7545</v>
      </c>
      <c r="C745" s="2" t="s">
        <v>7209</v>
      </c>
      <c r="D745" t="s">
        <v>5843</v>
      </c>
      <c r="E745" s="2" t="s">
        <v>7210</v>
      </c>
      <c r="F745" t="s">
        <v>1787</v>
      </c>
      <c r="G745" t="str">
        <f>VLOOKUP($F745, codebooks_data_reordered!$A:$I, 2, FALSE)</f>
        <v>1999_1</v>
      </c>
      <c r="H745" t="str">
        <f>VLOOKUP($F745, codebooks_data_reordered!$A:$I, 3, FALSE)</f>
        <v>GENERAL POLITICAL ATTITUDE</v>
      </c>
      <c r="I745" t="str">
        <f>VLOOKUP($F745, codebooks_data_reordered!$A:$I, 4, FALSE)</f>
        <v>1</v>
      </c>
      <c r="J745" t="str">
        <f>VLOOKUP($F745, codebooks_data_reordered!$A:$I, 5, FALSE)</f>
        <v>22</v>
      </c>
      <c r="K745" t="str">
        <f>VLOOKUP($F745, codebooks_data_reordered!$A:$I, 6, FALSE)</f>
        <v>Personal Security of Israeli citizens since Peace process began</v>
      </c>
      <c r="L745">
        <f>VLOOKUP($F745, codebooks_data_reordered!$A:$I, 7, FALSE)</f>
        <v>0</v>
      </c>
      <c r="M745" t="str">
        <f>VLOOKUP($F745, codebooks_data_reordered!$A:$I, 9, FALSE)</f>
        <v>1: Much better; 2: Better; 3: Worse; 4: Much worse</v>
      </c>
      <c r="O745" s="2" t="str">
        <f t="shared" si="11"/>
        <v>1: Much better
 2: Better
 3: Worse
 4: Much worse</v>
      </c>
    </row>
    <row r="746" spans="1:15" ht="100.8" hidden="1" x14ac:dyDescent="0.3">
      <c r="A746" t="s">
        <v>7173</v>
      </c>
      <c r="B746" t="s">
        <v>7546</v>
      </c>
      <c r="C746" s="2" t="s">
        <v>7547</v>
      </c>
      <c r="D746" t="s">
        <v>5843</v>
      </c>
      <c r="E746" s="2" t="s">
        <v>7548</v>
      </c>
      <c r="F746" t="s">
        <v>173</v>
      </c>
      <c r="G746" t="str">
        <f>VLOOKUP($F746, codebooks_data_reordered!$A:$I, 2, FALSE)</f>
        <v>2006</v>
      </c>
      <c r="H746" t="str">
        <f>VLOOKUP($F746, codebooks_data_reordered!$A:$I, 3, FALSE)</f>
        <v>Threat of Different Issues</v>
      </c>
      <c r="I746" t="str">
        <f>VLOOKUP($F746, codebooks_data_reordered!$A:$I, 4, FALSE)</f>
        <v>1</v>
      </c>
      <c r="J746" t="str">
        <f>VLOOKUP($F746, codebooks_data_reordered!$A:$I, 5, FALSE)</f>
        <v>46</v>
      </c>
      <c r="K746" t="str">
        <f>VLOOKUP($F746, codebooks_data_reordered!$A:$I, 6, FALSE)</f>
        <v>Arab neighborhoods of Jerusalem</v>
      </c>
      <c r="L746" t="str">
        <f>VLOOKUP($F746, codebooks_data_reordered!$A:$I, 7, FALSE)</f>
        <v>41. As part of a permanent settlement with the Palestinians, should Israel be prepared to give up or should it retain the Arab neighborhoods of Jerusalem in order to reach such a settlement?</v>
      </c>
      <c r="M746" t="str">
        <f>VLOOKUP($F746, codebooks_data_reordered!$A:$I, 9, FALSE)</f>
        <v>1: Definitely give up; 2: Give up; 3: Retaine; 4: Definitely retain; 5: Internationl juresdiction</v>
      </c>
      <c r="O746" s="2" t="str">
        <f t="shared" si="11"/>
        <v>1: Definitely give up
 2: Give up
 3: Retaine
 4: Definitely retain
 5: Internationl juresdiction</v>
      </c>
    </row>
    <row r="747" spans="1:15" ht="129.6" hidden="1" x14ac:dyDescent="0.3">
      <c r="A747" t="s">
        <v>7173</v>
      </c>
      <c r="B747" t="s">
        <v>7549</v>
      </c>
      <c r="C747" s="2" t="s">
        <v>7550</v>
      </c>
      <c r="D747" t="s">
        <v>5843</v>
      </c>
      <c r="E747" s="2" t="s">
        <v>7551</v>
      </c>
      <c r="F747" t="s">
        <v>416</v>
      </c>
      <c r="G747" t="str">
        <f>VLOOKUP($F747, codebooks_data_reordered!$A:$I, 2, FALSE)</f>
        <v>2006</v>
      </c>
      <c r="H747" t="str">
        <f>VLOOKUP($F747, codebooks_data_reordered!$A:$I, 3, FALSE)</f>
        <v>State expenditures on Different Issues</v>
      </c>
      <c r="I747" t="str">
        <f>VLOOKUP($F747, codebooks_data_reordered!$A:$I, 4, FALSE)</f>
        <v>1</v>
      </c>
      <c r="J747" t="str">
        <f>VLOOKUP($F747, codebooks_data_reordered!$A:$I, 5, FALSE)</f>
        <v>136</v>
      </c>
      <c r="K747" t="str">
        <f>VLOOKUP($F747, codebooks_data_reordered!$A:$I, 6, FALSE)</f>
        <v>Willingness to pay more taxes</v>
      </c>
      <c r="L747" t="str">
        <f>VLOOKUP($F747, codebooks_data_reordered!$A:$I, 7, FALSE)</f>
        <v>Would you be willing or would you not be willing to have taxes raised, so that you would have to pay more taxes, in order for the country to be able to deal with the problems it faces?</v>
      </c>
      <c r="M747" t="str">
        <f>VLOOKUP($F747, codebooks_data_reordered!$A:$I, 9, FALSE)</f>
        <v>1: Yes; 2: No</v>
      </c>
      <c r="O747" s="2" t="str">
        <f t="shared" si="11"/>
        <v>1: Yes
 2: No</v>
      </c>
    </row>
    <row r="748" spans="1:15" ht="259.2" hidden="1" x14ac:dyDescent="0.3">
      <c r="A748" t="s">
        <v>7173</v>
      </c>
      <c r="B748" t="s">
        <v>7552</v>
      </c>
      <c r="C748" s="2" t="s">
        <v>7553</v>
      </c>
      <c r="D748" t="s">
        <v>5843</v>
      </c>
      <c r="E748" s="2" t="s">
        <v>7554</v>
      </c>
      <c r="F748" t="s">
        <v>2860</v>
      </c>
      <c r="G748" t="str">
        <f>VLOOKUP($F748, codebooks_data_reordered!$A:$I, 2, FALSE)</f>
        <v>1992</v>
      </c>
      <c r="H748">
        <f>VLOOKUP($F748, codebooks_data_reordered!$A:$I, 3, FALSE)</f>
        <v>0</v>
      </c>
      <c r="I748" t="str">
        <f>VLOOKUP($F748, codebooks_data_reordered!$A:$I, 4, FALSE)</f>
        <v>1</v>
      </c>
      <c r="J748" t="str">
        <f>VLOOKUP($F748, codebooks_data_reordered!$A:$I, 5, FALSE)</f>
        <v>124</v>
      </c>
      <c r="K748" t="str">
        <f>VLOOKUP($F748, codebooks_data_reordered!$A:$I, 6, FALSE)</f>
        <v>Primaries held in Labor party</v>
      </c>
      <c r="L748">
        <f>VLOOKUP($F748, codebooks_data_reordered!$A:$I, 7, FALSE)</f>
        <v>0</v>
      </c>
      <c r="M748" t="str">
        <f>VLOOKUP($F748, codebooks_data_reordered!$A:$I, 9, FALSE)</f>
        <v>1: Has effect; 2: Has no effect</v>
      </c>
      <c r="O748" s="2" t="str">
        <f t="shared" si="11"/>
        <v>1: Has effect
 2: Has no effect</v>
      </c>
    </row>
    <row r="749" spans="1:15" ht="158.4" hidden="1" x14ac:dyDescent="0.3">
      <c r="A749" t="s">
        <v>7173</v>
      </c>
      <c r="B749" t="s">
        <v>7555</v>
      </c>
      <c r="C749" s="2" t="s">
        <v>7556</v>
      </c>
      <c r="D749" t="s">
        <v>5843</v>
      </c>
      <c r="E749" s="2" t="s">
        <v>7557</v>
      </c>
      <c r="F749" t="s">
        <v>3474</v>
      </c>
      <c r="G749" t="str">
        <f>VLOOKUP($F749, codebooks_data_reordered!$A:$I, 2, FALSE)</f>
        <v>2003</v>
      </c>
      <c r="H749" t="str">
        <f>VLOOKUP($F749, codebooks_data_reordered!$A:$I, 3, FALSE)</f>
        <v>Respondent's demographic details</v>
      </c>
      <c r="I749" t="str">
        <f>VLOOKUP($F749, codebooks_data_reordered!$A:$I, 4, FALSE)</f>
        <v>1</v>
      </c>
      <c r="J749" t="str">
        <f>VLOOKUP($F749, codebooks_data_reordered!$A:$I, 5, FALSE)</f>
        <v>196</v>
      </c>
      <c r="K749" t="str">
        <f>VLOOKUP($F749, codebooks_data_reordered!$A:$I, 6, FALSE)</f>
        <v>Rooms in dwelling</v>
      </c>
      <c r="L749" t="str">
        <f>VLOOKUP($F749, codebooks_data_reordered!$A:$I, 7, FALSE)</f>
        <v>Number of rooms in your house</v>
      </c>
      <c r="M749">
        <f>VLOOKUP($F749, codebooks_data_reordered!$A:$I, 9, FALSE)</f>
        <v>0</v>
      </c>
      <c r="O749" s="2" t="str">
        <f t="shared" si="11"/>
        <v>0</v>
      </c>
    </row>
    <row r="750" spans="1:15" ht="129.6" hidden="1" x14ac:dyDescent="0.3">
      <c r="A750" t="s">
        <v>7173</v>
      </c>
      <c r="B750" t="s">
        <v>7558</v>
      </c>
      <c r="C750" s="2" t="s">
        <v>7559</v>
      </c>
      <c r="D750" t="s">
        <v>5843</v>
      </c>
      <c r="E750" s="2" t="s">
        <v>7560</v>
      </c>
      <c r="F750" t="s">
        <v>620</v>
      </c>
      <c r="G750" t="str">
        <f>VLOOKUP($F750, codebooks_data_reordered!$A:$I, 2, FALSE)</f>
        <v>2006</v>
      </c>
      <c r="H750" t="str">
        <f>VLOOKUP($F750, codebooks_data_reordered!$A:$I, 3, FALSE)</f>
        <v>Chance the Party to be in the Next Government</v>
      </c>
      <c r="I750" t="str">
        <f>VLOOKUP($F750, codebooks_data_reordered!$A:$I, 4, FALSE)</f>
        <v>1</v>
      </c>
      <c r="J750" t="str">
        <f>VLOOKUP($F750, codebooks_data_reordered!$A:$I, 5, FALSE)</f>
        <v>201-203</v>
      </c>
      <c r="K750" t="str">
        <f>VLOOKUP($F750, codebooks_data_reordered!$A:$I, 6, FALSE)</f>
        <v>Number of seats you think Avoda will win</v>
      </c>
      <c r="L750" t="str">
        <f>VLOOKUP($F750, codebooks_data_reordered!$A:$I, 7, FALSE)</f>
        <v>And what about the number of MKs these parties will have in the next Knesset? How many MKs willhave? Labor?</v>
      </c>
      <c r="M750">
        <f>VLOOKUP($F750, codebooks_data_reordered!$A:$I, 9, FALSE)</f>
        <v>0</v>
      </c>
      <c r="O750" s="2" t="str">
        <f t="shared" si="11"/>
        <v>0</v>
      </c>
    </row>
    <row r="751" spans="1:15" ht="129.6" hidden="1" x14ac:dyDescent="0.3">
      <c r="A751" t="s">
        <v>7173</v>
      </c>
      <c r="B751" t="s">
        <v>7561</v>
      </c>
      <c r="C751" s="2" t="s">
        <v>7562</v>
      </c>
      <c r="D751" t="s">
        <v>5843</v>
      </c>
      <c r="E751" s="2" t="s">
        <v>7563</v>
      </c>
      <c r="F751" t="s">
        <v>3795</v>
      </c>
      <c r="G751" t="str">
        <f>VLOOKUP($F751, codebooks_data_reordered!$A:$I, 2, FALSE)</f>
        <v>1988_N=873</v>
      </c>
      <c r="H751" t="str">
        <f>VLOOKUP($F751, codebooks_data_reordered!$A:$I, 3, FALSE)</f>
        <v>FOR WHICH PARTIES WOULD YOU VOTE FOR IF NO LIMITATION IS POSED</v>
      </c>
      <c r="I751" t="str">
        <f>VLOOKUP($F751, codebooks_data_reordered!$A:$I, 4, FALSE)</f>
        <v>1</v>
      </c>
      <c r="J751" t="str">
        <f>VLOOKUP($F751, codebooks_data_reordered!$A:$I, 5, FALSE)</f>
        <v>152</v>
      </c>
      <c r="K751" t="str">
        <f>VLOOKUP($F751, codebooks_data_reordered!$A:$I, 6, FALSE)</f>
        <v>Approval of canceling football matches on Sabbath</v>
      </c>
      <c r="L751">
        <f>VLOOKUP($F751, codebooks_data_reordered!$A:$I, 7, FALSE)</f>
        <v>0</v>
      </c>
      <c r="M751" t="str">
        <f>VLOOKUP($F751, codebooks_data_reordered!$A:$I, 9, FALSE)</f>
        <v>1: Approve; 2: Disapprove</v>
      </c>
      <c r="O751" s="2" t="str">
        <f t="shared" si="11"/>
        <v>1: Approve
 2: Disapprove</v>
      </c>
    </row>
    <row r="752" spans="1:15" ht="72" hidden="1" x14ac:dyDescent="0.3">
      <c r="A752" t="s">
        <v>7173</v>
      </c>
      <c r="B752" t="s">
        <v>7564</v>
      </c>
      <c r="C752" s="2" t="s">
        <v>7565</v>
      </c>
      <c r="D752" t="s">
        <v>7566</v>
      </c>
      <c r="E752" s="2" t="s">
        <v>7567</v>
      </c>
      <c r="F752" t="s">
        <v>5011</v>
      </c>
      <c r="G752" t="str">
        <f>VLOOKUP($F752, codebooks_data_reordered!$A:$I, 2, FALSE)</f>
        <v>1973_2</v>
      </c>
      <c r="H752" t="str">
        <f>VLOOKUP($F752, codebooks_data_reordered!$A:$I, 3, FALSE)</f>
        <v>DO YOU AGREE WITH THE FOLLOWING STATEMENT</v>
      </c>
      <c r="I752" t="str">
        <f>VLOOKUP($F752, codebooks_data_reordered!$A:$I, 4, FALSE)</f>
        <v>2</v>
      </c>
      <c r="J752" t="str">
        <f>VLOOKUP($F752, codebooks_data_reordered!$A:$I, 5, FALSE)</f>
        <v>50</v>
      </c>
      <c r="K752" t="str">
        <f>VLOOKUP($F752, codebooks_data_reordered!$A:$I, 6, FALSE)</f>
        <v>To what extent are you certain about whom you'll vote for</v>
      </c>
      <c r="L752">
        <f>VLOOKUP($F752, codebooks_data_reordered!$A:$I, 7, FALSE)</f>
        <v>0</v>
      </c>
      <c r="M752" t="str">
        <f>VLOOKUP($F752, codebooks_data_reordered!$A:$I, 9, FALSE)</f>
        <v>0: No answer; 1: To a great extent; 2: To a certain extent; 3: To a small extent; 4: Not at all</v>
      </c>
      <c r="O752" s="2" t="str">
        <f t="shared" si="11"/>
        <v>0: No answer
 1: To a great extent
 2: To a certain extent
 3: To a small extent
 4: Not at all</v>
      </c>
    </row>
    <row r="753" spans="1:15" ht="187.2" hidden="1" x14ac:dyDescent="0.3">
      <c r="A753" t="s">
        <v>7173</v>
      </c>
      <c r="B753" t="s">
        <v>7568</v>
      </c>
      <c r="C753" s="2" t="s">
        <v>7569</v>
      </c>
      <c r="D753" t="s">
        <v>5843</v>
      </c>
      <c r="E753" s="2" t="s">
        <v>7570</v>
      </c>
      <c r="F753" t="s">
        <v>624</v>
      </c>
      <c r="G753" t="str">
        <f>VLOOKUP($F753, codebooks_data_reordered!$A:$I, 2, FALSE)</f>
        <v>2006</v>
      </c>
      <c r="H753" t="str">
        <f>VLOOKUP($F753, codebooks_data_reordered!$A:$I, 3, FALSE)</f>
        <v>Chance the Party to be in the Next Government</v>
      </c>
      <c r="I753" t="str">
        <f>VLOOKUP($F753, codebooks_data_reordered!$A:$I, 4, FALSE)</f>
        <v>1</v>
      </c>
      <c r="J753" t="str">
        <f>VLOOKUP($F753, codebooks_data_reordered!$A:$I, 5, FALSE)</f>
        <v>204-206</v>
      </c>
      <c r="K753" t="str">
        <f>VLOOKUP($F753, codebooks_data_reordered!$A:$I, 6, FALSE)</f>
        <v>Number of seats you think Likud will win</v>
      </c>
      <c r="L753" t="str">
        <f>VLOOKUP($F753, codebooks_data_reordered!$A:$I, 7, FALSE)</f>
        <v>And what about the number of MKs these parties will have in the next Knesset? How many MKs willhave? Likud?</v>
      </c>
      <c r="M753">
        <f>VLOOKUP($F753, codebooks_data_reordered!$A:$I, 9, FALSE)</f>
        <v>0</v>
      </c>
      <c r="O753" s="2" t="str">
        <f t="shared" si="11"/>
        <v>0</v>
      </c>
    </row>
    <row r="754" spans="1:15" ht="129.6" hidden="1" x14ac:dyDescent="0.3">
      <c r="A754" t="s">
        <v>7173</v>
      </c>
      <c r="B754" t="s">
        <v>7571</v>
      </c>
      <c r="C754" s="2" t="s">
        <v>7572</v>
      </c>
      <c r="D754" t="s">
        <v>5843</v>
      </c>
      <c r="E754" s="2" t="s">
        <v>7573</v>
      </c>
      <c r="F754" t="s">
        <v>5014</v>
      </c>
      <c r="G754" t="str">
        <f>VLOOKUP($F754, codebooks_data_reordered!$A:$I, 2, FALSE)</f>
        <v>1973_2</v>
      </c>
      <c r="H754" t="str">
        <f>VLOOKUP($F754, codebooks_data_reordered!$A:$I, 3, FALSE)</f>
        <v>DO YOU AGREE WITH THE FOLLOWING STATEMENT</v>
      </c>
      <c r="I754" t="str">
        <f>VLOOKUP($F754, codebooks_data_reordered!$A:$I, 4, FALSE)</f>
        <v>2</v>
      </c>
      <c r="J754" t="str">
        <f>VLOOKUP($F754, codebooks_data_reordered!$A:$I, 5, FALSE)</f>
        <v>51</v>
      </c>
      <c r="K754" t="str">
        <f>VLOOKUP($F754, codebooks_data_reordered!$A:$I, 6, FALSE)</f>
        <v>Why aren't you certain about whom you'll vote for</v>
      </c>
      <c r="L754">
        <f>VLOOKUP($F754, codebooks_data_reordered!$A:$I, 7, FALSE)</f>
        <v>0</v>
      </c>
      <c r="M754" t="str">
        <f>VLOOKUP($F754, codebooks_data_reordered!$A:$I, 9, FALSE)</f>
        <v>0: No answer; 1: There is no one to vote for; 2: I haven't made up my mind yet; 3: Other; 9: Already know who to vote for</v>
      </c>
      <c r="O754" s="2" t="str">
        <f t="shared" si="11"/>
        <v>0: No answer
 1: There is no one to vote for
 2: I haven't made up my mind yet
 3: Other
 9: Already know who to vote for</v>
      </c>
    </row>
    <row r="755" spans="1:15" ht="86.4" hidden="1" x14ac:dyDescent="0.3">
      <c r="A755" t="s">
        <v>7173</v>
      </c>
      <c r="B755" t="s">
        <v>7574</v>
      </c>
      <c r="C755" s="2" t="s">
        <v>7575</v>
      </c>
      <c r="D755" t="s">
        <v>7566</v>
      </c>
      <c r="E755" s="2" t="s">
        <v>7576</v>
      </c>
      <c r="F755" t="s">
        <v>5017</v>
      </c>
      <c r="G755" t="str">
        <f>VLOOKUP($F755, codebooks_data_reordered!$A:$I, 2, FALSE)</f>
        <v>1973_2</v>
      </c>
      <c r="H755" t="str">
        <f>VLOOKUP($F755, codebooks_data_reordered!$A:$I, 3, FALSE)</f>
        <v>DO YOU AGREE WITH THE FOLLOWING STATEMENT</v>
      </c>
      <c r="I755" t="str">
        <f>VLOOKUP($F755, codebooks_data_reordered!$A:$I, 4, FALSE)</f>
        <v>2</v>
      </c>
      <c r="J755" t="str">
        <f>VLOOKUP($F755, codebooks_data_reordered!$A:$I, 5, FALSE)</f>
        <v>52</v>
      </c>
      <c r="K755" t="str">
        <f>VLOOKUP($F755, codebooks_data_reordered!$A:$I, 6, FALSE)</f>
        <v>When do you think you'll decide whom you'll vote for</v>
      </c>
      <c r="L755">
        <f>VLOOKUP($F755, codebooks_data_reordered!$A:$I, 7, FALSE)</f>
        <v>0</v>
      </c>
      <c r="M755" t="str">
        <f>VLOOKUP($F755, codebooks_data_reordered!$A:$I, 9, FALSE)</f>
        <v>0: No answer; 1: In a few days; 2: Within a month; 3: Closer to election time; 9: Already know who to vote for</v>
      </c>
      <c r="O755" s="2" t="str">
        <f t="shared" si="11"/>
        <v>0: No answer
 1: In a few days
 2: Within a month
 3: Closer to election time
 9: Already know who to vote for</v>
      </c>
    </row>
    <row r="756" spans="1:15" ht="72" hidden="1" x14ac:dyDescent="0.3">
      <c r="A756" t="s">
        <v>7173</v>
      </c>
      <c r="B756" t="s">
        <v>7577</v>
      </c>
      <c r="C756" s="2" t="s">
        <v>7578</v>
      </c>
      <c r="D756" t="s">
        <v>5843</v>
      </c>
      <c r="E756" s="2" t="s">
        <v>7579</v>
      </c>
      <c r="F756" t="s">
        <v>3486</v>
      </c>
      <c r="G756" t="str">
        <f>VLOOKUP($F756, codebooks_data_reordered!$A:$I, 2, FALSE)</f>
        <v>1988_Panel_N=416</v>
      </c>
      <c r="H756" t="str">
        <f>VLOOKUP($F756, codebooks_data_reordered!$A:$I, 3, FALSE)</f>
        <v>FOR EACH OF THE FOLLOWING STATE TO WHICH PARTY IT SUITS THE MOST</v>
      </c>
      <c r="I756" t="str">
        <f>VLOOKUP($F756, codebooks_data_reordered!$A:$I, 4, FALSE)</f>
        <v>3</v>
      </c>
      <c r="J756" t="str">
        <f>VLOOKUP($F756, codebooks_data_reordered!$A:$I, 5, FALSE)</f>
        <v>94</v>
      </c>
      <c r="K756" t="str">
        <f>VLOOKUP($F756, codebooks_data_reordered!$A:$I, 6, FALSE)</f>
        <v>Which party has experienced leaders</v>
      </c>
      <c r="L756">
        <f>VLOOKUP($F756, codebooks_data_reordered!$A:$I, 7, FALSE)</f>
        <v>0</v>
      </c>
      <c r="M756" t="str">
        <f>VLOOKUP($F756, codebooks_data_reordered!$A:$I, 9, FALSE)</f>
        <v>1: Suits Labor; 2: Suits Likud; 3: Both equally; 4: Neither</v>
      </c>
      <c r="O756" s="2" t="str">
        <f t="shared" si="11"/>
        <v>1: Suits Labor
 2: Suits Likud
 3: Both equally
 4: Neither</v>
      </c>
    </row>
    <row r="757" spans="1:15" ht="144" hidden="1" x14ac:dyDescent="0.3">
      <c r="A757" t="s">
        <v>7173</v>
      </c>
      <c r="B757" t="s">
        <v>7580</v>
      </c>
      <c r="C757" s="2" t="s">
        <v>7581</v>
      </c>
      <c r="D757" t="s">
        <v>5843</v>
      </c>
      <c r="E757" s="2" t="s">
        <v>7582</v>
      </c>
      <c r="F757" t="s">
        <v>5029</v>
      </c>
      <c r="G757" t="str">
        <f>VLOOKUP($F757, codebooks_data_reordered!$A:$I, 2, FALSE)</f>
        <v>1973_2</v>
      </c>
      <c r="H757" t="str">
        <f>VLOOKUP($F757, codebooks_data_reordered!$A:$I, 3, FALSE)</f>
        <v>DO YOU AGREE WITH THE FOLLOWING STATEMENT</v>
      </c>
      <c r="I757" t="str">
        <f>VLOOKUP($F757, codebooks_data_reordered!$A:$I, 4, FALSE)</f>
        <v>2</v>
      </c>
      <c r="J757" t="str">
        <f>VLOOKUP($F757, codebooks_data_reordered!$A:$I, 5, FALSE)</f>
        <v>56</v>
      </c>
      <c r="K757" t="str">
        <f>VLOOKUP($F757, codebooks_data_reordered!$A:$I, 6, FALSE)</f>
        <v>If no why</v>
      </c>
      <c r="L757">
        <f>VLOOKUP($F757, codebooks_data_reordered!$A:$I, 7, FALSE)</f>
        <v>0</v>
      </c>
      <c r="M757" t="str">
        <f>VLOOKUP($F757, codebooks_data_reordered!$A:$I, 9, FALSE)</f>
        <v>0: Does not have right to vote; 1: There's no one to vote for; 2: The Histadrut is inefficient; 3: Other</v>
      </c>
      <c r="O757" s="2" t="str">
        <f t="shared" si="11"/>
        <v>0: Does not have right to vote
 1: There's no one to vote for
 2: The Histadrut is inefficient
 3: Other</v>
      </c>
    </row>
    <row r="758" spans="1:15" ht="57.6" hidden="1" x14ac:dyDescent="0.3">
      <c r="A758" t="s">
        <v>7173</v>
      </c>
      <c r="B758" t="s">
        <v>7583</v>
      </c>
      <c r="C758" s="2" t="s">
        <v>7584</v>
      </c>
      <c r="D758" t="s">
        <v>7439</v>
      </c>
      <c r="E758" s="2" t="s">
        <v>7585</v>
      </c>
      <c r="F758" t="s">
        <v>9290</v>
      </c>
      <c r="G758" t="e">
        <f>VLOOKUP($F758, codebooks_data_reordered!$A:$I, 2, FALSE)</f>
        <v>#N/A</v>
      </c>
      <c r="H758" t="e">
        <f>VLOOKUP($F758, codebooks_data_reordered!$A:$I, 3, FALSE)</f>
        <v>#N/A</v>
      </c>
      <c r="I758" t="e">
        <f>VLOOKUP($F758, codebooks_data_reordered!$A:$I, 4, FALSE)</f>
        <v>#N/A</v>
      </c>
      <c r="J758" t="e">
        <f>VLOOKUP($F758, codebooks_data_reordered!$A:$I, 5, FALSE)</f>
        <v>#N/A</v>
      </c>
      <c r="K758" t="e">
        <f>VLOOKUP($F758, codebooks_data_reordered!$A:$I, 6, FALSE)</f>
        <v>#N/A</v>
      </c>
      <c r="L758" t="e">
        <f>VLOOKUP($F758, codebooks_data_reordered!$A:$I, 7, FALSE)</f>
        <v>#N/A</v>
      </c>
      <c r="M758" t="e">
        <f>VLOOKUP($F758, codebooks_data_reordered!$A:$I, 9, FALSE)</f>
        <v>#N/A</v>
      </c>
      <c r="O758" t="e">
        <f t="shared" si="11"/>
        <v>#N/A</v>
      </c>
    </row>
    <row r="759" spans="1:15" ht="100.8" hidden="1" x14ac:dyDescent="0.3">
      <c r="A759" t="s">
        <v>7173</v>
      </c>
      <c r="B759" t="s">
        <v>6495</v>
      </c>
      <c r="C759" s="2" t="s">
        <v>7586</v>
      </c>
      <c r="D759" t="s">
        <v>7587</v>
      </c>
      <c r="E759" s="2" t="s">
        <v>7588</v>
      </c>
      <c r="F759" t="s">
        <v>546</v>
      </c>
      <c r="G759" t="str">
        <f>VLOOKUP($F759, codebooks_data_reordered!$A:$I, 2, FALSE)</f>
        <v>2006</v>
      </c>
      <c r="H759" t="str">
        <f>VLOOKUP($F759, codebooks_data_reordered!$A:$I, 3, FALSE)</f>
        <v>Most/Less Suitable Characteristic of the Party</v>
      </c>
      <c r="I759" t="str">
        <f>VLOOKUP($F759, codebooks_data_reordered!$A:$I, 4, FALSE)</f>
        <v>1</v>
      </c>
      <c r="J759" t="str">
        <f>VLOOKUP($F759, codebooks_data_reordered!$A:$I, 5, FALSE)</f>
        <v>172</v>
      </c>
      <c r="K759" t="str">
        <f>VLOOKUP($F759, codebooks_data_reordered!$A:$I, 6, FALSE)</f>
        <v>With which political tendency do you identify</v>
      </c>
      <c r="L759" t="str">
        <f>VLOOKUP($F759, codebooks_data_reordered!$A:$I, 7, FALSE)</f>
        <v>61. With which political tendency do you identify?</v>
      </c>
      <c r="M759" t="str">
        <f>VLOOKUP($F759, codebooks_data_reordered!$A:$I, 9, FALSE)</f>
        <v>1: Left; 2: Moderate left; 3: Center; 4: Moderate right; 5: Right; 6: Religious; 7: None of them</v>
      </c>
      <c r="O759" s="2" t="str">
        <f t="shared" si="11"/>
        <v>1: Left
 2: Moderate left
 3: Center
 4: Moderate right
 5: Right
 6: Religious
 7: None of them</v>
      </c>
    </row>
    <row r="760" spans="1:15" ht="86.4" hidden="1" x14ac:dyDescent="0.3">
      <c r="A760" t="s">
        <v>7173</v>
      </c>
      <c r="B760" t="s">
        <v>7589</v>
      </c>
      <c r="C760" s="2" t="s">
        <v>7590</v>
      </c>
      <c r="D760" t="s">
        <v>7587</v>
      </c>
      <c r="E760" s="2" t="s">
        <v>7591</v>
      </c>
      <c r="F760" t="s">
        <v>565</v>
      </c>
      <c r="G760" t="str">
        <f>VLOOKUP($F760, codebooks_data_reordered!$A:$I, 2, FALSE)</f>
        <v>2006</v>
      </c>
      <c r="H760" t="str">
        <f>VLOOKUP($F760, codebooks_data_reordered!$A:$I, 3, FALSE)</f>
        <v>Newspaper/TV</v>
      </c>
      <c r="I760" t="str">
        <f>VLOOKUP($F760, codebooks_data_reordered!$A:$I, 4, FALSE)</f>
        <v>1</v>
      </c>
      <c r="J760" t="str">
        <f>VLOOKUP($F760, codebooks_data_reordered!$A:$I, 5, FALSE)</f>
        <v>177</v>
      </c>
      <c r="K760" t="str">
        <f>VLOOKUP($F760, codebooks_data_reordered!$A:$I, 6, FALSE)</f>
        <v>News on TV</v>
      </c>
      <c r="L760" t="str">
        <f>VLOOKUP($F760, codebooks_data_reordered!$A:$I, 7, FALSE)</f>
        <v>66. Do you usually watch the news on TV?</v>
      </c>
      <c r="M760" t="str">
        <f>VLOOKUP($F760, codebooks_data_reordered!$A:$I, 9, FALSE)</f>
        <v>1: Almost never; 2: Not so often; 3: Once a week or so; 4: 2-3 times a week; 5: At least once a day; 6: More than once a day</v>
      </c>
      <c r="O760" s="2" t="str">
        <f t="shared" si="11"/>
        <v>1: Almost never
 2: Not so often
 3: Once a week or so
 4: 2-3 times a week
 5: At least once a day
 6: More than once a day</v>
      </c>
    </row>
    <row r="761" spans="1:15" ht="409.6" hidden="1" x14ac:dyDescent="0.3">
      <c r="A761" t="s">
        <v>7173</v>
      </c>
      <c r="B761" t="s">
        <v>7592</v>
      </c>
      <c r="C761" s="2" t="s">
        <v>7593</v>
      </c>
      <c r="D761" t="s">
        <v>5843</v>
      </c>
      <c r="E761" s="2" t="s">
        <v>7594</v>
      </c>
      <c r="F761" t="s">
        <v>112</v>
      </c>
      <c r="G761" t="str">
        <f>VLOOKUP($F761, codebooks_data_reordered!$A:$I, 2, FALSE)</f>
        <v>2006</v>
      </c>
      <c r="H761" t="str">
        <f>VLOOKUP($F761, codebooks_data_reordered!$A:$I, 3, FALSE)</f>
        <v>Likely Direction of Development of Israel</v>
      </c>
      <c r="I761" t="str">
        <f>VLOOKUP($F761, codebooks_data_reordered!$A:$I, 4, FALSE)</f>
        <v>1</v>
      </c>
      <c r="J761" t="str">
        <f>VLOOKUP($F761, codebooks_data_reordered!$A:$I, 5, FALSE)</f>
        <v>30</v>
      </c>
      <c r="K761" t="str">
        <f>VLOOKUP($F761, codebooks_data_reordered!$A:$I, 6, FALSE)</f>
        <v>The most important value (not asked of Arabs)</v>
      </c>
      <c r="L761" t="str">
        <f>VLOOKUP($F761,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761" t="str">
        <f>VLOOKUP($F761, codebooks_data_reordered!$A:$I, 9, FALSE)</f>
        <v>1: Jewish majority; 2: Greater Israel; 3: Democracy; 4: Peace</v>
      </c>
      <c r="O761" s="2" t="str">
        <f t="shared" si="11"/>
        <v>1: Jewish majority
 2: Greater Israel
 3: Democracy
 4: Peace</v>
      </c>
    </row>
    <row r="762" spans="1:15" ht="57.6" hidden="1" x14ac:dyDescent="0.3">
      <c r="A762" t="s">
        <v>7173</v>
      </c>
      <c r="B762" t="s">
        <v>7595</v>
      </c>
      <c r="C762" s="2" t="s">
        <v>7596</v>
      </c>
      <c r="D762" t="s">
        <v>5843</v>
      </c>
      <c r="E762" s="2" t="s">
        <v>7597</v>
      </c>
      <c r="F762" t="s">
        <v>1828</v>
      </c>
      <c r="G762" t="str">
        <f>VLOOKUP($F762, codebooks_data_reordered!$A:$I, 2, FALSE)</f>
        <v>1999_1</v>
      </c>
      <c r="H762" t="str">
        <f>VLOOKUP($F762, codebooks_data_reordered!$A:$I, 3, FALSE)</f>
        <v>VALUES AND TRUST</v>
      </c>
      <c r="I762" t="str">
        <f>VLOOKUP($F762, codebooks_data_reordered!$A:$I, 4, FALSE)</f>
        <v>1</v>
      </c>
      <c r="J762" t="str">
        <f>VLOOKUP($F762, codebooks_data_reordered!$A:$I, 5, FALSE)</f>
        <v>39</v>
      </c>
      <c r="K762" t="str">
        <f>VLOOKUP($F762, codebooks_data_reordered!$A:$I, 6, FALSE)</f>
        <v>Extend of faith in police</v>
      </c>
      <c r="L762">
        <f>VLOOKUP($F762, codebooks_data_reordered!$A:$I, 7, FALSE)</f>
        <v>0</v>
      </c>
      <c r="M762" t="str">
        <f>VLOOKUP($F762, codebooks_data_reordered!$A:$I, 9, FALSE)</f>
        <v>1: Not at all; 2: A little faith; 3: Some faith; 4: Strong faith</v>
      </c>
      <c r="O762" s="2" t="str">
        <f t="shared" si="11"/>
        <v>1: Not at all
 2: A little faith
 3: Some faith
 4: Strong faith</v>
      </c>
    </row>
    <row r="763" spans="1:15" ht="360" hidden="1" x14ac:dyDescent="0.3">
      <c r="A763" t="s">
        <v>7173</v>
      </c>
      <c r="B763" t="s">
        <v>7598</v>
      </c>
      <c r="C763" s="2" t="s">
        <v>7599</v>
      </c>
      <c r="D763" t="s">
        <v>5843</v>
      </c>
      <c r="E763" s="2" t="s">
        <v>7600</v>
      </c>
      <c r="F763" t="s">
        <v>115</v>
      </c>
      <c r="G763" t="str">
        <f>VLOOKUP($F763, codebooks_data_reordered!$A:$I, 2, FALSE)</f>
        <v>2006</v>
      </c>
      <c r="H763" t="str">
        <f>VLOOKUP($F763, codebooks_data_reordered!$A:$I, 3, FALSE)</f>
        <v>Likely Direction of Development of Israel</v>
      </c>
      <c r="I763" t="str">
        <f>VLOOKUP($F763, codebooks_data_reordered!$A:$I, 4, FALSE)</f>
        <v>1</v>
      </c>
      <c r="J763" t="str">
        <f>VLOOKUP($F763, codebooks_data_reordered!$A:$I, 5, FALSE)</f>
        <v>31</v>
      </c>
      <c r="K763" t="str">
        <f>VLOOKUP($F763, codebooks_data_reordered!$A:$I, 6, FALSE)</f>
        <v>The second most important value</v>
      </c>
      <c r="L763" t="str">
        <f>VLOOKUP($F763,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763" t="str">
        <f>VLOOKUP($F763, codebooks_data_reordered!$A:$I, 9, FALSE)</f>
        <v>1: Jewish majority; 2: Greater Israel; 3: Democracy; 4: Peace</v>
      </c>
      <c r="O763" s="2" t="str">
        <f t="shared" si="11"/>
        <v>1: Jewish majority
 2: Greater Israel
 3: Democracy
 4: Peace</v>
      </c>
    </row>
    <row r="764" spans="1:15" ht="57.6" hidden="1" x14ac:dyDescent="0.3">
      <c r="A764" t="s">
        <v>7173</v>
      </c>
      <c r="B764" t="s">
        <v>7601</v>
      </c>
      <c r="C764" s="2" t="s">
        <v>7602</v>
      </c>
      <c r="D764" t="s">
        <v>5843</v>
      </c>
      <c r="E764" s="2" t="s">
        <v>7603</v>
      </c>
      <c r="F764" t="s">
        <v>9291</v>
      </c>
      <c r="G764" t="e">
        <f>VLOOKUP($F764, codebooks_data_reordered!$A:$I, 2, FALSE)</f>
        <v>#N/A</v>
      </c>
      <c r="H764" t="e">
        <f>VLOOKUP($F764, codebooks_data_reordered!$A:$I, 3, FALSE)</f>
        <v>#N/A</v>
      </c>
      <c r="I764" t="e">
        <f>VLOOKUP($F764, codebooks_data_reordered!$A:$I, 4, FALSE)</f>
        <v>#N/A</v>
      </c>
      <c r="J764" t="e">
        <f>VLOOKUP($F764, codebooks_data_reordered!$A:$I, 5, FALSE)</f>
        <v>#N/A</v>
      </c>
      <c r="K764" t="e">
        <f>VLOOKUP($F764, codebooks_data_reordered!$A:$I, 6, FALSE)</f>
        <v>#N/A</v>
      </c>
      <c r="L764" t="e">
        <f>VLOOKUP($F764, codebooks_data_reordered!$A:$I, 7, FALSE)</f>
        <v>#N/A</v>
      </c>
      <c r="M764" t="e">
        <f>VLOOKUP($F764, codebooks_data_reordered!$A:$I, 9, FALSE)</f>
        <v>#N/A</v>
      </c>
      <c r="O764" t="e">
        <f t="shared" si="11"/>
        <v>#N/A</v>
      </c>
    </row>
    <row r="765" spans="1:15" ht="374.4" hidden="1" x14ac:dyDescent="0.3">
      <c r="A765" t="s">
        <v>7173</v>
      </c>
      <c r="B765" t="s">
        <v>7604</v>
      </c>
      <c r="C765" s="2" t="s">
        <v>7605</v>
      </c>
      <c r="D765" t="s">
        <v>5843</v>
      </c>
      <c r="E765" s="2" t="s">
        <v>7606</v>
      </c>
      <c r="F765" t="s">
        <v>122</v>
      </c>
      <c r="G765" t="str">
        <f>VLOOKUP($F765, codebooks_data_reordered!$A:$I, 2, FALSE)</f>
        <v>2006</v>
      </c>
      <c r="H765" t="str">
        <f>VLOOKUP($F765, codebooks_data_reordered!$A:$I, 3, FALSE)</f>
        <v>Likely Direction of Development of Israel</v>
      </c>
      <c r="I765" t="str">
        <f>VLOOKUP($F765, codebooks_data_reordered!$A:$I, 4, FALSE)</f>
        <v>1</v>
      </c>
      <c r="J765" t="str">
        <f>VLOOKUP($F765, codebooks_data_reordered!$A:$I, 5, FALSE)</f>
        <v>33</v>
      </c>
      <c r="K765" t="str">
        <f>VLOOKUP($F765, codebooks_data_reordered!$A:$I, 6, FALSE)</f>
        <v>The fourth most important value</v>
      </c>
      <c r="L765" t="str">
        <f>VLOOKUP($F765,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765" t="str">
        <f>VLOOKUP($F765, codebooks_data_reordered!$A:$I, 9, FALSE)</f>
        <v>1: Jewish majority; 2: Greater Israel; 3: Democracy; 4: Peace</v>
      </c>
      <c r="O765" s="2" t="str">
        <f t="shared" si="11"/>
        <v>1: Jewish majority
 2: Greater Israel
 3: Democracy
 4: Peace</v>
      </c>
    </row>
    <row r="766" spans="1:15" ht="57.6" hidden="1" x14ac:dyDescent="0.3">
      <c r="A766" t="s">
        <v>7173</v>
      </c>
      <c r="B766" t="s">
        <v>7607</v>
      </c>
      <c r="C766" s="2" t="s">
        <v>7608</v>
      </c>
      <c r="D766" t="s">
        <v>5896</v>
      </c>
      <c r="E766" s="2" t="s">
        <v>7609</v>
      </c>
      <c r="F766" t="s">
        <v>1831</v>
      </c>
      <c r="G766" t="str">
        <f>VLOOKUP($F766, codebooks_data_reordered!$A:$I, 2, FALSE)</f>
        <v>1999_1</v>
      </c>
      <c r="H766" t="str">
        <f>VLOOKUP($F766, codebooks_data_reordered!$A:$I, 3, FALSE)</f>
        <v>VALUES AND TRUST</v>
      </c>
      <c r="I766" t="str">
        <f>VLOOKUP($F766, codebooks_data_reordered!$A:$I, 4, FALSE)</f>
        <v>1</v>
      </c>
      <c r="J766" t="str">
        <f>VLOOKUP($F766, codebooks_data_reordered!$A:$I, 5, FALSE)</f>
        <v>40</v>
      </c>
      <c r="K766" t="str">
        <f>VLOOKUP($F766, codebooks_data_reordered!$A:$I, 6, FALSE)</f>
        <v>Satisfaction with Israeli democracy</v>
      </c>
      <c r="L766">
        <f>VLOOKUP($F766, codebooks_data_reordered!$A:$I, 7, FALSE)</f>
        <v>0</v>
      </c>
      <c r="M766" t="str">
        <f>VLOOKUP($F766, codebooks_data_reordered!$A:$I, 9, FALSE)</f>
        <v>1: Very satisfied; 2: Quite satisfied; 3: Not so satisfied; 4: Not satisfied at all</v>
      </c>
      <c r="O766" s="2" t="str">
        <f t="shared" si="11"/>
        <v>1: Very satisfied
 2: Quite satisfied
 3: Not so satisfied
 4: Not satisfied at all</v>
      </c>
    </row>
    <row r="767" spans="1:15" ht="43.2" hidden="1" x14ac:dyDescent="0.3">
      <c r="A767" t="s">
        <v>7173</v>
      </c>
      <c r="B767" t="s">
        <v>7610</v>
      </c>
      <c r="C767" s="2" t="s">
        <v>7611</v>
      </c>
      <c r="D767" t="s">
        <v>7439</v>
      </c>
      <c r="E767" s="2" t="s">
        <v>7612</v>
      </c>
      <c r="F767" t="s">
        <v>9292</v>
      </c>
      <c r="G767" t="e">
        <f>VLOOKUP($F767, codebooks_data_reordered!$A:$I, 2, FALSE)</f>
        <v>#N/A</v>
      </c>
      <c r="H767" t="e">
        <f>VLOOKUP($F767, codebooks_data_reordered!$A:$I, 3, FALSE)</f>
        <v>#N/A</v>
      </c>
      <c r="I767" t="e">
        <f>VLOOKUP($F767, codebooks_data_reordered!$A:$I, 4, FALSE)</f>
        <v>#N/A</v>
      </c>
      <c r="J767" t="e">
        <f>VLOOKUP($F767, codebooks_data_reordered!$A:$I, 5, FALSE)</f>
        <v>#N/A</v>
      </c>
      <c r="K767" t="e">
        <f>VLOOKUP($F767, codebooks_data_reordered!$A:$I, 6, FALSE)</f>
        <v>#N/A</v>
      </c>
      <c r="L767" t="e">
        <f>VLOOKUP($F767, codebooks_data_reordered!$A:$I, 7, FALSE)</f>
        <v>#N/A</v>
      </c>
      <c r="M767" t="e">
        <f>VLOOKUP($F767, codebooks_data_reordered!$A:$I, 9, FALSE)</f>
        <v>#N/A</v>
      </c>
      <c r="O767" t="e">
        <f t="shared" si="11"/>
        <v>#N/A</v>
      </c>
    </row>
    <row r="768" spans="1:15" ht="187.2" hidden="1" x14ac:dyDescent="0.3">
      <c r="A768" t="s">
        <v>7173</v>
      </c>
      <c r="B768" t="s">
        <v>7613</v>
      </c>
      <c r="C768" s="2" t="s">
        <v>7614</v>
      </c>
      <c r="D768" t="s">
        <v>5843</v>
      </c>
      <c r="E768" s="2" t="s">
        <v>7615</v>
      </c>
      <c r="F768" t="s">
        <v>3119</v>
      </c>
      <c r="G768" t="str">
        <f>VLOOKUP($F768, codebooks_data_reordered!$A:$I, 2, FALSE)</f>
        <v>1988_Panel_N=416</v>
      </c>
      <c r="H768" t="str">
        <f>VLOOKUP($F768, codebooks_data_reordered!$A:$I, 3, FALSE)</f>
        <v>WHICH OF THE FOLLOWING WOULD YOU BE WILLING TO GIVE TO MAINTAIN/STRENGTHEN THE SECURITY</v>
      </c>
      <c r="I768" t="str">
        <f>VLOOKUP($F768, codebooks_data_reordered!$A:$I, 4, FALSE)</f>
        <v>1</v>
      </c>
      <c r="J768" t="str">
        <f>VLOOKUP($F768, codebooks_data_reordered!$A:$I, 5, FALSE)</f>
        <v>107</v>
      </c>
      <c r="K768" t="str">
        <f>VLOOKUP($F768, codebooks_data_reordered!$A:$I, 6, FALSE)</f>
        <v>What do you think of IDF increasing/decreasing its power in last 5 years</v>
      </c>
      <c r="L768">
        <f>VLOOKUP($F768, codebooks_data_reordered!$A:$I, 7, FALSE)</f>
        <v>0</v>
      </c>
      <c r="M768" t="str">
        <f>VLOOKUP($F768, codebooks_data_reordered!$A:$I, 9, FALSE)</f>
        <v>1: Significant decrease; 2: Some decrease; 3: No change; 4: Some increase; 5: Significant increase</v>
      </c>
      <c r="O768" s="2" t="str">
        <f t="shared" si="11"/>
        <v>1: Significant decrease
 2: Some decrease
 3: No change
 4: Some increase
 5: Significant increase</v>
      </c>
    </row>
    <row r="769" spans="1:15" ht="86.4" hidden="1" x14ac:dyDescent="0.3">
      <c r="A769" t="s">
        <v>7173</v>
      </c>
      <c r="B769" t="s">
        <v>7616</v>
      </c>
      <c r="C769" s="2" t="s">
        <v>7617</v>
      </c>
      <c r="D769" t="s">
        <v>5843</v>
      </c>
      <c r="E769" s="2" t="s">
        <v>7618</v>
      </c>
      <c r="F769" t="s">
        <v>3141</v>
      </c>
      <c r="G769" t="str">
        <f>VLOOKUP($F769, codebooks_data_reordered!$A:$I, 2, FALSE)</f>
        <v>1988_Panel_N=416</v>
      </c>
      <c r="H769" t="str">
        <f>VLOOKUP($F769, codebooks_data_reordered!$A:$I, 3, FALSE)</f>
        <v>WHICH OF THE FOLLOWING WOULD YOU BE WILLING TO GIVE TO MAINTAIN/STRENGTHEN THE SECURITY</v>
      </c>
      <c r="I769" t="str">
        <f>VLOOKUP($F769, codebooks_data_reordered!$A:$I, 4, FALSE)</f>
        <v>1</v>
      </c>
      <c r="J769" t="str">
        <f>VLOOKUP($F769, codebooks_data_reordered!$A:$I, 5, FALSE)</f>
        <v>115</v>
      </c>
      <c r="K769" t="str">
        <f>VLOOKUP($F769, codebooks_data_reordered!$A:$I, 6, FALSE)</f>
        <v>How did the first years' leadership view the security/law dichotomy</v>
      </c>
      <c r="L769">
        <f>VLOOKUP($F769, codebooks_data_reordered!$A:$I, 7, FALSE)</f>
        <v>0</v>
      </c>
      <c r="M769" t="str">
        <f>VLOOKUP($F769, codebooks_data_reordered!$A:$I, 9, FALSE)</f>
        <v>1: Always prefers security considerations; 2: Usually prefers security considerations; 3: Usually prefers the law; 4: Always prefers the law</v>
      </c>
      <c r="O769" s="2" t="str">
        <f t="shared" si="11"/>
        <v>1: Always prefers security considerations
 2: Usually prefers security considerations
 3: Usually prefers the law
 4: Always prefers the law</v>
      </c>
    </row>
    <row r="770" spans="1:15" ht="144" hidden="1" x14ac:dyDescent="0.3">
      <c r="A770" t="s">
        <v>7173</v>
      </c>
      <c r="B770" t="s">
        <v>7619</v>
      </c>
      <c r="C770" s="2" t="s">
        <v>7620</v>
      </c>
      <c r="D770" t="s">
        <v>5843</v>
      </c>
      <c r="E770" s="2" t="s">
        <v>7621</v>
      </c>
      <c r="F770" t="s">
        <v>3162</v>
      </c>
      <c r="G770" t="str">
        <f>VLOOKUP($F770, codebooks_data_reordered!$A:$I, 2, FALSE)</f>
        <v>1988_Panel_N=416</v>
      </c>
      <c r="H770" t="str">
        <f>VLOOKUP($F770, codebooks_data_reordered!$A:$I, 3, FALSE)</f>
        <v>THE EXTENT OF APPROVAL OF THE FOLLOWING</v>
      </c>
      <c r="I770" t="str">
        <f>VLOOKUP($F770, codebooks_data_reordered!$A:$I, 4, FALSE)</f>
        <v>1</v>
      </c>
      <c r="J770" t="str">
        <f>VLOOKUP($F770, codebooks_data_reordered!$A:$I, 5, FALSE)</f>
        <v>124</v>
      </c>
      <c r="K770" t="str">
        <f>VLOOKUP($F770, codebooks_data_reordered!$A:$I, 6, FALSE)</f>
        <v>The best defense is offense</v>
      </c>
      <c r="L770">
        <f>VLOOKUP($F770, codebooks_data_reordered!$A:$I, 7, FALSE)</f>
        <v>0</v>
      </c>
      <c r="M770" t="str">
        <f>VLOOKUP($F770, codebooks_data_reordered!$A:$I, 9, FALSE)</f>
        <v>1: Definitely agrees; 2: Agrees; 3: Disagrees; 4: Definitely disagrees</v>
      </c>
      <c r="O770" s="2" t="str">
        <f t="shared" ref="O770:O833" si="12">SUBSTITUTE(M770, ";", CHAR(10))</f>
        <v>1: Definitely agrees
 2: Agrees
 3: Disagrees
 4: Definitely disagrees</v>
      </c>
    </row>
    <row r="771" spans="1:15" ht="144" hidden="1" x14ac:dyDescent="0.3">
      <c r="A771" t="s">
        <v>7173</v>
      </c>
      <c r="B771" t="s">
        <v>7622</v>
      </c>
      <c r="C771" s="2" t="s">
        <v>7623</v>
      </c>
      <c r="D771" t="s">
        <v>5843</v>
      </c>
      <c r="E771" s="2" t="s">
        <v>7624</v>
      </c>
      <c r="F771" t="s">
        <v>3170</v>
      </c>
      <c r="G771" t="str">
        <f>VLOOKUP($F771, codebooks_data_reordered!$A:$I, 2, FALSE)</f>
        <v>1988_Panel_N=416</v>
      </c>
      <c r="H771" t="str">
        <f>VLOOKUP($F771, codebooks_data_reordered!$A:$I, 3, FALSE)</f>
        <v>THE EXTENT OF APPROVAL OF THE FOLLOWING</v>
      </c>
      <c r="I771" t="str">
        <f>VLOOKUP($F771, codebooks_data_reordered!$A:$I, 4, FALSE)</f>
        <v>1</v>
      </c>
      <c r="J771" t="str">
        <f>VLOOKUP($F771, codebooks_data_reordered!$A:$I, 5, FALSE)</f>
        <v>127</v>
      </c>
      <c r="K771" t="str">
        <f>VLOOKUP($F771, codebooks_data_reordered!$A:$I, 6, FALSE)</f>
        <v>Should Israel supply non-democratic and hostile states (such as Iran)with weapons</v>
      </c>
      <c r="L771">
        <f>VLOOKUP($F771, codebooks_data_reordered!$A:$I, 7, FALSE)</f>
        <v>0</v>
      </c>
      <c r="M771" t="str">
        <f>VLOOKUP($F771, codebooks_data_reordered!$A:$I, 9, FALSE)</f>
        <v>1: Weapons should be sold to anyone; 2: Weapons should be sold to anyone except to hostile states; 3: Weapons should be sold to states whose regime seems good to us; 4: Weapons should not be sold to other states</v>
      </c>
      <c r="O771" s="2" t="str">
        <f t="shared" si="12"/>
        <v>1: Weapons should be sold to anyone
 2: Weapons should be sold to anyone except to hostile states
 3: Weapons should be sold to states whose regime seems good to us
 4: Weapons should not be sold to other states</v>
      </c>
    </row>
    <row r="772" spans="1:15" ht="273.60000000000002" hidden="1" x14ac:dyDescent="0.3">
      <c r="A772" t="s">
        <v>7173</v>
      </c>
      <c r="B772" t="s">
        <v>7625</v>
      </c>
      <c r="C772" s="2" t="s">
        <v>7626</v>
      </c>
      <c r="D772" t="s">
        <v>5843</v>
      </c>
      <c r="E772" s="2" t="s">
        <v>7627</v>
      </c>
      <c r="F772" t="s">
        <v>2147</v>
      </c>
      <c r="G772" t="str">
        <f>VLOOKUP($F772, codebooks_data_reordered!$A:$I, 2, FALSE)</f>
        <v>1999_1</v>
      </c>
      <c r="H772" t="str">
        <f>VLOOKUP($F772, codebooks_data_reordered!$A:$I, 3, FALSE)</f>
        <v>IMPACT OF MEDIA</v>
      </c>
      <c r="I772" t="str">
        <f>VLOOKUP($F772, codebooks_data_reordered!$A:$I, 4, FALSE)</f>
        <v>3</v>
      </c>
      <c r="J772" t="str">
        <f>VLOOKUP($F772, codebooks_data_reordered!$A:$I, 5, FALSE)</f>
        <v>10</v>
      </c>
      <c r="K772" t="str">
        <f>VLOOKUP($F772, codebooks_data_reordered!$A:$I, 6, FALSE)</f>
        <v>Intentions to watch election ads on TV</v>
      </c>
      <c r="L772">
        <f>VLOOKUP($F772, codebooks_data_reordered!$A:$I, 7, FALSE)</f>
        <v>0</v>
      </c>
      <c r="M772" t="str">
        <f>VLOOKUP($F772, codebooks_data_reordered!$A:$I, 9, FALSE)</f>
        <v>1: Daily; 2: Frequently; 3: Sometimes; 4: Rarely; 5: Never</v>
      </c>
      <c r="O772" s="2" t="str">
        <f t="shared" si="12"/>
        <v>1: Daily
 2: Frequently
 3: Sometimes
 4: Rarely
 5: Never</v>
      </c>
    </row>
    <row r="773" spans="1:15" ht="216" hidden="1" x14ac:dyDescent="0.3">
      <c r="A773" t="s">
        <v>7173</v>
      </c>
      <c r="B773" t="s">
        <v>7628</v>
      </c>
      <c r="C773" s="2" t="s">
        <v>6240</v>
      </c>
      <c r="D773" t="s">
        <v>5843</v>
      </c>
      <c r="E773" s="2" t="s">
        <v>6241</v>
      </c>
      <c r="F773" t="s">
        <v>633</v>
      </c>
      <c r="G773" t="str">
        <f>VLOOKUP($F773, codebooks_data_reordered!$A:$I, 2, FALSE)</f>
        <v>2006</v>
      </c>
      <c r="H773" t="str">
        <f>VLOOKUP($F773, codebooks_data_reordered!$A:$I, 3, FALSE)</f>
        <v>Different Coalitions after the Elections</v>
      </c>
      <c r="I773" t="str">
        <f>VLOOKUP($F773, codebooks_data_reordered!$A:$I, 4, FALSE)</f>
        <v>1</v>
      </c>
      <c r="J773" t="str">
        <f>VLOOKUP($F773, codebooks_data_reordered!$A:$I, 5, FALSE)</f>
        <v>210-212</v>
      </c>
      <c r="K773" t="str">
        <f>VLOOKUP($F773, codebooks_data_reordered!$A:$I, 6, FALSE)</f>
        <v>Chances for Kadima-Labor coalition</v>
      </c>
      <c r="L773" t="str">
        <f>VLOOKUP($F773,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773">
        <f>VLOOKUP($F773, codebooks_data_reordered!$A:$I, 9, FALSE)</f>
        <v>0</v>
      </c>
      <c r="O773" s="2" t="str">
        <f t="shared" si="12"/>
        <v>0</v>
      </c>
    </row>
    <row r="774" spans="1:15" ht="100.8" hidden="1" x14ac:dyDescent="0.3">
      <c r="A774" t="s">
        <v>7173</v>
      </c>
      <c r="B774" t="s">
        <v>7629</v>
      </c>
      <c r="C774" s="2" t="s">
        <v>7630</v>
      </c>
      <c r="D774" t="s">
        <v>5843</v>
      </c>
      <c r="E774" s="2" t="s">
        <v>7631</v>
      </c>
      <c r="F774" t="s">
        <v>636</v>
      </c>
      <c r="G774" t="str">
        <f>VLOOKUP($F774, codebooks_data_reordered!$A:$I, 2, FALSE)</f>
        <v>2006</v>
      </c>
      <c r="H774" t="str">
        <f>VLOOKUP($F774, codebooks_data_reordered!$A:$I, 3, FALSE)</f>
        <v>Different Coalitions after the Elections</v>
      </c>
      <c r="I774" t="str">
        <f>VLOOKUP($F774, codebooks_data_reordered!$A:$I, 4, FALSE)</f>
        <v>1</v>
      </c>
      <c r="J774" t="str">
        <f>VLOOKUP($F774, codebooks_data_reordered!$A:$I, 5, FALSE)</f>
        <v>213-215</v>
      </c>
      <c r="K774" t="str">
        <f>VLOOKUP($F774, codebooks_data_reordered!$A:$I, 6, FALSE)</f>
        <v>Chances for Kadima-Likud coalition</v>
      </c>
      <c r="L774" t="str">
        <f>VLOOKUP($F774,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774">
        <f>VLOOKUP($F774, codebooks_data_reordered!$A:$I, 9, FALSE)</f>
        <v>0</v>
      </c>
      <c r="O774" s="2" t="str">
        <f t="shared" si="12"/>
        <v>0</v>
      </c>
    </row>
    <row r="775" spans="1:15" ht="129.6" hidden="1" x14ac:dyDescent="0.3">
      <c r="A775" t="s">
        <v>7173</v>
      </c>
      <c r="B775" t="s">
        <v>7632</v>
      </c>
      <c r="C775" s="2" t="s">
        <v>7633</v>
      </c>
      <c r="D775" t="s">
        <v>5843</v>
      </c>
      <c r="E775" s="2" t="s">
        <v>7634</v>
      </c>
      <c r="F775" t="s">
        <v>1784</v>
      </c>
      <c r="G775" t="str">
        <f>VLOOKUP($F775, codebooks_data_reordered!$A:$I, 2, FALSE)</f>
        <v>1999_1</v>
      </c>
      <c r="H775" t="str">
        <f>VLOOKUP($F775, codebooks_data_reordered!$A:$I, 3, FALSE)</f>
        <v>GENERAL POLITICAL ATTITUDE</v>
      </c>
      <c r="I775" t="str">
        <f>VLOOKUP($F775, codebooks_data_reordered!$A:$I, 4, FALSE)</f>
        <v>1</v>
      </c>
      <c r="J775" t="str">
        <f>VLOOKUP($F775, codebooks_data_reordered!$A:$I, 5, FALSE)</f>
        <v>21</v>
      </c>
      <c r="K775" t="str">
        <f>VLOOKUP($F775, codebooks_data_reordered!$A:$I, 6, FALSE)</f>
        <v>Attitude towards Oslo Accord</v>
      </c>
      <c r="L775">
        <f>VLOOKUP($F775, codebooks_data_reordered!$A:$I, 7, FALSE)</f>
        <v>0</v>
      </c>
      <c r="M775" t="str">
        <f>VLOOKUP($F775, codebooks_data_reordered!$A:$I, 9, FALSE)</f>
        <v>1: Strongly support; 2: Support; 3: Object; 4: Strongly object</v>
      </c>
      <c r="O775" s="2" t="str">
        <f t="shared" si="12"/>
        <v>1: Strongly support
 2: Support
 3: Object
 4: Strongly object</v>
      </c>
    </row>
    <row r="776" spans="1:15" ht="100.8" hidden="1" x14ac:dyDescent="0.3">
      <c r="A776" t="s">
        <v>7173</v>
      </c>
      <c r="B776" t="s">
        <v>7635</v>
      </c>
      <c r="C776" s="2" t="s">
        <v>6727</v>
      </c>
      <c r="D776" t="s">
        <v>5843</v>
      </c>
      <c r="E776" s="2" t="s">
        <v>6728</v>
      </c>
      <c r="F776" t="s">
        <v>1859</v>
      </c>
      <c r="G776" t="str">
        <f>VLOOKUP($F776, codebooks_data_reordered!$A:$I, 2, FALSE)</f>
        <v>1999_1</v>
      </c>
      <c r="H776" t="str">
        <f>VLOOKUP($F776, codebooks_data_reordered!$A:$I, 3, FALSE)</f>
        <v>ATTITUDES TOWARD CANDIDATES AND PARTIES</v>
      </c>
      <c r="I776" t="str">
        <f>VLOOKUP($F776, codebooks_data_reordered!$A:$I, 4, FALSE)</f>
        <v>1</v>
      </c>
      <c r="J776" t="str">
        <f>VLOOKUP($F776, codebooks_data_reordered!$A:$I, 5, FALSE)</f>
        <v>52</v>
      </c>
      <c r="K776" t="str">
        <f>VLOOKUP($F776, codebooks_data_reordered!$A:$I, 6, FALSE)</f>
        <v>Extend of support for Itzhak Mordechai</v>
      </c>
      <c r="L776" t="str">
        <f>VLOOKUP($F776, codebooks_data_reordered!$A:$I, 7, FALSE)</f>
        <v>Extent of support on 1-10 scale, 1=total rejection, 10=strong support</v>
      </c>
      <c r="M776" t="str">
        <f>VLOOKUP($F776, codebooks_data_reordered!$A:$I, 9, FALSE)</f>
        <v>1: Totally reject; 10: Strongly support</v>
      </c>
      <c r="O776" s="2" t="str">
        <f t="shared" si="12"/>
        <v>1: Totally reject
 10: Strongly support</v>
      </c>
    </row>
    <row r="777" spans="1:15" ht="244.8" hidden="1" x14ac:dyDescent="0.3">
      <c r="A777" t="s">
        <v>7173</v>
      </c>
      <c r="B777" t="s">
        <v>7636</v>
      </c>
      <c r="C777" s="2" t="s">
        <v>7637</v>
      </c>
      <c r="D777" t="s">
        <v>5843</v>
      </c>
      <c r="E777" s="2" t="s">
        <v>7638</v>
      </c>
      <c r="F777" t="s">
        <v>3059</v>
      </c>
      <c r="G777" t="str">
        <f>VLOOKUP($F777, codebooks_data_reordered!$A:$I, 2, FALSE)</f>
        <v>1988_Panel_N=416</v>
      </c>
      <c r="H777" t="str">
        <f>VLOOKUP($F777, codebooks_data_reordered!$A:$I, 3, FALSE)</f>
        <v>ISRAEL'S CAPABILITY OF COPING WITH VARIOUS SITUATIONS</v>
      </c>
      <c r="I777" t="str">
        <f>VLOOKUP($F777, codebooks_data_reordered!$A:$I, 4, FALSE)</f>
        <v>1</v>
      </c>
      <c r="J777" t="str">
        <f>VLOOKUP($F777, codebooks_data_reordered!$A:$I, 5, FALSE)</f>
        <v>84</v>
      </c>
      <c r="K777" t="str">
        <f>VLOOKUP($F777, codebooks_data_reordered!$A:$I, 6, FALSE)</f>
        <v>Israel's capability of territories Arabs' uprising</v>
      </c>
      <c r="L777">
        <f>VLOOKUP($F777, codebooks_data_reordered!$A:$I, 7, FALSE)</f>
        <v>0</v>
      </c>
      <c r="M777" t="str">
        <f>VLOOKUP($F777, codebooks_data_reordered!$A:$I, 9, FALSE)</f>
        <v>1: Capable; 2: Incapable</v>
      </c>
      <c r="O777" s="2" t="str">
        <f t="shared" si="12"/>
        <v>1: Capable
 2: Incapable</v>
      </c>
    </row>
    <row r="778" spans="1:15" ht="115.2" hidden="1" x14ac:dyDescent="0.3">
      <c r="A778" t="s">
        <v>7173</v>
      </c>
      <c r="B778" t="s">
        <v>7639</v>
      </c>
      <c r="C778" s="2" t="s">
        <v>7640</v>
      </c>
      <c r="D778" t="s">
        <v>5843</v>
      </c>
      <c r="E778" s="2" t="s">
        <v>7641</v>
      </c>
      <c r="F778" t="s">
        <v>479</v>
      </c>
      <c r="G778" t="str">
        <f>VLOOKUP($F778, codebooks_data_reordered!$A:$I, 2, FALSE)</f>
        <v>2006</v>
      </c>
      <c r="H778" t="str">
        <f>VLOOKUP($F778, codebooks_data_reordered!$A:$I, 3, FALSE)</f>
        <v>Most/Less Suitable Characteristic of the Party</v>
      </c>
      <c r="I778" t="str">
        <f>VLOOKUP($F778, codebooks_data_reordered!$A:$I, 4, FALSE)</f>
        <v>1</v>
      </c>
      <c r="J778" t="str">
        <f>VLOOKUP($F778, codebooks_data_reordered!$A:$I, 5, FALSE)</f>
        <v>154</v>
      </c>
      <c r="K778" t="str">
        <f>VLOOKUP($F778, codebooks_data_reordered!$A:$I, 6, FALSE)</f>
        <v>Least suitable characteristic of the party: Handle terrorism</v>
      </c>
      <c r="L778" t="str">
        <f>VLOOKUP($F778,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v>
      </c>
      <c r="M778" t="str">
        <f>VLOOKUP($F778, codebooks_data_reordered!$A:$I, 9, FALSE)</f>
        <v>1: Least suitable Kadima; 2: Least suitable Likud; 3: Least suitable Avoda; 4: Suits all the same; 5: Doesn't suit any of them</v>
      </c>
      <c r="O778" s="2" t="str">
        <f t="shared" si="12"/>
        <v>1: Least suitable Kadima
 2: Least suitable Likud
 3: Least suitable Avoda
 4: Suits all the same
 5: Doesn't suit any of them</v>
      </c>
    </row>
    <row r="779" spans="1:15" ht="331.2" hidden="1" x14ac:dyDescent="0.3">
      <c r="A779" t="s">
        <v>7173</v>
      </c>
      <c r="B779" t="s">
        <v>7642</v>
      </c>
      <c r="C779" s="2" t="s">
        <v>7643</v>
      </c>
      <c r="D779" t="s">
        <v>5843</v>
      </c>
      <c r="E779" s="2" t="s">
        <v>7644</v>
      </c>
      <c r="F779" t="s">
        <v>3061</v>
      </c>
      <c r="G779" t="str">
        <f>VLOOKUP($F779, codebooks_data_reordered!$A:$I, 2, FALSE)</f>
        <v>1988_Panel_N=416</v>
      </c>
      <c r="H779" t="str">
        <f>VLOOKUP($F779, codebooks_data_reordered!$A:$I, 3, FALSE)</f>
        <v>ISRAEL'S CAPABILITY OF COPING WITH VARIOUS SITUATIONS</v>
      </c>
      <c r="I779" t="str">
        <f>VLOOKUP($F779, codebooks_data_reordered!$A:$I, 4, FALSE)</f>
        <v>1</v>
      </c>
      <c r="J779" t="str">
        <f>VLOOKUP($F779, codebooks_data_reordered!$A:$I, 5, FALSE)</f>
        <v>85</v>
      </c>
      <c r="K779" t="str">
        <f>VLOOKUP($F779, codebooks_data_reordered!$A:$I, 6, FALSE)</f>
        <v>USSR will assist Arab states against us</v>
      </c>
      <c r="L779">
        <f>VLOOKUP($F779, codebooks_data_reordered!$A:$I, 7, FALSE)</f>
        <v>0</v>
      </c>
      <c r="M779" t="str">
        <f>VLOOKUP($F779, codebooks_data_reordered!$A:$I, 9, FALSE)</f>
        <v>1: Capable; 2: Incapable</v>
      </c>
      <c r="O779" s="2" t="str">
        <f t="shared" si="12"/>
        <v>1: Capable
 2: Incapable</v>
      </c>
    </row>
    <row r="780" spans="1:15" ht="129.6" hidden="1" x14ac:dyDescent="0.3">
      <c r="A780" t="s">
        <v>7173</v>
      </c>
      <c r="B780" t="s">
        <v>7645</v>
      </c>
      <c r="C780" s="2" t="s">
        <v>7646</v>
      </c>
      <c r="D780" t="s">
        <v>5843</v>
      </c>
      <c r="E780" s="2" t="s">
        <v>7647</v>
      </c>
      <c r="F780" t="s">
        <v>486</v>
      </c>
      <c r="G780" t="str">
        <f>VLOOKUP($F780, codebooks_data_reordered!$A:$I, 2, FALSE)</f>
        <v>2006</v>
      </c>
      <c r="H780" t="str">
        <f>VLOOKUP($F780, codebooks_data_reordered!$A:$I, 3, FALSE)</f>
        <v>Most/Less Suitable Characteristic of the Party</v>
      </c>
      <c r="I780" t="str">
        <f>VLOOKUP($F780, codebooks_data_reordered!$A:$I, 4, FALSE)</f>
        <v>1</v>
      </c>
      <c r="J780" t="str">
        <f>VLOOKUP($F780, codebooks_data_reordered!$A:$I, 5, FALSE)</f>
        <v>156</v>
      </c>
      <c r="K780" t="str">
        <f>VLOOKUP($F780, codebooks_data_reordered!$A:$I, 6, FALSE)</f>
        <v>Least suitable characteristic of the party: Ensure a jewish majority</v>
      </c>
      <c r="L780" t="str">
        <f>VLOOKUP($F780,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v>
      </c>
      <c r="M780" t="str">
        <f>VLOOKUP($F780, codebooks_data_reordered!$A:$I, 9, FALSE)</f>
        <v>1: Least suitable Kadima; 2: Least suitable Likud; 3: Least suitable Avoda; 4: Suits all the same; 5: Doesn't suit any of them</v>
      </c>
      <c r="O780" s="2" t="str">
        <f t="shared" si="12"/>
        <v>1: Least suitable Kadima
 2: Least suitable Likud
 3: Least suitable Avoda
 4: Suits all the same
 5: Doesn't suit any of them</v>
      </c>
    </row>
    <row r="781" spans="1:15" ht="86.4" hidden="1" x14ac:dyDescent="0.3">
      <c r="A781" t="s">
        <v>7173</v>
      </c>
      <c r="B781" t="s">
        <v>7648</v>
      </c>
      <c r="C781" s="2" t="s">
        <v>7649</v>
      </c>
      <c r="D781" t="s">
        <v>5843</v>
      </c>
      <c r="E781" s="2" t="s">
        <v>7650</v>
      </c>
      <c r="F781" t="s">
        <v>3111</v>
      </c>
      <c r="G781" t="str">
        <f>VLOOKUP($F781, codebooks_data_reordered!$A:$I, 2, FALSE)</f>
        <v>1988_Panel_N=416</v>
      </c>
      <c r="H781" t="str">
        <f>VLOOKUP($F781, codebooks_data_reordered!$A:$I, 3, FALSE)</f>
        <v>WHICH OF THE FOLLOWING WOULD YOU BE WILLING TO GIVE TO MAINTAIN/STRENGTHEN THE SECURITY</v>
      </c>
      <c r="I781" t="str">
        <f>VLOOKUP($F781, codebooks_data_reordered!$A:$I, 4, FALSE)</f>
        <v>1</v>
      </c>
      <c r="J781" t="str">
        <f>VLOOKUP($F781, codebooks_data_reordered!$A:$I, 5, FALSE)</f>
        <v>104</v>
      </c>
      <c r="K781" t="str">
        <f>VLOOKUP($F781, codebooks_data_reordered!$A:$I, 6, FALSE)</f>
        <v>What is your opinion of the defense budget</v>
      </c>
      <c r="L781">
        <f>VLOOKUP($F781, codebooks_data_reordered!$A:$I, 7, FALSE)</f>
        <v>0</v>
      </c>
      <c r="M781" t="str">
        <f>VLOOKUP($F781, codebooks_data_reordered!$A:$I, 9, FALSE)</f>
        <v>1: It should be increased; 2: It should stay as is; 3: It should be cut</v>
      </c>
      <c r="O781" s="2" t="str">
        <f t="shared" si="12"/>
        <v>1: It should be increased
 2: It should stay as is
 3: It should be cut</v>
      </c>
    </row>
    <row r="782" spans="1:15" ht="144" hidden="1" x14ac:dyDescent="0.3">
      <c r="A782" t="s">
        <v>7173</v>
      </c>
      <c r="B782" t="s">
        <v>7651</v>
      </c>
      <c r="C782" s="2" t="s">
        <v>7652</v>
      </c>
      <c r="D782" t="s">
        <v>5843</v>
      </c>
      <c r="E782" s="2" t="s">
        <v>7653</v>
      </c>
      <c r="F782" t="s">
        <v>5341</v>
      </c>
      <c r="G782" t="str">
        <f>VLOOKUP($F782, codebooks_data_reordered!$A:$I, 2, FALSE)</f>
        <v>1973_5</v>
      </c>
      <c r="H782" t="str">
        <f>VLOOKUP($F782, codebooks_data_reordered!$A:$I, 3, FALSE)</f>
        <v>POLITICAL LEADERS AND HOW INTERVIEWEE RELATES TO THEM, HOW IMPORTANT THIS FACTOR WAS TO INTERVIEWEE'S VOTE</v>
      </c>
      <c r="I782" t="str">
        <f>VLOOKUP($F782, codebooks_data_reordered!$A:$I, 4, FALSE)</f>
        <v>1</v>
      </c>
      <c r="J782" t="str">
        <f>VLOOKUP($F782, codebooks_data_reordered!$A:$I, 5, FALSE)</f>
        <v>25</v>
      </c>
      <c r="K782" t="str">
        <f>VLOOKUP($F782, codebooks_data_reordered!$A:$I, 6, FALSE)</f>
        <v>Yigal Allon</v>
      </c>
      <c r="L782">
        <f>VLOOKUP($F782, codebooks_data_reordered!$A:$I, 7, FALSE)</f>
        <v>0</v>
      </c>
      <c r="M782" t="str">
        <f>VLOOKUP($F782, codebooks_data_reordered!$A:$I, 9, FALSE)</f>
        <v>1: Positively, very important; 2: Positively, not very important; 3: Negatively, very important; 4: Negatively, not very important; 5: Neither positively nor negatively</v>
      </c>
      <c r="O782" s="2" t="str">
        <f t="shared" si="12"/>
        <v>1: Positively, very important
 2: Positively, not very important
 3: Negatively, very important
 4: Negatively, not very important
 5: Neither positively nor negatively</v>
      </c>
    </row>
    <row r="783" spans="1:15" ht="72" hidden="1" x14ac:dyDescent="0.3">
      <c r="A783" t="s">
        <v>7173</v>
      </c>
      <c r="B783" t="s">
        <v>7654</v>
      </c>
      <c r="C783" s="2" t="s">
        <v>7655</v>
      </c>
      <c r="D783" t="s">
        <v>5843</v>
      </c>
      <c r="E783" s="2" t="s">
        <v>7656</v>
      </c>
      <c r="F783" t="s">
        <v>5344</v>
      </c>
      <c r="G783" t="str">
        <f>VLOOKUP($F783, codebooks_data_reordered!$A:$I, 2, FALSE)</f>
        <v>1973_5</v>
      </c>
      <c r="H783" t="str">
        <f>VLOOKUP($F783, codebooks_data_reordered!$A:$I, 3, FALSE)</f>
        <v>POLITICAL LEADERS AND HOW INTERVIEWEE RELATES TO THEM, HOW IMPORTANT THIS FACTOR WAS TO INTERVIEWEE'S VOTE</v>
      </c>
      <c r="I783" t="str">
        <f>VLOOKUP($F783, codebooks_data_reordered!$A:$I, 4, FALSE)</f>
        <v>1</v>
      </c>
      <c r="J783" t="str">
        <f>VLOOKUP($F783, codebooks_data_reordered!$A:$I, 5, FALSE)</f>
        <v>26</v>
      </c>
      <c r="K783" t="str">
        <f>VLOOKUP($F783, codebooks_data_reordered!$A:$I, 6, FALSE)</f>
        <v>Interviewee voted now for the same party he voted for in 1969</v>
      </c>
      <c r="L783">
        <f>VLOOKUP($F783, codebooks_data_reordered!$A:$I, 7, FALSE)</f>
        <v>0</v>
      </c>
      <c r="M783" t="str">
        <f>VLOOKUP($F783, codebooks_data_reordered!$A:$I, 9, FALSE)</f>
        <v>1: Yes; 2: No; 3: Did not vote in 1969; 4: Did not vote now</v>
      </c>
      <c r="O783" s="2" t="str">
        <f t="shared" si="12"/>
        <v>1: Yes
 2: No
 3: Did not vote in 1969
 4: Did not vote now</v>
      </c>
    </row>
    <row r="784" spans="1:15" ht="57.6" hidden="1" x14ac:dyDescent="0.3">
      <c r="A784" t="s">
        <v>7173</v>
      </c>
      <c r="B784" t="s">
        <v>7657</v>
      </c>
      <c r="C784" s="2" t="s">
        <v>7658</v>
      </c>
      <c r="D784" t="s">
        <v>5843</v>
      </c>
      <c r="E784" s="2" t="s">
        <v>7659</v>
      </c>
      <c r="F784" t="s">
        <v>3655</v>
      </c>
      <c r="G784" t="str">
        <f>VLOOKUP($F784, codebooks_data_reordered!$A:$I, 2, FALSE)</f>
        <v>1988_N=873</v>
      </c>
      <c r="H784" t="str">
        <f>VLOOKUP($F784, codebooks_data_reordered!$A:$I, 3, FALSE)</f>
        <v>NATIONAL SECURITY SCALE</v>
      </c>
      <c r="I784" t="str">
        <f>VLOOKUP($F784, codebooks_data_reordered!$A:$I, 4, FALSE)</f>
        <v>1</v>
      </c>
      <c r="J784" t="str">
        <f>VLOOKUP($F784, codebooks_data_reordered!$A:$I, 5, FALSE)</f>
        <v>19</v>
      </c>
      <c r="K784" t="str">
        <f>VLOOKUP($F784, codebooks_data_reordered!$A:$I, 6, FALSE)</f>
        <v>Government should encourage Arab emigration from Israel</v>
      </c>
      <c r="L784">
        <f>VLOOKUP($F784, codebooks_data_reordered!$A:$I, 7, FALSE)</f>
        <v>0</v>
      </c>
      <c r="M784" t="str">
        <f>VLOOKUP($F784, codebooks_data_reordered!$A:$I, 9, FALSE)</f>
        <v>1: Strongly agree; 2: Agree; 3: Disagree; 4: Strongly disagree</v>
      </c>
      <c r="O784" s="2" t="str">
        <f t="shared" si="12"/>
        <v>1: Strongly agree
 2: Agree
 3: Disagree
 4: Strongly disagree</v>
      </c>
    </row>
    <row r="785" spans="1:15" ht="100.8" hidden="1" x14ac:dyDescent="0.3">
      <c r="A785" t="s">
        <v>7173</v>
      </c>
      <c r="B785" t="s">
        <v>7660</v>
      </c>
      <c r="C785" s="2" t="s">
        <v>7661</v>
      </c>
      <c r="D785" t="s">
        <v>5843</v>
      </c>
      <c r="E785" s="2" t="s">
        <v>7662</v>
      </c>
      <c r="F785" t="s">
        <v>5353</v>
      </c>
      <c r="G785" t="str">
        <f>VLOOKUP($F785, codebooks_data_reordered!$A:$I, 2, FALSE)</f>
        <v>1973_5</v>
      </c>
      <c r="H785" t="str">
        <f>VLOOKUP($F785, codebooks_data_reordered!$A:$I, 3, FALSE)</f>
        <v>POLITICAL LEADERS AND HOW INTERVIEWEE RELATES TO THEM, HOW IMPORTANT THIS FACTOR WAS TO INTERVIEWEE'S VOTE</v>
      </c>
      <c r="I785" t="str">
        <f>VLOOKUP($F785, codebooks_data_reordered!$A:$I, 4, FALSE)</f>
        <v>1</v>
      </c>
      <c r="J785" t="str">
        <f>VLOOKUP($F785, codebooks_data_reordered!$A:$I, 5, FALSE)</f>
        <v>29</v>
      </c>
      <c r="K785" t="str">
        <f>VLOOKUP($F785, codebooks_data_reordered!$A:$I, 6, FALSE)</f>
        <v>When interviewee decided whom to vote for</v>
      </c>
      <c r="L785">
        <f>VLOOKUP($F785, codebooks_data_reordered!$A:$I, 7, FALSE)</f>
        <v>0</v>
      </c>
      <c r="M785" t="str">
        <f>VLOOKUP($F785, codebooks_data_reordered!$A:$I, 9, FALSE)</f>
        <v>1: A long time ago; 2: At the time of the war; 3: Close to election day; 4: On election day; 5: Did not vote</v>
      </c>
      <c r="O785" s="2" t="str">
        <f t="shared" si="12"/>
        <v>1: A long time ago
 2: At the time of the war
 3: Close to election day
 4: On election day
 5: Did not vote</v>
      </c>
    </row>
    <row r="786" spans="1:15" ht="115.2" hidden="1" x14ac:dyDescent="0.3">
      <c r="A786" t="s">
        <v>7173</v>
      </c>
      <c r="B786" t="s">
        <v>7663</v>
      </c>
      <c r="C786" s="2" t="s">
        <v>6518</v>
      </c>
      <c r="D786" t="s">
        <v>5843</v>
      </c>
      <c r="E786" s="2" t="s">
        <v>6519</v>
      </c>
      <c r="F786" t="s">
        <v>5356</v>
      </c>
      <c r="G786" t="str">
        <f>VLOOKUP($F786, codebooks_data_reordered!$A:$I, 2, FALSE)</f>
        <v>1973_5</v>
      </c>
      <c r="H786" t="str">
        <f>VLOOKUP($F786, codebooks_data_reordered!$A:$I, 3, FALSE)</f>
        <v>POLITICAL LEADERS AND HOW INTERVIEWEE RELATES TO THEM, HOW IMPORTANT THIS FACTOR WAS TO INTERVIEWEE'S VOTE</v>
      </c>
      <c r="I786" t="str">
        <f>VLOOKUP($F786, codebooks_data_reordered!$A:$I, 4, FALSE)</f>
        <v>1</v>
      </c>
      <c r="J786" t="str">
        <f>VLOOKUP($F786, codebooks_data_reordered!$A:$I, 5, FALSE)</f>
        <v>30</v>
      </c>
      <c r="K786" t="str">
        <f>VLOOKUP($F786, codebooks_data_reordered!$A:$I, 6, FALSE)</f>
        <v>To what extent deciding whom to vote for was difficult</v>
      </c>
      <c r="L786">
        <f>VLOOKUP($F786, codebooks_data_reordered!$A:$I, 7, FALSE)</f>
        <v>0</v>
      </c>
      <c r="M786" t="str">
        <f>VLOOKUP($F786, codebooks_data_reordered!$A:$I, 9, FALSE)</f>
        <v>1: Very difficult; 2: Difficult; 3: Not so difficult; 4: Not at all</v>
      </c>
      <c r="O786" s="2" t="str">
        <f t="shared" si="12"/>
        <v>1: Very difficult
 2: Difficult
 3: Not so difficult
 4: Not at all</v>
      </c>
    </row>
    <row r="787" spans="1:15" ht="409.6" hidden="1" x14ac:dyDescent="0.3">
      <c r="A787" t="s">
        <v>7173</v>
      </c>
      <c r="B787" t="s">
        <v>7664</v>
      </c>
      <c r="C787" s="2" t="s">
        <v>7665</v>
      </c>
      <c r="D787" t="s">
        <v>5843</v>
      </c>
      <c r="E787" s="2" t="s">
        <v>7666</v>
      </c>
      <c r="F787" t="s">
        <v>5358</v>
      </c>
      <c r="G787" t="str">
        <f>VLOOKUP($F787, codebooks_data_reordered!$A:$I, 2, FALSE)</f>
        <v>1973_5</v>
      </c>
      <c r="H787" t="str">
        <f>VLOOKUP($F787, codebooks_data_reordered!$A:$I, 3, FALSE)</f>
        <v>POLITICAL LEADERS AND HOW INTERVIEWEE RELATES TO THEM, HOW IMPORTANT THIS FACTOR WAS TO INTERVIEWEE'S VOTE</v>
      </c>
      <c r="I787" t="str">
        <f>VLOOKUP($F787, codebooks_data_reordered!$A:$I, 4, FALSE)</f>
        <v>1</v>
      </c>
      <c r="J787" t="str">
        <f>VLOOKUP($F787, codebooks_data_reordered!$A:$I, 5, FALSE)</f>
        <v>31</v>
      </c>
      <c r="K787" t="str">
        <f>VLOOKUP($F787, codebooks_data_reordered!$A:$I, 6, FALSE)</f>
        <v>To what extent it is a duty to participate in the Knesset elections</v>
      </c>
      <c r="L787">
        <f>VLOOKUP($F787, codebooks_data_reordered!$A:$I, 7, FALSE)</f>
        <v>0</v>
      </c>
      <c r="M787" t="str">
        <f>VLOOKUP($F787, codebooks_data_reordered!$A:$I, 9, FALSE)</f>
        <v>1: To a great extent; 2: To a certain extent; 3: To a small extent; 4: Not at all</v>
      </c>
      <c r="O787" s="2" t="str">
        <f t="shared" si="12"/>
        <v>1: To a great extent
 2: To a certain extent
 3: To a small extent
 4: Not at all</v>
      </c>
    </row>
    <row r="788" spans="1:15" ht="331.2" hidden="1" x14ac:dyDescent="0.3">
      <c r="A788" t="s">
        <v>7173</v>
      </c>
      <c r="B788" t="s">
        <v>7667</v>
      </c>
      <c r="C788" s="2" t="s">
        <v>7668</v>
      </c>
      <c r="D788" t="s">
        <v>5843</v>
      </c>
      <c r="E788" s="2" t="s">
        <v>7669</v>
      </c>
      <c r="F788" t="s">
        <v>1775</v>
      </c>
      <c r="G788" t="str">
        <f>VLOOKUP($F788, codebooks_data_reordered!$A:$I, 2, FALSE)</f>
        <v>1999_1</v>
      </c>
      <c r="H788" t="str">
        <f>VLOOKUP($F788, codebooks_data_reordered!$A:$I, 3, FALSE)</f>
        <v>GENERAL POLITICAL ATTITUDE</v>
      </c>
      <c r="I788" t="str">
        <f>VLOOKUP($F788, codebooks_data_reordered!$A:$I, 4, FALSE)</f>
        <v>1</v>
      </c>
      <c r="J788" t="str">
        <f>VLOOKUP($F788, codebooks_data_reordered!$A:$I, 5, FALSE)</f>
        <v>17</v>
      </c>
      <c r="K788" t="str">
        <f>VLOOKUP($F788, codebooks_data_reordered!$A:$I, 6, FALSE)</f>
        <v>Territories should be returned for peace</v>
      </c>
      <c r="L788" t="str">
        <f>VLOOKUP($F788, codebooks_data_reordered!$A:$I, 7, FALSE)</f>
        <v>Agreement with statement on 1-7 scale</v>
      </c>
      <c r="M788" t="str">
        <f>VLOOKUP($F788, codebooks_data_reordered!$A:$I, 9, FALSE)</f>
        <v>1: Strongly disagree; 7: Strongly agree</v>
      </c>
      <c r="O788" s="2" t="str">
        <f t="shared" si="12"/>
        <v>1: Strongly disagree
 7: Strongly agree</v>
      </c>
    </row>
    <row r="789" spans="1:15" ht="86.4" hidden="1" x14ac:dyDescent="0.3">
      <c r="A789" t="s">
        <v>7173</v>
      </c>
      <c r="B789" t="s">
        <v>7670</v>
      </c>
      <c r="C789" s="2" t="s">
        <v>7671</v>
      </c>
      <c r="D789" t="s">
        <v>5843</v>
      </c>
      <c r="E789" s="2" t="s">
        <v>7672</v>
      </c>
      <c r="F789" t="s">
        <v>497</v>
      </c>
      <c r="G789" t="str">
        <f>VLOOKUP($F789, codebooks_data_reordered!$A:$I, 2, FALSE)</f>
        <v>2006</v>
      </c>
      <c r="H789" t="str">
        <f>VLOOKUP($F789, codebooks_data_reordered!$A:$I, 3, FALSE)</f>
        <v>Most/Less Suitable Characteristic of the Party</v>
      </c>
      <c r="I789" t="str">
        <f>VLOOKUP($F789, codebooks_data_reordered!$A:$I, 4, FALSE)</f>
        <v>1</v>
      </c>
      <c r="J789" t="str">
        <f>VLOOKUP($F789, codebooks_data_reordered!$A:$I, 5, FALSE)</f>
        <v>159</v>
      </c>
      <c r="K789" t="str">
        <f>VLOOKUP($F789, codebooks_data_reordered!$A:$I, 6, FALSE)</f>
        <v>Most suitable characteristic of the party: Will decrease social gaps</v>
      </c>
      <c r="L789" t="str">
        <f>VLOOKUP($F789,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789" t="str">
        <f>VLOOKUP($F789, codebooks_data_reordered!$A:$I, 9, FALSE)</f>
        <v>1: Most suitable Kadima; 2: Most suitable Likud; 3: Most suitable Avoda; 4: Suits all the same; 5: Doesn't suit any of them</v>
      </c>
      <c r="O789" s="2" t="str">
        <f t="shared" si="12"/>
        <v>1: Most suitable Kadima
 2: Most suitable Likud
 3: Most suitable Avoda
 4: Suits all the same
 5: Doesn't suit any of them</v>
      </c>
    </row>
    <row r="790" spans="1:15" ht="72" hidden="1" x14ac:dyDescent="0.3">
      <c r="A790" t="s">
        <v>7173</v>
      </c>
      <c r="B790" t="s">
        <v>7673</v>
      </c>
      <c r="C790" s="2" t="s">
        <v>7674</v>
      </c>
      <c r="D790" t="s">
        <v>5986</v>
      </c>
      <c r="E790" s="2" t="s">
        <v>7675</v>
      </c>
      <c r="F790" t="s">
        <v>2147</v>
      </c>
      <c r="G790" t="str">
        <f>VLOOKUP($F790, codebooks_data_reordered!$A:$I, 2, FALSE)</f>
        <v>1999_1</v>
      </c>
      <c r="H790" t="str">
        <f>VLOOKUP($F790, codebooks_data_reordered!$A:$I, 3, FALSE)</f>
        <v>IMPACT OF MEDIA</v>
      </c>
      <c r="I790" t="str">
        <f>VLOOKUP($F790, codebooks_data_reordered!$A:$I, 4, FALSE)</f>
        <v>3</v>
      </c>
      <c r="J790" t="str">
        <f>VLOOKUP($F790, codebooks_data_reordered!$A:$I, 5, FALSE)</f>
        <v>10</v>
      </c>
      <c r="K790" t="str">
        <f>VLOOKUP($F790, codebooks_data_reordered!$A:$I, 6, FALSE)</f>
        <v>Intentions to watch election ads on TV</v>
      </c>
      <c r="L790">
        <f>VLOOKUP($F790, codebooks_data_reordered!$A:$I, 7, FALSE)</f>
        <v>0</v>
      </c>
      <c r="M790" t="str">
        <f>VLOOKUP($F790, codebooks_data_reordered!$A:$I, 9, FALSE)</f>
        <v>1: Daily; 2: Frequently; 3: Sometimes; 4: Rarely; 5: Never</v>
      </c>
      <c r="O790" s="2" t="str">
        <f t="shared" si="12"/>
        <v>1: Daily
 2: Frequently
 3: Sometimes
 4: Rarely
 5: Never</v>
      </c>
    </row>
    <row r="791" spans="1:15" ht="216" hidden="1" x14ac:dyDescent="0.3">
      <c r="A791" t="s">
        <v>7173</v>
      </c>
      <c r="B791" t="s">
        <v>7676</v>
      </c>
      <c r="C791" s="2" t="s">
        <v>7677</v>
      </c>
      <c r="D791" t="s">
        <v>5843</v>
      </c>
      <c r="E791" s="2" t="s">
        <v>7678</v>
      </c>
      <c r="F791" t="s">
        <v>2138</v>
      </c>
      <c r="G791" t="str">
        <f>VLOOKUP($F791, codebooks_data_reordered!$A:$I, 2, FALSE)</f>
        <v>1999_1</v>
      </c>
      <c r="H791" t="str">
        <f>VLOOKUP($F791, codebooks_data_reordered!$A:$I, 3, FALSE)</f>
        <v>IMPACT OF MEDIA</v>
      </c>
      <c r="I791" t="str">
        <f>VLOOKUP($F791, codebooks_data_reordered!$A:$I, 4, FALSE)</f>
        <v>3</v>
      </c>
      <c r="J791" t="str">
        <f>VLOOKUP($F791, codebooks_data_reordered!$A:$I, 5, FALSE)</f>
        <v>6</v>
      </c>
      <c r="K791" t="str">
        <f>VLOOKUP($F791, codebooks_data_reordered!$A:$I, 6, FALSE)</f>
        <v>Frequency of reading daily newspaper</v>
      </c>
      <c r="L791">
        <f>VLOOKUP($F791, codebooks_data_reordered!$A:$I, 7, FALSE)</f>
        <v>0</v>
      </c>
      <c r="M791" t="str">
        <f>VLOOKUP($F791, codebooks_data_reordered!$A:$I, 9, FALSE)</f>
        <v>1: Almost never; 2: Rarely; 3: Once a week; 4: 2-3 times a week; 5: One newspaper almost every day; 6: More than one almost every day</v>
      </c>
      <c r="O791" s="2" t="str">
        <f t="shared" si="12"/>
        <v>1: Almost never
 2: Rarely
 3: Once a week
 4: 2-3 times a week
 5: One newspaper almost every day
 6: More than one almost every day</v>
      </c>
    </row>
    <row r="792" spans="1:15" ht="172.8" hidden="1" x14ac:dyDescent="0.3">
      <c r="A792" t="s">
        <v>7173</v>
      </c>
      <c r="B792" t="s">
        <v>7679</v>
      </c>
      <c r="C792" s="2" t="s">
        <v>7680</v>
      </c>
      <c r="D792" t="s">
        <v>5843</v>
      </c>
      <c r="E792" s="2" t="s">
        <v>7681</v>
      </c>
      <c r="F792" t="s">
        <v>2140</v>
      </c>
      <c r="G792" t="str">
        <f>VLOOKUP($F792, codebooks_data_reordered!$A:$I, 2, FALSE)</f>
        <v>1999_1</v>
      </c>
      <c r="H792" t="str">
        <f>VLOOKUP($F792, codebooks_data_reordered!$A:$I, 3, FALSE)</f>
        <v>IMPACT OF MEDIA</v>
      </c>
      <c r="I792" t="str">
        <f>VLOOKUP($F792, codebooks_data_reordered!$A:$I, 4, FALSE)</f>
        <v>3</v>
      </c>
      <c r="J792" t="str">
        <f>VLOOKUP($F792, codebooks_data_reordered!$A:$I, 5, FALSE)</f>
        <v>7</v>
      </c>
      <c r="K792" t="str">
        <f>VLOOKUP($F792, codebooks_data_reordered!$A:$I, 6, FALSE)</f>
        <v>Follow publications of election polls</v>
      </c>
      <c r="L792">
        <f>VLOOKUP($F792, codebooks_data_reordered!$A:$I, 7, FALSE)</f>
        <v>0</v>
      </c>
      <c r="M792" t="str">
        <f>VLOOKUP($F792, codebooks_data_reordered!$A:$I, 9, FALSE)</f>
        <v>1: With a great interest; 2: With some interest; 3: With little interest; 4: Do not follow at all</v>
      </c>
      <c r="O792" s="2" t="str">
        <f t="shared" si="12"/>
        <v>1: With a great interest
 2: With some interest
 3: With little interest
 4: Do not follow at all</v>
      </c>
    </row>
    <row r="793" spans="1:15" ht="216" hidden="1" x14ac:dyDescent="0.3">
      <c r="A793" t="s">
        <v>7173</v>
      </c>
      <c r="B793" t="s">
        <v>7682</v>
      </c>
      <c r="C793" s="2" t="s">
        <v>7683</v>
      </c>
      <c r="D793" t="s">
        <v>5843</v>
      </c>
      <c r="E793" s="2" t="s">
        <v>7684</v>
      </c>
      <c r="F793" t="s">
        <v>5412</v>
      </c>
      <c r="G793" t="str">
        <f>VLOOKUP($F793, codebooks_data_reordered!$A:$I, 2, FALSE)</f>
        <v>1973_5</v>
      </c>
      <c r="H793" t="str">
        <f>VLOOKUP($F793, codebooks_data_reordered!$A:$I, 3, FALSE)</f>
        <v>POLITICAL LEADERS AND HOW INTERVIEWEE RELATES TO THEM, HOW IMPORTANT THIS FACTOR WAS TO INTERVIEWEE'S VOTE</v>
      </c>
      <c r="I793" t="str">
        <f>VLOOKUP($F793, codebooks_data_reordered!$A:$I, 4, FALSE)</f>
        <v>1</v>
      </c>
      <c r="J793" t="str">
        <f>VLOOKUP($F793, codebooks_data_reordered!$A:$I, 5, FALSE)</f>
        <v>55-56</v>
      </c>
      <c r="K793" t="str">
        <f>VLOOKUP($F793, codebooks_data_reordered!$A:$I, 6, FALSE)</f>
        <v>Party interviewee voted for in last elections</v>
      </c>
      <c r="L793">
        <f>VLOOKUP($F793, codebooks_data_reordered!$A:$I, 7, FALSE)</f>
        <v>0</v>
      </c>
      <c r="M793" t="str">
        <f>VLOOKUP($F793, codebooks_data_reordered!$A:$I, 9, FALSE)</f>
        <v>01: Likud; 02: Independent Liberals; 03: Alignment; 04: Agudat Yisrael/A. Y. Workers; 05: National Religious Party; 06: Meri (HaOlam HaZeh); 07: Moked (ICP and Meir Pa'il); 08: Rakach; 09: Shulamit Aloni; 10: Israeli Democrats; 11: Other; 12: Did not vote</v>
      </c>
      <c r="O793" s="2" t="str">
        <f t="shared" si="12"/>
        <v>01: Likud
 02: Independent Liberals
 03: Alignment
 04: Agudat Yisrael/A. Y. Workers
 05: National Religious Party
 06: Meri (HaOlam HaZeh)
 07: Moked (ICP and Meir Pa'il)
 08: Rakach
 09: Shulamit Aloni
 10: Israeli Democrats
 11: Other
 12: Did not vote</v>
      </c>
    </row>
    <row r="794" spans="1:15" ht="216" hidden="1" x14ac:dyDescent="0.3">
      <c r="A794" t="s">
        <v>7173</v>
      </c>
      <c r="B794" t="s">
        <v>7685</v>
      </c>
      <c r="C794" s="2" t="s">
        <v>7686</v>
      </c>
      <c r="D794" t="s">
        <v>5843</v>
      </c>
      <c r="E794" s="2" t="s">
        <v>7687</v>
      </c>
      <c r="F794" t="s">
        <v>515</v>
      </c>
      <c r="G794" t="str">
        <f>VLOOKUP($F794, codebooks_data_reordered!$A:$I, 2, FALSE)</f>
        <v>2006</v>
      </c>
      <c r="H794" t="str">
        <f>VLOOKUP($F794, codebooks_data_reordered!$A:$I, 3, FALSE)</f>
        <v>Most/Less Suitable Characteristic of the Party</v>
      </c>
      <c r="I794" t="str">
        <f>VLOOKUP($F794, codebooks_data_reordered!$A:$I, 4, FALSE)</f>
        <v>1</v>
      </c>
      <c r="J794" t="str">
        <f>VLOOKUP($F794, codebooks_data_reordered!$A:$I, 5, FALSE)</f>
        <v>164</v>
      </c>
      <c r="K794" t="str">
        <f>VLOOKUP($F794, codebooks_data_reordered!$A:$I, 6, FALSE)</f>
        <v>Least suitable characteristic of the party: Reliable</v>
      </c>
      <c r="L794" t="str">
        <f>VLOOKUP($F794,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794" t="str">
        <f>VLOOKUP($F794, codebooks_data_reordered!$A:$I, 9, FALSE)</f>
        <v>1: Olmert; 2: Netanyahu; 3: Peretz; 4: All; 5: None</v>
      </c>
      <c r="O794" s="2" t="str">
        <f t="shared" si="12"/>
        <v>1: Olmert
 2: Netanyahu
 3: Peretz
 4: All
 5: None</v>
      </c>
    </row>
    <row r="795" spans="1:15" ht="316.8" hidden="1" x14ac:dyDescent="0.3">
      <c r="A795" t="s">
        <v>7173</v>
      </c>
      <c r="B795" t="s">
        <v>7688</v>
      </c>
      <c r="C795" s="2" t="s">
        <v>7689</v>
      </c>
      <c r="D795" t="s">
        <v>5843</v>
      </c>
      <c r="E795" s="2" t="s">
        <v>7690</v>
      </c>
      <c r="F795" t="s">
        <v>3785</v>
      </c>
      <c r="G795" t="str">
        <f>VLOOKUP($F795, codebooks_data_reordered!$A:$I, 2, FALSE)</f>
        <v>1988_N=873</v>
      </c>
      <c r="H795" t="str">
        <f>VLOOKUP($F795, codebooks_data_reordered!$A:$I, 3, FALSE)</f>
        <v>FOR WHICH PARTIES WOULD YOU VOTE FOR IF NO LIMITATION IS POSED</v>
      </c>
      <c r="I795" t="str">
        <f>VLOOKUP($F795, codebooks_data_reordered!$A:$I, 4, FALSE)</f>
        <v>1</v>
      </c>
      <c r="J795" t="str">
        <f>VLOOKUP($F795, codebooks_data_reordered!$A:$I, 5, FALSE)</f>
        <v>141-142</v>
      </c>
      <c r="K795" t="str">
        <f>VLOOKUP($F795, codebooks_data_reordered!$A:$I, 6, FALSE)</f>
        <v>First party you would vote for if no limitation is posed</v>
      </c>
      <c r="L795">
        <f>VLOOKUP($F795, codebooks_data_reordered!$A:$I, 7, FALSE)</f>
        <v>0</v>
      </c>
      <c r="M795" t="str">
        <f>VLOOKUP($F795, codebooks_data_reordered!$A:$I, 9, FALSE)</f>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c r="O795" s="2" t="str">
        <f t="shared" si="12"/>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row>
    <row r="796" spans="1:15" ht="158.4" hidden="1" x14ac:dyDescent="0.3">
      <c r="A796" t="s">
        <v>7173</v>
      </c>
      <c r="B796" t="s">
        <v>7691</v>
      </c>
      <c r="C796" s="2" t="s">
        <v>7692</v>
      </c>
      <c r="D796" t="s">
        <v>5843</v>
      </c>
      <c r="E796" s="2" t="s">
        <v>7693</v>
      </c>
      <c r="F796" t="s">
        <v>5227</v>
      </c>
      <c r="G796" t="str">
        <f>VLOOKUP($F796, codebooks_data_reordered!$A:$I, 2, FALSE)</f>
        <v>1973_4</v>
      </c>
      <c r="H796" t="str">
        <f>VLOOKUP($F796, codebooks_data_reordered!$A:$I, 3, FALSE)</f>
        <v>December 1973</v>
      </c>
      <c r="I796" t="str">
        <f>VLOOKUP($F796, codebooks_data_reordered!$A:$I, 4, FALSE)</f>
        <v>1</v>
      </c>
      <c r="J796" t="str">
        <f>VLOOKUP($F796, codebooks_data_reordered!$A:$I, 5, FALSE)</f>
        <v>33</v>
      </c>
      <c r="K796" t="str">
        <f>VLOOKUP($F796, codebooks_data_reordered!$A:$I, 6, FALSE)</f>
        <v>To what extent interviewee takes advice from his/her wife/husband on whom to vote for</v>
      </c>
      <c r="L796">
        <f>VLOOKUP($F796, codebooks_data_reordered!$A:$I, 7, FALSE)</f>
        <v>0</v>
      </c>
      <c r="M796" t="str">
        <f>VLOOKUP($F796, codebooks_data_reordered!$A:$I, 9, FALSE)</f>
        <v>1: To a great extent; 2: To a certain extent; 3: To a small extent; 4: Not at all</v>
      </c>
      <c r="O796" s="2" t="str">
        <f t="shared" si="12"/>
        <v>1: To a great extent
 2: To a certain extent
 3: To a small extent
 4: Not at all</v>
      </c>
    </row>
    <row r="797" spans="1:15" ht="28.8" hidden="1" x14ac:dyDescent="0.3">
      <c r="A797" t="s">
        <v>7173</v>
      </c>
      <c r="B797" t="s">
        <v>7694</v>
      </c>
      <c r="C797" s="2" t="s">
        <v>6421</v>
      </c>
      <c r="D797" t="s">
        <v>6422</v>
      </c>
      <c r="E797" s="2" t="s">
        <v>6423</v>
      </c>
      <c r="F797" t="s">
        <v>9293</v>
      </c>
      <c r="G797" t="e">
        <f>VLOOKUP($F797, codebooks_data_reordered!$A:$I, 2, FALSE)</f>
        <v>#N/A</v>
      </c>
      <c r="H797" t="e">
        <f>VLOOKUP($F797, codebooks_data_reordered!$A:$I, 3, FALSE)</f>
        <v>#N/A</v>
      </c>
      <c r="I797" t="e">
        <f>VLOOKUP($F797, codebooks_data_reordered!$A:$I, 4, FALSE)</f>
        <v>#N/A</v>
      </c>
      <c r="J797" t="e">
        <f>VLOOKUP($F797, codebooks_data_reordered!$A:$I, 5, FALSE)</f>
        <v>#N/A</v>
      </c>
      <c r="K797" t="e">
        <f>VLOOKUP($F797, codebooks_data_reordered!$A:$I, 6, FALSE)</f>
        <v>#N/A</v>
      </c>
      <c r="L797" t="e">
        <f>VLOOKUP($F797, codebooks_data_reordered!$A:$I, 7, FALSE)</f>
        <v>#N/A</v>
      </c>
      <c r="M797" t="e">
        <f>VLOOKUP($F797, codebooks_data_reordered!$A:$I, 9, FALSE)</f>
        <v>#N/A</v>
      </c>
      <c r="O797" t="e">
        <f t="shared" si="12"/>
        <v>#N/A</v>
      </c>
    </row>
    <row r="798" spans="1:15" ht="316.8" hidden="1" x14ac:dyDescent="0.3">
      <c r="A798" t="s">
        <v>7173</v>
      </c>
      <c r="B798" t="s">
        <v>7695</v>
      </c>
      <c r="C798" s="2" t="s">
        <v>7696</v>
      </c>
      <c r="D798" t="s">
        <v>5843</v>
      </c>
      <c r="E798" s="2" t="s">
        <v>7697</v>
      </c>
      <c r="F798" t="s">
        <v>3787</v>
      </c>
      <c r="G798" t="str">
        <f>VLOOKUP($F798, codebooks_data_reordered!$A:$I, 2, FALSE)</f>
        <v>1988_N=873</v>
      </c>
      <c r="H798" t="str">
        <f>VLOOKUP($F798, codebooks_data_reordered!$A:$I, 3, FALSE)</f>
        <v>FOR WHICH PARTIES WOULD YOU VOTE FOR IF NO LIMITATION IS POSED</v>
      </c>
      <c r="I798" t="str">
        <f>VLOOKUP($F798, codebooks_data_reordered!$A:$I, 4, FALSE)</f>
        <v>1</v>
      </c>
      <c r="J798" t="str">
        <f>VLOOKUP($F798, codebooks_data_reordered!$A:$I, 5, FALSE)</f>
        <v>143-144</v>
      </c>
      <c r="K798" t="str">
        <f>VLOOKUP($F798, codebooks_data_reordered!$A:$I, 6, FALSE)</f>
        <v>Second party you would vote for if no limitation is posed</v>
      </c>
      <c r="L798">
        <f>VLOOKUP($F798, codebooks_data_reordered!$A:$I, 7, FALSE)</f>
        <v>0</v>
      </c>
      <c r="M798" t="str">
        <f>VLOOKUP($F798, codebooks_data_reordered!$A:$I, 9, FALSE)</f>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c r="O798" s="2" t="str">
        <f t="shared" si="12"/>
        <v>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v>
      </c>
    </row>
    <row r="799" spans="1:15" ht="115.2" hidden="1" x14ac:dyDescent="0.3">
      <c r="A799" t="s">
        <v>7173</v>
      </c>
      <c r="B799" t="s">
        <v>7698</v>
      </c>
      <c r="C799" s="2" t="s">
        <v>6431</v>
      </c>
      <c r="D799" t="s">
        <v>5843</v>
      </c>
      <c r="E799" s="2" t="s">
        <v>6432</v>
      </c>
      <c r="F799" t="s">
        <v>5241</v>
      </c>
      <c r="G799" t="str">
        <f>VLOOKUP($F799, codebooks_data_reordered!$A:$I, 2, FALSE)</f>
        <v>1973_4</v>
      </c>
      <c r="H799" t="str">
        <f>VLOOKUP($F799, codebooks_data_reordered!$A:$I, 3, FALSE)</f>
        <v>December 1973</v>
      </c>
      <c r="I799" t="str">
        <f>VLOOKUP($F799, codebooks_data_reordered!$A:$I, 4, FALSE)</f>
        <v>1</v>
      </c>
      <c r="J799" t="str">
        <f>VLOOKUP($F799, codebooks_data_reordered!$A:$I, 5, FALSE)</f>
        <v>40</v>
      </c>
      <c r="K799" t="str">
        <f>VLOOKUP($F799, codebooks_data_reordered!$A:$I, 6, FALSE)</f>
        <v>Interviewee wants to influence government policy</v>
      </c>
      <c r="L799">
        <f>VLOOKUP($F799, codebooks_data_reordered!$A:$I, 7, FALSE)</f>
        <v>0</v>
      </c>
      <c r="M799" t="str">
        <f>VLOOKUP($F799, codebooks_data_reordered!$A:$I, 9, FALSE)</f>
        <v>1: Wants to influence; 2: Certainly wants to influence; 3: Does not want to so much; 4: Does not at all want to</v>
      </c>
      <c r="O799" s="2" t="str">
        <f t="shared" si="12"/>
        <v>1: Wants to influence
 2: Certainly wants to influence
 3: Does not want to so much
 4: Does not at all want to</v>
      </c>
    </row>
    <row r="800" spans="1:15" ht="144" hidden="1" x14ac:dyDescent="0.3">
      <c r="A800" t="s">
        <v>7173</v>
      </c>
      <c r="B800" t="s">
        <v>7699</v>
      </c>
      <c r="C800" s="2" t="s">
        <v>7700</v>
      </c>
      <c r="D800" t="s">
        <v>5843</v>
      </c>
      <c r="E800" s="2" t="s">
        <v>7701</v>
      </c>
      <c r="F800" t="s">
        <v>3799</v>
      </c>
      <c r="G800" t="str">
        <f>VLOOKUP($F800, codebooks_data_reordered!$A:$I, 2, FALSE)</f>
        <v>1988_N=873</v>
      </c>
      <c r="H800" t="str">
        <f>VLOOKUP($F800, codebooks_data_reordered!$A:$I, 3, FALSE)</f>
        <v>FOR WHICH PARTIES WOULD YOU VOTE FOR IF NO LIMITATION IS POSED</v>
      </c>
      <c r="I800" t="str">
        <f>VLOOKUP($F800, codebooks_data_reordered!$A:$I, 4, FALSE)</f>
        <v>1</v>
      </c>
      <c r="J800" t="str">
        <f>VLOOKUP($F800, codebooks_data_reordered!$A:$I, 5, FALSE)</f>
        <v>155-156</v>
      </c>
      <c r="K800" t="str">
        <f>VLOOKUP($F800, codebooks_data_reordered!$A:$I, 6, FALSE)</f>
        <v>Basis for above estimate</v>
      </c>
      <c r="L800">
        <f>VLOOKUP($F800, codebooks_data_reordered!$A:$I, 7, FALSE)</f>
        <v>0</v>
      </c>
      <c r="M800">
        <f>VLOOKUP($F800, codebooks_data_reordered!$A:$I, 9, FALSE)</f>
        <v>0</v>
      </c>
      <c r="O800" s="2" t="str">
        <f t="shared" si="12"/>
        <v>0</v>
      </c>
    </row>
    <row r="801" spans="1:15" ht="115.2" hidden="1" x14ac:dyDescent="0.3">
      <c r="A801" t="s">
        <v>7173</v>
      </c>
      <c r="B801" t="s">
        <v>7702</v>
      </c>
      <c r="C801" s="2" t="s">
        <v>7703</v>
      </c>
      <c r="D801" t="s">
        <v>5843</v>
      </c>
      <c r="E801" s="2" t="s">
        <v>7704</v>
      </c>
      <c r="F801" t="s">
        <v>2169</v>
      </c>
      <c r="G801" t="str">
        <f>VLOOKUP($F801, codebooks_data_reordered!$A:$I, 2, FALSE)</f>
        <v>1999_1</v>
      </c>
      <c r="H801" t="str">
        <f>VLOOKUP($F801, codebooks_data_reordered!$A:$I, 3, FALSE)</f>
        <v>VOTING PATTERNS</v>
      </c>
      <c r="I801" t="str">
        <f>VLOOKUP($F801, codebooks_data_reordered!$A:$I, 4, FALSE)</f>
        <v>3</v>
      </c>
      <c r="J801" t="str">
        <f>VLOOKUP($F801, codebooks_data_reordered!$A:$I, 5, FALSE)</f>
        <v>20</v>
      </c>
      <c r="K801" t="str">
        <f>VLOOKUP($F801, codebooks_data_reordered!$A:$I, 6, FALSE)</f>
        <v>Vote for PM in 1996</v>
      </c>
      <c r="L801">
        <f>VLOOKUP($F801, codebooks_data_reordered!$A:$I, 7, FALSE)</f>
        <v>0</v>
      </c>
      <c r="M801" t="str">
        <f>VLOOKUP($F801, codebooks_data_reordered!$A:$I, 9, FALSE)</f>
        <v>1: Netanyahu; 2: Peres; 3: Blank note; 4: Did not vote; 5: Do not remember</v>
      </c>
      <c r="O801" s="2" t="str">
        <f t="shared" si="12"/>
        <v>1: Netanyahu
 2: Peres
 3: Blank note
 4: Did not vote
 5: Do not remember</v>
      </c>
    </row>
    <row r="802" spans="1:15" ht="259.2" hidden="1" x14ac:dyDescent="0.3">
      <c r="A802" t="s">
        <v>7173</v>
      </c>
      <c r="B802" t="s">
        <v>7705</v>
      </c>
      <c r="C802" s="2" t="s">
        <v>7706</v>
      </c>
      <c r="D802" t="s">
        <v>5843</v>
      </c>
      <c r="E802" s="2" t="s">
        <v>7707</v>
      </c>
      <c r="F802" t="s">
        <v>5259</v>
      </c>
      <c r="G802" t="str">
        <f>VLOOKUP($F802, codebooks_data_reordered!$A:$I, 2, FALSE)</f>
        <v>1973_4</v>
      </c>
      <c r="H802" t="str">
        <f>VLOOKUP($F802, codebooks_data_reordered!$A:$I, 3, FALSE)</f>
        <v>December 1973</v>
      </c>
      <c r="I802" t="str">
        <f>VLOOKUP($F802, codebooks_data_reordered!$A:$I, 4, FALSE)</f>
        <v>1</v>
      </c>
      <c r="J802" t="str">
        <f>VLOOKUP($F802, codebooks_data_reordered!$A:$I, 5, FALSE)</f>
        <v>48</v>
      </c>
      <c r="K802" t="str">
        <f>VLOOKUP($F802, codebooks_data_reordered!$A:$I, 6, FALSE)</f>
        <v>Main reason why interviewee intends to vote</v>
      </c>
      <c r="L802">
        <f>VLOOKUP($F802, codebooks_data_reordered!$A:$I, 7, FALSE)</f>
        <v>0</v>
      </c>
      <c r="M802" t="str">
        <f>VLOOKUP($F802, codebooks_data_reordered!$A:$I, 9, FALSE)</f>
        <v>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v>
      </c>
      <c r="O802" s="2" t="str">
        <f t="shared" si="12"/>
        <v>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v>
      </c>
    </row>
    <row r="803" spans="1:15" ht="72" hidden="1" x14ac:dyDescent="0.3">
      <c r="A803" t="s">
        <v>7173</v>
      </c>
      <c r="B803" t="s">
        <v>7708</v>
      </c>
      <c r="C803" s="2" t="s">
        <v>7709</v>
      </c>
      <c r="D803" t="s">
        <v>5843</v>
      </c>
      <c r="E803" s="2" t="s">
        <v>7710</v>
      </c>
      <c r="F803" t="s">
        <v>3803</v>
      </c>
      <c r="G803" t="str">
        <f>VLOOKUP($F803, codebooks_data_reordered!$A:$I, 2, FALSE)</f>
        <v>1988_N=873</v>
      </c>
      <c r="H803" t="str">
        <f>VLOOKUP($F803, codebooks_data_reordered!$A:$I, 3, FALSE)</f>
        <v>FOR WHICH PARTIES WOULD YOU VOTE FOR IF NO LIMITATION IS POSED</v>
      </c>
      <c r="I803" t="str">
        <f>VLOOKUP($F803, codebooks_data_reordered!$A:$I, 4, FALSE)</f>
        <v>1</v>
      </c>
      <c r="J803" t="str">
        <f>VLOOKUP($F803, codebooks_data_reordered!$A:$I, 5, FALSE)</f>
        <v>158-159</v>
      </c>
      <c r="K803" t="str">
        <f>VLOOKUP($F803, codebooks_data_reordered!$A:$I, 6, FALSE)</f>
        <v>Estimate of percentage of Jewish population approving change in status</v>
      </c>
      <c r="L803">
        <f>VLOOKUP($F803, codebooks_data_reordered!$A:$I, 7, FALSE)</f>
        <v>0</v>
      </c>
      <c r="M803" t="str">
        <f>VLOOKUP($F803, codebooks_data_reordered!$A:$I, 9, FALSE)</f>
        <v>0: Minority; 99: Majority</v>
      </c>
      <c r="O803" s="2" t="str">
        <f t="shared" si="12"/>
        <v>0: Minority
 99: Majority</v>
      </c>
    </row>
    <row r="804" spans="1:15" ht="86.4" hidden="1" x14ac:dyDescent="0.3">
      <c r="A804" t="s">
        <v>7173</v>
      </c>
      <c r="B804" t="s">
        <v>7711</v>
      </c>
      <c r="C804" s="2" t="s">
        <v>7712</v>
      </c>
      <c r="D804" t="s">
        <v>5843</v>
      </c>
      <c r="E804" s="2" t="s">
        <v>7713</v>
      </c>
      <c r="F804" t="s">
        <v>3656</v>
      </c>
      <c r="G804" t="str">
        <f>VLOOKUP($F804, codebooks_data_reordered!$A:$I, 2, FALSE)</f>
        <v>1988_N=873</v>
      </c>
      <c r="H804" t="str">
        <f>VLOOKUP($F804, codebooks_data_reordered!$A:$I, 3, FALSE)</f>
        <v>NATIONAL SECURITY SCALE</v>
      </c>
      <c r="I804" t="str">
        <f>VLOOKUP($F804, codebooks_data_reordered!$A:$I, 4, FALSE)</f>
        <v>1</v>
      </c>
      <c r="J804" t="str">
        <f>VLOOKUP($F804, codebooks_data_reordered!$A:$I, 5, FALSE)</f>
        <v>20</v>
      </c>
      <c r="K804" t="str">
        <f>VLOOKUP($F804, codebooks_data_reordered!$A:$I, 6, FALSE)</f>
        <v>Possibility of Arab-Israeli peace in future</v>
      </c>
      <c r="L804">
        <f>VLOOKUP($F804, codebooks_data_reordered!$A:$I, 7, FALSE)</f>
        <v>0</v>
      </c>
      <c r="M804" t="str">
        <f>VLOOKUP($F804, codebooks_data_reordered!$A:$I, 9, FALSE)</f>
        <v>1: Definitely possible; 2: Possible; 3: Impossible; 4: Definitely impossible</v>
      </c>
      <c r="O804" s="2" t="str">
        <f t="shared" si="12"/>
        <v>1: Definitely possible
 2: Possible
 3: Impossible
 4: Definitely impossible</v>
      </c>
    </row>
    <row r="805" spans="1:15" ht="115.2" hidden="1" x14ac:dyDescent="0.3">
      <c r="A805" t="s">
        <v>7173</v>
      </c>
      <c r="B805" t="s">
        <v>7714</v>
      </c>
      <c r="C805" s="2" t="s">
        <v>6431</v>
      </c>
      <c r="D805" t="s">
        <v>5843</v>
      </c>
      <c r="E805" s="2" t="s">
        <v>6432</v>
      </c>
      <c r="F805" t="s">
        <v>5067</v>
      </c>
      <c r="G805" t="str">
        <f>VLOOKUP($F805, codebooks_data_reordered!$A:$I, 2, FALSE)</f>
        <v>1973_2</v>
      </c>
      <c r="H805" t="str">
        <f>VLOOKUP($F805, codebooks_data_reordered!$A:$I, 3, FALSE)</f>
        <v>HOW WOULD YOU CLASSFIFY THE OTHER PARTIES BY PROXIMITY TO YOUR VIEWPOINTS</v>
      </c>
      <c r="I805" t="str">
        <f>VLOOKUP($F805, codebooks_data_reordered!$A:$I, 4, FALSE)</f>
        <v>3</v>
      </c>
      <c r="J805" t="str">
        <f>VLOOKUP($F805, codebooks_data_reordered!$A:$I, 5, FALSE)</f>
        <v>15</v>
      </c>
      <c r="K805" t="str">
        <f>VLOOKUP($F805, codebooks_data_reordered!$A:$I, 6, FALSE)</f>
        <v>Will you vote for the same party you voted for last time</v>
      </c>
      <c r="L805">
        <f>VLOOKUP($F805, codebooks_data_reordered!$A:$I, 7, FALSE)</f>
        <v>0</v>
      </c>
      <c r="M805" t="str">
        <f>VLOOKUP($F805, codebooks_data_reordered!$A:$I, 9, FALSE)</f>
        <v>0: No answer; 1: Yes; 2: No; 3: Didn't vote before</v>
      </c>
      <c r="O805" s="2" t="str">
        <f t="shared" si="12"/>
        <v>0: No answer
 1: Yes
 2: No
 3: Didn't vote before</v>
      </c>
    </row>
    <row r="806" spans="1:15" ht="43.2" hidden="1" x14ac:dyDescent="0.3">
      <c r="A806" t="s">
        <v>7173</v>
      </c>
      <c r="B806" t="s">
        <v>7715</v>
      </c>
      <c r="C806" s="2" t="s">
        <v>5947</v>
      </c>
      <c r="D806" t="s">
        <v>5843</v>
      </c>
      <c r="E806" s="2" t="s">
        <v>5948</v>
      </c>
      <c r="F806" t="s">
        <v>2201</v>
      </c>
      <c r="G806" t="str">
        <f>VLOOKUP($F806, codebooks_data_reordered!$A:$I, 2, FALSE)</f>
        <v>1999_1</v>
      </c>
      <c r="H806" t="str">
        <f>VLOOKUP($F806, codebooks_data_reordered!$A:$I, 3, FALSE)</f>
        <v>RESPONDENT'S DEMOGRAPHIC DETAILS</v>
      </c>
      <c r="I806" t="str">
        <f>VLOOKUP($F806, codebooks_data_reordered!$A:$I, 4, FALSE)</f>
        <v>3</v>
      </c>
      <c r="J806" t="str">
        <f>VLOOKUP($F806, codebooks_data_reordered!$A:$I, 5, FALSE)</f>
        <v>43</v>
      </c>
      <c r="K806" t="str">
        <f>VLOOKUP($F806, codebooks_data_reordered!$A:$I, 6, FALSE)</f>
        <v>Number of rooms in apartment</v>
      </c>
      <c r="L806">
        <f>VLOOKUP($F806, codebooks_data_reordered!$A:$I, 7, FALSE)</f>
        <v>0</v>
      </c>
      <c r="M806">
        <f>VLOOKUP($F806, codebooks_data_reordered!$A:$I, 9, FALSE)</f>
        <v>0</v>
      </c>
      <c r="O806" s="2" t="str">
        <f t="shared" si="12"/>
        <v>0</v>
      </c>
    </row>
    <row r="807" spans="1:15" ht="316.8" hidden="1" x14ac:dyDescent="0.3">
      <c r="A807" t="s">
        <v>7173</v>
      </c>
      <c r="B807" t="s">
        <v>7716</v>
      </c>
      <c r="C807" s="2" t="s">
        <v>7717</v>
      </c>
      <c r="D807" t="s">
        <v>7566</v>
      </c>
      <c r="E807" s="2" t="s">
        <v>7718</v>
      </c>
      <c r="F807" t="s">
        <v>680</v>
      </c>
      <c r="G807" t="str">
        <f>VLOOKUP($F807, codebooks_data_reordered!$A:$I, 2, FALSE)</f>
        <v>2006</v>
      </c>
      <c r="H807" t="str">
        <f>VLOOKUP($F807, codebooks_data_reordered!$A:$I, 3, FALSE)</f>
        <v>Different Coalitions after the Elections</v>
      </c>
      <c r="I807" t="str">
        <f>VLOOKUP($F807, codebooks_data_reordered!$A:$I, 4, FALSE)</f>
        <v>1</v>
      </c>
      <c r="J807" t="str">
        <f>VLOOKUP($F807, codebooks_data_reordered!$A:$I, 5, FALSE)</f>
        <v>249-250</v>
      </c>
      <c r="K807" t="str">
        <f>VLOOKUP($F807, codebooks_data_reordered!$A:$I, 6, FALSE)</f>
        <v>Preferable coalition</v>
      </c>
      <c r="L807" t="str">
        <f>VLOOKUP($F807, codebooks_data_reordered!$A:$I, 7, FALSE)</f>
        <v>34. And in the final analysis, among these possibilities, which would you prefer?</v>
      </c>
      <c r="M807" t="str">
        <f>VLOOKUP($F807, codebooks_data_reordered!$A:$I, 9, FALSE)</f>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c r="O807" s="2" t="str">
        <f t="shared" si="12"/>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row>
    <row r="808" spans="1:15" ht="57.6" hidden="1" x14ac:dyDescent="0.3">
      <c r="A808" t="s">
        <v>7173</v>
      </c>
      <c r="B808" t="s">
        <v>7719</v>
      </c>
      <c r="C808" s="2" t="s">
        <v>7720</v>
      </c>
      <c r="D808" t="s">
        <v>7439</v>
      </c>
      <c r="E808" s="2" t="s">
        <v>7721</v>
      </c>
      <c r="F808" t="s">
        <v>9294</v>
      </c>
      <c r="G808" t="e">
        <f>VLOOKUP($F808, codebooks_data_reordered!$A:$I, 2, FALSE)</f>
        <v>#N/A</v>
      </c>
      <c r="H808" t="e">
        <f>VLOOKUP($F808, codebooks_data_reordered!$A:$I, 3, FALSE)</f>
        <v>#N/A</v>
      </c>
      <c r="I808" t="e">
        <f>VLOOKUP($F808, codebooks_data_reordered!$A:$I, 4, FALSE)</f>
        <v>#N/A</v>
      </c>
      <c r="J808" t="e">
        <f>VLOOKUP($F808, codebooks_data_reordered!$A:$I, 5, FALSE)</f>
        <v>#N/A</v>
      </c>
      <c r="K808" t="e">
        <f>VLOOKUP($F808, codebooks_data_reordered!$A:$I, 6, FALSE)</f>
        <v>#N/A</v>
      </c>
      <c r="L808" t="e">
        <f>VLOOKUP($F808, codebooks_data_reordered!$A:$I, 7, FALSE)</f>
        <v>#N/A</v>
      </c>
      <c r="M808" t="e">
        <f>VLOOKUP($F808, codebooks_data_reordered!$A:$I, 9, FALSE)</f>
        <v>#N/A</v>
      </c>
      <c r="O808" t="e">
        <f t="shared" si="12"/>
        <v>#N/A</v>
      </c>
    </row>
    <row r="809" spans="1:15" ht="158.4" hidden="1" x14ac:dyDescent="0.3">
      <c r="A809" t="s">
        <v>7173</v>
      </c>
      <c r="B809" t="s">
        <v>7722</v>
      </c>
      <c r="C809" s="2" t="s">
        <v>7723</v>
      </c>
      <c r="D809" t="s">
        <v>5843</v>
      </c>
      <c r="E809" s="2" t="s">
        <v>7724</v>
      </c>
      <c r="F809" t="s">
        <v>750</v>
      </c>
      <c r="G809" t="str">
        <f>VLOOKUP($F809, codebooks_data_reordered!$A:$I, 2, FALSE)</f>
        <v>2006</v>
      </c>
      <c r="H809" t="str">
        <f>VLOOKUP($F809, codebooks_data_reordered!$A:$I, 3, FALSE)</f>
        <v>Rersonal and Household Details</v>
      </c>
      <c r="I809" t="str">
        <f>VLOOKUP($F809, codebooks_data_reordered!$A:$I, 4, FALSE)</f>
        <v>1</v>
      </c>
      <c r="J809" t="str">
        <f>VLOOKUP($F809, codebooks_data_reordered!$A:$I, 5, FALSE)</f>
        <v>269-270</v>
      </c>
      <c r="K809" t="str">
        <f>VLOOKUP($F809, codebooks_data_reordered!$A:$I, 6, FALSE)</f>
        <v>Age</v>
      </c>
      <c r="L809" t="str">
        <f>VLOOKUP($F809, codebooks_data_reordered!$A:$I, 7, FALSE)</f>
        <v>54. How old are you?</v>
      </c>
      <c r="M809">
        <f>VLOOKUP($F809, codebooks_data_reordered!$A:$I, 9, FALSE)</f>
        <v>0</v>
      </c>
      <c r="O809" s="2" t="str">
        <f t="shared" si="12"/>
        <v>0</v>
      </c>
    </row>
    <row r="810" spans="1:15" ht="72" hidden="1" x14ac:dyDescent="0.3">
      <c r="A810" t="s">
        <v>7173</v>
      </c>
      <c r="B810" t="s">
        <v>7725</v>
      </c>
      <c r="C810" s="2" t="s">
        <v>7726</v>
      </c>
      <c r="D810" t="s">
        <v>5843</v>
      </c>
      <c r="E810" s="2" t="s">
        <v>7727</v>
      </c>
      <c r="F810" t="s">
        <v>9295</v>
      </c>
      <c r="G810" t="e">
        <f>VLOOKUP($F810, codebooks_data_reordered!$A:$I, 2, FALSE)</f>
        <v>#N/A</v>
      </c>
      <c r="H810" t="e">
        <f>VLOOKUP($F810, codebooks_data_reordered!$A:$I, 3, FALSE)</f>
        <v>#N/A</v>
      </c>
      <c r="I810" t="e">
        <f>VLOOKUP($F810, codebooks_data_reordered!$A:$I, 4, FALSE)</f>
        <v>#N/A</v>
      </c>
      <c r="J810" t="e">
        <f>VLOOKUP($F810, codebooks_data_reordered!$A:$I, 5, FALSE)</f>
        <v>#N/A</v>
      </c>
      <c r="K810" t="e">
        <f>VLOOKUP($F810, codebooks_data_reordered!$A:$I, 6, FALSE)</f>
        <v>#N/A</v>
      </c>
      <c r="L810" t="e">
        <f>VLOOKUP($F810, codebooks_data_reordered!$A:$I, 7, FALSE)</f>
        <v>#N/A</v>
      </c>
      <c r="M810" t="e">
        <f>VLOOKUP($F810, codebooks_data_reordered!$A:$I, 9, FALSE)</f>
        <v>#N/A</v>
      </c>
      <c r="O810" t="e">
        <f t="shared" si="12"/>
        <v>#N/A</v>
      </c>
    </row>
    <row r="811" spans="1:15" ht="158.4" hidden="1" x14ac:dyDescent="0.3">
      <c r="A811" t="s">
        <v>7173</v>
      </c>
      <c r="B811" t="s">
        <v>7728</v>
      </c>
      <c r="C811" s="2" t="s">
        <v>7723</v>
      </c>
      <c r="D811" t="s">
        <v>5843</v>
      </c>
      <c r="E811" s="2" t="s">
        <v>7724</v>
      </c>
      <c r="F811" t="s">
        <v>755</v>
      </c>
      <c r="G811" t="str">
        <f>VLOOKUP($F811, codebooks_data_reordered!$A:$I, 2, FALSE)</f>
        <v>2006</v>
      </c>
      <c r="H811" t="str">
        <f>VLOOKUP($F811, codebooks_data_reordered!$A:$I, 3, FALSE)</f>
        <v>Rersonal and Household Details</v>
      </c>
      <c r="I811" t="str">
        <f>VLOOKUP($F811, codebooks_data_reordered!$A:$I, 4, FALSE)</f>
        <v>1</v>
      </c>
      <c r="J811" t="str">
        <f>VLOOKUP($F811, codebooks_data_reordered!$A:$I, 5, FALSE)</f>
        <v>271</v>
      </c>
      <c r="K811" t="str">
        <f>VLOOKUP($F811, codebooks_data_reordered!$A:$I, 6, FALSE)</f>
        <v>Religious observance</v>
      </c>
      <c r="L811" t="str">
        <f>VLOOKUP($F811, codebooks_data_reordered!$A:$I, 7, FALSE)</f>
        <v>56. To what extent do you observe religious tradition?</v>
      </c>
      <c r="M811" t="str">
        <f>VLOOKUP($F811, codebooks_data_reordered!$A:$I, 9, FALSE)</f>
        <v>1: Not at all; 2: A little bit; 3: A lot; 4: I observe all of it</v>
      </c>
      <c r="O811" s="2" t="str">
        <f t="shared" si="12"/>
        <v>1: Not at all
 2: A little bit
 3: A lot
 4: I observe all of it</v>
      </c>
    </row>
    <row r="812" spans="1:15" ht="115.2" hidden="1" x14ac:dyDescent="0.3">
      <c r="A812" t="s">
        <v>7173</v>
      </c>
      <c r="B812" t="s">
        <v>7729</v>
      </c>
      <c r="C812" s="2" t="s">
        <v>7730</v>
      </c>
      <c r="D812" t="s">
        <v>5843</v>
      </c>
      <c r="E812" s="2" t="s">
        <v>7731</v>
      </c>
      <c r="F812" t="s">
        <v>982</v>
      </c>
      <c r="G812" t="str">
        <f>VLOOKUP($F812, codebooks_data_reordered!$A:$I, 2, FALSE)</f>
        <v>2006</v>
      </c>
      <c r="H812" t="str">
        <f>VLOOKUP($F812, codebooks_data_reordered!$A:$I, 3, FALSE)</f>
        <v>Reason for not Vote</v>
      </c>
      <c r="I812" t="str">
        <f>VLOOKUP($F812, codebooks_data_reordered!$A:$I, 4, FALSE)</f>
        <v>1</v>
      </c>
      <c r="J812" t="str">
        <f>VLOOKUP($F812, codebooks_data_reordered!$A:$I, 5, FALSE)</f>
        <v>349</v>
      </c>
      <c r="K812" t="str">
        <f>VLOOKUP($F812, codebooks_data_reordered!$A:$I, 6, FALSE)</f>
        <v>Sex</v>
      </c>
      <c r="L812" t="str">
        <f>VLOOKUP($F812, codebooks_data_reordered!$A:$I, 7, FALSE)</f>
        <v>36. Gender</v>
      </c>
      <c r="M812" t="str">
        <f>VLOOKUP($F812, codebooks_data_reordered!$A:$I, 9, FALSE)</f>
        <v>1: Male; 2: Female</v>
      </c>
      <c r="O812" s="2" t="str">
        <f t="shared" si="12"/>
        <v>1: Male
 2: Female</v>
      </c>
    </row>
    <row r="813" spans="1:15" ht="158.4" hidden="1" x14ac:dyDescent="0.3">
      <c r="A813" t="s">
        <v>7173</v>
      </c>
      <c r="B813" t="s">
        <v>7732</v>
      </c>
      <c r="C813" s="2" t="s">
        <v>7733</v>
      </c>
      <c r="D813" t="s">
        <v>5843</v>
      </c>
      <c r="E813" s="2" t="s">
        <v>7734</v>
      </c>
      <c r="F813" t="s">
        <v>2153</v>
      </c>
      <c r="G813" t="str">
        <f>VLOOKUP($F813, codebooks_data_reordered!$A:$I, 2, FALSE)</f>
        <v>1999_1</v>
      </c>
      <c r="H813" t="str">
        <f>VLOOKUP($F813, codebooks_data_reordered!$A:$I, 3, FALSE)</f>
        <v>VOTING PATTERNS</v>
      </c>
      <c r="I813" t="str">
        <f>VLOOKUP($F813, codebooks_data_reordered!$A:$I, 4, FALSE)</f>
        <v>3</v>
      </c>
      <c r="J813" t="str">
        <f>VLOOKUP($F813, codebooks_data_reordered!$A:$I, 5, FALSE)</f>
        <v>13</v>
      </c>
      <c r="K813" t="str">
        <f>VLOOKUP($F813, codebooks_data_reordered!$A:$I, 6, FALSE)</f>
        <v>Direct election for PM's impact on the government system</v>
      </c>
      <c r="L813">
        <f>VLOOKUP($F813, codebooks_data_reordered!$A:$I, 7, FALSE)</f>
        <v>0</v>
      </c>
      <c r="M813" t="str">
        <f>VLOOKUP($F813, codebooks_data_reordered!$A:$I, 9, FALSE)</f>
        <v>1: Improves government system; 2: Makes it worse; 3: No change</v>
      </c>
      <c r="O813" s="2" t="str">
        <f t="shared" si="12"/>
        <v>1: Improves government system
 2: Makes it worse
 3: No change</v>
      </c>
    </row>
    <row r="814" spans="1:15" ht="144" hidden="1" x14ac:dyDescent="0.3">
      <c r="A814" t="s">
        <v>7173</v>
      </c>
      <c r="B814" t="s">
        <v>7735</v>
      </c>
      <c r="C814" s="2" t="s">
        <v>7736</v>
      </c>
      <c r="D814" t="s">
        <v>5843</v>
      </c>
      <c r="E814" s="2" t="s">
        <v>7737</v>
      </c>
      <c r="F814" t="s">
        <v>9296</v>
      </c>
      <c r="G814" t="e">
        <f>VLOOKUP($F814, codebooks_data_reordered!$A:$I, 2, FALSE)</f>
        <v>#N/A</v>
      </c>
      <c r="H814" t="e">
        <f>VLOOKUP($F814, codebooks_data_reordered!$A:$I, 3, FALSE)</f>
        <v>#N/A</v>
      </c>
      <c r="I814" t="e">
        <f>VLOOKUP($F814, codebooks_data_reordered!$A:$I, 4, FALSE)</f>
        <v>#N/A</v>
      </c>
      <c r="J814" t="e">
        <f>VLOOKUP($F814, codebooks_data_reordered!$A:$I, 5, FALSE)</f>
        <v>#N/A</v>
      </c>
      <c r="K814" t="e">
        <f>VLOOKUP($F814, codebooks_data_reordered!$A:$I, 6, FALSE)</f>
        <v>#N/A</v>
      </c>
      <c r="L814" t="e">
        <f>VLOOKUP($F814, codebooks_data_reordered!$A:$I, 7, FALSE)</f>
        <v>#N/A</v>
      </c>
      <c r="M814" t="e">
        <f>VLOOKUP($F814, codebooks_data_reordered!$A:$I, 9, FALSE)</f>
        <v>#N/A</v>
      </c>
      <c r="O814" t="e">
        <f t="shared" si="12"/>
        <v>#N/A</v>
      </c>
    </row>
    <row r="815" spans="1:15" ht="43.2" hidden="1" x14ac:dyDescent="0.3">
      <c r="A815" t="s">
        <v>7738</v>
      </c>
      <c r="B815" t="s">
        <v>6209</v>
      </c>
      <c r="C815" s="2" t="s">
        <v>7739</v>
      </c>
      <c r="D815" t="s">
        <v>5843</v>
      </c>
      <c r="E815" s="2" t="s">
        <v>7740</v>
      </c>
      <c r="F815" t="s">
        <v>401</v>
      </c>
      <c r="G815" t="str">
        <f>VLOOKUP($F815, codebooks_data_reordered!$A:$I, 2, FALSE)</f>
        <v>2006</v>
      </c>
      <c r="H815" t="str">
        <f>VLOOKUP($F815, codebooks_data_reordered!$A:$I, 3, FALSE)</f>
        <v>Ranking on a Right/Left Political Scale</v>
      </c>
      <c r="I815" t="str">
        <f>VLOOKUP($F815, codebooks_data_reordered!$A:$I, 4, FALSE)</f>
        <v>1</v>
      </c>
      <c r="J815" t="str">
        <f>VLOOKUP($F815, codebooks_data_reordered!$A:$I, 5, FALSE)</f>
        <v>128-129</v>
      </c>
      <c r="K815" t="str">
        <f>VLOOKUP($F815, codebooks_data_reordered!$A:$I, 6, FALSE)</f>
        <v>Ranking on a right/left political scale:Shas</v>
      </c>
      <c r="L815" t="str">
        <f>VLOOKUP($F815, codebooks_data_reordered!$A:$I, 7, FALSE)</f>
        <v>How would you rate the following parties on the left-right scale from 0 to 10, 0 stands for left, and 10 stands for right and 5 is in the middle.</v>
      </c>
      <c r="M815" t="str">
        <f>VLOOKUP($F815, codebooks_data_reordered!$A:$I, 9, FALSE)</f>
        <v>0: Left; 10: Right</v>
      </c>
      <c r="O815" s="2" t="str">
        <f t="shared" si="12"/>
        <v>0: Left
 10: Right</v>
      </c>
    </row>
    <row r="816" spans="1:15" ht="57.6" hidden="1" x14ac:dyDescent="0.3">
      <c r="A816" t="s">
        <v>7738</v>
      </c>
      <c r="B816" t="s">
        <v>6212</v>
      </c>
      <c r="C816" s="2" t="s">
        <v>7741</v>
      </c>
      <c r="D816" t="s">
        <v>5843</v>
      </c>
      <c r="E816" s="2" t="s">
        <v>7742</v>
      </c>
      <c r="F816" t="s">
        <v>639</v>
      </c>
      <c r="G816" t="str">
        <f>VLOOKUP($F816, codebooks_data_reordered!$A:$I, 2, FALSE)</f>
        <v>2006</v>
      </c>
      <c r="H816" t="str">
        <f>VLOOKUP($F816, codebooks_data_reordered!$A:$I, 3, FALSE)</f>
        <v>Different Coalitions after the Elections</v>
      </c>
      <c r="I816" t="str">
        <f>VLOOKUP($F816, codebooks_data_reordered!$A:$I, 4, FALSE)</f>
        <v>1</v>
      </c>
      <c r="J816" t="str">
        <f>VLOOKUP($F816, codebooks_data_reordered!$A:$I, 5, FALSE)</f>
        <v>216-218</v>
      </c>
      <c r="K816" t="str">
        <f>VLOOKUP($F816, codebooks_data_reordered!$A:$I, 6, FALSE)</f>
        <v>Chances for Kadima-Likud-Haredim coalition</v>
      </c>
      <c r="L816" t="str">
        <f>VLOOKUP($F816,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816">
        <f>VLOOKUP($F816, codebooks_data_reordered!$A:$I, 9, FALSE)</f>
        <v>0</v>
      </c>
      <c r="O816" s="2" t="str">
        <f t="shared" si="12"/>
        <v>0</v>
      </c>
    </row>
    <row r="817" spans="1:15" ht="409.6" hidden="1" x14ac:dyDescent="0.3">
      <c r="A817" t="s">
        <v>7738</v>
      </c>
      <c r="B817" t="s">
        <v>7743</v>
      </c>
      <c r="C817" s="2" t="s">
        <v>7744</v>
      </c>
      <c r="D817" t="s">
        <v>5843</v>
      </c>
      <c r="E817" s="2" t="s">
        <v>7745</v>
      </c>
      <c r="F817" t="s">
        <v>2548</v>
      </c>
      <c r="G817" t="str">
        <f>VLOOKUP($F817, codebooks_data_reordered!$A:$I, 2, FALSE)</f>
        <v>1996_Jews</v>
      </c>
      <c r="H817" t="str">
        <f>VLOOKUP($F817, codebooks_data_reordered!$A:$I, 3, FALSE)</f>
        <v>WHICH PM CANDID. BEST SUITS EACH DESCRIPTION?</v>
      </c>
      <c r="I817" t="str">
        <f>VLOOKUP($F817, codebooks_data_reordered!$A:$I, 4, FALSE)</f>
        <v>1</v>
      </c>
      <c r="J817" t="str">
        <f>VLOOKUP($F817, codebooks_data_reordered!$A:$I, 5, FALSE)</f>
        <v>182-183</v>
      </c>
      <c r="K817" t="str">
        <f>VLOOKUP($F817, codebooks_data_reordered!$A:$I, 6, FALSE)</f>
        <v>Vote for party if the old election's method still existed today</v>
      </c>
      <c r="L817">
        <f>VLOOKUP($F817, codebooks_data_reordered!$A:$I, 7, FALSE)</f>
        <v>0</v>
      </c>
      <c r="M817" t="str">
        <f>VLOOKUP($F817, codebooks_data_reordered!$A:$I, 9, FALSE)</f>
        <v>1: Likud-Tzomet-Gesher; 2: Labor; 3: Meretz; 4: Mafdal (National Religious Party); 5: Agudat Israel &amp; Degel HaTora (Yahadut HaTora); 6: Moledet (Homeland); 7: HaDerech Hashlishit; 8: Shas (Sefaradi Tora Guardians); 9: Immigrants party/ Israel BaAliya (Sharanski/Gur); 10: Hadash+The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Do not know; 21: Refuses to answer</v>
      </c>
      <c r="O817" s="2" t="str">
        <f t="shared" si="12"/>
        <v>1: Likud-Tzomet-Gesher
 2: Labor
 3: Meretz
 4: Mafdal (National Religious Party)
 5: Agudat Israel &amp; Degel HaTora (Yahadut HaTora)
 6: Moledet (Homeland)
 7: HaDerech Hashlishit
 8: Shas (Sefaradi Tora Guardians)
 9: Immigrants party/ Israel BaAliya (Sharanski/Gur)
 10: Hadash+The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Do not know
 21: Refuses to answer</v>
      </c>
    </row>
    <row r="818" spans="1:15" ht="129.6" hidden="1" x14ac:dyDescent="0.3">
      <c r="A818" t="s">
        <v>7738</v>
      </c>
      <c r="B818" t="s">
        <v>6220</v>
      </c>
      <c r="C818" s="2" t="s">
        <v>7746</v>
      </c>
      <c r="D818" t="s">
        <v>5843</v>
      </c>
      <c r="E818" s="2" t="s">
        <v>7747</v>
      </c>
      <c r="F818" t="s">
        <v>1893</v>
      </c>
      <c r="G818" t="str">
        <f>VLOOKUP($F818, codebooks_data_reordered!$A:$I, 2, FALSE)</f>
        <v>1999_1</v>
      </c>
      <c r="H818" t="str">
        <f>VLOOKUP($F818, codebooks_data_reordered!$A:$I, 3, FALSE)</f>
        <v>MORE ATTITUDES TOWARD PARTIES AND CANDIDATES</v>
      </c>
      <c r="I818" t="str">
        <f>VLOOKUP($F818, codebooks_data_reordered!$A:$I, 4, FALSE)</f>
        <v>1</v>
      </c>
      <c r="J818" t="str">
        <f>VLOOKUP($F818, codebooks_data_reordered!$A:$I, 5, FALSE)</f>
        <v>65</v>
      </c>
      <c r="K818" t="str">
        <f>VLOOKUP($F818, codebooks_data_reordered!$A:$I, 6, FALSE)</f>
        <v>Possibility of changing voting decision if candidate can't win</v>
      </c>
      <c r="L818">
        <f>VLOOKUP($F818, codebooks_data_reordered!$A:$I, 7, FALSE)</f>
        <v>0</v>
      </c>
      <c r="M818" t="str">
        <f>VLOOKUP($F818, codebooks_data_reordered!$A:$I, 9, FALSE)</f>
        <v>1: Definitely possible; 2: Possible; 3: Not likely; 4: Definitely not</v>
      </c>
      <c r="O818" s="2" t="str">
        <f t="shared" si="12"/>
        <v>1: Definitely possible
 2: Possible
 3: Not likely
 4: Definitely not</v>
      </c>
    </row>
    <row r="819" spans="1:15" ht="72" hidden="1" x14ac:dyDescent="0.3">
      <c r="A819" t="s">
        <v>7738</v>
      </c>
      <c r="B819" t="s">
        <v>7748</v>
      </c>
      <c r="C819" s="2" t="s">
        <v>7749</v>
      </c>
      <c r="D819" t="s">
        <v>5843</v>
      </c>
      <c r="E819" s="2" t="s">
        <v>7750</v>
      </c>
      <c r="F819" t="s">
        <v>9297</v>
      </c>
      <c r="G819" t="e">
        <f>VLOOKUP($F819, codebooks_data_reordered!$A:$I, 2, FALSE)</f>
        <v>#N/A</v>
      </c>
      <c r="H819" t="e">
        <f>VLOOKUP($F819, codebooks_data_reordered!$A:$I, 3, FALSE)</f>
        <v>#N/A</v>
      </c>
      <c r="I819" t="e">
        <f>VLOOKUP($F819, codebooks_data_reordered!$A:$I, 4, FALSE)</f>
        <v>#N/A</v>
      </c>
      <c r="J819" t="e">
        <f>VLOOKUP($F819, codebooks_data_reordered!$A:$I, 5, FALSE)</f>
        <v>#N/A</v>
      </c>
      <c r="K819" t="e">
        <f>VLOOKUP($F819, codebooks_data_reordered!$A:$I, 6, FALSE)</f>
        <v>#N/A</v>
      </c>
      <c r="L819" t="e">
        <f>VLOOKUP($F819, codebooks_data_reordered!$A:$I, 7, FALSE)</f>
        <v>#N/A</v>
      </c>
      <c r="M819" t="e">
        <f>VLOOKUP($F819, codebooks_data_reordered!$A:$I, 9, FALSE)</f>
        <v>#N/A</v>
      </c>
      <c r="O819" t="e">
        <f t="shared" si="12"/>
        <v>#N/A</v>
      </c>
    </row>
    <row r="820" spans="1:15" ht="72" hidden="1" x14ac:dyDescent="0.3">
      <c r="A820" t="s">
        <v>7738</v>
      </c>
      <c r="B820" t="s">
        <v>7751</v>
      </c>
      <c r="C820" s="2" t="s">
        <v>7749</v>
      </c>
      <c r="D820" t="s">
        <v>5843</v>
      </c>
      <c r="E820" s="2" t="s">
        <v>7750</v>
      </c>
      <c r="F820" t="s">
        <v>9298</v>
      </c>
      <c r="G820" t="e">
        <f>VLOOKUP($F820, codebooks_data_reordered!$A:$I, 2, FALSE)</f>
        <v>#N/A</v>
      </c>
      <c r="H820" t="e">
        <f>VLOOKUP($F820, codebooks_data_reordered!$A:$I, 3, FALSE)</f>
        <v>#N/A</v>
      </c>
      <c r="I820" t="e">
        <f>VLOOKUP($F820, codebooks_data_reordered!$A:$I, 4, FALSE)</f>
        <v>#N/A</v>
      </c>
      <c r="J820" t="e">
        <f>VLOOKUP($F820, codebooks_data_reordered!$A:$I, 5, FALSE)</f>
        <v>#N/A</v>
      </c>
      <c r="K820" t="e">
        <f>VLOOKUP($F820, codebooks_data_reordered!$A:$I, 6, FALSE)</f>
        <v>#N/A</v>
      </c>
      <c r="L820" t="e">
        <f>VLOOKUP($F820, codebooks_data_reordered!$A:$I, 7, FALSE)</f>
        <v>#N/A</v>
      </c>
      <c r="M820" t="e">
        <f>VLOOKUP($F820, codebooks_data_reordered!$A:$I, 9, FALSE)</f>
        <v>#N/A</v>
      </c>
      <c r="O820" t="e">
        <f t="shared" si="12"/>
        <v>#N/A</v>
      </c>
    </row>
    <row r="821" spans="1:15" ht="72" hidden="1" x14ac:dyDescent="0.3">
      <c r="A821" t="s">
        <v>7738</v>
      </c>
      <c r="B821" t="s">
        <v>7752</v>
      </c>
      <c r="C821" s="2" t="s">
        <v>7749</v>
      </c>
      <c r="D821" t="s">
        <v>5843</v>
      </c>
      <c r="E821" s="2" t="s">
        <v>7750</v>
      </c>
      <c r="F821" t="s">
        <v>9299</v>
      </c>
      <c r="G821" t="e">
        <f>VLOOKUP($F821, codebooks_data_reordered!$A:$I, 2, FALSE)</f>
        <v>#N/A</v>
      </c>
      <c r="H821" t="e">
        <f>VLOOKUP($F821, codebooks_data_reordered!$A:$I, 3, FALSE)</f>
        <v>#N/A</v>
      </c>
      <c r="I821" t="e">
        <f>VLOOKUP($F821, codebooks_data_reordered!$A:$I, 4, FALSE)</f>
        <v>#N/A</v>
      </c>
      <c r="J821" t="e">
        <f>VLOOKUP($F821, codebooks_data_reordered!$A:$I, 5, FALSE)</f>
        <v>#N/A</v>
      </c>
      <c r="K821" t="e">
        <f>VLOOKUP($F821, codebooks_data_reordered!$A:$I, 6, FALSE)</f>
        <v>#N/A</v>
      </c>
      <c r="L821" t="e">
        <f>VLOOKUP($F821, codebooks_data_reordered!$A:$I, 7, FALSE)</f>
        <v>#N/A</v>
      </c>
      <c r="M821" t="e">
        <f>VLOOKUP($F821, codebooks_data_reordered!$A:$I, 9, FALSE)</f>
        <v>#N/A</v>
      </c>
      <c r="O821" t="e">
        <f t="shared" si="12"/>
        <v>#N/A</v>
      </c>
    </row>
    <row r="822" spans="1:15" ht="57.6" hidden="1" x14ac:dyDescent="0.3">
      <c r="A822" t="s">
        <v>7738</v>
      </c>
      <c r="B822" t="s">
        <v>7753</v>
      </c>
      <c r="C822" s="2" t="s">
        <v>7754</v>
      </c>
      <c r="D822" t="s">
        <v>5843</v>
      </c>
      <c r="E822" s="2" t="s">
        <v>7755</v>
      </c>
      <c r="F822" t="s">
        <v>2551</v>
      </c>
      <c r="G822" t="str">
        <f>VLOOKUP($F822, codebooks_data_reordered!$A:$I, 2, FALSE)</f>
        <v>1996_Jews</v>
      </c>
      <c r="H822" t="str">
        <f>VLOOKUP($F822, codebooks_data_reordered!$A:$I, 3, FALSE)</f>
        <v>WHICH PM CANDID. BEST SUITS EACH DESCRIPTION?</v>
      </c>
      <c r="I822" t="str">
        <f>VLOOKUP($F822, codebooks_data_reordered!$A:$I, 4, FALSE)</f>
        <v>1</v>
      </c>
      <c r="J822" t="str">
        <f>VLOOKUP($F822, codebooks_data_reordered!$A:$I, 5, FALSE)</f>
        <v>184</v>
      </c>
      <c r="K822" t="str">
        <f>VLOOKUP($F822, codebooks_data_reordered!$A:$I, 6, FALSE)</f>
        <v>Candidate who will win the PM's elections</v>
      </c>
      <c r="L822">
        <f>VLOOKUP($F822, codebooks_data_reordered!$A:$I, 7, FALSE)</f>
        <v>0</v>
      </c>
      <c r="M822" t="str">
        <f>VLOOKUP($F822, codebooks_data_reordered!$A:$I, 9, FALSE)</f>
        <v>1: Netanyahu; 2: Peres; 3: Do not know (not read)</v>
      </c>
      <c r="O822" s="2" t="str">
        <f t="shared" si="12"/>
        <v>1: Netanyahu
 2: Peres
 3: Do not know (not read)</v>
      </c>
    </row>
    <row r="823" spans="1:15" ht="259.2" hidden="1" x14ac:dyDescent="0.3">
      <c r="A823" t="s">
        <v>7738</v>
      </c>
      <c r="B823" t="s">
        <v>7756</v>
      </c>
      <c r="C823" s="2" t="s">
        <v>7757</v>
      </c>
      <c r="D823" t="s">
        <v>5843</v>
      </c>
      <c r="E823" s="2" t="s">
        <v>7758</v>
      </c>
      <c r="F823" t="s">
        <v>2019</v>
      </c>
      <c r="G823" t="str">
        <f>VLOOKUP($F823, codebooks_data_reordered!$A:$I, 2, FALSE)</f>
        <v>1999_1</v>
      </c>
      <c r="H823" t="str">
        <f>VLOOKUP($F823, codebooks_data_reordered!$A:$I, 3, FALSE)</f>
        <v>PARTIES POSITIONS</v>
      </c>
      <c r="I823" t="str">
        <f>VLOOKUP($F823, codebooks_data_reordered!$A:$I, 4, FALSE)</f>
        <v>2</v>
      </c>
      <c r="J823" t="str">
        <f>VLOOKUP($F823, codebooks_data_reordered!$A:$I, 5, FALSE)</f>
        <v>41</v>
      </c>
      <c r="K823" t="str">
        <f>VLOOKUP($F823, codebooks_data_reordered!$A:$I, 6, FALSE)</f>
        <v>Party differences on the terrorism issue</v>
      </c>
      <c r="L823">
        <f>VLOOKUP($F823, codebooks_data_reordered!$A:$I, 7, FALSE)</f>
        <v>0</v>
      </c>
      <c r="M823" t="str">
        <f>VLOOKUP($F823, codebooks_data_reordered!$A:$I, 9, FALSE)</f>
        <v>1: No significant differences; 2: Small differences; 3: Some differences; 4: Significant differences; 5: Very significant differences</v>
      </c>
      <c r="O823" s="2" t="str">
        <f t="shared" si="12"/>
        <v>1: No significant differences
 2: Small differences
 3: Some differences
 4: Significant differences
 5: Very significant differences</v>
      </c>
    </row>
    <row r="824" spans="1:15" ht="201.6" hidden="1" x14ac:dyDescent="0.3">
      <c r="A824" t="s">
        <v>7738</v>
      </c>
      <c r="B824" t="s">
        <v>6929</v>
      </c>
      <c r="C824" s="2" t="s">
        <v>7759</v>
      </c>
      <c r="D824" t="s">
        <v>5843</v>
      </c>
      <c r="E824" s="2" t="s">
        <v>7760</v>
      </c>
      <c r="F824" t="s">
        <v>2023</v>
      </c>
      <c r="G824" t="str">
        <f>VLOOKUP($F824, codebooks_data_reordered!$A:$I, 2, FALSE)</f>
        <v>1999_1</v>
      </c>
      <c r="H824" t="str">
        <f>VLOOKUP($F824, codebooks_data_reordered!$A:$I, 3, FALSE)</f>
        <v>PARTIES POSITIONS</v>
      </c>
      <c r="I824" t="str">
        <f>VLOOKUP($F824, codebooks_data_reordered!$A:$I, 4, FALSE)</f>
        <v>2</v>
      </c>
      <c r="J824" t="str">
        <f>VLOOKUP($F824, codebooks_data_reordered!$A:$I, 5, FALSE)</f>
        <v>42</v>
      </c>
      <c r="K824" t="str">
        <f>VLOOKUP($F824, codebooks_data_reordered!$A:$I, 6, FALSE)</f>
        <v>Major factor in formulating respondent's party vote</v>
      </c>
      <c r="L824">
        <f>VLOOKUP($F824, codebooks_data_reordered!$A:$I, 7, FALSE)</f>
        <v>0</v>
      </c>
      <c r="M824" t="str">
        <f>VLOOKUP($F824, codebooks_data_reordered!$A:$I, 9, FALSE)</f>
        <v>1: Identification with the party; 2: Party's candidates for Knesset; 3: Party's stands on certain issues; 4: Party situated in government/opposition</v>
      </c>
      <c r="O824" s="2" t="str">
        <f t="shared" si="12"/>
        <v>1: Identification with the party
 2: Party's candidates for Knesset
 3: Party's stands on certain issues
 4: Party situated in government/opposition</v>
      </c>
    </row>
    <row r="825" spans="1:15" ht="244.8" hidden="1" x14ac:dyDescent="0.3">
      <c r="A825" t="s">
        <v>7738</v>
      </c>
      <c r="B825" t="s">
        <v>7761</v>
      </c>
      <c r="C825" s="2" t="s">
        <v>7762</v>
      </c>
      <c r="D825" t="s">
        <v>5843</v>
      </c>
      <c r="E825" s="2" t="s">
        <v>7763</v>
      </c>
      <c r="F825" t="s">
        <v>3508</v>
      </c>
      <c r="G825" t="str">
        <f>VLOOKUP($F825, codebooks_data_reordered!$A:$I, 2, FALSE)</f>
        <v>1988_Panel_N=416</v>
      </c>
      <c r="H825" t="str">
        <f>VLOOKUP($F825, codebooks_data_reordered!$A:$I, 3, FALSE)</f>
        <v>FOR EACH OF THE FOLLOWING STATE TO WHICH PARTY IT SUITS THE MOST</v>
      </c>
      <c r="I825" t="str">
        <f>VLOOKUP($F825, codebooks_data_reordered!$A:$I, 4, FALSE)</f>
        <v>3</v>
      </c>
      <c r="J825" t="str">
        <f>VLOOKUP($F825, codebooks_data_reordered!$A:$I, 5, FALSE)</f>
        <v>105</v>
      </c>
      <c r="K825" t="str">
        <f>VLOOKUP($F825, codebooks_data_reordered!$A:$I, 6, FALSE)</f>
        <v>Which party can achieve true peace with Arabs</v>
      </c>
      <c r="L825">
        <f>VLOOKUP($F825, codebooks_data_reordered!$A:$I, 7, FALSE)</f>
        <v>0</v>
      </c>
      <c r="M825" t="str">
        <f>VLOOKUP($F825, codebooks_data_reordered!$A:$I, 9, FALSE)</f>
        <v>1: Suits Labor; 2: Suits Likud; 3: Both equally; 4: Neither</v>
      </c>
      <c r="O825" s="2" t="str">
        <f t="shared" si="12"/>
        <v>1: Suits Labor
 2: Suits Likud
 3: Both equally
 4: Neither</v>
      </c>
    </row>
    <row r="826" spans="1:15" ht="403.2" hidden="1" x14ac:dyDescent="0.3">
      <c r="A826" t="s">
        <v>7738</v>
      </c>
      <c r="B826" t="s">
        <v>7764</v>
      </c>
      <c r="C826" s="2" t="s">
        <v>7765</v>
      </c>
      <c r="D826" t="s">
        <v>5843</v>
      </c>
      <c r="E826" s="2" t="s">
        <v>7766</v>
      </c>
      <c r="F826" t="s">
        <v>596</v>
      </c>
      <c r="G826" t="str">
        <f>VLOOKUP($F826, codebooks_data_reordered!$A:$I, 2, FALSE)</f>
        <v>2006</v>
      </c>
      <c r="H826" t="str">
        <f>VLOOKUP($F826, codebooks_data_reordered!$A:$I, 3, FALSE)</f>
        <v>Chance the Party to be in the Next Government</v>
      </c>
      <c r="I826" t="str">
        <f>VLOOKUP($F826, codebooks_data_reordered!$A:$I, 4, FALSE)</f>
        <v>1</v>
      </c>
      <c r="J826" t="str">
        <f>VLOOKUP($F826, codebooks_data_reordered!$A:$I, 5, FALSE)</f>
        <v>184-185</v>
      </c>
      <c r="K826" t="str">
        <f>VLOOKUP($F826, codebooks_data_reordered!$A:$I, 6, FALSE)</f>
        <v>Respondent party vote if elections were held today</v>
      </c>
      <c r="L826" t="str">
        <f>VLOOKUP($F826, codebooks_data_reordered!$A:$I, 7, FALSE)</f>
        <v>73. If the elections for Knesset were held today, for which party would you vote for? (do not read answers)</v>
      </c>
      <c r="M826" t="str">
        <f>VLOOKUP($F826, codebooks_data_reordered!$A:$I, 9, FALSE)</f>
        <v>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v>
      </c>
      <c r="O826" s="2" t="str">
        <f t="shared" si="12"/>
        <v>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v>
      </c>
    </row>
    <row r="827" spans="1:15" ht="72" hidden="1" x14ac:dyDescent="0.3">
      <c r="A827" t="s">
        <v>7738</v>
      </c>
      <c r="B827" t="s">
        <v>7767</v>
      </c>
      <c r="C827" s="2" t="s">
        <v>7768</v>
      </c>
      <c r="D827" t="s">
        <v>5843</v>
      </c>
      <c r="E827" s="2" t="s">
        <v>7769</v>
      </c>
      <c r="F827" t="s">
        <v>629</v>
      </c>
      <c r="G827" t="str">
        <f>VLOOKUP($F827, codebooks_data_reordered!$A:$I, 2, FALSE)</f>
        <v>2006</v>
      </c>
      <c r="H827" t="str">
        <f>VLOOKUP($F827, codebooks_data_reordered!$A:$I, 3, FALSE)</f>
        <v>Chance the Party to be in the Next Government</v>
      </c>
      <c r="I827" t="str">
        <f>VLOOKUP($F827, codebooks_data_reordered!$A:$I, 4, FALSE)</f>
        <v>1</v>
      </c>
      <c r="J827" t="str">
        <f>VLOOKUP($F827, codebooks_data_reordered!$A:$I, 5, FALSE)</f>
        <v>207-209</v>
      </c>
      <c r="K827" t="str">
        <f>VLOOKUP($F827, codebooks_data_reordered!$A:$I, 6, FALSE)</f>
        <v>Number of seats you think the party you vote will win</v>
      </c>
      <c r="L827" t="str">
        <f>VLOOKUP($F827, codebooks_data_reordered!$A:$I, 7, FALSE)</f>
        <v>And what about the number of MKs these parties will have in the next Knesset? How many MKs willhave? And (the party he said he will vote for in the previous question)</v>
      </c>
      <c r="M827">
        <f>VLOOKUP($F827, codebooks_data_reordered!$A:$I, 9, FALSE)</f>
        <v>0</v>
      </c>
      <c r="O827" s="2" t="str">
        <f t="shared" si="12"/>
        <v>0</v>
      </c>
    </row>
    <row r="828" spans="1:15" ht="57.6" hidden="1" x14ac:dyDescent="0.3">
      <c r="A828" t="s">
        <v>7738</v>
      </c>
      <c r="B828" t="s">
        <v>7770</v>
      </c>
      <c r="C828" s="2" t="s">
        <v>7771</v>
      </c>
      <c r="D828" t="s">
        <v>5843</v>
      </c>
      <c r="E828" s="2" t="s">
        <v>7772</v>
      </c>
      <c r="F828" t="s">
        <v>651</v>
      </c>
      <c r="G828" t="str">
        <f>VLOOKUP($F828, codebooks_data_reordered!$A:$I, 2, FALSE)</f>
        <v>2006</v>
      </c>
      <c r="H828" t="str">
        <f>VLOOKUP($F828, codebooks_data_reordered!$A:$I, 3, FALSE)</f>
        <v>Different Coalitions after the Elections</v>
      </c>
      <c r="I828" t="str">
        <f>VLOOKUP($F828, codebooks_data_reordered!$A:$I, 4, FALSE)</f>
        <v>1</v>
      </c>
      <c r="J828" t="str">
        <f>VLOOKUP($F828, codebooks_data_reordered!$A:$I, 5, FALSE)</f>
        <v>228-230</v>
      </c>
      <c r="K828" t="str">
        <f>VLOOKUP($F828, codebooks_data_reordered!$A:$I, 6, FALSE)</f>
        <v>Chances for Kadima-Labor-Likud-Right parties and Haredim coalition</v>
      </c>
      <c r="L828" t="str">
        <f>VLOOKUP($F828,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828">
        <f>VLOOKUP($F828, codebooks_data_reordered!$A:$I, 9, FALSE)</f>
        <v>0</v>
      </c>
      <c r="O828" s="2" t="str">
        <f t="shared" si="12"/>
        <v>0</v>
      </c>
    </row>
    <row r="829" spans="1:15" ht="331.2" hidden="1" x14ac:dyDescent="0.3">
      <c r="A829" t="s">
        <v>7738</v>
      </c>
      <c r="B829" t="s">
        <v>7773</v>
      </c>
      <c r="C829" s="2" t="s">
        <v>7774</v>
      </c>
      <c r="D829" t="s">
        <v>5843</v>
      </c>
      <c r="E829" s="2" t="s">
        <v>7775</v>
      </c>
      <c r="F829" t="s">
        <v>1638</v>
      </c>
      <c r="G829" t="str">
        <f>VLOOKUP($F829, codebooks_data_reordered!$A:$I, 2, FALSE)</f>
        <v>2001</v>
      </c>
      <c r="H829" t="str">
        <f>VLOOKUP($F829, codebooks_data_reordered!$A:$I, 3, FALSE)</f>
        <v>General political attitudes and behavior</v>
      </c>
      <c r="I829" t="str">
        <f>VLOOKUP($F829, codebooks_data_reordered!$A:$I, 4, FALSE)</f>
        <v>1</v>
      </c>
      <c r="J829" t="str">
        <f>VLOOKUP($F829, codebooks_data_reordered!$A:$I, 5, FALSE)</f>
        <v>99</v>
      </c>
      <c r="K829" t="str">
        <f>VLOOKUP($F829, codebooks_data_reordered!$A:$I, 6, FALSE)</f>
        <v>Frequency of reading daily newspaper</v>
      </c>
      <c r="L829">
        <f>VLOOKUP($F829, codebooks_data_reordered!$A:$I, 7, FALSE)</f>
        <v>0</v>
      </c>
      <c r="M829" t="str">
        <f>VLOOKUP($F829, codebooks_data_reordered!$A:$I, 9, FALSE)</f>
        <v>1: Never; 2: Rarely; 3: Once a week; 4: Two or three a week; 5: Almost every day; 6: More than one every day</v>
      </c>
      <c r="O829" s="2" t="str">
        <f t="shared" si="12"/>
        <v>1: Never
 2: Rarely
 3: Once a week
 4: Two or three a week
 5: Almost every day
 6: More than one every day</v>
      </c>
    </row>
    <row r="830" spans="1:15" ht="230.4" hidden="1" x14ac:dyDescent="0.3">
      <c r="A830" t="s">
        <v>7738</v>
      </c>
      <c r="B830" t="s">
        <v>7776</v>
      </c>
      <c r="C830" s="2" t="s">
        <v>7777</v>
      </c>
      <c r="D830" t="s">
        <v>5843</v>
      </c>
      <c r="E830" s="2" t="s">
        <v>7778</v>
      </c>
      <c r="F830" t="s">
        <v>633</v>
      </c>
      <c r="G830" t="str">
        <f>VLOOKUP($F830, codebooks_data_reordered!$A:$I, 2, FALSE)</f>
        <v>2006</v>
      </c>
      <c r="H830" t="str">
        <f>VLOOKUP($F830, codebooks_data_reordered!$A:$I, 3, FALSE)</f>
        <v>Different Coalitions after the Elections</v>
      </c>
      <c r="I830" t="str">
        <f>VLOOKUP($F830, codebooks_data_reordered!$A:$I, 4, FALSE)</f>
        <v>1</v>
      </c>
      <c r="J830" t="str">
        <f>VLOOKUP($F830, codebooks_data_reordered!$A:$I, 5, FALSE)</f>
        <v>210-212</v>
      </c>
      <c r="K830" t="str">
        <f>VLOOKUP($F830, codebooks_data_reordered!$A:$I, 6, FALSE)</f>
        <v>Chances for Kadima-Labor coalition</v>
      </c>
      <c r="L830" t="str">
        <f>VLOOKUP($F830,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830">
        <f>VLOOKUP($F830, codebooks_data_reordered!$A:$I, 9, FALSE)</f>
        <v>0</v>
      </c>
      <c r="O830" s="2" t="str">
        <f t="shared" si="12"/>
        <v>0</v>
      </c>
    </row>
    <row r="831" spans="1:15" ht="187.2" hidden="1" x14ac:dyDescent="0.3">
      <c r="A831" t="s">
        <v>7738</v>
      </c>
      <c r="B831" t="s">
        <v>7779</v>
      </c>
      <c r="C831" s="2" t="s">
        <v>7780</v>
      </c>
      <c r="D831" t="s">
        <v>5843</v>
      </c>
      <c r="E831" s="2" t="s">
        <v>7781</v>
      </c>
      <c r="F831" t="s">
        <v>575</v>
      </c>
      <c r="G831" t="str">
        <f>VLOOKUP($F831, codebooks_data_reordered!$A:$I, 2, FALSE)</f>
        <v>2006</v>
      </c>
      <c r="H831" t="str">
        <f>VLOOKUP($F831, codebooks_data_reordered!$A:$I, 3, FALSE)</f>
        <v>Newspaper/TV</v>
      </c>
      <c r="I831" t="str">
        <f>VLOOKUP($F831, codebooks_data_reordered!$A:$I, 4, FALSE)</f>
        <v>1</v>
      </c>
      <c r="J831" t="str">
        <f>VLOOKUP($F831, codebooks_data_reordered!$A:$I, 5, FALSE)</f>
        <v>180</v>
      </c>
      <c r="K831" t="str">
        <f>VLOOKUP($F831, codebooks_data_reordered!$A:$I, 6, FALSE)</f>
        <v>Election campaign broadcasts on TV</v>
      </c>
      <c r="L831" t="str">
        <f>VLOOKUP($F831, codebooks_data_reordered!$A:$I, 7, FALSE)</f>
        <v>69. Do you usually watch the election campaign broadcasts on TV?(for interviews before the beginning of broadcasts (March 7, 2006): Do you intend to watch the campaign broadcasts on TV?)</v>
      </c>
      <c r="M831" t="str">
        <f>VLOOKUP($F831, codebooks_data_reordered!$A:$I, 9, FALSE)</f>
        <v>1: Every day; 2: Usually; 3: Sometimes; 4: Not very often; 5: Never</v>
      </c>
      <c r="O831" s="2" t="str">
        <f t="shared" si="12"/>
        <v>1: Every day
 2: Usually
 3: Sometimes
 4: Not very often
 5: Never</v>
      </c>
    </row>
    <row r="832" spans="1:15" ht="129.6" hidden="1" x14ac:dyDescent="0.3">
      <c r="A832" t="s">
        <v>7738</v>
      </c>
      <c r="B832" t="s">
        <v>6747</v>
      </c>
      <c r="C832" s="2" t="s">
        <v>7782</v>
      </c>
      <c r="D832" t="s">
        <v>5843</v>
      </c>
      <c r="E832" s="2" t="s">
        <v>7783</v>
      </c>
      <c r="F832" t="s">
        <v>5269</v>
      </c>
      <c r="G832" t="str">
        <f>VLOOKUP($F832, codebooks_data_reordered!$A:$I, 2, FALSE)</f>
        <v>1973_4</v>
      </c>
      <c r="H832" t="str">
        <f>VLOOKUP($F832, codebooks_data_reordered!$A:$I, 3, FALSE)</f>
        <v>December 1973</v>
      </c>
      <c r="I832" t="str">
        <f>VLOOKUP($F832, codebooks_data_reordered!$A:$I, 4, FALSE)</f>
        <v>1</v>
      </c>
      <c r="J832" t="str">
        <f>VLOOKUP($F832, codebooks_data_reordered!$A:$I, 5, FALSE)</f>
        <v>53</v>
      </c>
      <c r="K832" t="str">
        <f>VLOOKUP($F832, codebooks_data_reordered!$A:$I, 6, FALSE)</f>
        <v>The committee formed to investigate events of war will have a concrete influence on future govt. action on foreign and security matters</v>
      </c>
      <c r="L832">
        <f>VLOOKUP($F832, codebooks_data_reordered!$A:$I, 7, FALSE)</f>
        <v>0</v>
      </c>
      <c r="M832" t="str">
        <f>VLOOKUP($F832, codebooks_data_reordered!$A:$I, 9, FALSE)</f>
        <v>1: Absolutely yes; 2: Thinks so; 3: Does not think so; 4: Absolutely not</v>
      </c>
      <c r="O832" s="2" t="str">
        <f t="shared" si="12"/>
        <v>1: Absolutely yes
 2: Thinks so
 3: Does not think so
 4: Absolutely not</v>
      </c>
    </row>
    <row r="833" spans="1:15" ht="129.6" hidden="1" x14ac:dyDescent="0.3">
      <c r="A833" t="s">
        <v>7738</v>
      </c>
      <c r="B833" t="s">
        <v>7784</v>
      </c>
      <c r="C833" s="2" t="s">
        <v>7785</v>
      </c>
      <c r="D833" t="s">
        <v>5843</v>
      </c>
      <c r="E833" s="2" t="s">
        <v>7786</v>
      </c>
      <c r="F833" t="s">
        <v>3639</v>
      </c>
      <c r="G833" t="str">
        <f>VLOOKUP($F833, codebooks_data_reordered!$A:$I, 2, FALSE)</f>
        <v>1988_N=873</v>
      </c>
      <c r="H833" t="str">
        <f>VLOOKUP($F833, codebooks_data_reordered!$A:$I, 3, FALSE)</f>
        <v>NATIONAL SECURITY SCALE</v>
      </c>
      <c r="I833" t="str">
        <f>VLOOKUP($F833, codebooks_data_reordered!$A:$I, 4, FALSE)</f>
        <v>1</v>
      </c>
      <c r="J833" t="str">
        <f>VLOOKUP($F833, codebooks_data_reordered!$A:$I, 5, FALSE)</f>
        <v>3</v>
      </c>
      <c r="K833" t="str">
        <f>VLOOKUP($F833, codebooks_data_reordered!$A:$I, 6, FALSE)</f>
        <v>Evaluation of Israel's present national security</v>
      </c>
      <c r="L833">
        <f>VLOOKUP($F833, codebooks_data_reordered!$A:$I, 7, FALSE)</f>
        <v>0</v>
      </c>
      <c r="M833" t="str">
        <f>VLOOKUP($F833, codebooks_data_reordered!$A:$I, 9, FALSE)</f>
        <v>1: Worst possible; 9: Best possible</v>
      </c>
      <c r="O833" s="2" t="str">
        <f t="shared" si="12"/>
        <v>1: Worst possible
 9: Best possible</v>
      </c>
    </row>
    <row r="834" spans="1:15" ht="244.8" hidden="1" x14ac:dyDescent="0.3">
      <c r="A834" t="s">
        <v>7738</v>
      </c>
      <c r="B834" t="s">
        <v>7787</v>
      </c>
      <c r="C834" s="2" t="s">
        <v>7788</v>
      </c>
      <c r="D834" t="s">
        <v>5843</v>
      </c>
      <c r="E834" s="2" t="s">
        <v>7789</v>
      </c>
      <c r="F834" t="s">
        <v>3105</v>
      </c>
      <c r="G834" t="str">
        <f>VLOOKUP($F834, codebooks_data_reordered!$A:$I, 2, FALSE)</f>
        <v>1988_Panel_N=416</v>
      </c>
      <c r="H834" t="str">
        <f>VLOOKUP($F834, codebooks_data_reordered!$A:$I, 3, FALSE)</f>
        <v>WHICH OF THE FOLLOWING WOULD YOU BE WILLING TO GIVE TO MAINTAIN/STRENGTHEN THE SECURITY</v>
      </c>
      <c r="I834" t="str">
        <f>VLOOKUP($F834, codebooks_data_reordered!$A:$I, 4, FALSE)</f>
        <v>1</v>
      </c>
      <c r="J834" t="str">
        <f>VLOOKUP($F834, codebooks_data_reordered!$A:$I, 5, FALSE)</f>
        <v>102</v>
      </c>
      <c r="K834" t="str">
        <f>VLOOKUP($F834, codebooks_data_reordered!$A:$I, 6, FALSE)</f>
        <v>Is the reserve military service used efficiently or wasted</v>
      </c>
      <c r="L834">
        <f>VLOOKUP($F834, codebooks_data_reordered!$A:$I, 7, FALSE)</f>
        <v>0</v>
      </c>
      <c r="M834" t="str">
        <f>VLOOKUP($F834, codebooks_data_reordered!$A:$I, 9, FALSE)</f>
        <v>1: Usually used efficiently; 2: Usually wasted</v>
      </c>
      <c r="O834" s="2" t="str">
        <f t="shared" ref="O834:O897" si="13">SUBSTITUTE(M834, ";", CHAR(10))</f>
        <v>1: Usually used efficiently
 2: Usually wasted</v>
      </c>
    </row>
    <row r="835" spans="1:15" ht="409.6" hidden="1" x14ac:dyDescent="0.3">
      <c r="A835" t="s">
        <v>7738</v>
      </c>
      <c r="B835" t="s">
        <v>7790</v>
      </c>
      <c r="C835" s="2" t="s">
        <v>7791</v>
      </c>
      <c r="D835" t="s">
        <v>5843</v>
      </c>
      <c r="E835" s="2" t="s">
        <v>7792</v>
      </c>
      <c r="F835" t="s">
        <v>3105</v>
      </c>
      <c r="G835" t="str">
        <f>VLOOKUP($F835, codebooks_data_reordered!$A:$I, 2, FALSE)</f>
        <v>1988_Panel_N=416</v>
      </c>
      <c r="H835" t="str">
        <f>VLOOKUP($F835, codebooks_data_reordered!$A:$I, 3, FALSE)</f>
        <v>WHICH OF THE FOLLOWING WOULD YOU BE WILLING TO GIVE TO MAINTAIN/STRENGTHEN THE SECURITY</v>
      </c>
      <c r="I835" t="str">
        <f>VLOOKUP($F835, codebooks_data_reordered!$A:$I, 4, FALSE)</f>
        <v>1</v>
      </c>
      <c r="J835" t="str">
        <f>VLOOKUP($F835, codebooks_data_reordered!$A:$I, 5, FALSE)</f>
        <v>102</v>
      </c>
      <c r="K835" t="str">
        <f>VLOOKUP($F835, codebooks_data_reordered!$A:$I, 6, FALSE)</f>
        <v>Is the reserve military service used efficiently or wasted</v>
      </c>
      <c r="L835">
        <f>VLOOKUP($F835, codebooks_data_reordered!$A:$I, 7, FALSE)</f>
        <v>0</v>
      </c>
      <c r="M835" t="str">
        <f>VLOOKUP($F835, codebooks_data_reordered!$A:$I, 9, FALSE)</f>
        <v>1: Usually used efficiently; 2: Usually wasted</v>
      </c>
      <c r="O835" s="2" t="str">
        <f t="shared" si="13"/>
        <v>1: Usually used efficiently
 2: Usually wasted</v>
      </c>
    </row>
    <row r="836" spans="1:15" ht="409.6" hidden="1" x14ac:dyDescent="0.3">
      <c r="A836" t="s">
        <v>7738</v>
      </c>
      <c r="B836" t="s">
        <v>7793</v>
      </c>
      <c r="C836" s="2" t="s">
        <v>7794</v>
      </c>
      <c r="D836" t="s">
        <v>5843</v>
      </c>
      <c r="E836" s="2" t="s">
        <v>7795</v>
      </c>
      <c r="F836" t="s">
        <v>3105</v>
      </c>
      <c r="G836" t="str">
        <f>VLOOKUP($F836, codebooks_data_reordered!$A:$I, 2, FALSE)</f>
        <v>1988_Panel_N=416</v>
      </c>
      <c r="H836" t="str">
        <f>VLOOKUP($F836, codebooks_data_reordered!$A:$I, 3, FALSE)</f>
        <v>WHICH OF THE FOLLOWING WOULD YOU BE WILLING TO GIVE TO MAINTAIN/STRENGTHEN THE SECURITY</v>
      </c>
      <c r="I836" t="str">
        <f>VLOOKUP($F836, codebooks_data_reordered!$A:$I, 4, FALSE)</f>
        <v>1</v>
      </c>
      <c r="J836" t="str">
        <f>VLOOKUP($F836, codebooks_data_reordered!$A:$I, 5, FALSE)</f>
        <v>102</v>
      </c>
      <c r="K836" t="str">
        <f>VLOOKUP($F836, codebooks_data_reordered!$A:$I, 6, FALSE)</f>
        <v>Is the reserve military service used efficiently or wasted</v>
      </c>
      <c r="L836">
        <f>VLOOKUP($F836, codebooks_data_reordered!$A:$I, 7, FALSE)</f>
        <v>0</v>
      </c>
      <c r="M836" t="str">
        <f>VLOOKUP($F836, codebooks_data_reordered!$A:$I, 9, FALSE)</f>
        <v>1: Usually used efficiently; 2: Usually wasted</v>
      </c>
      <c r="O836" s="2" t="str">
        <f t="shared" si="13"/>
        <v>1: Usually used efficiently
 2: Usually wasted</v>
      </c>
    </row>
    <row r="837" spans="1:15" ht="374.4" hidden="1" x14ac:dyDescent="0.3">
      <c r="A837" t="s">
        <v>7738</v>
      </c>
      <c r="B837" t="s">
        <v>7796</v>
      </c>
      <c r="C837" s="2" t="s">
        <v>7797</v>
      </c>
      <c r="D837" t="s">
        <v>5843</v>
      </c>
      <c r="E837" s="2" t="s">
        <v>7798</v>
      </c>
      <c r="F837" t="s">
        <v>3105</v>
      </c>
      <c r="G837" t="str">
        <f>VLOOKUP($F837, codebooks_data_reordered!$A:$I, 2, FALSE)</f>
        <v>1988_Panel_N=416</v>
      </c>
      <c r="H837" t="str">
        <f>VLOOKUP($F837, codebooks_data_reordered!$A:$I, 3, FALSE)</f>
        <v>WHICH OF THE FOLLOWING WOULD YOU BE WILLING TO GIVE TO MAINTAIN/STRENGTHEN THE SECURITY</v>
      </c>
      <c r="I837" t="str">
        <f>VLOOKUP($F837, codebooks_data_reordered!$A:$I, 4, FALSE)</f>
        <v>1</v>
      </c>
      <c r="J837" t="str">
        <f>VLOOKUP($F837, codebooks_data_reordered!$A:$I, 5, FALSE)</f>
        <v>102</v>
      </c>
      <c r="K837" t="str">
        <f>VLOOKUP($F837, codebooks_data_reordered!$A:$I, 6, FALSE)</f>
        <v>Is the reserve military service used efficiently or wasted</v>
      </c>
      <c r="L837">
        <f>VLOOKUP($F837, codebooks_data_reordered!$A:$I, 7, FALSE)</f>
        <v>0</v>
      </c>
      <c r="M837" t="str">
        <f>VLOOKUP($F837, codebooks_data_reordered!$A:$I, 9, FALSE)</f>
        <v>1: Usually used efficiently; 2: Usually wasted</v>
      </c>
      <c r="O837" s="2" t="str">
        <f t="shared" si="13"/>
        <v>1: Usually used efficiently
 2: Usually wasted</v>
      </c>
    </row>
    <row r="838" spans="1:15" ht="129.6" hidden="1" x14ac:dyDescent="0.3">
      <c r="A838" t="s">
        <v>7738</v>
      </c>
      <c r="B838" t="s">
        <v>7799</v>
      </c>
      <c r="C838" s="2" t="s">
        <v>7800</v>
      </c>
      <c r="D838" t="s">
        <v>5843</v>
      </c>
      <c r="E838" s="2" t="s">
        <v>7801</v>
      </c>
      <c r="F838" t="s">
        <v>3086</v>
      </c>
      <c r="G838" t="str">
        <f>VLOOKUP($F838, codebooks_data_reordered!$A:$I, 2, FALSE)</f>
        <v>1988_Panel_N=416</v>
      </c>
      <c r="H838" t="str">
        <f>VLOOKUP($F838, codebooks_data_reordered!$A:$I, 3, FALSE)</f>
        <v>WHICH OF THE FOLLOWING IS A REASON FOR THE ARABS OBJECTING TO ISRAEL'S EXISTENCE</v>
      </c>
      <c r="I838" t="str">
        <f>VLOOKUP($F838, codebooks_data_reordered!$A:$I, 4, FALSE)</f>
        <v>1</v>
      </c>
      <c r="J838" t="str">
        <f>VLOOKUP($F838, codebooks_data_reordered!$A:$I, 5, FALSE)</f>
        <v>95</v>
      </c>
      <c r="K838" t="str">
        <f>VLOOKUP($F838, codebooks_data_reordered!$A:$I, 6, FALSE)</f>
        <v>Reason for the arabs objecting to Israels' existence:They fear future Israeli aggressiveness</v>
      </c>
      <c r="L838">
        <f>VLOOKUP($F838, codebooks_data_reordered!$A:$I, 7, FALSE)</f>
        <v>0</v>
      </c>
      <c r="M838" t="str">
        <f>VLOOKUP($F838, codebooks_data_reordered!$A:$I, 9, FALSE)</f>
        <v>1: Is a reason; 2: Is not a reason</v>
      </c>
      <c r="O838" s="2" t="str">
        <f t="shared" si="13"/>
        <v>1: Is a reason
 2: Is not a reason</v>
      </c>
    </row>
    <row r="839" spans="1:15" ht="172.8" hidden="1" x14ac:dyDescent="0.3">
      <c r="A839" t="s">
        <v>7738</v>
      </c>
      <c r="B839" t="s">
        <v>7802</v>
      </c>
      <c r="C839" s="2" t="s">
        <v>7803</v>
      </c>
      <c r="D839" t="s">
        <v>5843</v>
      </c>
      <c r="E839" s="2" t="s">
        <v>7804</v>
      </c>
      <c r="F839" t="s">
        <v>3108</v>
      </c>
      <c r="G839" t="str">
        <f>VLOOKUP($F839, codebooks_data_reordered!$A:$I, 2, FALSE)</f>
        <v>1988_Panel_N=416</v>
      </c>
      <c r="H839" t="str">
        <f>VLOOKUP($F839, codebooks_data_reordered!$A:$I, 3, FALSE)</f>
        <v>WHICH OF THE FOLLOWING WOULD YOU BE WILLING TO GIVE TO MAINTAIN/STRENGTHEN THE SECURITY</v>
      </c>
      <c r="I839" t="str">
        <f>VLOOKUP($F839, codebooks_data_reordered!$A:$I, 4, FALSE)</f>
        <v>1</v>
      </c>
      <c r="J839" t="str">
        <f>VLOOKUP($F839, codebooks_data_reordered!$A:$I, 5, FALSE)</f>
        <v>103</v>
      </c>
      <c r="K839" t="str">
        <f>VLOOKUP($F839, codebooks_data_reordered!$A:$I, 6, FALSE)</f>
        <v>What is your opinion on the length of military service</v>
      </c>
      <c r="L839">
        <f>VLOOKUP($F839, codebooks_data_reordered!$A:$I, 7, FALSE)</f>
        <v>0</v>
      </c>
      <c r="M839" t="str">
        <f>VLOOKUP($F839, codebooks_data_reordered!$A:$I, 9, FALSE)</f>
        <v>1: Too long; 2: Appropriate; 3: Too short</v>
      </c>
      <c r="O839" s="2" t="str">
        <f t="shared" si="13"/>
        <v>1: Too long
 2: Appropriate
 3: Too short</v>
      </c>
    </row>
    <row r="840" spans="1:15" ht="409.6" hidden="1" x14ac:dyDescent="0.3">
      <c r="A840" t="s">
        <v>7738</v>
      </c>
      <c r="B840" t="s">
        <v>7805</v>
      </c>
      <c r="C840" s="2" t="s">
        <v>7791</v>
      </c>
      <c r="D840" t="s">
        <v>5843</v>
      </c>
      <c r="E840" s="2" t="s">
        <v>7792</v>
      </c>
      <c r="F840" t="s">
        <v>3108</v>
      </c>
      <c r="G840" t="str">
        <f>VLOOKUP($F840, codebooks_data_reordered!$A:$I, 2, FALSE)</f>
        <v>1988_Panel_N=416</v>
      </c>
      <c r="H840" t="str">
        <f>VLOOKUP($F840, codebooks_data_reordered!$A:$I, 3, FALSE)</f>
        <v>WHICH OF THE FOLLOWING WOULD YOU BE WILLING TO GIVE TO MAINTAIN/STRENGTHEN THE SECURITY</v>
      </c>
      <c r="I840" t="str">
        <f>VLOOKUP($F840, codebooks_data_reordered!$A:$I, 4, FALSE)</f>
        <v>1</v>
      </c>
      <c r="J840" t="str">
        <f>VLOOKUP($F840, codebooks_data_reordered!$A:$I, 5, FALSE)</f>
        <v>103</v>
      </c>
      <c r="K840" t="str">
        <f>VLOOKUP($F840, codebooks_data_reordered!$A:$I, 6, FALSE)</f>
        <v>What is your opinion on the length of military service</v>
      </c>
      <c r="L840">
        <f>VLOOKUP($F840, codebooks_data_reordered!$A:$I, 7, FALSE)</f>
        <v>0</v>
      </c>
      <c r="M840" t="str">
        <f>VLOOKUP($F840, codebooks_data_reordered!$A:$I, 9, FALSE)</f>
        <v>1: Too long; 2: Appropriate; 3: Too short</v>
      </c>
      <c r="O840" s="2" t="str">
        <f t="shared" si="13"/>
        <v>1: Too long
 2: Appropriate
 3: Too short</v>
      </c>
    </row>
    <row r="841" spans="1:15" ht="374.4" hidden="1" x14ac:dyDescent="0.3">
      <c r="A841" t="s">
        <v>7738</v>
      </c>
      <c r="B841" t="s">
        <v>7806</v>
      </c>
      <c r="C841" s="2" t="s">
        <v>7797</v>
      </c>
      <c r="D841" t="s">
        <v>5843</v>
      </c>
      <c r="E841" s="2" t="s">
        <v>7798</v>
      </c>
      <c r="F841" t="s">
        <v>3108</v>
      </c>
      <c r="G841" t="str">
        <f>VLOOKUP($F841, codebooks_data_reordered!$A:$I, 2, FALSE)</f>
        <v>1988_Panel_N=416</v>
      </c>
      <c r="H841" t="str">
        <f>VLOOKUP($F841, codebooks_data_reordered!$A:$I, 3, FALSE)</f>
        <v>WHICH OF THE FOLLOWING WOULD YOU BE WILLING TO GIVE TO MAINTAIN/STRENGTHEN THE SECURITY</v>
      </c>
      <c r="I841" t="str">
        <f>VLOOKUP($F841, codebooks_data_reordered!$A:$I, 4, FALSE)</f>
        <v>1</v>
      </c>
      <c r="J841" t="str">
        <f>VLOOKUP($F841, codebooks_data_reordered!$A:$I, 5, FALSE)</f>
        <v>103</v>
      </c>
      <c r="K841" t="str">
        <f>VLOOKUP($F841, codebooks_data_reordered!$A:$I, 6, FALSE)</f>
        <v>What is your opinion on the length of military service</v>
      </c>
      <c r="L841">
        <f>VLOOKUP($F841, codebooks_data_reordered!$A:$I, 7, FALSE)</f>
        <v>0</v>
      </c>
      <c r="M841" t="str">
        <f>VLOOKUP($F841, codebooks_data_reordered!$A:$I, 9, FALSE)</f>
        <v>1: Too long; 2: Appropriate; 3: Too short</v>
      </c>
      <c r="O841" s="2" t="str">
        <f t="shared" si="13"/>
        <v>1: Too long
 2: Appropriate
 3: Too short</v>
      </c>
    </row>
    <row r="842" spans="1:15" ht="187.2" hidden="1" x14ac:dyDescent="0.3">
      <c r="A842" t="s">
        <v>7738</v>
      </c>
      <c r="B842" t="s">
        <v>7807</v>
      </c>
      <c r="C842" s="2" t="s">
        <v>7808</v>
      </c>
      <c r="D842" t="s">
        <v>5843</v>
      </c>
      <c r="E842" s="2" t="s">
        <v>7809</v>
      </c>
      <c r="F842" t="s">
        <v>9300</v>
      </c>
      <c r="G842" t="e">
        <f>VLOOKUP($F842, codebooks_data_reordered!$A:$I, 2, FALSE)</f>
        <v>#N/A</v>
      </c>
      <c r="H842" t="e">
        <f>VLOOKUP($F842, codebooks_data_reordered!$A:$I, 3, FALSE)</f>
        <v>#N/A</v>
      </c>
      <c r="I842" t="e">
        <f>VLOOKUP($F842, codebooks_data_reordered!$A:$I, 4, FALSE)</f>
        <v>#N/A</v>
      </c>
      <c r="J842" t="e">
        <f>VLOOKUP($F842, codebooks_data_reordered!$A:$I, 5, FALSE)</f>
        <v>#N/A</v>
      </c>
      <c r="K842" t="e">
        <f>VLOOKUP($F842, codebooks_data_reordered!$A:$I, 6, FALSE)</f>
        <v>#N/A</v>
      </c>
      <c r="L842" t="e">
        <f>VLOOKUP($F842, codebooks_data_reordered!$A:$I, 7, FALSE)</f>
        <v>#N/A</v>
      </c>
      <c r="M842" t="e">
        <f>VLOOKUP($F842, codebooks_data_reordered!$A:$I, 9, FALSE)</f>
        <v>#N/A</v>
      </c>
      <c r="O842" t="e">
        <f t="shared" si="13"/>
        <v>#N/A</v>
      </c>
    </row>
    <row r="843" spans="1:15" ht="144" hidden="1" x14ac:dyDescent="0.3">
      <c r="A843" t="s">
        <v>7738</v>
      </c>
      <c r="B843" t="s">
        <v>7810</v>
      </c>
      <c r="C843" s="2" t="s">
        <v>7395</v>
      </c>
      <c r="D843" t="s">
        <v>5843</v>
      </c>
      <c r="E843" s="2" t="s">
        <v>7396</v>
      </c>
      <c r="F843" t="s">
        <v>9301</v>
      </c>
      <c r="G843" t="e">
        <f>VLOOKUP($F843, codebooks_data_reordered!$A:$I, 2, FALSE)</f>
        <v>#N/A</v>
      </c>
      <c r="H843" t="e">
        <f>VLOOKUP($F843, codebooks_data_reordered!$A:$I, 3, FALSE)</f>
        <v>#N/A</v>
      </c>
      <c r="I843" t="e">
        <f>VLOOKUP($F843, codebooks_data_reordered!$A:$I, 4, FALSE)</f>
        <v>#N/A</v>
      </c>
      <c r="J843" t="e">
        <f>VLOOKUP($F843, codebooks_data_reordered!$A:$I, 5, FALSE)</f>
        <v>#N/A</v>
      </c>
      <c r="K843" t="e">
        <f>VLOOKUP($F843, codebooks_data_reordered!$A:$I, 6, FALSE)</f>
        <v>#N/A</v>
      </c>
      <c r="L843" t="e">
        <f>VLOOKUP($F843, codebooks_data_reordered!$A:$I, 7, FALSE)</f>
        <v>#N/A</v>
      </c>
      <c r="M843" t="e">
        <f>VLOOKUP($F843, codebooks_data_reordered!$A:$I, 9, FALSE)</f>
        <v>#N/A</v>
      </c>
      <c r="O843" t="e">
        <f t="shared" si="13"/>
        <v>#N/A</v>
      </c>
    </row>
    <row r="844" spans="1:15" ht="345.6" hidden="1" x14ac:dyDescent="0.3">
      <c r="A844" t="s">
        <v>7738</v>
      </c>
      <c r="B844" t="s">
        <v>7811</v>
      </c>
      <c r="C844" s="2" t="s">
        <v>7812</v>
      </c>
      <c r="D844" t="s">
        <v>5843</v>
      </c>
      <c r="E844" s="2" t="s">
        <v>7813</v>
      </c>
      <c r="F844" t="s">
        <v>9302</v>
      </c>
      <c r="G844" t="str">
        <f>VLOOKUP($F844, codebooks_data_reordered!$A:$I, 2, FALSE)</f>
        <v>1988_N=873</v>
      </c>
      <c r="H844" t="str">
        <f>VLOOKUP($F844, codebooks_data_reordered!$A:$I, 3, FALSE)</f>
        <v>NATIONAL SECURITY SCALE</v>
      </c>
      <c r="I844" t="str">
        <f>VLOOKUP($F844, codebooks_data_reordered!$A:$I, 4, FALSE)</f>
        <v>1</v>
      </c>
      <c r="J844" t="str">
        <f>VLOOKUP($F844, codebooks_data_reordered!$A:$I, 5, FALSE)</f>
        <v>3</v>
      </c>
      <c r="K844" t="str">
        <f>VLOOKUP($F844, codebooks_data_reordered!$A:$I, 6, FALSE)</f>
        <v>Evaluation of Israel's present national security</v>
      </c>
      <c r="L844">
        <f>VLOOKUP($F844, codebooks_data_reordered!$A:$I, 7, FALSE)</f>
        <v>0</v>
      </c>
      <c r="M844" t="str">
        <f>VLOOKUP($F844, codebooks_data_reordered!$A:$I, 9, FALSE)</f>
        <v>1: Worst possible; 9: Best possible</v>
      </c>
      <c r="O844" s="2" t="str">
        <f t="shared" si="13"/>
        <v>1: Worst possible
 9: Best possible</v>
      </c>
    </row>
    <row r="845" spans="1:15" ht="409.6" hidden="1" x14ac:dyDescent="0.3">
      <c r="A845" t="s">
        <v>7738</v>
      </c>
      <c r="B845" t="s">
        <v>7814</v>
      </c>
      <c r="C845" s="2" t="s">
        <v>7815</v>
      </c>
      <c r="D845" t="s">
        <v>5843</v>
      </c>
      <c r="E845" s="2" t="s">
        <v>7816</v>
      </c>
      <c r="F845" t="s">
        <v>9302</v>
      </c>
      <c r="G845" t="str">
        <f>VLOOKUP($F845, codebooks_data_reordered!$A:$I, 2, FALSE)</f>
        <v>1988_N=873</v>
      </c>
      <c r="H845" t="str">
        <f>VLOOKUP($F845, codebooks_data_reordered!$A:$I, 3, FALSE)</f>
        <v>NATIONAL SECURITY SCALE</v>
      </c>
      <c r="I845" t="str">
        <f>VLOOKUP($F845, codebooks_data_reordered!$A:$I, 4, FALSE)</f>
        <v>1</v>
      </c>
      <c r="J845" t="str">
        <f>VLOOKUP($F845, codebooks_data_reordered!$A:$I, 5, FALSE)</f>
        <v>3</v>
      </c>
      <c r="K845" t="str">
        <f>VLOOKUP($F845, codebooks_data_reordered!$A:$I, 6, FALSE)</f>
        <v>Evaluation of Israel's present national security</v>
      </c>
      <c r="L845">
        <f>VLOOKUP($F845, codebooks_data_reordered!$A:$I, 7, FALSE)</f>
        <v>0</v>
      </c>
      <c r="M845" t="str">
        <f>VLOOKUP($F845, codebooks_data_reordered!$A:$I, 9, FALSE)</f>
        <v>1: Worst possible; 9: Best possible</v>
      </c>
      <c r="O845" s="2" t="str">
        <f t="shared" si="13"/>
        <v>1: Worst possible
 9: Best possible</v>
      </c>
    </row>
    <row r="846" spans="1:15" ht="409.6" hidden="1" x14ac:dyDescent="0.3">
      <c r="A846" t="s">
        <v>7738</v>
      </c>
      <c r="B846" t="s">
        <v>7817</v>
      </c>
      <c r="C846" s="2" t="s">
        <v>7818</v>
      </c>
      <c r="D846" t="s">
        <v>5843</v>
      </c>
      <c r="E846" s="2" t="s">
        <v>7819</v>
      </c>
      <c r="F846" t="s">
        <v>9303</v>
      </c>
      <c r="G846" t="e">
        <f>VLOOKUP($F846, codebooks_data_reordered!$A:$I, 2, FALSE)</f>
        <v>#N/A</v>
      </c>
      <c r="H846" t="e">
        <f>VLOOKUP($F846, codebooks_data_reordered!$A:$I, 3, FALSE)</f>
        <v>#N/A</v>
      </c>
      <c r="I846" t="e">
        <f>VLOOKUP($F846, codebooks_data_reordered!$A:$I, 4, FALSE)</f>
        <v>#N/A</v>
      </c>
      <c r="J846" t="e">
        <f>VLOOKUP($F846, codebooks_data_reordered!$A:$I, 5, FALSE)</f>
        <v>#N/A</v>
      </c>
      <c r="K846" t="e">
        <f>VLOOKUP($F846, codebooks_data_reordered!$A:$I, 6, FALSE)</f>
        <v>#N/A</v>
      </c>
      <c r="L846" t="e">
        <f>VLOOKUP($F846, codebooks_data_reordered!$A:$I, 7, FALSE)</f>
        <v>#N/A</v>
      </c>
      <c r="M846" t="e">
        <f>VLOOKUP($F846, codebooks_data_reordered!$A:$I, 9, FALSE)</f>
        <v>#N/A</v>
      </c>
      <c r="O846" t="e">
        <f t="shared" si="13"/>
        <v>#N/A</v>
      </c>
    </row>
    <row r="847" spans="1:15" ht="409.6" hidden="1" x14ac:dyDescent="0.3">
      <c r="A847" t="s">
        <v>7738</v>
      </c>
      <c r="B847" t="s">
        <v>7820</v>
      </c>
      <c r="C847" s="2" t="s">
        <v>7821</v>
      </c>
      <c r="D847" t="s">
        <v>5843</v>
      </c>
      <c r="E847" s="2" t="s">
        <v>7822</v>
      </c>
      <c r="F847" t="s">
        <v>9304</v>
      </c>
      <c r="G847" t="str">
        <f>VLOOKUP($F847, codebooks_data_reordered!$A:$I, 2, FALSE)</f>
        <v>1973_2</v>
      </c>
      <c r="H847" t="str">
        <f>VLOOKUP($F847, codebooks_data_reordered!$A:$I, 3, FALSE)</f>
        <v>DO YOU AGREE WITH THE FOLLOWING STATEMENT</v>
      </c>
      <c r="I847" t="str">
        <f>VLOOKUP($F847, codebooks_data_reordered!$A:$I, 4, FALSE)</f>
        <v>2</v>
      </c>
      <c r="J847" t="str">
        <f>VLOOKUP($F847, codebooks_data_reordered!$A:$I, 5, FALSE)</f>
        <v>12</v>
      </c>
      <c r="K847" t="str">
        <f>VLOOKUP($F847, codebooks_data_reordered!$A:$I, 6, FALSE)</f>
        <v>Do you believe what the parties say during election campaign</v>
      </c>
      <c r="L847">
        <f>VLOOKUP($F847, codebooks_data_reordered!$A:$I, 7, FALSE)</f>
        <v>0</v>
      </c>
      <c r="M847" t="str">
        <f>VLOOKUP($F847, codebooks_data_reordered!$A:$I, 9, FALSE)</f>
        <v>0: No answer; 1: To a great extent; 2: To a certain extent; 3: To a small extent; 4: Not at all</v>
      </c>
      <c r="O847" s="2" t="str">
        <f t="shared" si="13"/>
        <v>0: No answer
 1: To a great extent
 2: To a certain extent
 3: To a small extent
 4: Not at all</v>
      </c>
    </row>
    <row r="848" spans="1:15" ht="230.4" hidden="1" x14ac:dyDescent="0.3">
      <c r="A848" t="s">
        <v>7738</v>
      </c>
      <c r="B848" t="s">
        <v>7823</v>
      </c>
      <c r="C848" s="2" t="s">
        <v>7824</v>
      </c>
      <c r="D848" t="s">
        <v>5843</v>
      </c>
      <c r="E848" s="2" t="s">
        <v>7825</v>
      </c>
      <c r="F848" t="s">
        <v>9305</v>
      </c>
      <c r="G848" t="e">
        <f>VLOOKUP($F848, codebooks_data_reordered!$A:$I, 2, FALSE)</f>
        <v>#N/A</v>
      </c>
      <c r="H848" t="e">
        <f>VLOOKUP($F848, codebooks_data_reordered!$A:$I, 3, FALSE)</f>
        <v>#N/A</v>
      </c>
      <c r="I848" t="e">
        <f>VLOOKUP($F848, codebooks_data_reordered!$A:$I, 4, FALSE)</f>
        <v>#N/A</v>
      </c>
      <c r="J848" t="e">
        <f>VLOOKUP($F848, codebooks_data_reordered!$A:$I, 5, FALSE)</f>
        <v>#N/A</v>
      </c>
      <c r="K848" t="e">
        <f>VLOOKUP($F848, codebooks_data_reordered!$A:$I, 6, FALSE)</f>
        <v>#N/A</v>
      </c>
      <c r="L848" t="e">
        <f>VLOOKUP($F848, codebooks_data_reordered!$A:$I, 7, FALSE)</f>
        <v>#N/A</v>
      </c>
      <c r="M848" t="e">
        <f>VLOOKUP($F848, codebooks_data_reordered!$A:$I, 9, FALSE)</f>
        <v>#N/A</v>
      </c>
      <c r="O848" t="e">
        <f t="shared" si="13"/>
        <v>#N/A</v>
      </c>
    </row>
    <row r="849" spans="1:15" ht="273.60000000000002" hidden="1" x14ac:dyDescent="0.3">
      <c r="A849" t="s">
        <v>7738</v>
      </c>
      <c r="B849" t="s">
        <v>7826</v>
      </c>
      <c r="C849" s="2" t="s">
        <v>7827</v>
      </c>
      <c r="D849" t="s">
        <v>5843</v>
      </c>
      <c r="E849" s="2" t="s">
        <v>7828</v>
      </c>
      <c r="F849" t="s">
        <v>9306</v>
      </c>
      <c r="G849" t="e">
        <f>VLOOKUP($F849, codebooks_data_reordered!$A:$I, 2, FALSE)</f>
        <v>#N/A</v>
      </c>
      <c r="H849" t="e">
        <f>VLOOKUP($F849, codebooks_data_reordered!$A:$I, 3, FALSE)</f>
        <v>#N/A</v>
      </c>
      <c r="I849" t="e">
        <f>VLOOKUP($F849, codebooks_data_reordered!$A:$I, 4, FALSE)</f>
        <v>#N/A</v>
      </c>
      <c r="J849" t="e">
        <f>VLOOKUP($F849, codebooks_data_reordered!$A:$I, 5, FALSE)</f>
        <v>#N/A</v>
      </c>
      <c r="K849" t="e">
        <f>VLOOKUP($F849, codebooks_data_reordered!$A:$I, 6, FALSE)</f>
        <v>#N/A</v>
      </c>
      <c r="L849" t="e">
        <f>VLOOKUP($F849, codebooks_data_reordered!$A:$I, 7, FALSE)</f>
        <v>#N/A</v>
      </c>
      <c r="M849" t="e">
        <f>VLOOKUP($F849, codebooks_data_reordered!$A:$I, 9, FALSE)</f>
        <v>#N/A</v>
      </c>
      <c r="O849" t="e">
        <f t="shared" si="13"/>
        <v>#N/A</v>
      </c>
    </row>
    <row r="850" spans="1:15" ht="302.39999999999998" hidden="1" x14ac:dyDescent="0.3">
      <c r="A850" t="s">
        <v>7738</v>
      </c>
      <c r="B850" t="s">
        <v>6125</v>
      </c>
      <c r="C850" s="2" t="s">
        <v>7829</v>
      </c>
      <c r="D850" t="s">
        <v>5843</v>
      </c>
      <c r="E850" s="2" t="s">
        <v>7830</v>
      </c>
      <c r="F850" t="s">
        <v>9307</v>
      </c>
      <c r="G850" t="e">
        <f>VLOOKUP($F850, codebooks_data_reordered!$A:$I, 2, FALSE)</f>
        <v>#N/A</v>
      </c>
      <c r="H850" t="e">
        <f>VLOOKUP($F850, codebooks_data_reordered!$A:$I, 3, FALSE)</f>
        <v>#N/A</v>
      </c>
      <c r="I850" t="e">
        <f>VLOOKUP($F850, codebooks_data_reordered!$A:$I, 4, FALSE)</f>
        <v>#N/A</v>
      </c>
      <c r="J850" t="e">
        <f>VLOOKUP($F850, codebooks_data_reordered!$A:$I, 5, FALSE)</f>
        <v>#N/A</v>
      </c>
      <c r="K850" t="e">
        <f>VLOOKUP($F850, codebooks_data_reordered!$A:$I, 6, FALSE)</f>
        <v>#N/A</v>
      </c>
      <c r="L850" t="e">
        <f>VLOOKUP($F850, codebooks_data_reordered!$A:$I, 7, FALSE)</f>
        <v>#N/A</v>
      </c>
      <c r="M850" t="e">
        <f>VLOOKUP($F850, codebooks_data_reordered!$A:$I, 9, FALSE)</f>
        <v>#N/A</v>
      </c>
      <c r="O850" t="e">
        <f t="shared" si="13"/>
        <v>#N/A</v>
      </c>
    </row>
    <row r="851" spans="1:15" ht="259.2" hidden="1" x14ac:dyDescent="0.3">
      <c r="A851" t="s">
        <v>7738</v>
      </c>
      <c r="B851" t="s">
        <v>7831</v>
      </c>
      <c r="C851" s="2" t="s">
        <v>7832</v>
      </c>
      <c r="D851" t="s">
        <v>5843</v>
      </c>
      <c r="E851" s="2" t="s">
        <v>7833</v>
      </c>
      <c r="F851" t="s">
        <v>9308</v>
      </c>
      <c r="G851" t="e">
        <f>VLOOKUP($F851, codebooks_data_reordered!$A:$I, 2, FALSE)</f>
        <v>#N/A</v>
      </c>
      <c r="H851" t="e">
        <f>VLOOKUP($F851, codebooks_data_reordered!$A:$I, 3, FALSE)</f>
        <v>#N/A</v>
      </c>
      <c r="I851" t="e">
        <f>VLOOKUP($F851, codebooks_data_reordered!$A:$I, 4, FALSE)</f>
        <v>#N/A</v>
      </c>
      <c r="J851" t="e">
        <f>VLOOKUP($F851, codebooks_data_reordered!$A:$I, 5, FALSE)</f>
        <v>#N/A</v>
      </c>
      <c r="K851" t="e">
        <f>VLOOKUP($F851, codebooks_data_reordered!$A:$I, 6, FALSE)</f>
        <v>#N/A</v>
      </c>
      <c r="L851" t="e">
        <f>VLOOKUP($F851, codebooks_data_reordered!$A:$I, 7, FALSE)</f>
        <v>#N/A</v>
      </c>
      <c r="M851" t="e">
        <f>VLOOKUP($F851, codebooks_data_reordered!$A:$I, 9, FALSE)</f>
        <v>#N/A</v>
      </c>
      <c r="O851" t="e">
        <f t="shared" si="13"/>
        <v>#N/A</v>
      </c>
    </row>
    <row r="852" spans="1:15" ht="374.4" hidden="1" x14ac:dyDescent="0.3">
      <c r="A852" t="s">
        <v>7738</v>
      </c>
      <c r="B852" t="s">
        <v>7834</v>
      </c>
      <c r="C852" s="2" t="s">
        <v>5895</v>
      </c>
      <c r="D852" t="s">
        <v>5896</v>
      </c>
      <c r="E852" s="2" t="s">
        <v>5897</v>
      </c>
      <c r="F852" t="s">
        <v>880</v>
      </c>
      <c r="G852" t="str">
        <f>VLOOKUP($F852, codebooks_data_reordered!$A:$I, 2, FALSE)</f>
        <v>2006</v>
      </c>
      <c r="H852" t="str">
        <f>VLOOKUP($F852, codebooks_data_reordered!$A:$I, 3, FALSE)</f>
        <v>Post-Election Survey</v>
      </c>
      <c r="I852" t="str">
        <f>VLOOKUP($F852, codebooks_data_reordered!$A:$I, 4, FALSE)</f>
        <v>1</v>
      </c>
      <c r="J852" t="str">
        <f>VLOOKUP($F852, codebooks_data_reordered!$A:$I, 5, FALSE)</f>
        <v>319-320</v>
      </c>
      <c r="K852" t="str">
        <f>VLOOKUP($F852, codebooks_data_reordered!$A:$I, 6, FALSE)</f>
        <v>List voted for in the last Knesset elections</v>
      </c>
      <c r="L852" t="str">
        <f>VLOOKUP($F852, codebooks_data_reordered!$A:$I, 7, FALSE)</f>
        <v>6. For which list did you vote in the last Knesset elections? (do not read answers)</v>
      </c>
      <c r="M852" t="str">
        <f>VLOOKUP($F852, codebooks_data_reordered!$A:$I, 9, FALSE)</f>
        <v>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v>
      </c>
      <c r="O852" s="2" t="str">
        <f t="shared" si="13"/>
        <v>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v>
      </c>
    </row>
    <row r="853" spans="1:15" ht="115.2" hidden="1" x14ac:dyDescent="0.3">
      <c r="A853" t="s">
        <v>7738</v>
      </c>
      <c r="B853" t="s">
        <v>7835</v>
      </c>
      <c r="C853" s="2" t="s">
        <v>7836</v>
      </c>
      <c r="D853" t="s">
        <v>5843</v>
      </c>
      <c r="E853" s="2" t="s">
        <v>7837</v>
      </c>
      <c r="F853" t="s">
        <v>9309</v>
      </c>
      <c r="G853" t="e">
        <f>VLOOKUP($F853, codebooks_data_reordered!$A:$I, 2, FALSE)</f>
        <v>#N/A</v>
      </c>
      <c r="H853" t="e">
        <f>VLOOKUP($F853, codebooks_data_reordered!$A:$I, 3, FALSE)</f>
        <v>#N/A</v>
      </c>
      <c r="I853" t="e">
        <f>VLOOKUP($F853, codebooks_data_reordered!$A:$I, 4, FALSE)</f>
        <v>#N/A</v>
      </c>
      <c r="J853" t="e">
        <f>VLOOKUP($F853, codebooks_data_reordered!$A:$I, 5, FALSE)</f>
        <v>#N/A</v>
      </c>
      <c r="K853" t="e">
        <f>VLOOKUP($F853, codebooks_data_reordered!$A:$I, 6, FALSE)</f>
        <v>#N/A</v>
      </c>
      <c r="L853" t="e">
        <f>VLOOKUP($F853, codebooks_data_reordered!$A:$I, 7, FALSE)</f>
        <v>#N/A</v>
      </c>
      <c r="M853" t="e">
        <f>VLOOKUP($F853, codebooks_data_reordered!$A:$I, 9, FALSE)</f>
        <v>#N/A</v>
      </c>
      <c r="O853" t="e">
        <f t="shared" si="13"/>
        <v>#N/A</v>
      </c>
    </row>
    <row r="854" spans="1:15" ht="115.2" hidden="1" x14ac:dyDescent="0.3">
      <c r="A854" t="s">
        <v>7738</v>
      </c>
      <c r="B854" t="s">
        <v>7838</v>
      </c>
      <c r="C854" s="2" t="s">
        <v>7839</v>
      </c>
      <c r="D854" t="s">
        <v>5843</v>
      </c>
      <c r="E854" s="2" t="s">
        <v>7840</v>
      </c>
      <c r="F854" t="s">
        <v>2153</v>
      </c>
      <c r="G854" t="str">
        <f>VLOOKUP($F854, codebooks_data_reordered!$A:$I, 2, FALSE)</f>
        <v>1999_1</v>
      </c>
      <c r="H854" t="str">
        <f>VLOOKUP($F854, codebooks_data_reordered!$A:$I, 3, FALSE)</f>
        <v>VOTING PATTERNS</v>
      </c>
      <c r="I854" t="str">
        <f>VLOOKUP($F854, codebooks_data_reordered!$A:$I, 4, FALSE)</f>
        <v>3</v>
      </c>
      <c r="J854" t="str">
        <f>VLOOKUP($F854, codebooks_data_reordered!$A:$I, 5, FALSE)</f>
        <v>13</v>
      </c>
      <c r="K854" t="str">
        <f>VLOOKUP($F854, codebooks_data_reordered!$A:$I, 6, FALSE)</f>
        <v>Direct election for PM's impact on the government system</v>
      </c>
      <c r="L854">
        <f>VLOOKUP($F854, codebooks_data_reordered!$A:$I, 7, FALSE)</f>
        <v>0</v>
      </c>
      <c r="M854" t="str">
        <f>VLOOKUP($F854, codebooks_data_reordered!$A:$I, 9, FALSE)</f>
        <v>1: Improves government system; 2: Makes it worse; 3: No change</v>
      </c>
      <c r="O854" s="2" t="str">
        <f t="shared" si="13"/>
        <v>1: Improves government system
 2: Makes it worse
 3: No change</v>
      </c>
    </row>
    <row r="855" spans="1:15" ht="172.8" hidden="1" x14ac:dyDescent="0.3">
      <c r="A855" t="s">
        <v>7738</v>
      </c>
      <c r="B855" t="s">
        <v>7841</v>
      </c>
      <c r="C855" s="2" t="s">
        <v>7842</v>
      </c>
      <c r="D855" t="s">
        <v>5843</v>
      </c>
      <c r="E855" s="2" t="s">
        <v>7843</v>
      </c>
      <c r="F855" t="s">
        <v>9310</v>
      </c>
      <c r="G855" t="e">
        <f>VLOOKUP($F855, codebooks_data_reordered!$A:$I, 2, FALSE)</f>
        <v>#N/A</v>
      </c>
      <c r="H855" t="e">
        <f>VLOOKUP($F855, codebooks_data_reordered!$A:$I, 3, FALSE)</f>
        <v>#N/A</v>
      </c>
      <c r="I855" t="e">
        <f>VLOOKUP($F855, codebooks_data_reordered!$A:$I, 4, FALSE)</f>
        <v>#N/A</v>
      </c>
      <c r="J855" t="e">
        <f>VLOOKUP($F855, codebooks_data_reordered!$A:$I, 5, FALSE)</f>
        <v>#N/A</v>
      </c>
      <c r="K855" t="e">
        <f>VLOOKUP($F855, codebooks_data_reordered!$A:$I, 6, FALSE)</f>
        <v>#N/A</v>
      </c>
      <c r="L855" t="e">
        <f>VLOOKUP($F855, codebooks_data_reordered!$A:$I, 7, FALSE)</f>
        <v>#N/A</v>
      </c>
      <c r="M855" t="e">
        <f>VLOOKUP($F855, codebooks_data_reordered!$A:$I, 9, FALSE)</f>
        <v>#N/A</v>
      </c>
      <c r="O855" t="e">
        <f t="shared" si="13"/>
        <v>#N/A</v>
      </c>
    </row>
    <row r="856" spans="1:15" ht="129.6" hidden="1" x14ac:dyDescent="0.3">
      <c r="A856" t="s">
        <v>7738</v>
      </c>
      <c r="B856" t="s">
        <v>7844</v>
      </c>
      <c r="C856" s="2" t="s">
        <v>7845</v>
      </c>
      <c r="D856" t="s">
        <v>5843</v>
      </c>
      <c r="E856" s="2" t="s">
        <v>7846</v>
      </c>
      <c r="F856" t="s">
        <v>9311</v>
      </c>
      <c r="G856" t="e">
        <f>VLOOKUP($F856, codebooks_data_reordered!$A:$I, 2, FALSE)</f>
        <v>#N/A</v>
      </c>
      <c r="H856" t="e">
        <f>VLOOKUP($F856, codebooks_data_reordered!$A:$I, 3, FALSE)</f>
        <v>#N/A</v>
      </c>
      <c r="I856" t="e">
        <f>VLOOKUP($F856, codebooks_data_reordered!$A:$I, 4, FALSE)</f>
        <v>#N/A</v>
      </c>
      <c r="J856" t="e">
        <f>VLOOKUP($F856, codebooks_data_reordered!$A:$I, 5, FALSE)</f>
        <v>#N/A</v>
      </c>
      <c r="K856" t="e">
        <f>VLOOKUP($F856, codebooks_data_reordered!$A:$I, 6, FALSE)</f>
        <v>#N/A</v>
      </c>
      <c r="L856" t="e">
        <f>VLOOKUP($F856, codebooks_data_reordered!$A:$I, 7, FALSE)</f>
        <v>#N/A</v>
      </c>
      <c r="M856" t="e">
        <f>VLOOKUP($F856, codebooks_data_reordered!$A:$I, 9, FALSE)</f>
        <v>#N/A</v>
      </c>
      <c r="O856" t="e">
        <f t="shared" si="13"/>
        <v>#N/A</v>
      </c>
    </row>
    <row r="857" spans="1:15" ht="230.4" hidden="1" x14ac:dyDescent="0.3">
      <c r="A857" t="s">
        <v>7738</v>
      </c>
      <c r="B857" t="s">
        <v>7847</v>
      </c>
      <c r="C857" s="2" t="s">
        <v>7848</v>
      </c>
      <c r="D857" t="s">
        <v>5843</v>
      </c>
      <c r="E857" s="2" t="s">
        <v>7849</v>
      </c>
      <c r="F857" t="s">
        <v>497</v>
      </c>
      <c r="G857" t="str">
        <f>VLOOKUP($F857, codebooks_data_reordered!$A:$I, 2, FALSE)</f>
        <v>2006</v>
      </c>
      <c r="H857" t="str">
        <f>VLOOKUP($F857, codebooks_data_reordered!$A:$I, 3, FALSE)</f>
        <v>Most/Less Suitable Characteristic of the Party</v>
      </c>
      <c r="I857" t="str">
        <f>VLOOKUP($F857, codebooks_data_reordered!$A:$I, 4, FALSE)</f>
        <v>1</v>
      </c>
      <c r="J857" t="str">
        <f>VLOOKUP($F857, codebooks_data_reordered!$A:$I, 5, FALSE)</f>
        <v>159</v>
      </c>
      <c r="K857" t="str">
        <f>VLOOKUP($F857, codebooks_data_reordered!$A:$I, 6, FALSE)</f>
        <v>Most suitable characteristic of the party: Will decrease social gaps</v>
      </c>
      <c r="L857" t="str">
        <f>VLOOKUP($F857,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857" t="str">
        <f>VLOOKUP($F857, codebooks_data_reordered!$A:$I, 9, FALSE)</f>
        <v>1: Most suitable Kadima; 2: Most suitable Likud; 3: Most suitable Avoda; 4: Suits all the same; 5: Doesn't suit any of them</v>
      </c>
      <c r="O857" s="2" t="str">
        <f t="shared" si="13"/>
        <v>1: Most suitable Kadima
 2: Most suitable Likud
 3: Most suitable Avoda
 4: Suits all the same
 5: Doesn't suit any of them</v>
      </c>
    </row>
    <row r="858" spans="1:15" ht="129.6" hidden="1" x14ac:dyDescent="0.3">
      <c r="A858" t="s">
        <v>7738</v>
      </c>
      <c r="B858" t="s">
        <v>7850</v>
      </c>
      <c r="C858" s="2" t="s">
        <v>7851</v>
      </c>
      <c r="D858" t="s">
        <v>5843</v>
      </c>
      <c r="E858" s="2" t="s">
        <v>7852</v>
      </c>
      <c r="F858" t="s">
        <v>3506</v>
      </c>
      <c r="G858" t="str">
        <f>VLOOKUP($F858, codebooks_data_reordered!$A:$I, 2, FALSE)</f>
        <v>1988_Panel_N=416</v>
      </c>
      <c r="H858" t="str">
        <f>VLOOKUP($F858, codebooks_data_reordered!$A:$I, 3, FALSE)</f>
        <v>FOR EACH OF THE FOLLOWING STATE TO WHICH PARTY IT SUITS THE MOST</v>
      </c>
      <c r="I858" t="str">
        <f>VLOOKUP($F858, codebooks_data_reordered!$A:$I, 4, FALSE)</f>
        <v>3</v>
      </c>
      <c r="J858" t="str">
        <f>VLOOKUP($F858, codebooks_data_reordered!$A:$I, 5, FALSE)</f>
        <v>104</v>
      </c>
      <c r="K858" t="str">
        <f>VLOOKUP($F858, codebooks_data_reordered!$A:$I, 6, FALSE)</f>
        <v>Party to retain necessary amount of territories</v>
      </c>
      <c r="L858">
        <f>VLOOKUP($F858, codebooks_data_reordered!$A:$I, 7, FALSE)</f>
        <v>0</v>
      </c>
      <c r="M858" t="str">
        <f>VLOOKUP($F858, codebooks_data_reordered!$A:$I, 9, FALSE)</f>
        <v>1: Suits Labor; 2: Suits Likud; 3: Both equally; 4: Neither</v>
      </c>
      <c r="O858" s="2" t="str">
        <f t="shared" si="13"/>
        <v>1: Suits Labor
 2: Suits Likud
 3: Both equally
 4: Neither</v>
      </c>
    </row>
    <row r="859" spans="1:15" ht="57.6" hidden="1" x14ac:dyDescent="0.3">
      <c r="A859" t="s">
        <v>7738</v>
      </c>
      <c r="B859" t="s">
        <v>7853</v>
      </c>
      <c r="C859" s="2" t="s">
        <v>7854</v>
      </c>
      <c r="D859" t="s">
        <v>5843</v>
      </c>
      <c r="E859" s="2" t="s">
        <v>7855</v>
      </c>
      <c r="F859" t="s">
        <v>2844</v>
      </c>
      <c r="G859" t="str">
        <f>VLOOKUP($F859, codebooks_data_reordered!$A:$I, 2, FALSE)</f>
        <v>1992</v>
      </c>
      <c r="H859">
        <f>VLOOKUP($F859, codebooks_data_reordered!$A:$I, 3, FALSE)</f>
        <v>0</v>
      </c>
      <c r="I859" t="str">
        <f>VLOOKUP($F859, codebooks_data_reordered!$A:$I, 4, FALSE)</f>
        <v>1</v>
      </c>
      <c r="J859" t="str">
        <f>VLOOKUP($F859, codebooks_data_reordered!$A:$I, 5, FALSE)</f>
        <v>117</v>
      </c>
      <c r="K859" t="str">
        <f>VLOOKUP($F859, codebooks_data_reordered!$A:$I, 6, FALSE)</f>
        <v>Decisive</v>
      </c>
      <c r="L859">
        <f>VLOOKUP($F859, codebooks_data_reordered!$A:$I, 7, FALSE)</f>
        <v>0</v>
      </c>
      <c r="M859" t="str">
        <f>VLOOKUP($F859, codebooks_data_reordered!$A:$I, 9, FALSE)</f>
        <v>1: Suits Yitzhak Shamir; 2: Suits Yitzhak Rabin; 3: Both leaders; 4: Neither</v>
      </c>
      <c r="O859" s="2" t="str">
        <f t="shared" si="13"/>
        <v>1: Suits Yitzhak Shamir
 2: Suits Yitzhak Rabin
 3: Both leaders
 4: Neither</v>
      </c>
    </row>
    <row r="860" spans="1:15" ht="43.2" hidden="1" x14ac:dyDescent="0.3">
      <c r="A860" t="s">
        <v>7738</v>
      </c>
      <c r="B860" t="s">
        <v>7856</v>
      </c>
      <c r="C860" s="2" t="s">
        <v>7857</v>
      </c>
      <c r="D860" t="s">
        <v>5843</v>
      </c>
      <c r="E860" s="2" t="s">
        <v>7858</v>
      </c>
      <c r="F860" t="s">
        <v>3078</v>
      </c>
      <c r="G860" t="str">
        <f>VLOOKUP($F860, codebooks_data_reordered!$A:$I, 2, FALSE)</f>
        <v>1988_Panel_N=416</v>
      </c>
      <c r="H860" t="str">
        <f>VLOOKUP($F860, codebooks_data_reordered!$A:$I, 3, FALSE)</f>
        <v>WHICH OF THE FOLLOWING IS A REASON FOR THE ARABS OBJECTING TO ISRAEL'S EXISTENCE</v>
      </c>
      <c r="I860" t="str">
        <f>VLOOKUP($F860, codebooks_data_reordered!$A:$I, 4, FALSE)</f>
        <v>1</v>
      </c>
      <c r="J860" t="str">
        <f>VLOOKUP($F860, codebooks_data_reordered!$A:$I, 5, FALSE)</f>
        <v>91</v>
      </c>
      <c r="K860" t="str">
        <f>VLOOKUP($F860, codebooks_data_reordered!$A:$I, 6, FALSE)</f>
        <v>Reason for the arabs objecting to Israels' existence:Israel is an alien element in the Middle East</v>
      </c>
      <c r="L860">
        <f>VLOOKUP($F860, codebooks_data_reordered!$A:$I, 7, FALSE)</f>
        <v>0</v>
      </c>
      <c r="M860" t="str">
        <f>VLOOKUP($F860, codebooks_data_reordered!$A:$I, 9, FALSE)</f>
        <v>1: Is a reason; 2: Is not a reason</v>
      </c>
      <c r="O860" s="2" t="str">
        <f t="shared" si="13"/>
        <v>1: Is a reason
 2: Is not a reason</v>
      </c>
    </row>
    <row r="861" spans="1:15" ht="331.2" hidden="1" x14ac:dyDescent="0.3">
      <c r="A861" t="s">
        <v>7738</v>
      </c>
      <c r="B861" t="s">
        <v>7859</v>
      </c>
      <c r="C861" s="2" t="s">
        <v>7860</v>
      </c>
      <c r="D861" t="s">
        <v>5843</v>
      </c>
      <c r="E861" s="2" t="s">
        <v>7861</v>
      </c>
      <c r="F861" t="s">
        <v>5374</v>
      </c>
      <c r="G861" t="str">
        <f>VLOOKUP($F861, codebooks_data_reordered!$A:$I, 2, FALSE)</f>
        <v>1973_5</v>
      </c>
      <c r="H861" t="str">
        <f>VLOOKUP($F861, codebooks_data_reordered!$A:$I, 3, FALSE)</f>
        <v>POLITICAL LEADERS AND HOW INTERVIEWEE RELATES TO THEM, HOW IMPORTANT THIS FACTOR WAS TO INTERVIEWEE'S VOTE</v>
      </c>
      <c r="I861" t="str">
        <f>VLOOKUP($F861, codebooks_data_reordered!$A:$I, 4, FALSE)</f>
        <v>1</v>
      </c>
      <c r="J861" t="str">
        <f>VLOOKUP($F861, codebooks_data_reordered!$A:$I, 5, FALSE)</f>
        <v>37</v>
      </c>
      <c r="K861" t="str">
        <f>VLOOKUP($F861, codebooks_data_reordered!$A:$I, 6, FALSE)</f>
        <v>To what extent interviewee believes a peace agreement with the Arabs is possible within the next few years</v>
      </c>
      <c r="L861">
        <f>VLOOKUP($F861, codebooks_data_reordered!$A:$I, 7, FALSE)</f>
        <v>0</v>
      </c>
      <c r="M861" t="str">
        <f>VLOOKUP($F861, codebooks_data_reordered!$A:$I, 9, FALSE)</f>
        <v>1: To a great extent; 2: To a certain extent; 3: To a small extent; 4: Not at all</v>
      </c>
      <c r="O861" s="2" t="str">
        <f t="shared" si="13"/>
        <v>1: To a great extent
 2: To a certain extent
 3: To a small extent
 4: Not at all</v>
      </c>
    </row>
    <row r="862" spans="1:15" ht="172.8" hidden="1" x14ac:dyDescent="0.3">
      <c r="A862" t="s">
        <v>7738</v>
      </c>
      <c r="B862" t="s">
        <v>7862</v>
      </c>
      <c r="C862" s="2" t="s">
        <v>7863</v>
      </c>
      <c r="D862" t="s">
        <v>5843</v>
      </c>
      <c r="E862" s="2" t="s">
        <v>7864</v>
      </c>
      <c r="F862" t="s">
        <v>3665</v>
      </c>
      <c r="G862" t="str">
        <f>VLOOKUP($F862, codebooks_data_reordered!$A:$I, 2, FALSE)</f>
        <v>1988_N=873</v>
      </c>
      <c r="H862" t="str">
        <f>VLOOKUP($F862, codebooks_data_reordered!$A:$I, 3, FALSE)</f>
        <v>ISRAEL'S CAPABILITY OF COPING WITH VARIOUS SITUATIONS</v>
      </c>
      <c r="I862" t="str">
        <f>VLOOKUP($F862, codebooks_data_reordered!$A:$I, 4, FALSE)</f>
        <v>1</v>
      </c>
      <c r="J862" t="str">
        <f>VLOOKUP($F862, codebooks_data_reordered!$A:$I, 5, FALSE)</f>
        <v>29</v>
      </c>
      <c r="K862" t="str">
        <f>VLOOKUP($F862, codebooks_data_reordered!$A:$I, 6, FALSE)</f>
        <v>Increase of terrorist activity</v>
      </c>
      <c r="L862">
        <f>VLOOKUP($F862, codebooks_data_reordered!$A:$I, 7, FALSE)</f>
        <v>0</v>
      </c>
      <c r="M862" t="str">
        <f>VLOOKUP($F862, codebooks_data_reordered!$A:$I, 9, FALSE)</f>
        <v>1: Capable; 2: Incapable</v>
      </c>
      <c r="O862" s="2" t="str">
        <f t="shared" si="13"/>
        <v>1: Capable
 2: Incapable</v>
      </c>
    </row>
    <row r="863" spans="1:15" ht="259.2" hidden="1" x14ac:dyDescent="0.3">
      <c r="A863" t="s">
        <v>7738</v>
      </c>
      <c r="B863" t="s">
        <v>7865</v>
      </c>
      <c r="C863" s="2" t="s">
        <v>7866</v>
      </c>
      <c r="D863" t="s">
        <v>5843</v>
      </c>
      <c r="E863" s="2" t="s">
        <v>7867</v>
      </c>
      <c r="F863" t="s">
        <v>512</v>
      </c>
      <c r="G863" t="str">
        <f>VLOOKUP($F863, codebooks_data_reordered!$A:$I, 2, FALSE)</f>
        <v>2006</v>
      </c>
      <c r="H863" t="str">
        <f>VLOOKUP($F863, codebooks_data_reordered!$A:$I, 3, FALSE)</f>
        <v>Most/Less Suitable Characteristic of the Party</v>
      </c>
      <c r="I863" t="str">
        <f>VLOOKUP($F863, codebooks_data_reordered!$A:$I, 4, FALSE)</f>
        <v>1</v>
      </c>
      <c r="J863" t="str">
        <f>VLOOKUP($F863, codebooks_data_reordered!$A:$I, 5, FALSE)</f>
        <v>163</v>
      </c>
      <c r="K863" t="str">
        <f>VLOOKUP($F863, codebooks_data_reordered!$A:$I, 6, FALSE)</f>
        <v>Most suitable characteristic of the party: Reliable</v>
      </c>
      <c r="L863" t="str">
        <f>VLOOKUP($F863,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863" t="str">
        <f>VLOOKUP($F863, codebooks_data_reordered!$A:$I, 9, FALSE)</f>
        <v>1: Olmert; 2: Netanyahu; 3: Peretz; 4: All; 5: None</v>
      </c>
      <c r="O863" s="2" t="str">
        <f t="shared" si="13"/>
        <v>1: Olmert
 2: Netanyahu
 3: Peretz
 4: All
 5: None</v>
      </c>
    </row>
    <row r="864" spans="1:15" ht="409.6" hidden="1" x14ac:dyDescent="0.3">
      <c r="A864" t="s">
        <v>7868</v>
      </c>
      <c r="B864" t="s">
        <v>7869</v>
      </c>
      <c r="C864" s="2" t="s">
        <v>7870</v>
      </c>
      <c r="D864" t="s">
        <v>5843</v>
      </c>
      <c r="E864" s="2" t="s">
        <v>7871</v>
      </c>
      <c r="F864" t="s">
        <v>9312</v>
      </c>
      <c r="G864" t="str">
        <f>VLOOKUP($F864, codebooks_data_reordered!$A:$I, 2, FALSE)</f>
        <v>1988_N=873</v>
      </c>
      <c r="H864">
        <f>VLOOKUP($F864, codebooks_data_reordered!$A:$I, 3, FALSE)</f>
        <v>0</v>
      </c>
      <c r="I864" t="str">
        <f>VLOOKUP($F864, codebooks_data_reordered!$A:$I, 4, FALSE)</f>
        <v>1</v>
      </c>
      <c r="J864" t="str">
        <f>VLOOKUP($F864, codebooks_data_reordered!$A:$I, 5, FALSE)</f>
        <v>1</v>
      </c>
      <c r="K864" t="str">
        <f>VLOOKUP($F864, codebooks_data_reordered!$A:$I, 6, FALSE)</f>
        <v>General situation in Israel today</v>
      </c>
      <c r="L864">
        <f>VLOOKUP($F864, codebooks_data_reordered!$A:$I, 7, FALSE)</f>
        <v>0</v>
      </c>
      <c r="M864" t="str">
        <f>VLOOKUP($F864, codebooks_data_reordered!$A:$I, 9, FALSE)</f>
        <v>1: Very good; 2: Good; 3: Not so good; 4: Not good; 5: Bad</v>
      </c>
      <c r="O864" s="2" t="str">
        <f t="shared" si="13"/>
        <v>1: Very good
 2: Good
 3: Not so good
 4: Not good
 5: Bad</v>
      </c>
    </row>
    <row r="865" spans="1:15" ht="409.6" hidden="1" x14ac:dyDescent="0.3">
      <c r="A865" t="s">
        <v>7868</v>
      </c>
      <c r="B865" t="s">
        <v>6206</v>
      </c>
      <c r="C865" s="2" t="s">
        <v>7872</v>
      </c>
      <c r="D865" t="s">
        <v>5843</v>
      </c>
      <c r="E865" s="2" t="s">
        <v>7873</v>
      </c>
      <c r="F865" t="s">
        <v>9313</v>
      </c>
      <c r="G865" t="e">
        <f>VLOOKUP($F865, codebooks_data_reordered!$A:$I, 2, FALSE)</f>
        <v>#N/A</v>
      </c>
      <c r="H865" t="e">
        <f>VLOOKUP($F865, codebooks_data_reordered!$A:$I, 3, FALSE)</f>
        <v>#N/A</v>
      </c>
      <c r="I865" t="e">
        <f>VLOOKUP($F865, codebooks_data_reordered!$A:$I, 4, FALSE)</f>
        <v>#N/A</v>
      </c>
      <c r="J865" t="e">
        <f>VLOOKUP($F865, codebooks_data_reordered!$A:$I, 5, FALSE)</f>
        <v>#N/A</v>
      </c>
      <c r="K865" t="e">
        <f>VLOOKUP($F865, codebooks_data_reordered!$A:$I, 6, FALSE)</f>
        <v>#N/A</v>
      </c>
      <c r="L865" t="e">
        <f>VLOOKUP($F865, codebooks_data_reordered!$A:$I, 7, FALSE)</f>
        <v>#N/A</v>
      </c>
      <c r="M865" t="e">
        <f>VLOOKUP($F865, codebooks_data_reordered!$A:$I, 9, FALSE)</f>
        <v>#N/A</v>
      </c>
      <c r="O865" t="e">
        <f t="shared" si="13"/>
        <v>#N/A</v>
      </c>
    </row>
    <row r="866" spans="1:15" ht="316.8" hidden="1" x14ac:dyDescent="0.3">
      <c r="A866" t="s">
        <v>7868</v>
      </c>
      <c r="B866" t="s">
        <v>7874</v>
      </c>
      <c r="C866" s="2" t="s">
        <v>7875</v>
      </c>
      <c r="D866" t="s">
        <v>5843</v>
      </c>
      <c r="E866" s="2" t="s">
        <v>7876</v>
      </c>
      <c r="F866" t="s">
        <v>9314</v>
      </c>
      <c r="G866" t="e">
        <f>VLOOKUP($F866, codebooks_data_reordered!$A:$I, 2, FALSE)</f>
        <v>#N/A</v>
      </c>
      <c r="H866" t="e">
        <f>VLOOKUP($F866, codebooks_data_reordered!$A:$I, 3, FALSE)</f>
        <v>#N/A</v>
      </c>
      <c r="I866" t="e">
        <f>VLOOKUP($F866, codebooks_data_reordered!$A:$I, 4, FALSE)</f>
        <v>#N/A</v>
      </c>
      <c r="J866" t="e">
        <f>VLOOKUP($F866, codebooks_data_reordered!$A:$I, 5, FALSE)</f>
        <v>#N/A</v>
      </c>
      <c r="K866" t="e">
        <f>VLOOKUP($F866, codebooks_data_reordered!$A:$I, 6, FALSE)</f>
        <v>#N/A</v>
      </c>
      <c r="L866" t="e">
        <f>VLOOKUP($F866, codebooks_data_reordered!$A:$I, 7, FALSE)</f>
        <v>#N/A</v>
      </c>
      <c r="M866" t="e">
        <f>VLOOKUP($F866, codebooks_data_reordered!$A:$I, 9, FALSE)</f>
        <v>#N/A</v>
      </c>
      <c r="O866" t="e">
        <f t="shared" si="13"/>
        <v>#N/A</v>
      </c>
    </row>
    <row r="867" spans="1:15" ht="345.6" hidden="1" x14ac:dyDescent="0.3">
      <c r="A867" t="s">
        <v>7868</v>
      </c>
      <c r="B867" t="s">
        <v>6615</v>
      </c>
      <c r="C867" s="2" t="s">
        <v>7877</v>
      </c>
      <c r="D867" t="s">
        <v>5843</v>
      </c>
      <c r="E867" s="2" t="s">
        <v>7878</v>
      </c>
      <c r="F867" t="s">
        <v>9315</v>
      </c>
      <c r="G867" t="e">
        <f>VLOOKUP($F867, codebooks_data_reordered!$A:$I, 2, FALSE)</f>
        <v>#N/A</v>
      </c>
      <c r="H867" t="e">
        <f>VLOOKUP($F867, codebooks_data_reordered!$A:$I, 3, FALSE)</f>
        <v>#N/A</v>
      </c>
      <c r="I867" t="e">
        <f>VLOOKUP($F867, codebooks_data_reordered!$A:$I, 4, FALSE)</f>
        <v>#N/A</v>
      </c>
      <c r="J867" t="e">
        <f>VLOOKUP($F867, codebooks_data_reordered!$A:$I, 5, FALSE)</f>
        <v>#N/A</v>
      </c>
      <c r="K867" t="e">
        <f>VLOOKUP($F867, codebooks_data_reordered!$A:$I, 6, FALSE)</f>
        <v>#N/A</v>
      </c>
      <c r="L867" t="e">
        <f>VLOOKUP($F867, codebooks_data_reordered!$A:$I, 7, FALSE)</f>
        <v>#N/A</v>
      </c>
      <c r="M867" t="e">
        <f>VLOOKUP($F867, codebooks_data_reordered!$A:$I, 9, FALSE)</f>
        <v>#N/A</v>
      </c>
      <c r="O867" t="e">
        <f t="shared" si="13"/>
        <v>#N/A</v>
      </c>
    </row>
    <row r="868" spans="1:15" ht="288" hidden="1" x14ac:dyDescent="0.3">
      <c r="A868" t="s">
        <v>7868</v>
      </c>
      <c r="B868" t="s">
        <v>6758</v>
      </c>
      <c r="C868" s="2" t="s">
        <v>7879</v>
      </c>
      <c r="D868" t="s">
        <v>5843</v>
      </c>
      <c r="E868" s="2" t="s">
        <v>7880</v>
      </c>
      <c r="F868" t="s">
        <v>9316</v>
      </c>
      <c r="G868" t="e">
        <f>VLOOKUP($F868, codebooks_data_reordered!$A:$I, 2, FALSE)</f>
        <v>#N/A</v>
      </c>
      <c r="H868" t="e">
        <f>VLOOKUP($F868, codebooks_data_reordered!$A:$I, 3, FALSE)</f>
        <v>#N/A</v>
      </c>
      <c r="I868" t="e">
        <f>VLOOKUP($F868, codebooks_data_reordered!$A:$I, 4, FALSE)</f>
        <v>#N/A</v>
      </c>
      <c r="J868" t="e">
        <f>VLOOKUP($F868, codebooks_data_reordered!$A:$I, 5, FALSE)</f>
        <v>#N/A</v>
      </c>
      <c r="K868" t="e">
        <f>VLOOKUP($F868, codebooks_data_reordered!$A:$I, 6, FALSE)</f>
        <v>#N/A</v>
      </c>
      <c r="L868" t="e">
        <f>VLOOKUP($F868, codebooks_data_reordered!$A:$I, 7, FALSE)</f>
        <v>#N/A</v>
      </c>
      <c r="M868" t="e">
        <f>VLOOKUP($F868, codebooks_data_reordered!$A:$I, 9, FALSE)</f>
        <v>#N/A</v>
      </c>
      <c r="O868" t="e">
        <f t="shared" si="13"/>
        <v>#N/A</v>
      </c>
    </row>
    <row r="869" spans="1:15" ht="201.6" hidden="1" x14ac:dyDescent="0.3">
      <c r="A869" t="s">
        <v>7868</v>
      </c>
      <c r="B869" t="s">
        <v>6914</v>
      </c>
      <c r="C869" s="2" t="s">
        <v>7881</v>
      </c>
      <c r="D869" t="s">
        <v>5843</v>
      </c>
      <c r="E869" s="2" t="s">
        <v>7882</v>
      </c>
      <c r="F869" t="s">
        <v>9317</v>
      </c>
      <c r="G869" t="e">
        <f>VLOOKUP($F869, codebooks_data_reordered!$A:$I, 2, FALSE)</f>
        <v>#N/A</v>
      </c>
      <c r="H869" t="e">
        <f>VLOOKUP($F869, codebooks_data_reordered!$A:$I, 3, FALSE)</f>
        <v>#N/A</v>
      </c>
      <c r="I869" t="e">
        <f>VLOOKUP($F869, codebooks_data_reordered!$A:$I, 4, FALSE)</f>
        <v>#N/A</v>
      </c>
      <c r="J869" t="e">
        <f>VLOOKUP($F869, codebooks_data_reordered!$A:$I, 5, FALSE)</f>
        <v>#N/A</v>
      </c>
      <c r="K869" t="e">
        <f>VLOOKUP($F869, codebooks_data_reordered!$A:$I, 6, FALSE)</f>
        <v>#N/A</v>
      </c>
      <c r="L869" t="e">
        <f>VLOOKUP($F869, codebooks_data_reordered!$A:$I, 7, FALSE)</f>
        <v>#N/A</v>
      </c>
      <c r="M869" t="e">
        <f>VLOOKUP($F869, codebooks_data_reordered!$A:$I, 9, FALSE)</f>
        <v>#N/A</v>
      </c>
      <c r="O869" t="e">
        <f t="shared" si="13"/>
        <v>#N/A</v>
      </c>
    </row>
    <row r="870" spans="1:15" ht="187.2" hidden="1" x14ac:dyDescent="0.3">
      <c r="A870" t="s">
        <v>7868</v>
      </c>
      <c r="B870" t="s">
        <v>6212</v>
      </c>
      <c r="C870" s="2" t="s">
        <v>7883</v>
      </c>
      <c r="D870" t="s">
        <v>5843</v>
      </c>
      <c r="E870" s="2" t="s">
        <v>7884</v>
      </c>
      <c r="F870" t="s">
        <v>929</v>
      </c>
      <c r="G870" t="str">
        <f>VLOOKUP($F870, codebooks_data_reordered!$A:$I, 2, FALSE)</f>
        <v>2006</v>
      </c>
      <c r="H870" t="str">
        <f>VLOOKUP($F870, codebooks_data_reordered!$A:$I, 3, FALSE)</f>
        <v>Reason for not Vote</v>
      </c>
      <c r="I870" t="str">
        <f>VLOOKUP($F870, codebooks_data_reordered!$A:$I, 4, FALSE)</f>
        <v>1</v>
      </c>
      <c r="J870" t="str">
        <f>VLOOKUP($F870, codebooks_data_reordered!$A:$I, 5, FALSE)</f>
        <v>333</v>
      </c>
      <c r="K870" t="str">
        <f>VLOOKUP($F870, codebooks_data_reordered!$A:$I, 6, FALSE)</f>
        <v>Reason for not voted: People don't care, they're apathetic</v>
      </c>
      <c r="L870" t="str">
        <f>VLOOKUP($F870, codebooks_data_reordered!$A:$I, 7, FALSE)</f>
        <v>In the last elections many fewer voters participated than in the past. I will list a number of possible reasons for this and I will ask you to tell me how important or unimportant each of these reasons is to explain why people did not vote. 20. People don't care, they're apathetic</v>
      </c>
      <c r="M870" t="str">
        <f>VLOOKUP($F870, codebooks_data_reordered!$A:$I, 9, FALSE)</f>
        <v>1: Extremely not important; 2: Not important; 3: Not certain; 4: Important; 5: Very important</v>
      </c>
      <c r="O870" s="2" t="str">
        <f t="shared" si="13"/>
        <v>1: Extremely not important
 2: Not important
 3: Not certain
 4: Important
 5: Very important</v>
      </c>
    </row>
    <row r="871" spans="1:15" ht="115.2" hidden="1" x14ac:dyDescent="0.3">
      <c r="A871" t="s">
        <v>7868</v>
      </c>
      <c r="B871" t="s">
        <v>6215</v>
      </c>
      <c r="C871" s="2" t="s">
        <v>7885</v>
      </c>
      <c r="D871" t="s">
        <v>5843</v>
      </c>
      <c r="E871" s="2" t="s">
        <v>7886</v>
      </c>
      <c r="F871" t="s">
        <v>9318</v>
      </c>
      <c r="G871" t="e">
        <f>VLOOKUP($F871, codebooks_data_reordered!$A:$I, 2, FALSE)</f>
        <v>#N/A</v>
      </c>
      <c r="H871" t="e">
        <f>VLOOKUP($F871, codebooks_data_reordered!$A:$I, 3, FALSE)</f>
        <v>#N/A</v>
      </c>
      <c r="I871" t="e">
        <f>VLOOKUP($F871, codebooks_data_reordered!$A:$I, 4, FALSE)</f>
        <v>#N/A</v>
      </c>
      <c r="J871" t="e">
        <f>VLOOKUP($F871, codebooks_data_reordered!$A:$I, 5, FALSE)</f>
        <v>#N/A</v>
      </c>
      <c r="K871" t="e">
        <f>VLOOKUP($F871, codebooks_data_reordered!$A:$I, 6, FALSE)</f>
        <v>#N/A</v>
      </c>
      <c r="L871" t="e">
        <f>VLOOKUP($F871, codebooks_data_reordered!$A:$I, 7, FALSE)</f>
        <v>#N/A</v>
      </c>
      <c r="M871" t="e">
        <f>VLOOKUP($F871, codebooks_data_reordered!$A:$I, 9, FALSE)</f>
        <v>#N/A</v>
      </c>
      <c r="O871" t="e">
        <f t="shared" si="13"/>
        <v>#N/A</v>
      </c>
    </row>
    <row r="872" spans="1:15" ht="72" hidden="1" x14ac:dyDescent="0.3">
      <c r="A872" t="s">
        <v>7868</v>
      </c>
      <c r="B872" t="s">
        <v>6220</v>
      </c>
      <c r="C872" s="2" t="s">
        <v>7887</v>
      </c>
      <c r="D872" t="s">
        <v>5843</v>
      </c>
      <c r="E872" s="2" t="s">
        <v>7888</v>
      </c>
      <c r="F872" t="s">
        <v>913</v>
      </c>
      <c r="G872" t="str">
        <f>VLOOKUP($F872, codebooks_data_reordered!$A:$I, 2, FALSE)</f>
        <v>2006</v>
      </c>
      <c r="H872" t="str">
        <f>VLOOKUP($F872, codebooks_data_reordered!$A:$I, 3, FALSE)</f>
        <v>Reason for not Vote</v>
      </c>
      <c r="I872" t="str">
        <f>VLOOKUP($F872, codebooks_data_reordered!$A:$I, 4, FALSE)</f>
        <v>1</v>
      </c>
      <c r="J872" t="str">
        <f>VLOOKUP($F872, codebooks_data_reordered!$A:$I, 5, FALSE)</f>
        <v>329</v>
      </c>
      <c r="K872" t="str">
        <f>VLOOKUP($F872, codebooks_data_reordered!$A:$I, 6, FALSE)</f>
        <v>Reason for not voted: It was clear who would win</v>
      </c>
      <c r="L872" t="str">
        <f>VLOOKUP($F872, codebooks_data_reordered!$A:$I, 7, FALSE)</f>
        <v>In the last elections many fewer voters participated than in the past. I will list a number of possible reasons for this and I will ask you to tell me how important or unimportant each of these reasons is to explain why people did not vote. 16. It was clear who would win</v>
      </c>
      <c r="M872" t="str">
        <f>VLOOKUP($F872, codebooks_data_reordered!$A:$I, 9, FALSE)</f>
        <v>1: Extremely not important; 2: Not important; 3: Not certain; 4: Important; 5: Very important</v>
      </c>
      <c r="O872" s="2" t="str">
        <f t="shared" si="13"/>
        <v>1: Extremely not important
 2: Not important
 3: Not certain
 4: Important
 5: Very important</v>
      </c>
    </row>
    <row r="873" spans="1:15" ht="72" hidden="1" x14ac:dyDescent="0.3">
      <c r="A873" t="s">
        <v>7868</v>
      </c>
      <c r="B873" t="s">
        <v>7889</v>
      </c>
      <c r="C873" s="2" t="s">
        <v>7890</v>
      </c>
      <c r="D873" t="s">
        <v>5843</v>
      </c>
      <c r="E873" s="2" t="s">
        <v>7891</v>
      </c>
      <c r="F873" t="s">
        <v>947</v>
      </c>
      <c r="G873" t="str">
        <f>VLOOKUP($F873, codebooks_data_reordered!$A:$I, 2, FALSE)</f>
        <v>2006</v>
      </c>
      <c r="H873" t="str">
        <f>VLOOKUP($F873, codebooks_data_reordered!$A:$I, 3, FALSE)</f>
        <v>Reason for not Vote</v>
      </c>
      <c r="I873" t="str">
        <f>VLOOKUP($F873, codebooks_data_reordered!$A:$I, 4, FALSE)</f>
        <v>1</v>
      </c>
      <c r="J873" t="str">
        <f>VLOOKUP($F873, codebooks_data_reordered!$A:$I, 5, FALSE)</f>
        <v>338</v>
      </c>
      <c r="K873" t="str">
        <f>VLOOKUP($F873, codebooks_data_reordered!$A:$I, 6, FALSE)</f>
        <v>Elections were about: Corruption of the politicians</v>
      </c>
      <c r="L873" t="str">
        <f>VLOOKUP($F873, codebooks_data_reordered!$A:$I, 7, FALSE)</f>
        <v>25. About the corruption of the politicians</v>
      </c>
      <c r="M873" t="str">
        <f>VLOOKUP($F873, codebooks_data_reordered!$A:$I, 9, FALSE)</f>
        <v>1: Strongly disagree; 2: Disagree; 3: Not certain; 4: Agree; 5: Strongly agree</v>
      </c>
      <c r="O873" s="2" t="str">
        <f t="shared" si="13"/>
        <v>1: Strongly disagree
 2: Disagree
 3: Not certain
 4: Agree
 5: Strongly agree</v>
      </c>
    </row>
    <row r="874" spans="1:15" ht="72" hidden="1" x14ac:dyDescent="0.3">
      <c r="A874" t="s">
        <v>7868</v>
      </c>
      <c r="B874" t="s">
        <v>7892</v>
      </c>
      <c r="C874" s="2" t="s">
        <v>7893</v>
      </c>
      <c r="D874" t="s">
        <v>5843</v>
      </c>
      <c r="E874" s="2" t="s">
        <v>7894</v>
      </c>
      <c r="F874" t="s">
        <v>9319</v>
      </c>
      <c r="G874" t="e">
        <f>VLOOKUP($F874, codebooks_data_reordered!$A:$I, 2, FALSE)</f>
        <v>#N/A</v>
      </c>
      <c r="H874" t="e">
        <f>VLOOKUP($F874, codebooks_data_reordered!$A:$I, 3, FALSE)</f>
        <v>#N/A</v>
      </c>
      <c r="I874" t="e">
        <f>VLOOKUP($F874, codebooks_data_reordered!$A:$I, 4, FALSE)</f>
        <v>#N/A</v>
      </c>
      <c r="J874" t="e">
        <f>VLOOKUP($F874, codebooks_data_reordered!$A:$I, 5, FALSE)</f>
        <v>#N/A</v>
      </c>
      <c r="K874" t="e">
        <f>VLOOKUP($F874, codebooks_data_reordered!$A:$I, 6, FALSE)</f>
        <v>#N/A</v>
      </c>
      <c r="L874" t="e">
        <f>VLOOKUP($F874, codebooks_data_reordered!$A:$I, 7, FALSE)</f>
        <v>#N/A</v>
      </c>
      <c r="M874" t="e">
        <f>VLOOKUP($F874, codebooks_data_reordered!$A:$I, 9, FALSE)</f>
        <v>#N/A</v>
      </c>
      <c r="O874" t="e">
        <f t="shared" si="13"/>
        <v>#N/A</v>
      </c>
    </row>
    <row r="875" spans="1:15" ht="43.2" hidden="1" x14ac:dyDescent="0.3">
      <c r="A875" t="s">
        <v>7868</v>
      </c>
      <c r="B875" t="s">
        <v>6658</v>
      </c>
      <c r="C875" s="2" t="s">
        <v>7895</v>
      </c>
      <c r="D875" t="s">
        <v>5986</v>
      </c>
      <c r="E875" s="2" t="s">
        <v>7896</v>
      </c>
      <c r="F875" t="s">
        <v>9320</v>
      </c>
      <c r="G875" t="e">
        <f>VLOOKUP($F875, codebooks_data_reordered!$A:$I, 2, FALSE)</f>
        <v>#N/A</v>
      </c>
      <c r="H875" t="e">
        <f>VLOOKUP($F875, codebooks_data_reordered!$A:$I, 3, FALSE)</f>
        <v>#N/A</v>
      </c>
      <c r="I875" t="e">
        <f>VLOOKUP($F875, codebooks_data_reordered!$A:$I, 4, FALSE)</f>
        <v>#N/A</v>
      </c>
      <c r="J875" t="e">
        <f>VLOOKUP($F875, codebooks_data_reordered!$A:$I, 5, FALSE)</f>
        <v>#N/A</v>
      </c>
      <c r="K875" t="e">
        <f>VLOOKUP($F875, codebooks_data_reordered!$A:$I, 6, FALSE)</f>
        <v>#N/A</v>
      </c>
      <c r="L875" t="e">
        <f>VLOOKUP($F875, codebooks_data_reordered!$A:$I, 7, FALSE)</f>
        <v>#N/A</v>
      </c>
      <c r="M875" t="e">
        <f>VLOOKUP($F875, codebooks_data_reordered!$A:$I, 9, FALSE)</f>
        <v>#N/A</v>
      </c>
      <c r="O875" t="e">
        <f t="shared" si="13"/>
        <v>#N/A</v>
      </c>
    </row>
    <row r="876" spans="1:15" ht="72" hidden="1" x14ac:dyDescent="0.3">
      <c r="A876" t="s">
        <v>7868</v>
      </c>
      <c r="B876" t="s">
        <v>7897</v>
      </c>
      <c r="C876" s="2" t="s">
        <v>7898</v>
      </c>
      <c r="D876" t="s">
        <v>5986</v>
      </c>
      <c r="E876" s="2" t="s">
        <v>7899</v>
      </c>
      <c r="F876" t="s">
        <v>943</v>
      </c>
      <c r="G876" t="str">
        <f>VLOOKUP($F876, codebooks_data_reordered!$A:$I, 2, FALSE)</f>
        <v>2006</v>
      </c>
      <c r="H876" t="str">
        <f>VLOOKUP($F876, codebooks_data_reordered!$A:$I, 3, FALSE)</f>
        <v>Reason for not Vote</v>
      </c>
      <c r="I876" t="str">
        <f>VLOOKUP($F876, codebooks_data_reordered!$A:$I, 4, FALSE)</f>
        <v>1</v>
      </c>
      <c r="J876" t="str">
        <f>VLOOKUP($F876, codebooks_data_reordered!$A:$I, 5, FALSE)</f>
        <v>337</v>
      </c>
      <c r="K876" t="str">
        <f>VLOOKUP($F876, codebooks_data_reordered!$A:$I, 6, FALSE)</f>
        <v>Disengagement plan and the future of the settlements in the territories</v>
      </c>
      <c r="L876" t="str">
        <f>VLOOKUP($F876, codebooks_data_reordered!$A:$I, 7, FALSE)</f>
        <v>24. About the disengagement plan and the future of the settlements in the territories</v>
      </c>
      <c r="M876" t="str">
        <f>VLOOKUP($F876, codebooks_data_reordered!$A:$I, 9, FALSE)</f>
        <v>1: Strongly disagree; 2: Disagree; 3: Not certain; 4: Agree; 5: Strongly agree</v>
      </c>
      <c r="O876" s="2" t="str">
        <f t="shared" si="13"/>
        <v>1: Strongly disagree
 2: Disagree
 3: Not certain
 4: Agree
 5: Strongly agree</v>
      </c>
    </row>
    <row r="877" spans="1:15" ht="86.4" hidden="1" x14ac:dyDescent="0.3">
      <c r="A877" t="s">
        <v>7868</v>
      </c>
      <c r="B877" t="s">
        <v>7900</v>
      </c>
      <c r="C877" s="2" t="s">
        <v>7901</v>
      </c>
      <c r="D877" t="s">
        <v>5843</v>
      </c>
      <c r="E877" s="2" t="s">
        <v>7902</v>
      </c>
      <c r="F877" t="s">
        <v>9321</v>
      </c>
      <c r="G877" t="e">
        <f>VLOOKUP($F877, codebooks_data_reordered!$A:$I, 2, FALSE)</f>
        <v>#N/A</v>
      </c>
      <c r="H877" t="e">
        <f>VLOOKUP($F877, codebooks_data_reordered!$A:$I, 3, FALSE)</f>
        <v>#N/A</v>
      </c>
      <c r="I877" t="e">
        <f>VLOOKUP($F877, codebooks_data_reordered!$A:$I, 4, FALSE)</f>
        <v>#N/A</v>
      </c>
      <c r="J877" t="e">
        <f>VLOOKUP($F877, codebooks_data_reordered!$A:$I, 5, FALSE)</f>
        <v>#N/A</v>
      </c>
      <c r="K877" t="e">
        <f>VLOOKUP($F877, codebooks_data_reordered!$A:$I, 6, FALSE)</f>
        <v>#N/A</v>
      </c>
      <c r="L877" t="e">
        <f>VLOOKUP($F877, codebooks_data_reordered!$A:$I, 7, FALSE)</f>
        <v>#N/A</v>
      </c>
      <c r="M877" t="e">
        <f>VLOOKUP($F877, codebooks_data_reordered!$A:$I, 9, FALSE)</f>
        <v>#N/A</v>
      </c>
      <c r="O877" t="e">
        <f t="shared" si="13"/>
        <v>#N/A</v>
      </c>
    </row>
    <row r="878" spans="1:15" ht="86.4" hidden="1" x14ac:dyDescent="0.3">
      <c r="A878" t="s">
        <v>7868</v>
      </c>
      <c r="B878" t="s">
        <v>7903</v>
      </c>
      <c r="C878" s="2" t="s">
        <v>7904</v>
      </c>
      <c r="D878" t="s">
        <v>5843</v>
      </c>
      <c r="E878" s="2" t="s">
        <v>7905</v>
      </c>
      <c r="F878" t="s">
        <v>9322</v>
      </c>
      <c r="G878" t="e">
        <f>VLOOKUP($F878, codebooks_data_reordered!$A:$I, 2, FALSE)</f>
        <v>#N/A</v>
      </c>
      <c r="H878" t="e">
        <f>VLOOKUP($F878, codebooks_data_reordered!$A:$I, 3, FALSE)</f>
        <v>#N/A</v>
      </c>
      <c r="I878" t="e">
        <f>VLOOKUP($F878, codebooks_data_reordered!$A:$I, 4, FALSE)</f>
        <v>#N/A</v>
      </c>
      <c r="J878" t="e">
        <f>VLOOKUP($F878, codebooks_data_reordered!$A:$I, 5, FALSE)</f>
        <v>#N/A</v>
      </c>
      <c r="K878" t="e">
        <f>VLOOKUP($F878, codebooks_data_reordered!$A:$I, 6, FALSE)</f>
        <v>#N/A</v>
      </c>
      <c r="L878" t="e">
        <f>VLOOKUP($F878, codebooks_data_reordered!$A:$I, 7, FALSE)</f>
        <v>#N/A</v>
      </c>
      <c r="M878" t="e">
        <f>VLOOKUP($F878, codebooks_data_reordered!$A:$I, 9, FALSE)</f>
        <v>#N/A</v>
      </c>
      <c r="O878" t="e">
        <f t="shared" si="13"/>
        <v>#N/A</v>
      </c>
    </row>
    <row r="879" spans="1:15" ht="144" hidden="1" x14ac:dyDescent="0.3">
      <c r="A879" t="s">
        <v>7868</v>
      </c>
      <c r="B879" t="s">
        <v>6282</v>
      </c>
      <c r="C879" s="2" t="s">
        <v>7906</v>
      </c>
      <c r="D879" t="s">
        <v>5843</v>
      </c>
      <c r="E879" s="2" t="s">
        <v>7907</v>
      </c>
      <c r="F879" t="s">
        <v>9323</v>
      </c>
      <c r="G879" t="e">
        <f>VLOOKUP($F879, codebooks_data_reordered!$A:$I, 2, FALSE)</f>
        <v>#N/A</v>
      </c>
      <c r="H879" t="e">
        <f>VLOOKUP($F879, codebooks_data_reordered!$A:$I, 3, FALSE)</f>
        <v>#N/A</v>
      </c>
      <c r="I879" t="e">
        <f>VLOOKUP($F879, codebooks_data_reordered!$A:$I, 4, FALSE)</f>
        <v>#N/A</v>
      </c>
      <c r="J879" t="e">
        <f>VLOOKUP($F879, codebooks_data_reordered!$A:$I, 5, FALSE)</f>
        <v>#N/A</v>
      </c>
      <c r="K879" t="e">
        <f>VLOOKUP($F879, codebooks_data_reordered!$A:$I, 6, FALSE)</f>
        <v>#N/A</v>
      </c>
      <c r="L879" t="e">
        <f>VLOOKUP($F879, codebooks_data_reordered!$A:$I, 7, FALSE)</f>
        <v>#N/A</v>
      </c>
      <c r="M879" t="e">
        <f>VLOOKUP($F879, codebooks_data_reordered!$A:$I, 9, FALSE)</f>
        <v>#N/A</v>
      </c>
      <c r="O879" t="e">
        <f t="shared" si="13"/>
        <v>#N/A</v>
      </c>
    </row>
    <row r="880" spans="1:15" ht="115.2" hidden="1" x14ac:dyDescent="0.3">
      <c r="A880" t="s">
        <v>7868</v>
      </c>
      <c r="B880" t="s">
        <v>7908</v>
      </c>
      <c r="C880" s="2" t="s">
        <v>7885</v>
      </c>
      <c r="D880" t="s">
        <v>5843</v>
      </c>
      <c r="E880" s="2" t="s">
        <v>7886</v>
      </c>
      <c r="F880" t="s">
        <v>904</v>
      </c>
      <c r="G880" t="str">
        <f>VLOOKUP($F880, codebooks_data_reordered!$A:$I, 2, FALSE)</f>
        <v>2006</v>
      </c>
      <c r="H880" t="str">
        <f>VLOOKUP($F880, codebooks_data_reordered!$A:$I, 3, FALSE)</f>
        <v>Post-Election Survey</v>
      </c>
      <c r="I880" t="str">
        <f>VLOOKUP($F880, codebooks_data_reordered!$A:$I, 4, FALSE)</f>
        <v>1</v>
      </c>
      <c r="J880" t="str">
        <f>VLOOKUP($F880, codebooks_data_reordered!$A:$I, 5, FALSE)</f>
        <v>327</v>
      </c>
      <c r="K880" t="str">
        <f>VLOOKUP($F880, codebooks_data_reordered!$A:$I, 6, FALSE)</f>
        <v>Contact by a party or group during the campaign</v>
      </c>
      <c r="L880" t="str">
        <f>VLOOKUP($F880, codebooks_data_reordered!$A:$I, 7, FALSE)</f>
        <v>14. Were you contact by a party or group during the campaign in an effort to convince you how to vote?</v>
      </c>
      <c r="M880" t="str">
        <f>VLOOKUP($F880, codebooks_data_reordered!$A:$I, 9, FALSE)</f>
        <v>1: Yes; 2: No</v>
      </c>
      <c r="O880" s="2" t="str">
        <f t="shared" si="13"/>
        <v>1: Yes
 2: No</v>
      </c>
    </row>
    <row r="881" spans="1:15" ht="158.4" hidden="1" x14ac:dyDescent="0.3">
      <c r="A881" t="s">
        <v>7868</v>
      </c>
      <c r="B881" t="s">
        <v>6046</v>
      </c>
      <c r="C881" s="2" t="s">
        <v>7909</v>
      </c>
      <c r="D881" t="s">
        <v>5843</v>
      </c>
      <c r="E881" s="2" t="s">
        <v>7910</v>
      </c>
      <c r="F881" t="s">
        <v>960</v>
      </c>
      <c r="G881" t="str">
        <f>VLOOKUP($F881, codebooks_data_reordered!$A:$I, 2, FALSE)</f>
        <v>2006</v>
      </c>
      <c r="H881" t="str">
        <f>VLOOKUP($F881, codebooks_data_reordered!$A:$I, 3, FALSE)</f>
        <v>Reason for not Vote</v>
      </c>
      <c r="I881" t="str">
        <f>VLOOKUP($F881, codebooks_data_reordered!$A:$I, 4, FALSE)</f>
        <v>1</v>
      </c>
      <c r="J881" t="str">
        <f>VLOOKUP($F881, codebooks_data_reordered!$A:$I, 5, FALSE)</f>
        <v>341</v>
      </c>
      <c r="K881" t="str">
        <f>VLOOKUP($F881, codebooks_data_reordered!$A:$I, 6, FALSE)</f>
        <v>Main opinions on what the elections were about</v>
      </c>
      <c r="L881" t="str">
        <f>VLOOKUP($F881, codebooks_data_reordered!$A:$I, 7, FALSE)</f>
        <v>28. In sum, what were these elections about in your opinion (only one response) (Interviewer: Review answers 23-27 in a varying order)</v>
      </c>
      <c r="M881" t="str">
        <f>VLOOKUP($F881, codebooks_data_reordered!$A:$I, 9, FALSE)</f>
        <v>1: Political topic (Disengagement, negotiations with the Palestinians); 2: The security topic; 3: The economic-social topic; 4: Corruption; 7: Other; 8: All the topics; 9: None</v>
      </c>
      <c r="O881" s="2" t="str">
        <f t="shared" si="13"/>
        <v>1: Political topic (Disengagement, negotiations with the Palestinians)
 2: The security topic
 3: The economic-social topic
 4: Corruption
 7: Other
 8: All the topics
 9: None</v>
      </c>
    </row>
    <row r="882" spans="1:15" ht="72" hidden="1" x14ac:dyDescent="0.3">
      <c r="A882" t="s">
        <v>7868</v>
      </c>
      <c r="B882" t="s">
        <v>7911</v>
      </c>
      <c r="C882" s="2" t="s">
        <v>7912</v>
      </c>
      <c r="D882" t="s">
        <v>5843</v>
      </c>
      <c r="E882" s="2" t="s">
        <v>7913</v>
      </c>
      <c r="F882" t="s">
        <v>1647</v>
      </c>
      <c r="G882" t="str">
        <f>VLOOKUP($F882, codebooks_data_reordered!$A:$I, 2, FALSE)</f>
        <v>2001</v>
      </c>
      <c r="H882" t="str">
        <f>VLOOKUP($F882, codebooks_data_reordered!$A:$I, 3, FALSE)</f>
        <v>General political attitudes and behavior</v>
      </c>
      <c r="I882" t="str">
        <f>VLOOKUP($F882, codebooks_data_reordered!$A:$I, 4, FALSE)</f>
        <v>1</v>
      </c>
      <c r="J882" t="str">
        <f>VLOOKUP($F882, codebooks_data_reordered!$A:$I, 5, FALSE)</f>
        <v>103</v>
      </c>
      <c r="K882" t="str">
        <f>VLOOKUP($F882, codebooks_data_reordered!$A:$I, 6, FALSE)</f>
        <v>Will election ads influence your vote decision?</v>
      </c>
      <c r="L882">
        <f>VLOOKUP($F882, codebooks_data_reordered!$A:$I, 7, FALSE)</f>
        <v>0</v>
      </c>
      <c r="M882" t="str">
        <f>VLOOKUP($F882, codebooks_data_reordered!$A:$I, 9, FALSE)</f>
        <v>0: Do not see; 1: Not at all; 2: Small extent; 3: Certain extent; 4: Great extent</v>
      </c>
      <c r="O882" s="2" t="str">
        <f t="shared" si="13"/>
        <v>0: Do not see
 1: Not at all
 2: Small extent
 3: Certain extent
 4: Great extent</v>
      </c>
    </row>
    <row r="883" spans="1:15" ht="144" hidden="1" x14ac:dyDescent="0.3">
      <c r="A883" t="s">
        <v>7868</v>
      </c>
      <c r="B883" t="s">
        <v>7914</v>
      </c>
      <c r="C883" s="2" t="s">
        <v>7915</v>
      </c>
      <c r="D883" t="s">
        <v>5843</v>
      </c>
      <c r="E883" s="2" t="s">
        <v>7916</v>
      </c>
      <c r="F883" t="s">
        <v>2151</v>
      </c>
      <c r="G883" t="str">
        <f>VLOOKUP($F883, codebooks_data_reordered!$A:$I, 2, FALSE)</f>
        <v>1999_1</v>
      </c>
      <c r="H883" t="str">
        <f>VLOOKUP($F883, codebooks_data_reordered!$A:$I, 3, FALSE)</f>
        <v>VOTING PATTERNS</v>
      </c>
      <c r="I883" t="str">
        <f>VLOOKUP($F883, codebooks_data_reordered!$A:$I, 4, FALSE)</f>
        <v>3</v>
      </c>
      <c r="J883" t="str">
        <f>VLOOKUP($F883, codebooks_data_reordered!$A:$I, 5, FALSE)</f>
        <v>12</v>
      </c>
      <c r="K883" t="str">
        <f>VLOOKUP($F883, codebooks_data_reordered!$A:$I, 6, FALSE)</f>
        <v>Support National Consolidation Government after the elections</v>
      </c>
      <c r="L883">
        <f>VLOOKUP($F883, codebooks_data_reordered!$A:$I, 7, FALSE)</f>
        <v>0</v>
      </c>
      <c r="M883" t="str">
        <f>VLOOKUP($F883, codebooks_data_reordered!$A:$I, 9, FALSE)</f>
        <v>1: Definitely yes; 2: Think so; 3: Think not; 4: Definitely not; 5: Yes, only under the Likud leadership; 6: Yes, only under the Labor leadership; 7: Yes, only under Center party leadership</v>
      </c>
      <c r="O883" s="2" t="str">
        <f t="shared" si="13"/>
        <v>1: Definitely yes
 2: Think so
 3: Think not
 4: Definitely not
 5: Yes, only under the Likud leadership
 6: Yes, only under the Labor leadership
 7: Yes, only under Center party leadership</v>
      </c>
    </row>
    <row r="884" spans="1:15" ht="72" hidden="1" x14ac:dyDescent="0.3">
      <c r="A884" t="s">
        <v>7868</v>
      </c>
      <c r="B884" t="s">
        <v>7917</v>
      </c>
      <c r="C884" s="2" t="s">
        <v>7915</v>
      </c>
      <c r="D884" t="s">
        <v>5843</v>
      </c>
      <c r="E884" s="2" t="s">
        <v>7916</v>
      </c>
      <c r="F884" t="s">
        <v>2521</v>
      </c>
      <c r="G884" t="str">
        <f>VLOOKUP($F884, codebooks_data_reordered!$A:$I, 2, FALSE)</f>
        <v>1996_Jews</v>
      </c>
      <c r="H884" t="str">
        <f>VLOOKUP($F884, codebooks_data_reordered!$A:$I, 3, FALSE)</f>
        <v>WHICH PM CANDID. BEST SUITS EACH DESCRIPTION?</v>
      </c>
      <c r="I884" t="str">
        <f>VLOOKUP($F884, codebooks_data_reordered!$A:$I, 4, FALSE)</f>
        <v>1</v>
      </c>
      <c r="J884" t="str">
        <f>VLOOKUP($F884, codebooks_data_reordered!$A:$I, 5, FALSE)</f>
        <v>169</v>
      </c>
      <c r="K884" t="str">
        <f>VLOOKUP($F884, codebooks_data_reordered!$A:$I, 6, FALSE)</f>
        <v>Inclusion of Arab parties in the government</v>
      </c>
      <c r="L884">
        <f>VLOOKUP($F884, codebooks_data_reordered!$A:$I, 7, FALSE)</f>
        <v>0</v>
      </c>
      <c r="M884" t="str">
        <f>VLOOKUP($F884, codebooks_data_reordered!$A:$I, 9, FALSE)</f>
        <v>1: Strongly support; 2: Partly support; 3: Partly object; 4: Strongly object</v>
      </c>
      <c r="O884" s="2" t="str">
        <f t="shared" si="13"/>
        <v>1: Strongly support
 2: Partly support
 3: Partly object
 4: Strongly object</v>
      </c>
    </row>
    <row r="885" spans="1:15" ht="86.4" hidden="1" x14ac:dyDescent="0.3">
      <c r="A885" t="s">
        <v>7868</v>
      </c>
      <c r="B885" t="s">
        <v>7918</v>
      </c>
      <c r="C885" s="2" t="s">
        <v>7919</v>
      </c>
      <c r="D885" t="s">
        <v>5843</v>
      </c>
      <c r="E885" s="2" t="s">
        <v>7920</v>
      </c>
      <c r="F885" t="s">
        <v>2523</v>
      </c>
      <c r="G885" t="str">
        <f>VLOOKUP($F885, codebooks_data_reordered!$A:$I, 2, FALSE)</f>
        <v>1996_Jews</v>
      </c>
      <c r="H885" t="str">
        <f>VLOOKUP($F885, codebooks_data_reordered!$A:$I, 3, FALSE)</f>
        <v>WHICH PM CANDID. BEST SUITS EACH DESCRIPTION?</v>
      </c>
      <c r="I885" t="str">
        <f>VLOOKUP($F885, codebooks_data_reordered!$A:$I, 4, FALSE)</f>
        <v>1</v>
      </c>
      <c r="J885" t="str">
        <f>VLOOKUP($F885, codebooks_data_reordered!$A:$I, 5, FALSE)</f>
        <v>170</v>
      </c>
      <c r="K885" t="str">
        <f>VLOOKUP($F885, codebooks_data_reordered!$A:$I, 6, FALSE)</f>
        <v>The primaries bring about</v>
      </c>
      <c r="L885">
        <f>VLOOKUP($F885, codebooks_data_reordered!$A:$I, 7, FALSE)</f>
        <v>0</v>
      </c>
      <c r="M885" t="str">
        <f>VLOOKUP($F885, codebooks_data_reordered!$A:$I, 9, FALSE)</f>
        <v>1: A better system of government; 2: A worse system of government; 3: No change</v>
      </c>
      <c r="O885" s="2" t="str">
        <f t="shared" si="13"/>
        <v>1: A better system of government
 2: A worse system of government
 3: No change</v>
      </c>
    </row>
    <row r="886" spans="1:15" ht="230.4" hidden="1" x14ac:dyDescent="0.3">
      <c r="A886" t="s">
        <v>7868</v>
      </c>
      <c r="B886" t="s">
        <v>6952</v>
      </c>
      <c r="C886" s="2" t="s">
        <v>7921</v>
      </c>
      <c r="D886" t="s">
        <v>5843</v>
      </c>
      <c r="E886" s="2" t="s">
        <v>7922</v>
      </c>
      <c r="F886" t="s">
        <v>4180</v>
      </c>
      <c r="G886" t="str">
        <f>VLOOKUP($F886, codebooks_data_reordered!$A:$I, 2, FALSE)</f>
        <v>1981_1</v>
      </c>
      <c r="H886" t="str">
        <f>VLOOKUP($F886, codebooks_data_reordered!$A:$I, 3, FALSE)</f>
        <v>CHARACTERIZATION OF MOSHE DAYAN, GRADED SCALE 1-6</v>
      </c>
      <c r="I886" t="str">
        <f>VLOOKUP($F886, codebooks_data_reordered!$A:$I, 4, FALSE)</f>
        <v>1</v>
      </c>
      <c r="J886" t="str">
        <f>VLOOKUP($F886, codebooks_data_reordered!$A:$I, 5, FALSE)</f>
        <v>133</v>
      </c>
      <c r="K886" t="str">
        <f>VLOOKUP($F886, codebooks_data_reordered!$A:$I, 6, FALSE)</f>
        <v>Interviewee will vote for same party in Histadrut and Knesset elections</v>
      </c>
      <c r="L886">
        <f>VLOOKUP($F886, codebooks_data_reordered!$A:$I, 7, FALSE)</f>
        <v>0</v>
      </c>
      <c r="M886" t="str">
        <f>VLOOKUP($F886, codebooks_data_reordered!$A:$I, 9, FALSE)</f>
        <v>1: Yes; 2: No; 3: Undecided; 4: Will not vote</v>
      </c>
      <c r="O886" s="2" t="str">
        <f t="shared" si="13"/>
        <v>1: Yes
 2: No
 3: Undecided
 4: Will not vote</v>
      </c>
    </row>
    <row r="887" spans="1:15" ht="331.2" hidden="1" x14ac:dyDescent="0.3">
      <c r="A887" t="s">
        <v>7868</v>
      </c>
      <c r="B887" t="s">
        <v>7923</v>
      </c>
      <c r="C887" s="2" t="s">
        <v>7924</v>
      </c>
      <c r="D887" t="s">
        <v>5843</v>
      </c>
      <c r="E887" s="2" t="s">
        <v>7925</v>
      </c>
      <c r="F887" t="s">
        <v>2162</v>
      </c>
      <c r="G887" t="str">
        <f>VLOOKUP($F887, codebooks_data_reordered!$A:$I, 2, FALSE)</f>
        <v>1999_1</v>
      </c>
      <c r="H887" t="str">
        <f>VLOOKUP($F887, codebooks_data_reordered!$A:$I, 3, FALSE)</f>
        <v>VOTING PATTERNS</v>
      </c>
      <c r="I887" t="str">
        <f>VLOOKUP($F887, codebooks_data_reordered!$A:$I, 4, FALSE)</f>
        <v>3</v>
      </c>
      <c r="J887" t="str">
        <f>VLOOKUP($F887, codebooks_data_reordered!$A:$I, 5, FALSE)</f>
        <v>17</v>
      </c>
      <c r="K887" t="str">
        <f>VLOOKUP($F887, codebooks_data_reordered!$A:$I, 6, FALSE)</f>
        <v>Vote for PM, if election were held today</v>
      </c>
      <c r="L887">
        <f>VLOOKUP($F887, codebooks_data_reordered!$A:$I, 7, FALSE)</f>
        <v>0</v>
      </c>
      <c r="M887" t="str">
        <f>VLOOKUP($F887, codebooks_data_reordered!$A:$I, 9, FALSE)</f>
        <v>0: Haven't decided yet; 1: Netanyahu; 2: Barak; 3: Mordechai; 4: Begin; 5: Bashara; 6: Raful; 7: Other; 8: Blank note; 9: Won't vote</v>
      </c>
      <c r="O887" s="2" t="str">
        <f t="shared" si="13"/>
        <v>0: Haven't decided yet
 1: Netanyahu
 2: Barak
 3: Mordechai
 4: Begin
 5: Bashara
 6: Raful
 7: Other
 8: Blank note
 9: Won't vote</v>
      </c>
    </row>
    <row r="888" spans="1:15" ht="144" hidden="1" x14ac:dyDescent="0.3">
      <c r="A888" t="s">
        <v>7868</v>
      </c>
      <c r="B888" t="s">
        <v>7926</v>
      </c>
      <c r="C888" s="2" t="s">
        <v>7927</v>
      </c>
      <c r="D888" t="s">
        <v>5843</v>
      </c>
      <c r="E888" s="2" t="s">
        <v>7928</v>
      </c>
      <c r="F888" t="s">
        <v>1775</v>
      </c>
      <c r="G888" t="str">
        <f>VLOOKUP($F888, codebooks_data_reordered!$A:$I, 2, FALSE)</f>
        <v>1999_1</v>
      </c>
      <c r="H888" t="str">
        <f>VLOOKUP($F888, codebooks_data_reordered!$A:$I, 3, FALSE)</f>
        <v>GENERAL POLITICAL ATTITUDE</v>
      </c>
      <c r="I888" t="str">
        <f>VLOOKUP($F888, codebooks_data_reordered!$A:$I, 4, FALSE)</f>
        <v>1</v>
      </c>
      <c r="J888" t="str">
        <f>VLOOKUP($F888, codebooks_data_reordered!$A:$I, 5, FALSE)</f>
        <v>17</v>
      </c>
      <c r="K888" t="str">
        <f>VLOOKUP($F888, codebooks_data_reordered!$A:$I, 6, FALSE)</f>
        <v>Territories should be returned for peace</v>
      </c>
      <c r="L888" t="str">
        <f>VLOOKUP($F888, codebooks_data_reordered!$A:$I, 7, FALSE)</f>
        <v>Agreement with statement on 1-7 scale</v>
      </c>
      <c r="M888" t="str">
        <f>VLOOKUP($F888, codebooks_data_reordered!$A:$I, 9, FALSE)</f>
        <v>1: Strongly disagree; 7: Strongly agree</v>
      </c>
      <c r="O888" s="2" t="str">
        <f t="shared" si="13"/>
        <v>1: Strongly disagree
 7: Strongly agree</v>
      </c>
    </row>
    <row r="889" spans="1:15" ht="129.6" hidden="1" x14ac:dyDescent="0.3">
      <c r="A889" t="s">
        <v>7868</v>
      </c>
      <c r="B889" t="s">
        <v>7929</v>
      </c>
      <c r="C889" s="2" t="s">
        <v>7930</v>
      </c>
      <c r="D889" t="s">
        <v>5843</v>
      </c>
      <c r="E889" s="2" t="s">
        <v>7931</v>
      </c>
      <c r="F889" t="s">
        <v>515</v>
      </c>
      <c r="G889" t="str">
        <f>VLOOKUP($F889, codebooks_data_reordered!$A:$I, 2, FALSE)</f>
        <v>2006</v>
      </c>
      <c r="H889" t="str">
        <f>VLOOKUP($F889, codebooks_data_reordered!$A:$I, 3, FALSE)</f>
        <v>Most/Less Suitable Characteristic of the Party</v>
      </c>
      <c r="I889" t="str">
        <f>VLOOKUP($F889, codebooks_data_reordered!$A:$I, 4, FALSE)</f>
        <v>1</v>
      </c>
      <c r="J889" t="str">
        <f>VLOOKUP($F889, codebooks_data_reordered!$A:$I, 5, FALSE)</f>
        <v>164</v>
      </c>
      <c r="K889" t="str">
        <f>VLOOKUP($F889, codebooks_data_reordered!$A:$I, 6, FALSE)</f>
        <v>Least suitable characteristic of the party: Reliable</v>
      </c>
      <c r="L889" t="str">
        <f>VLOOKUP($F889,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889" t="str">
        <f>VLOOKUP($F889, codebooks_data_reordered!$A:$I, 9, FALSE)</f>
        <v>1: Olmert; 2: Netanyahu; 3: Peretz; 4: All; 5: None</v>
      </c>
      <c r="O889" s="2" t="str">
        <f t="shared" si="13"/>
        <v>1: Olmert
 2: Netanyahu
 3: Peretz
 4: All
 5: None</v>
      </c>
    </row>
    <row r="890" spans="1:15" ht="115.2" hidden="1" x14ac:dyDescent="0.3">
      <c r="A890" t="s">
        <v>7868</v>
      </c>
      <c r="B890" t="s">
        <v>7932</v>
      </c>
      <c r="C890" s="2" t="s">
        <v>6431</v>
      </c>
      <c r="D890" t="s">
        <v>5843</v>
      </c>
      <c r="E890" s="2" t="s">
        <v>6432</v>
      </c>
      <c r="F890" t="s">
        <v>1865</v>
      </c>
      <c r="G890" t="str">
        <f>VLOOKUP($F890, codebooks_data_reordered!$A:$I, 2, FALSE)</f>
        <v>1999_1</v>
      </c>
      <c r="H890" t="str">
        <f>VLOOKUP($F890, codebooks_data_reordered!$A:$I, 3, FALSE)</f>
        <v>ATTITUDES TOWARD CANDIDATES AND PARTIES</v>
      </c>
      <c r="I890" t="str">
        <f>VLOOKUP($F890, codebooks_data_reordered!$A:$I, 4, FALSE)</f>
        <v>1</v>
      </c>
      <c r="J890" t="str">
        <f>VLOOKUP($F890, codebooks_data_reordered!$A:$I, 5, FALSE)</f>
        <v>55</v>
      </c>
      <c r="K890" t="str">
        <f>VLOOKUP($F890, codebooks_data_reordered!$A:$I, 6, FALSE)</f>
        <v>Extend of support for Azmi Bashara</v>
      </c>
      <c r="L890" t="str">
        <f>VLOOKUP($F890, codebooks_data_reordered!$A:$I, 7, FALSE)</f>
        <v>Extent of support on 1-10 scale, 1=total rejection, 10=strong support</v>
      </c>
      <c r="M890" t="str">
        <f>VLOOKUP($F890, codebooks_data_reordered!$A:$I, 9, FALSE)</f>
        <v>1: Totally reject; 10: Strongly support</v>
      </c>
      <c r="O890" s="2" t="str">
        <f t="shared" si="13"/>
        <v>1: Totally reject
 10: Strongly support</v>
      </c>
    </row>
    <row r="891" spans="1:15" ht="129.6" hidden="1" x14ac:dyDescent="0.3">
      <c r="A891" t="s">
        <v>7868</v>
      </c>
      <c r="B891" t="s">
        <v>7933</v>
      </c>
      <c r="C891" s="2" t="s">
        <v>7226</v>
      </c>
      <c r="D891" t="s">
        <v>5843</v>
      </c>
      <c r="E891" s="2" t="s">
        <v>7227</v>
      </c>
      <c r="F891" t="s">
        <v>1801</v>
      </c>
      <c r="G891" t="str">
        <f>VLOOKUP($F891, codebooks_data_reordered!$A:$I, 2, FALSE)</f>
        <v>1999_1</v>
      </c>
      <c r="H891" t="str">
        <f>VLOOKUP($F891, codebooks_data_reordered!$A:$I, 3, FALSE)</f>
        <v>GENERAL POLITICAL ATTITUDE</v>
      </c>
      <c r="I891" t="str">
        <f>VLOOKUP($F891, codebooks_data_reordered!$A:$I, 4, FALSE)</f>
        <v>1</v>
      </c>
      <c r="J891" t="str">
        <f>VLOOKUP($F891, codebooks_data_reordered!$A:$I, 5, FALSE)</f>
        <v>28</v>
      </c>
      <c r="K891" t="str">
        <f>VLOOKUP($F891, codebooks_data_reordered!$A:$I, 6, FALSE)</f>
        <v>Should government encourage Arab emmigration from Israel?</v>
      </c>
      <c r="L891">
        <f>VLOOKUP($F891, codebooks_data_reordered!$A:$I, 7, FALSE)</f>
        <v>0</v>
      </c>
      <c r="M891" t="str">
        <f>VLOOKUP($F891, codebooks_data_reordered!$A:$I, 9, FALSE)</f>
        <v>1: Definitely yes; 2: Yes; 3: No; 4: Definitely not</v>
      </c>
      <c r="O891" s="2" t="str">
        <f t="shared" si="13"/>
        <v>1: Definitely yes
 2: Yes
 3: No
 4: Definitely not</v>
      </c>
    </row>
    <row r="892" spans="1:15" ht="129.6" hidden="1" x14ac:dyDescent="0.3">
      <c r="A892" t="s">
        <v>7868</v>
      </c>
      <c r="B892" t="s">
        <v>7934</v>
      </c>
      <c r="C892" s="2" t="s">
        <v>7935</v>
      </c>
      <c r="D892" t="s">
        <v>5843</v>
      </c>
      <c r="E892" s="2" t="s">
        <v>7936</v>
      </c>
      <c r="F892" t="s">
        <v>388</v>
      </c>
      <c r="G892" t="str">
        <f>VLOOKUP($F892, codebooks_data_reordered!$A:$I, 2, FALSE)</f>
        <v>2006</v>
      </c>
      <c r="H892" t="str">
        <f>VLOOKUP($F892, codebooks_data_reordered!$A:$I, 3, FALSE)</f>
        <v>Ranking on a Right/Left Political Scale</v>
      </c>
      <c r="I892" t="str">
        <f>VLOOKUP($F892, codebooks_data_reordered!$A:$I, 4, FALSE)</f>
        <v>1</v>
      </c>
      <c r="J892" t="str">
        <f>VLOOKUP($F892, codebooks_data_reordered!$A:$I, 5, FALSE)</f>
        <v>120-121</v>
      </c>
      <c r="K892" t="str">
        <f>VLOOKUP($F892, codebooks_data_reordered!$A:$I, 6, FALSE)</f>
        <v>Self-ranking on a right/left political scale</v>
      </c>
      <c r="L892" t="str">
        <f>VLOOKUP($F892, codebooks_data_reordered!$A:$I, 7, FALSE)</f>
        <v>7. There is a lot of talk about left and right in politics. How would you rank yourself from 0 to 10, 0 means left and 10 means right and 5 is in the middle.</v>
      </c>
      <c r="M892" t="str">
        <f>VLOOKUP($F892, codebooks_data_reordered!$A:$I, 9, FALSE)</f>
        <v>0: Left; 10: Right</v>
      </c>
      <c r="O892" s="2" t="str">
        <f t="shared" si="13"/>
        <v>0: Left
 10: Right</v>
      </c>
    </row>
    <row r="893" spans="1:15" ht="115.2" hidden="1" x14ac:dyDescent="0.3">
      <c r="A893" t="s">
        <v>7868</v>
      </c>
      <c r="B893" t="s">
        <v>7410</v>
      </c>
      <c r="C893" s="2" t="s">
        <v>6518</v>
      </c>
      <c r="D893" t="s">
        <v>5843</v>
      </c>
      <c r="E893" s="2" t="s">
        <v>6519</v>
      </c>
      <c r="F893" t="s">
        <v>411</v>
      </c>
      <c r="G893" t="str">
        <f>VLOOKUP($F893, codebooks_data_reordered!$A:$I, 2, FALSE)</f>
        <v>2006</v>
      </c>
      <c r="H893" t="str">
        <f>VLOOKUP($F893, codebooks_data_reordered!$A:$I, 3, FALSE)</f>
        <v>Ranking on a Right/Left Political Scale</v>
      </c>
      <c r="I893" t="str">
        <f>VLOOKUP($F893, codebooks_data_reordered!$A:$I, 4, FALSE)</f>
        <v>1</v>
      </c>
      <c r="J893" t="str">
        <f>VLOOKUP($F893, codebooks_data_reordered!$A:$I, 5, FALSE)</f>
        <v>134-135</v>
      </c>
      <c r="K893" t="str">
        <f>VLOOKUP($F893, codebooks_data_reordered!$A:$I, 6, FALSE)</f>
        <v>Ranking on a right/left political scale:Meretz</v>
      </c>
      <c r="L893" t="str">
        <f>VLOOKUP($F893, codebooks_data_reordered!$A:$I, 7, FALSE)</f>
        <v>How would you rate the following parties on the left-right scale from 0 to 10, 0 stands for left, and 10 stands for right and 5 is in the middle.</v>
      </c>
      <c r="M893" t="str">
        <f>VLOOKUP($F893, codebooks_data_reordered!$A:$I, 9, FALSE)</f>
        <v>0: Left; 10: Right</v>
      </c>
      <c r="O893" s="2" t="str">
        <f t="shared" si="13"/>
        <v>0: Left
 10: Right</v>
      </c>
    </row>
    <row r="894" spans="1:15" ht="201.6" hidden="1" x14ac:dyDescent="0.3">
      <c r="A894" t="s">
        <v>7868</v>
      </c>
      <c r="B894" t="s">
        <v>7937</v>
      </c>
      <c r="C894" s="2" t="s">
        <v>7938</v>
      </c>
      <c r="D894" t="s">
        <v>5843</v>
      </c>
      <c r="E894" s="2" t="s">
        <v>7939</v>
      </c>
      <c r="F894" t="s">
        <v>33</v>
      </c>
      <c r="G894" t="str">
        <f>VLOOKUP($F894, codebooks_data_reordered!$A:$I, 2, FALSE)</f>
        <v>2006</v>
      </c>
      <c r="H894" t="str">
        <f>VLOOKUP($F894, codebooks_data_reordered!$A:$I, 3, FALSE)</f>
        <v>Pre-Election Survey</v>
      </c>
      <c r="I894" t="str">
        <f>VLOOKUP($F894, codebooks_data_reordered!$A:$I, 4, FALSE)</f>
        <v>1</v>
      </c>
      <c r="J894" t="str">
        <f>VLOOKUP($F894, codebooks_data_reordered!$A:$I, 5, FALSE)</f>
        <v>10</v>
      </c>
      <c r="K894" t="str">
        <f>VLOOKUP($F894, codebooks_data_reordered!$A:$I, 6, FALSE)</f>
        <v>The way government handles problems</v>
      </c>
      <c r="L894" t="str">
        <f>VLOOKUP($F894, codebooks_data_reordered!$A:$I, 7, FALSE)</f>
        <v>7. What do you think about the way the government is handling the problems that exist in Israel today?</v>
      </c>
      <c r="M894" t="str">
        <f>VLOOKUP($F894, codebooks_data_reordered!$A:$I, 9, FALSE)</f>
        <v>1: Very good way; 2: Good way; 3: Bad way; 4: Very badly</v>
      </c>
      <c r="O894" s="2" t="str">
        <f t="shared" si="13"/>
        <v>1: Very good way
 2: Good way
 3: Bad way
 4: Very badly</v>
      </c>
    </row>
    <row r="895" spans="1:15" ht="244.8" hidden="1" x14ac:dyDescent="0.3">
      <c r="A895" t="s">
        <v>7868</v>
      </c>
      <c r="B895" t="s">
        <v>7419</v>
      </c>
      <c r="C895" s="2" t="s">
        <v>7940</v>
      </c>
      <c r="D895" t="s">
        <v>5843</v>
      </c>
      <c r="E895" s="2" t="s">
        <v>7941</v>
      </c>
      <c r="F895" t="s">
        <v>3108</v>
      </c>
      <c r="G895" t="str">
        <f>VLOOKUP($F895, codebooks_data_reordered!$A:$I, 2, FALSE)</f>
        <v>1988_Panel_N=416</v>
      </c>
      <c r="H895" t="str">
        <f>VLOOKUP($F895, codebooks_data_reordered!$A:$I, 3, FALSE)</f>
        <v>WHICH OF THE FOLLOWING WOULD YOU BE WILLING TO GIVE TO MAINTAIN/STRENGTHEN THE SECURITY</v>
      </c>
      <c r="I895" t="str">
        <f>VLOOKUP($F895, codebooks_data_reordered!$A:$I, 4, FALSE)</f>
        <v>1</v>
      </c>
      <c r="J895" t="str">
        <f>VLOOKUP($F895, codebooks_data_reordered!$A:$I, 5, FALSE)</f>
        <v>103</v>
      </c>
      <c r="K895" t="str">
        <f>VLOOKUP($F895, codebooks_data_reordered!$A:$I, 6, FALSE)</f>
        <v>What is your opinion on the length of military service</v>
      </c>
      <c r="L895">
        <f>VLOOKUP($F895, codebooks_data_reordered!$A:$I, 7, FALSE)</f>
        <v>0</v>
      </c>
      <c r="M895" t="str">
        <f>VLOOKUP($F895, codebooks_data_reordered!$A:$I, 9, FALSE)</f>
        <v>1: Too long; 2: Appropriate; 3: Too short</v>
      </c>
      <c r="O895" s="2" t="str">
        <f t="shared" si="13"/>
        <v>1: Too long
 2: Appropriate
 3: Too short</v>
      </c>
    </row>
    <row r="896" spans="1:15" ht="129.6" hidden="1" x14ac:dyDescent="0.3">
      <c r="A896" t="s">
        <v>7868</v>
      </c>
      <c r="B896" t="s">
        <v>7942</v>
      </c>
      <c r="C896" s="2" t="s">
        <v>7943</v>
      </c>
      <c r="D896" t="s">
        <v>5843</v>
      </c>
      <c r="E896" s="2" t="s">
        <v>7944</v>
      </c>
      <c r="F896" t="s">
        <v>2848</v>
      </c>
      <c r="G896" t="str">
        <f>VLOOKUP($F896, codebooks_data_reordered!$A:$I, 2, FALSE)</f>
        <v>1992</v>
      </c>
      <c r="H896">
        <f>VLOOKUP($F896, codebooks_data_reordered!$A:$I, 3, FALSE)</f>
        <v>0</v>
      </c>
      <c r="I896" t="str">
        <f>VLOOKUP($F896, codebooks_data_reordered!$A:$I, 4, FALSE)</f>
        <v>1</v>
      </c>
      <c r="J896" t="str">
        <f>VLOOKUP($F896, codebooks_data_reordered!$A:$I, 5, FALSE)</f>
        <v>119</v>
      </c>
      <c r="K896" t="str">
        <f>VLOOKUP($F896, codebooks_data_reordered!$A:$I, 6, FALSE)</f>
        <v>Initiates and move things</v>
      </c>
      <c r="L896">
        <f>VLOOKUP($F896, codebooks_data_reordered!$A:$I, 7, FALSE)</f>
        <v>0</v>
      </c>
      <c r="M896" t="str">
        <f>VLOOKUP($F896, codebooks_data_reordered!$A:$I, 9, FALSE)</f>
        <v>1: Suits Yitzhak Shamir; 2: Suits Yitzhak Rabin; 3: Both leaders; 4: Neither</v>
      </c>
      <c r="O896" s="2" t="str">
        <f t="shared" si="13"/>
        <v>1: Suits Yitzhak Shamir
 2: Suits Yitzhak Rabin
 3: Both leaders
 4: Neither</v>
      </c>
    </row>
    <row r="897" spans="1:15" ht="129.6" hidden="1" x14ac:dyDescent="0.3">
      <c r="A897" t="s">
        <v>7868</v>
      </c>
      <c r="B897" t="s">
        <v>7945</v>
      </c>
      <c r="C897" s="2" t="s">
        <v>7198</v>
      </c>
      <c r="D897" t="s">
        <v>5843</v>
      </c>
      <c r="E897" s="2" t="s">
        <v>7199</v>
      </c>
      <c r="F897" t="s">
        <v>1787</v>
      </c>
      <c r="G897" t="str">
        <f>VLOOKUP($F897, codebooks_data_reordered!$A:$I, 2, FALSE)</f>
        <v>1999_1</v>
      </c>
      <c r="H897" t="str">
        <f>VLOOKUP($F897, codebooks_data_reordered!$A:$I, 3, FALSE)</f>
        <v>GENERAL POLITICAL ATTITUDE</v>
      </c>
      <c r="I897" t="str">
        <f>VLOOKUP($F897, codebooks_data_reordered!$A:$I, 4, FALSE)</f>
        <v>1</v>
      </c>
      <c r="J897" t="str">
        <f>VLOOKUP($F897, codebooks_data_reordered!$A:$I, 5, FALSE)</f>
        <v>22</v>
      </c>
      <c r="K897" t="str">
        <f>VLOOKUP($F897, codebooks_data_reordered!$A:$I, 6, FALSE)</f>
        <v>Personal Security of Israeli citizens since Peace process began</v>
      </c>
      <c r="L897">
        <f>VLOOKUP($F897, codebooks_data_reordered!$A:$I, 7, FALSE)</f>
        <v>0</v>
      </c>
      <c r="M897" t="str">
        <f>VLOOKUP($F897, codebooks_data_reordered!$A:$I, 9, FALSE)</f>
        <v>1: Much better; 2: Better; 3: Worse; 4: Much worse</v>
      </c>
      <c r="O897" s="2" t="str">
        <f t="shared" si="13"/>
        <v>1: Much better
 2: Better
 3: Worse
 4: Much worse</v>
      </c>
    </row>
    <row r="898" spans="1:15" ht="129.6" hidden="1" x14ac:dyDescent="0.3">
      <c r="A898" t="s">
        <v>7868</v>
      </c>
      <c r="B898" t="s">
        <v>7946</v>
      </c>
      <c r="C898" s="2" t="s">
        <v>7947</v>
      </c>
      <c r="D898" t="s">
        <v>5843</v>
      </c>
      <c r="E898" s="2" t="s">
        <v>7948</v>
      </c>
      <c r="F898" t="s">
        <v>4105</v>
      </c>
      <c r="G898" t="str">
        <f>VLOOKUP($F898, codebooks_data_reordered!$A:$I, 2, FALSE)</f>
        <v>1981_1</v>
      </c>
      <c r="H898" t="str">
        <f>VLOOKUP($F898, codebooks_data_reordered!$A:$I, 3, FALSE)</f>
        <v>CHARACTERIZATION OF MOSHE DAYAN, GRADED SCALE 1-6</v>
      </c>
      <c r="I898" t="str">
        <f>VLOOKUP($F898, codebooks_data_reordered!$A:$I, 4, FALSE)</f>
        <v>1</v>
      </c>
      <c r="J898" t="str">
        <f>VLOOKUP($F898, codebooks_data_reordered!$A:$I, 5, FALSE)</f>
        <v>91</v>
      </c>
      <c r="K898" t="str">
        <f>VLOOKUP($F898, codebooks_data_reordered!$A:$I, 6, FALSE)</f>
        <v>Moshe Dayan</v>
      </c>
      <c r="L898">
        <f>VLOOKUP($F898, codebooks_data_reordered!$A:$I, 7, FALSE)</f>
        <v>0</v>
      </c>
      <c r="M898" t="str">
        <f>VLOOKUP($F898, codebooks_data_reordered!$A:$I, 9, FALSE)</f>
        <v>1: Can withstand pressure; 6: Cannot withstand pressure</v>
      </c>
      <c r="O898" s="2" t="str">
        <f t="shared" ref="O898:O961" si="14">SUBSTITUTE(M898, ";", CHAR(10))</f>
        <v>1: Can withstand pressure
 6: Cannot withstand pressure</v>
      </c>
    </row>
    <row r="899" spans="1:15" ht="201.6" hidden="1" x14ac:dyDescent="0.3">
      <c r="A899" t="s">
        <v>7868</v>
      </c>
      <c r="B899" t="s">
        <v>7949</v>
      </c>
      <c r="C899" s="2" t="s">
        <v>7950</v>
      </c>
      <c r="D899" t="s">
        <v>5843</v>
      </c>
      <c r="E899" s="2" t="s">
        <v>7951</v>
      </c>
      <c r="F899" t="s">
        <v>3073</v>
      </c>
      <c r="G899" t="str">
        <f>VLOOKUP($F899, codebooks_data_reordered!$A:$I, 2, FALSE)</f>
        <v>1988_Panel_N=416</v>
      </c>
      <c r="H899" t="str">
        <f>VLOOKUP($F899, codebooks_data_reordered!$A:$I, 3, FALSE)</f>
        <v>ISRAEL'S CAPABILITY OF COPING WITH VARIOUS SITUATIONS</v>
      </c>
      <c r="I899" t="str">
        <f>VLOOKUP($F899, codebooks_data_reordered!$A:$I, 4, FALSE)</f>
        <v>1</v>
      </c>
      <c r="J899" t="str">
        <f>VLOOKUP($F899, codebooks_data_reordered!$A:$I, 5, FALSE)</f>
        <v>89</v>
      </c>
      <c r="K899" t="str">
        <f>VLOOKUP($F899, codebooks_data_reordered!$A:$I, 6, FALSE)</f>
        <v>Estimate of the Arabs' ultimate goal</v>
      </c>
      <c r="L899">
        <f>VLOOKUP($F899, codebooks_data_reordered!$A:$I, 7, FALSE)</f>
        <v>0</v>
      </c>
      <c r="M899" t="str">
        <f>VLOOKUP($F899, codebooks_data_reordered!$A:$I, 9, FALSE)</f>
        <v>1: To retrieve part of the territories seized during the 6 Day War; 2: To retrieve all of the territories seized during the 6 Day War; 3: To conquer Israel; 4: To conquer Israel and annihilate most of the Jewish population</v>
      </c>
      <c r="O899" s="2" t="str">
        <f t="shared" si="14"/>
        <v>1: To retrieve part of the territories seized during the 6 Day War
 2: To retrieve all of the territories seized during the 6 Day War
 3: To conquer Israel
 4: To conquer Israel and annihilate most of the Jewish population</v>
      </c>
    </row>
    <row r="900" spans="1:15" ht="100.8" hidden="1" x14ac:dyDescent="0.3">
      <c r="A900" t="s">
        <v>7868</v>
      </c>
      <c r="B900" t="s">
        <v>7952</v>
      </c>
      <c r="C900" s="2" t="s">
        <v>7953</v>
      </c>
      <c r="D900" t="s">
        <v>5843</v>
      </c>
      <c r="E900" s="2" t="s">
        <v>7954</v>
      </c>
      <c r="F900" t="s">
        <v>3641</v>
      </c>
      <c r="G900" t="str">
        <f>VLOOKUP($F900, codebooks_data_reordered!$A:$I, 2, FALSE)</f>
        <v>1988_N=873</v>
      </c>
      <c r="H900" t="str">
        <f>VLOOKUP($F900, codebooks_data_reordered!$A:$I, 3, FALSE)</f>
        <v>NATIONAL SECURITY SCALE</v>
      </c>
      <c r="I900" t="str">
        <f>VLOOKUP($F900, codebooks_data_reordered!$A:$I, 4, FALSE)</f>
        <v>1</v>
      </c>
      <c r="J900" t="str">
        <f>VLOOKUP($F900, codebooks_data_reordered!$A:$I, 5, FALSE)</f>
        <v>5</v>
      </c>
      <c r="K900" t="str">
        <f>VLOOKUP($F900, codebooks_data_reordered!$A:$I, 6, FALSE)</f>
        <v>Evaluation of Israel's national security in 5 years</v>
      </c>
      <c r="L900">
        <f>VLOOKUP($F900, codebooks_data_reordered!$A:$I, 7, FALSE)</f>
        <v>0</v>
      </c>
      <c r="M900" t="str">
        <f>VLOOKUP($F900, codebooks_data_reordered!$A:$I, 9, FALSE)</f>
        <v>1: Worst possible; 9: Best possible</v>
      </c>
      <c r="O900" s="2" t="str">
        <f t="shared" si="14"/>
        <v>1: Worst possible
 9: Best possible</v>
      </c>
    </row>
    <row r="901" spans="1:15" ht="158.4" hidden="1" x14ac:dyDescent="0.3">
      <c r="A901" t="s">
        <v>7868</v>
      </c>
      <c r="B901" t="s">
        <v>7955</v>
      </c>
      <c r="C901" s="2" t="s">
        <v>7956</v>
      </c>
      <c r="D901" t="s">
        <v>5843</v>
      </c>
      <c r="E901" s="2" t="s">
        <v>7957</v>
      </c>
      <c r="F901" t="s">
        <v>5113</v>
      </c>
      <c r="G901" t="str">
        <f>VLOOKUP($F901, codebooks_data_reordered!$A:$I, 2, FALSE)</f>
        <v>1973_3</v>
      </c>
      <c r="H901" t="str">
        <f>VLOOKUP($F901, codebooks_data_reordered!$A:$I, 3, FALSE)</f>
        <v>November 1973</v>
      </c>
      <c r="I901" t="str">
        <f>VLOOKUP($F901, codebooks_data_reordered!$A:$I, 4, FALSE)</f>
        <v>1</v>
      </c>
      <c r="J901" t="str">
        <f>VLOOKUP($F901, codebooks_data_reordered!$A:$I, 5, FALSE)</f>
        <v>16</v>
      </c>
      <c r="K901" t="str">
        <f>VLOOKUP($F901, codebooks_data_reordered!$A:$I, 6, FALSE)</f>
        <v>Haim Bar-Lev's interview with the foreign press is something positive or negative</v>
      </c>
      <c r="L901">
        <f>VLOOKUP($F901, codebooks_data_reordered!$A:$I, 7, FALSE)</f>
        <v>0</v>
      </c>
      <c r="M901" t="str">
        <f>VLOOKUP($F901, codebooks_data_reordered!$A:$I, 9, FALSE)</f>
        <v>1: Very positive; 2: Positive; 3: Negative; 4: Very negative</v>
      </c>
      <c r="O901" s="2" t="str">
        <f t="shared" si="14"/>
        <v>1: Very positive
 2: Positive
 3: Negative
 4: Very negative</v>
      </c>
    </row>
    <row r="902" spans="1:15" ht="57.6" hidden="1" x14ac:dyDescent="0.3">
      <c r="A902" t="s">
        <v>7868</v>
      </c>
      <c r="B902" t="s">
        <v>7958</v>
      </c>
      <c r="C902" s="2" t="s">
        <v>7959</v>
      </c>
      <c r="D902" t="s">
        <v>7439</v>
      </c>
      <c r="E902" s="2" t="s">
        <v>7960</v>
      </c>
      <c r="F902" t="s">
        <v>9324</v>
      </c>
      <c r="G902" t="e">
        <f>VLOOKUP($F902, codebooks_data_reordered!$A:$I, 2, FALSE)</f>
        <v>#N/A</v>
      </c>
      <c r="H902" t="e">
        <f>VLOOKUP($F902, codebooks_data_reordered!$A:$I, 3, FALSE)</f>
        <v>#N/A</v>
      </c>
      <c r="I902" t="e">
        <f>VLOOKUP($F902, codebooks_data_reordered!$A:$I, 4, FALSE)</f>
        <v>#N/A</v>
      </c>
      <c r="J902" t="e">
        <f>VLOOKUP($F902, codebooks_data_reordered!$A:$I, 5, FALSE)</f>
        <v>#N/A</v>
      </c>
      <c r="K902" t="e">
        <f>VLOOKUP($F902, codebooks_data_reordered!$A:$I, 6, FALSE)</f>
        <v>#N/A</v>
      </c>
      <c r="L902" t="e">
        <f>VLOOKUP($F902, codebooks_data_reordered!$A:$I, 7, FALSE)</f>
        <v>#N/A</v>
      </c>
      <c r="M902" t="e">
        <f>VLOOKUP($F902, codebooks_data_reordered!$A:$I, 9, FALSE)</f>
        <v>#N/A</v>
      </c>
      <c r="O902" t="e">
        <f t="shared" si="14"/>
        <v>#N/A</v>
      </c>
    </row>
    <row r="903" spans="1:15" ht="409.6" hidden="1" x14ac:dyDescent="0.3">
      <c r="A903" t="s">
        <v>7868</v>
      </c>
      <c r="B903" t="s">
        <v>7961</v>
      </c>
      <c r="C903" s="2" t="s">
        <v>7962</v>
      </c>
      <c r="D903" t="s">
        <v>5843</v>
      </c>
      <c r="E903" s="2" t="s">
        <v>7963</v>
      </c>
      <c r="F903" t="s">
        <v>3643</v>
      </c>
      <c r="G903" t="str">
        <f>VLOOKUP($F903, codebooks_data_reordered!$A:$I, 2, FALSE)</f>
        <v>1988_N=873</v>
      </c>
      <c r="H903" t="str">
        <f>VLOOKUP($F903, codebooks_data_reordered!$A:$I, 3, FALSE)</f>
        <v>NATIONAL SECURITY SCALE</v>
      </c>
      <c r="I903" t="str">
        <f>VLOOKUP($F903, codebooks_data_reordered!$A:$I, 4, FALSE)</f>
        <v>1</v>
      </c>
      <c r="J903" t="str">
        <f>VLOOKUP($F903, codebooks_data_reordered!$A:$I, 5, FALSE)</f>
        <v>6-7</v>
      </c>
      <c r="K903" t="str">
        <f>VLOOKUP($F903, codebooks_data_reordered!$A:$I, 6, FALSE)</f>
        <v>Main problem government must take care of</v>
      </c>
      <c r="L903">
        <f>VLOOKUP($F903, codebooks_data_reordered!$A:$I, 7, FALSE)</f>
        <v>0</v>
      </c>
      <c r="M903" t="str">
        <f>VLOOKUP($F903, codebooks_data_reordered!$A:$I, 9, FALSE)</f>
        <v>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v>
      </c>
      <c r="O903" s="2" t="str">
        <f t="shared" si="14"/>
        <v>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v>
      </c>
    </row>
    <row r="904" spans="1:15" ht="43.2" hidden="1" x14ac:dyDescent="0.3">
      <c r="A904" t="s">
        <v>7868</v>
      </c>
      <c r="B904" t="s">
        <v>7964</v>
      </c>
      <c r="C904" s="2" t="s">
        <v>5947</v>
      </c>
      <c r="D904" t="s">
        <v>5843</v>
      </c>
      <c r="E904" s="2" t="s">
        <v>5948</v>
      </c>
      <c r="F904" t="s">
        <v>973</v>
      </c>
      <c r="G904" t="str">
        <f>VLOOKUP($F904, codebooks_data_reordered!$A:$I, 2, FALSE)</f>
        <v>2006</v>
      </c>
      <c r="H904" t="str">
        <f>VLOOKUP($F904, codebooks_data_reordered!$A:$I, 3, FALSE)</f>
        <v>Reason for not Vote</v>
      </c>
      <c r="I904" t="str">
        <f>VLOOKUP($F904, codebooks_data_reordered!$A:$I, 4, FALSE)</f>
        <v>1</v>
      </c>
      <c r="J904" t="str">
        <f>VLOOKUP($F904, codebooks_data_reordered!$A:$I, 5, FALSE)</f>
        <v>344-345</v>
      </c>
      <c r="K904" t="str">
        <f>VLOOKUP($F904, codebooks_data_reordered!$A:$I, 6, FALSE)</f>
        <v>Age</v>
      </c>
      <c r="L904" t="str">
        <f>VLOOKUP($F904, codebooks_data_reordered!$A:$I, 7, FALSE)</f>
        <v>31. How old are you?</v>
      </c>
      <c r="M904">
        <f>VLOOKUP($F904, codebooks_data_reordered!$A:$I, 9, FALSE)</f>
        <v>0</v>
      </c>
      <c r="O904" s="2" t="str">
        <f t="shared" si="14"/>
        <v>0</v>
      </c>
    </row>
    <row r="905" spans="1:15" ht="144" hidden="1" x14ac:dyDescent="0.3">
      <c r="A905" t="s">
        <v>7868</v>
      </c>
      <c r="B905" t="s">
        <v>7965</v>
      </c>
      <c r="C905" s="2" t="s">
        <v>7966</v>
      </c>
      <c r="D905" t="s">
        <v>5843</v>
      </c>
      <c r="E905" s="2" t="s">
        <v>7967</v>
      </c>
      <c r="F905" t="s">
        <v>976</v>
      </c>
      <c r="G905" t="str">
        <f>VLOOKUP($F905, codebooks_data_reordered!$A:$I, 2, FALSE)</f>
        <v>2006</v>
      </c>
      <c r="H905" t="str">
        <f>VLOOKUP($F905, codebooks_data_reordered!$A:$I, 3, FALSE)</f>
        <v>Reason for not Vote</v>
      </c>
      <c r="I905" t="str">
        <f>VLOOKUP($F905, codebooks_data_reordered!$A:$I, 4, FALSE)</f>
        <v>1</v>
      </c>
      <c r="J905" t="str">
        <f>VLOOKUP($F905, codebooks_data_reordered!$A:$I, 5, FALSE)</f>
        <v>346</v>
      </c>
      <c r="K905" t="str">
        <f>VLOOKUP($F905, codebooks_data_reordered!$A:$I, 6, FALSE)</f>
        <v>Religion</v>
      </c>
      <c r="L905" t="str">
        <f>VLOOKUP($F905, codebooks_data_reordered!$A:$I, 7, FALSE)</f>
        <v>33. Religion</v>
      </c>
      <c r="M905" t="str">
        <f>VLOOKUP($F905, codebooks_data_reordered!$A:$I, 9, FALSE)</f>
        <v>1: Jewish; 2: Muslim; 3: Christian; 4: Druze; 5: No religion</v>
      </c>
      <c r="O905" s="2" t="str">
        <f t="shared" si="14"/>
        <v>1: Jewish
 2: Muslim
 3: Christian
 4: Druze
 5: No religion</v>
      </c>
    </row>
    <row r="906" spans="1:15" ht="100.8" hidden="1" x14ac:dyDescent="0.3">
      <c r="A906" t="s">
        <v>7868</v>
      </c>
      <c r="B906" t="s">
        <v>7968</v>
      </c>
      <c r="C906" s="2" t="s">
        <v>6457</v>
      </c>
      <c r="D906" t="s">
        <v>5843</v>
      </c>
      <c r="E906" s="2" t="s">
        <v>6458</v>
      </c>
      <c r="F906" t="s">
        <v>4984</v>
      </c>
      <c r="G906" t="str">
        <f>VLOOKUP($F906, codebooks_data_reordered!$A:$I, 2, FALSE)</f>
        <v>1973_2</v>
      </c>
      <c r="H906" t="str">
        <f>VLOOKUP($F906, codebooks_data_reordered!$A:$I, 3, FALSE)</f>
        <v>DO YOU AGREE WITH THE FOLLOWING STATEMENT</v>
      </c>
      <c r="I906" t="str">
        <f>VLOOKUP($F906, codebooks_data_reordered!$A:$I, 4, FALSE)</f>
        <v>2</v>
      </c>
      <c r="J906" t="str">
        <f>VLOOKUP($F906, codebooks_data_reordered!$A:$I, 5, FALSE)</f>
        <v>38</v>
      </c>
      <c r="K906" t="str">
        <f>VLOOKUP($F906, codebooks_data_reordered!$A:$I, 6, FALSE)</f>
        <v>Do you know which are the parties in this new Likud</v>
      </c>
      <c r="L906">
        <f>VLOOKUP($F906, codebooks_data_reordered!$A:$I, 7, FALSE)</f>
        <v>0</v>
      </c>
      <c r="M906" t="str">
        <f>VLOOKUP($F906, codebooks_data_reordered!$A:$I, 9, FALSE)</f>
        <v>0: No answer; 1: Knew the three parties; 2: Knew two parties; 3: Knew one party; 4: Gave a wrong answer; 5: Din not know</v>
      </c>
      <c r="O906" s="2" t="str">
        <f t="shared" si="14"/>
        <v>0: No answer
 1: Knew the three parties
 2: Knew two parties
 3: Knew one party
 4: Gave a wrong answer
 5: Din not know</v>
      </c>
    </row>
    <row r="907" spans="1:15" ht="144" hidden="1" x14ac:dyDescent="0.3">
      <c r="A907" t="s">
        <v>7868</v>
      </c>
      <c r="B907" t="s">
        <v>7969</v>
      </c>
      <c r="C907" s="2" t="s">
        <v>7970</v>
      </c>
      <c r="D907" t="s">
        <v>5843</v>
      </c>
      <c r="E907" s="2" t="s">
        <v>7971</v>
      </c>
      <c r="F907" t="s">
        <v>1808</v>
      </c>
      <c r="G907" t="str">
        <f>VLOOKUP($F907, codebooks_data_reordered!$A:$I, 2, FALSE)</f>
        <v>1999_1</v>
      </c>
      <c r="H907" t="str">
        <f>VLOOKUP($F907, codebooks_data_reordered!$A:$I, 3, FALSE)</f>
        <v>GENERAL POLITICAL ATTITUDE</v>
      </c>
      <c r="I907" t="str">
        <f>VLOOKUP($F907, codebooks_data_reordered!$A:$I, 4, FALSE)</f>
        <v>1</v>
      </c>
      <c r="J907" t="str">
        <f>VLOOKUP($F907, codebooks_data_reordered!$A:$I, 5, FALSE)</f>
        <v>31</v>
      </c>
      <c r="K907" t="str">
        <f>VLOOKUP($F907, codebooks_data_reordered!$A:$I, 6, FALSE)</f>
        <v>Are you or your family worried about being injured by Arabs in daily life?</v>
      </c>
      <c r="L907">
        <f>VLOOKUP($F907, codebooks_data_reordered!$A:$I, 7, FALSE)</f>
        <v>0</v>
      </c>
      <c r="M907" t="str">
        <f>VLOOKUP($F907, codebooks_data_reordered!$A:$I, 9, FALSE)</f>
        <v>1: Very worried; 2: Worried; 3: Not worried; 4: Not worried at all</v>
      </c>
      <c r="O907" s="2" t="str">
        <f t="shared" si="14"/>
        <v>1: Very worried
 2: Worried
 3: Not worried
 4: Not worried at all</v>
      </c>
    </row>
    <row r="908" spans="1:15" ht="302.39999999999998" hidden="1" x14ac:dyDescent="0.3">
      <c r="A908" t="s">
        <v>7868</v>
      </c>
      <c r="B908" t="s">
        <v>7972</v>
      </c>
      <c r="C908" s="2" t="s">
        <v>7973</v>
      </c>
      <c r="D908" t="s">
        <v>5843</v>
      </c>
      <c r="E908" s="2" t="s">
        <v>7974</v>
      </c>
      <c r="F908" t="s">
        <v>9325</v>
      </c>
      <c r="G908" t="e">
        <f>VLOOKUP($F908, codebooks_data_reordered!$A:$I, 2, FALSE)</f>
        <v>#N/A</v>
      </c>
      <c r="H908" t="e">
        <f>VLOOKUP($F908, codebooks_data_reordered!$A:$I, 3, FALSE)</f>
        <v>#N/A</v>
      </c>
      <c r="I908" t="e">
        <f>VLOOKUP($F908, codebooks_data_reordered!$A:$I, 4, FALSE)</f>
        <v>#N/A</v>
      </c>
      <c r="J908" t="e">
        <f>VLOOKUP($F908, codebooks_data_reordered!$A:$I, 5, FALSE)</f>
        <v>#N/A</v>
      </c>
      <c r="K908" t="e">
        <f>VLOOKUP($F908, codebooks_data_reordered!$A:$I, 6, FALSE)</f>
        <v>#N/A</v>
      </c>
      <c r="L908" t="e">
        <f>VLOOKUP($F908, codebooks_data_reordered!$A:$I, 7, FALSE)</f>
        <v>#N/A</v>
      </c>
      <c r="M908" t="e">
        <f>VLOOKUP($F908, codebooks_data_reordered!$A:$I, 9, FALSE)</f>
        <v>#N/A</v>
      </c>
      <c r="O908" t="e">
        <f t="shared" si="14"/>
        <v>#N/A</v>
      </c>
    </row>
    <row r="909" spans="1:15" ht="316.8" hidden="1" x14ac:dyDescent="0.3">
      <c r="A909" t="s">
        <v>7868</v>
      </c>
      <c r="B909" t="s">
        <v>7975</v>
      </c>
      <c r="C909" s="2" t="s">
        <v>7976</v>
      </c>
      <c r="D909" t="s">
        <v>5843</v>
      </c>
      <c r="E909" s="2" t="s">
        <v>7977</v>
      </c>
      <c r="F909" t="s">
        <v>9326</v>
      </c>
      <c r="G909" t="e">
        <f>VLOOKUP($F909, codebooks_data_reordered!$A:$I, 2, FALSE)</f>
        <v>#N/A</v>
      </c>
      <c r="H909" t="e">
        <f>VLOOKUP($F909, codebooks_data_reordered!$A:$I, 3, FALSE)</f>
        <v>#N/A</v>
      </c>
      <c r="I909" t="e">
        <f>VLOOKUP($F909, codebooks_data_reordered!$A:$I, 4, FALSE)</f>
        <v>#N/A</v>
      </c>
      <c r="J909" t="e">
        <f>VLOOKUP($F909, codebooks_data_reordered!$A:$I, 5, FALSE)</f>
        <v>#N/A</v>
      </c>
      <c r="K909" t="e">
        <f>VLOOKUP($F909, codebooks_data_reordered!$A:$I, 6, FALSE)</f>
        <v>#N/A</v>
      </c>
      <c r="L909" t="e">
        <f>VLOOKUP($F909, codebooks_data_reordered!$A:$I, 7, FALSE)</f>
        <v>#N/A</v>
      </c>
      <c r="M909" t="e">
        <f>VLOOKUP($F909, codebooks_data_reordered!$A:$I, 9, FALSE)</f>
        <v>#N/A</v>
      </c>
      <c r="O909" t="e">
        <f t="shared" si="14"/>
        <v>#N/A</v>
      </c>
    </row>
    <row r="910" spans="1:15" ht="331.2" hidden="1" x14ac:dyDescent="0.3">
      <c r="A910" t="s">
        <v>7868</v>
      </c>
      <c r="B910" t="s">
        <v>7978</v>
      </c>
      <c r="C910" s="2" t="s">
        <v>7979</v>
      </c>
      <c r="D910" t="s">
        <v>5843</v>
      </c>
      <c r="E910" s="2" t="s">
        <v>7980</v>
      </c>
      <c r="F910" t="s">
        <v>9326</v>
      </c>
      <c r="G910" t="e">
        <f>VLOOKUP($F910, codebooks_data_reordered!$A:$I, 2, FALSE)</f>
        <v>#N/A</v>
      </c>
      <c r="H910" t="e">
        <f>VLOOKUP($F910, codebooks_data_reordered!$A:$I, 3, FALSE)</f>
        <v>#N/A</v>
      </c>
      <c r="I910" t="e">
        <f>VLOOKUP($F910, codebooks_data_reordered!$A:$I, 4, FALSE)</f>
        <v>#N/A</v>
      </c>
      <c r="J910" t="e">
        <f>VLOOKUP($F910, codebooks_data_reordered!$A:$I, 5, FALSE)</f>
        <v>#N/A</v>
      </c>
      <c r="K910" t="e">
        <f>VLOOKUP($F910, codebooks_data_reordered!$A:$I, 6, FALSE)</f>
        <v>#N/A</v>
      </c>
      <c r="L910" t="e">
        <f>VLOOKUP($F910, codebooks_data_reordered!$A:$I, 7, FALSE)</f>
        <v>#N/A</v>
      </c>
      <c r="M910" t="e">
        <f>VLOOKUP($F910, codebooks_data_reordered!$A:$I, 9, FALSE)</f>
        <v>#N/A</v>
      </c>
      <c r="O910" t="e">
        <f t="shared" si="14"/>
        <v>#N/A</v>
      </c>
    </row>
    <row r="911" spans="1:15" ht="129.6" hidden="1" x14ac:dyDescent="0.3">
      <c r="A911" t="s">
        <v>7868</v>
      </c>
      <c r="B911" t="s">
        <v>7981</v>
      </c>
      <c r="C911" s="2" t="s">
        <v>7982</v>
      </c>
      <c r="D911" t="s">
        <v>5843</v>
      </c>
      <c r="E911" s="2" t="s">
        <v>7983</v>
      </c>
      <c r="F911" t="s">
        <v>9327</v>
      </c>
      <c r="G911" t="e">
        <f>VLOOKUP($F911, codebooks_data_reordered!$A:$I, 2, FALSE)</f>
        <v>#N/A</v>
      </c>
      <c r="H911" t="e">
        <f>VLOOKUP($F911, codebooks_data_reordered!$A:$I, 3, FALSE)</f>
        <v>#N/A</v>
      </c>
      <c r="I911" t="e">
        <f>VLOOKUP($F911, codebooks_data_reordered!$A:$I, 4, FALSE)</f>
        <v>#N/A</v>
      </c>
      <c r="J911" t="e">
        <f>VLOOKUP($F911, codebooks_data_reordered!$A:$I, 5, FALSE)</f>
        <v>#N/A</v>
      </c>
      <c r="K911" t="e">
        <f>VLOOKUP($F911, codebooks_data_reordered!$A:$I, 6, FALSE)</f>
        <v>#N/A</v>
      </c>
      <c r="L911" t="e">
        <f>VLOOKUP($F911, codebooks_data_reordered!$A:$I, 7, FALSE)</f>
        <v>#N/A</v>
      </c>
      <c r="M911" t="e">
        <f>VLOOKUP($F911, codebooks_data_reordered!$A:$I, 9, FALSE)</f>
        <v>#N/A</v>
      </c>
      <c r="O911" t="e">
        <f t="shared" si="14"/>
        <v>#N/A</v>
      </c>
    </row>
    <row r="912" spans="1:15" ht="129.6" hidden="1" x14ac:dyDescent="0.3">
      <c r="A912" t="s">
        <v>7868</v>
      </c>
      <c r="B912" t="s">
        <v>7984</v>
      </c>
      <c r="C912" s="2" t="s">
        <v>7985</v>
      </c>
      <c r="D912" t="s">
        <v>5843</v>
      </c>
      <c r="E912" s="2" t="s">
        <v>7986</v>
      </c>
      <c r="F912" t="s">
        <v>9328</v>
      </c>
      <c r="G912" t="e">
        <f>VLOOKUP($F912, codebooks_data_reordered!$A:$I, 2, FALSE)</f>
        <v>#N/A</v>
      </c>
      <c r="H912" t="e">
        <f>VLOOKUP($F912, codebooks_data_reordered!$A:$I, 3, FALSE)</f>
        <v>#N/A</v>
      </c>
      <c r="I912" t="e">
        <f>VLOOKUP($F912, codebooks_data_reordered!$A:$I, 4, FALSE)</f>
        <v>#N/A</v>
      </c>
      <c r="J912" t="e">
        <f>VLOOKUP($F912, codebooks_data_reordered!$A:$I, 5, FALSE)</f>
        <v>#N/A</v>
      </c>
      <c r="K912" t="e">
        <f>VLOOKUP($F912, codebooks_data_reordered!$A:$I, 6, FALSE)</f>
        <v>#N/A</v>
      </c>
      <c r="L912" t="e">
        <f>VLOOKUP($F912, codebooks_data_reordered!$A:$I, 7, FALSE)</f>
        <v>#N/A</v>
      </c>
      <c r="M912" t="e">
        <f>VLOOKUP($F912, codebooks_data_reordered!$A:$I, 9, FALSE)</f>
        <v>#N/A</v>
      </c>
      <c r="O912" t="e">
        <f t="shared" si="14"/>
        <v>#N/A</v>
      </c>
    </row>
    <row r="913" spans="1:15" ht="144" hidden="1" x14ac:dyDescent="0.3">
      <c r="A913" t="s">
        <v>7868</v>
      </c>
      <c r="B913" t="s">
        <v>7987</v>
      </c>
      <c r="C913" s="2" t="s">
        <v>6303</v>
      </c>
      <c r="D913" t="s">
        <v>5843</v>
      </c>
      <c r="E913" s="2" t="s">
        <v>6304</v>
      </c>
      <c r="F913" t="s">
        <v>392</v>
      </c>
      <c r="G913" t="str">
        <f>VLOOKUP($F913, codebooks_data_reordered!$A:$I, 2, FALSE)</f>
        <v>2006</v>
      </c>
      <c r="H913" t="str">
        <f>VLOOKUP($F913, codebooks_data_reordered!$A:$I, 3, FALSE)</f>
        <v>Ranking on a Right/Left Political Scale</v>
      </c>
      <c r="I913" t="str">
        <f>VLOOKUP($F913, codebooks_data_reordered!$A:$I, 4, FALSE)</f>
        <v>1</v>
      </c>
      <c r="J913" t="str">
        <f>VLOOKUP($F913, codebooks_data_reordered!$A:$I, 5, FALSE)</f>
        <v>122-123</v>
      </c>
      <c r="K913" t="str">
        <f>VLOOKUP($F913, codebooks_data_reordered!$A:$I, 6, FALSE)</f>
        <v>Ranking on a right/left political scale:Likud</v>
      </c>
      <c r="L913" t="str">
        <f>VLOOKUP($F913, codebooks_data_reordered!$A:$I, 7, FALSE)</f>
        <v>How would you rate the following parties on the left-right scale from 0 to 10, 0 stands for left, and 10 stands for right and 5 is in the middle.</v>
      </c>
      <c r="M913" t="str">
        <f>VLOOKUP($F913, codebooks_data_reordered!$A:$I, 9, FALSE)</f>
        <v>0: Left; 10: Right</v>
      </c>
      <c r="O913" s="2" t="str">
        <f t="shared" si="14"/>
        <v>0: Left
 10: Right</v>
      </c>
    </row>
    <row r="914" spans="1:15" ht="144" hidden="1" x14ac:dyDescent="0.3">
      <c r="A914" t="s">
        <v>7868</v>
      </c>
      <c r="B914" t="s">
        <v>7988</v>
      </c>
      <c r="C914" s="2" t="s">
        <v>6306</v>
      </c>
      <c r="D914" t="s">
        <v>5843</v>
      </c>
      <c r="E914" s="2" t="s">
        <v>6307</v>
      </c>
      <c r="F914" t="s">
        <v>2153</v>
      </c>
      <c r="G914" t="str">
        <f>VLOOKUP($F914, codebooks_data_reordered!$A:$I, 2, FALSE)</f>
        <v>1999_1</v>
      </c>
      <c r="H914" t="str">
        <f>VLOOKUP($F914, codebooks_data_reordered!$A:$I, 3, FALSE)</f>
        <v>VOTING PATTERNS</v>
      </c>
      <c r="I914" t="str">
        <f>VLOOKUP($F914, codebooks_data_reordered!$A:$I, 4, FALSE)</f>
        <v>3</v>
      </c>
      <c r="J914" t="str">
        <f>VLOOKUP($F914, codebooks_data_reordered!$A:$I, 5, FALSE)</f>
        <v>13</v>
      </c>
      <c r="K914" t="str">
        <f>VLOOKUP($F914, codebooks_data_reordered!$A:$I, 6, FALSE)</f>
        <v>Direct election for PM's impact on the government system</v>
      </c>
      <c r="L914">
        <f>VLOOKUP($F914, codebooks_data_reordered!$A:$I, 7, FALSE)</f>
        <v>0</v>
      </c>
      <c r="M914" t="str">
        <f>VLOOKUP($F914, codebooks_data_reordered!$A:$I, 9, FALSE)</f>
        <v>1: Improves government system; 2: Makes it worse; 3: No change</v>
      </c>
      <c r="O914" s="2" t="str">
        <f t="shared" si="14"/>
        <v>1: Improves government system
 2: Makes it worse
 3: No change</v>
      </c>
    </row>
    <row r="915" spans="1:15" ht="273.60000000000002" hidden="1" x14ac:dyDescent="0.3">
      <c r="A915" t="s">
        <v>7868</v>
      </c>
      <c r="B915" t="s">
        <v>7989</v>
      </c>
      <c r="C915" s="2" t="s">
        <v>7990</v>
      </c>
      <c r="D915" t="s">
        <v>5843</v>
      </c>
      <c r="E915" s="2" t="s">
        <v>7991</v>
      </c>
      <c r="F915" t="s">
        <v>9329</v>
      </c>
      <c r="G915" t="e">
        <f>VLOOKUP($F915, codebooks_data_reordered!$A:$I, 2, FALSE)</f>
        <v>#N/A</v>
      </c>
      <c r="H915" t="e">
        <f>VLOOKUP($F915, codebooks_data_reordered!$A:$I, 3, FALSE)</f>
        <v>#N/A</v>
      </c>
      <c r="I915" t="e">
        <f>VLOOKUP($F915, codebooks_data_reordered!$A:$I, 4, FALSE)</f>
        <v>#N/A</v>
      </c>
      <c r="J915" t="e">
        <f>VLOOKUP($F915, codebooks_data_reordered!$A:$I, 5, FALSE)</f>
        <v>#N/A</v>
      </c>
      <c r="K915" t="e">
        <f>VLOOKUP($F915, codebooks_data_reordered!$A:$I, 6, FALSE)</f>
        <v>#N/A</v>
      </c>
      <c r="L915" t="e">
        <f>VLOOKUP($F915, codebooks_data_reordered!$A:$I, 7, FALSE)</f>
        <v>#N/A</v>
      </c>
      <c r="M915" t="e">
        <f>VLOOKUP($F915, codebooks_data_reordered!$A:$I, 9, FALSE)</f>
        <v>#N/A</v>
      </c>
      <c r="O915" t="e">
        <f t="shared" si="14"/>
        <v>#N/A</v>
      </c>
    </row>
    <row r="916" spans="1:15" ht="216" hidden="1" x14ac:dyDescent="0.3">
      <c r="A916" t="s">
        <v>7868</v>
      </c>
      <c r="B916" t="s">
        <v>7992</v>
      </c>
      <c r="C916" s="2" t="s">
        <v>7993</v>
      </c>
      <c r="D916" t="s">
        <v>5843</v>
      </c>
      <c r="E916" s="2" t="s">
        <v>7994</v>
      </c>
      <c r="F916" t="s">
        <v>9329</v>
      </c>
      <c r="G916" t="e">
        <f>VLOOKUP($F916, codebooks_data_reordered!$A:$I, 2, FALSE)</f>
        <v>#N/A</v>
      </c>
      <c r="H916" t="e">
        <f>VLOOKUP($F916, codebooks_data_reordered!$A:$I, 3, FALSE)</f>
        <v>#N/A</v>
      </c>
      <c r="I916" t="e">
        <f>VLOOKUP($F916, codebooks_data_reordered!$A:$I, 4, FALSE)</f>
        <v>#N/A</v>
      </c>
      <c r="J916" t="e">
        <f>VLOOKUP($F916, codebooks_data_reordered!$A:$I, 5, FALSE)</f>
        <v>#N/A</v>
      </c>
      <c r="K916" t="e">
        <f>VLOOKUP($F916, codebooks_data_reordered!$A:$I, 6, FALSE)</f>
        <v>#N/A</v>
      </c>
      <c r="L916" t="e">
        <f>VLOOKUP($F916, codebooks_data_reordered!$A:$I, 7, FALSE)</f>
        <v>#N/A</v>
      </c>
      <c r="M916" t="e">
        <f>VLOOKUP($F916, codebooks_data_reordered!$A:$I, 9, FALSE)</f>
        <v>#N/A</v>
      </c>
      <c r="O916" t="e">
        <f t="shared" si="14"/>
        <v>#N/A</v>
      </c>
    </row>
    <row r="917" spans="1:15" ht="144" hidden="1" x14ac:dyDescent="0.3">
      <c r="A917" t="s">
        <v>7868</v>
      </c>
      <c r="B917" t="s">
        <v>7995</v>
      </c>
      <c r="C917" s="2" t="s">
        <v>7996</v>
      </c>
      <c r="D917" t="s">
        <v>5843</v>
      </c>
      <c r="E917" s="2" t="s">
        <v>7997</v>
      </c>
      <c r="F917" t="s">
        <v>9330</v>
      </c>
      <c r="G917" t="e">
        <f>VLOOKUP($F917, codebooks_data_reordered!$A:$I, 2, FALSE)</f>
        <v>#N/A</v>
      </c>
      <c r="H917" t="e">
        <f>VLOOKUP($F917, codebooks_data_reordered!$A:$I, 3, FALSE)</f>
        <v>#N/A</v>
      </c>
      <c r="I917" t="e">
        <f>VLOOKUP($F917, codebooks_data_reordered!$A:$I, 4, FALSE)</f>
        <v>#N/A</v>
      </c>
      <c r="J917" t="e">
        <f>VLOOKUP($F917, codebooks_data_reordered!$A:$I, 5, FALSE)</f>
        <v>#N/A</v>
      </c>
      <c r="K917" t="e">
        <f>VLOOKUP($F917, codebooks_data_reordered!$A:$I, 6, FALSE)</f>
        <v>#N/A</v>
      </c>
      <c r="L917" t="e">
        <f>VLOOKUP($F917, codebooks_data_reordered!$A:$I, 7, FALSE)</f>
        <v>#N/A</v>
      </c>
      <c r="M917" t="e">
        <f>VLOOKUP($F917, codebooks_data_reordered!$A:$I, 9, FALSE)</f>
        <v>#N/A</v>
      </c>
      <c r="O917" t="e">
        <f t="shared" si="14"/>
        <v>#N/A</v>
      </c>
    </row>
    <row r="918" spans="1:15" ht="216" hidden="1" x14ac:dyDescent="0.3">
      <c r="A918" t="s">
        <v>7998</v>
      </c>
      <c r="B918" t="s">
        <v>6206</v>
      </c>
      <c r="C918" s="2" t="s">
        <v>7999</v>
      </c>
      <c r="D918" t="s">
        <v>5843</v>
      </c>
      <c r="E918" s="2" t="s">
        <v>8000</v>
      </c>
      <c r="F918" t="s">
        <v>1793</v>
      </c>
      <c r="G918" t="str">
        <f>VLOOKUP($F918, codebooks_data_reordered!$A:$I, 2, FALSE)</f>
        <v>1999_1</v>
      </c>
      <c r="H918" t="str">
        <f>VLOOKUP($F918, codebooks_data_reordered!$A:$I, 3, FALSE)</f>
        <v>GENERAL POLITICAL ATTITUDE</v>
      </c>
      <c r="I918" t="str">
        <f>VLOOKUP($F918, codebooks_data_reordered!$A:$I, 4, FALSE)</f>
        <v>1</v>
      </c>
      <c r="J918" t="str">
        <f>VLOOKUP($F918, codebooks_data_reordered!$A:$I, 5, FALSE)</f>
        <v>24</v>
      </c>
      <c r="K918" t="str">
        <f>VLOOKUP($F918, codebooks_data_reordered!$A:$I, 6, FALSE)</f>
        <v>Opinion on the establishment of a Palestinian state</v>
      </c>
      <c r="L918">
        <f>VLOOKUP($F918, codebooks_data_reordered!$A:$I, 7, FALSE)</f>
        <v>0</v>
      </c>
      <c r="M918" t="str">
        <f>VLOOKUP($F918, codebooks_data_reordered!$A:$I, 9, FALSE)</f>
        <v>1: Definitely agree; 2: Agree; 3: Disagree; 4: Definitely disagree</v>
      </c>
      <c r="O918" s="2" t="str">
        <f t="shared" si="14"/>
        <v>1: Definitely agree
 2: Agree
 3: Disagree
 4: Definitely disagree</v>
      </c>
    </row>
    <row r="919" spans="1:15" ht="115.2" hidden="1" x14ac:dyDescent="0.3">
      <c r="A919" t="s">
        <v>7998</v>
      </c>
      <c r="B919" t="s">
        <v>8001</v>
      </c>
      <c r="C919" s="2" t="s">
        <v>8002</v>
      </c>
      <c r="D919" t="s">
        <v>5843</v>
      </c>
      <c r="E919" s="2" t="s">
        <v>8003</v>
      </c>
      <c r="F919" t="s">
        <v>1859</v>
      </c>
      <c r="G919" t="str">
        <f>VLOOKUP($F919, codebooks_data_reordered!$A:$I, 2, FALSE)</f>
        <v>1999_1</v>
      </c>
      <c r="H919" t="str">
        <f>VLOOKUP($F919, codebooks_data_reordered!$A:$I, 3, FALSE)</f>
        <v>ATTITUDES TOWARD CANDIDATES AND PARTIES</v>
      </c>
      <c r="I919" t="str">
        <f>VLOOKUP($F919, codebooks_data_reordered!$A:$I, 4, FALSE)</f>
        <v>1</v>
      </c>
      <c r="J919" t="str">
        <f>VLOOKUP($F919, codebooks_data_reordered!$A:$I, 5, FALSE)</f>
        <v>52</v>
      </c>
      <c r="K919" t="str">
        <f>VLOOKUP($F919, codebooks_data_reordered!$A:$I, 6, FALSE)</f>
        <v>Extend of support for Itzhak Mordechai</v>
      </c>
      <c r="L919" t="str">
        <f>VLOOKUP($F919, codebooks_data_reordered!$A:$I, 7, FALSE)</f>
        <v>Extent of support on 1-10 scale, 1=total rejection, 10=strong support</v>
      </c>
      <c r="M919" t="str">
        <f>VLOOKUP($F919, codebooks_data_reordered!$A:$I, 9, FALSE)</f>
        <v>1: Totally reject; 10: Strongly support</v>
      </c>
      <c r="O919" s="2" t="str">
        <f t="shared" si="14"/>
        <v>1: Totally reject
 10: Strongly support</v>
      </c>
    </row>
    <row r="920" spans="1:15" ht="100.8" hidden="1" x14ac:dyDescent="0.3">
      <c r="A920" t="s">
        <v>7998</v>
      </c>
      <c r="B920" t="s">
        <v>6630</v>
      </c>
      <c r="C920" s="2" t="s">
        <v>8004</v>
      </c>
      <c r="D920" t="s">
        <v>5843</v>
      </c>
      <c r="E920" s="2" t="s">
        <v>8005</v>
      </c>
      <c r="F920" t="s">
        <v>1859</v>
      </c>
      <c r="G920" t="str">
        <f>VLOOKUP($F920, codebooks_data_reordered!$A:$I, 2, FALSE)</f>
        <v>1999_1</v>
      </c>
      <c r="H920" t="str">
        <f>VLOOKUP($F920, codebooks_data_reordered!$A:$I, 3, FALSE)</f>
        <v>ATTITUDES TOWARD CANDIDATES AND PARTIES</v>
      </c>
      <c r="I920" t="str">
        <f>VLOOKUP($F920, codebooks_data_reordered!$A:$I, 4, FALSE)</f>
        <v>1</v>
      </c>
      <c r="J920" t="str">
        <f>VLOOKUP($F920, codebooks_data_reordered!$A:$I, 5, FALSE)</f>
        <v>52</v>
      </c>
      <c r="K920" t="str">
        <f>VLOOKUP($F920, codebooks_data_reordered!$A:$I, 6, FALSE)</f>
        <v>Extend of support for Itzhak Mordechai</v>
      </c>
      <c r="L920" t="str">
        <f>VLOOKUP($F920, codebooks_data_reordered!$A:$I, 7, FALSE)</f>
        <v>Extent of support on 1-10 scale, 1=total rejection, 10=strong support</v>
      </c>
      <c r="M920" t="str">
        <f>VLOOKUP($F920, codebooks_data_reordered!$A:$I, 9, FALSE)</f>
        <v>1: Totally reject; 10: Strongly support</v>
      </c>
      <c r="O920" s="2" t="str">
        <f t="shared" si="14"/>
        <v>1: Totally reject
 10: Strongly support</v>
      </c>
    </row>
    <row r="921" spans="1:15" ht="115.2" hidden="1" x14ac:dyDescent="0.3">
      <c r="A921" t="s">
        <v>7998</v>
      </c>
      <c r="B921" t="s">
        <v>8006</v>
      </c>
      <c r="C921" s="2" t="s">
        <v>8007</v>
      </c>
      <c r="D921" t="s">
        <v>5843</v>
      </c>
      <c r="E921" s="2" t="s">
        <v>8008</v>
      </c>
      <c r="F921" t="s">
        <v>1882</v>
      </c>
      <c r="G921" t="str">
        <f>VLOOKUP($F921, codebooks_data_reordered!$A:$I, 2, FALSE)</f>
        <v>1999_1</v>
      </c>
      <c r="H921" t="str">
        <f>VLOOKUP($F921, codebooks_data_reordered!$A:$I, 3, FALSE)</f>
        <v>MORE ATTITUDES TOWARD PARTIES AND CANDIDATES</v>
      </c>
      <c r="I921" t="str">
        <f>VLOOKUP($F921, codebooks_data_reordered!$A:$I, 4, FALSE)</f>
        <v>1</v>
      </c>
      <c r="J921" t="str">
        <f>VLOOKUP($F921, codebooks_data_reordered!$A:$I, 5, FALSE)</f>
        <v>62</v>
      </c>
      <c r="K921" t="str">
        <f>VLOOKUP($F921, codebooks_data_reordered!$A:$I, 6, FALSE)</f>
        <v>Capitalism or socialism for Israel's economy</v>
      </c>
      <c r="L921" t="str">
        <f>VLOOKUP($F921, codebooks_data_reordered!$A:$I, 7, FALSE)</f>
        <v>Extent of support on 1-10 scale, 1=total rejection, 10=strong support</v>
      </c>
      <c r="M921" t="str">
        <f>VLOOKUP($F921, codebooks_data_reordered!$A:$I, 9, FALSE)</f>
        <v>1: Definitely prefer capitalism; 2: More capitalist than socialist; 3: More socialist than capitalist; 4: Definitely prefer socialism</v>
      </c>
      <c r="O921" s="2" t="str">
        <f t="shared" si="14"/>
        <v>1: Definitely prefer capitalism
 2: More capitalist than socialist
 3: More socialist than capitalist
 4: Definitely prefer socialism</v>
      </c>
    </row>
    <row r="922" spans="1:15" ht="86.4" hidden="1" x14ac:dyDescent="0.3">
      <c r="A922" t="s">
        <v>7998</v>
      </c>
      <c r="B922" t="s">
        <v>7200</v>
      </c>
      <c r="C922" s="2" t="s">
        <v>8009</v>
      </c>
      <c r="D922" t="s">
        <v>5843</v>
      </c>
      <c r="E922" s="2" t="s">
        <v>8010</v>
      </c>
      <c r="F922" t="s">
        <v>1861</v>
      </c>
      <c r="G922" t="str">
        <f>VLOOKUP($F922, codebooks_data_reordered!$A:$I, 2, FALSE)</f>
        <v>1999_1</v>
      </c>
      <c r="H922" t="str">
        <f>VLOOKUP($F922, codebooks_data_reordered!$A:$I, 3, FALSE)</f>
        <v>ATTITUDES TOWARD CANDIDATES AND PARTIES</v>
      </c>
      <c r="I922" t="str">
        <f>VLOOKUP($F922, codebooks_data_reordered!$A:$I, 4, FALSE)</f>
        <v>1</v>
      </c>
      <c r="J922" t="str">
        <f>VLOOKUP($F922, codebooks_data_reordered!$A:$I, 5, FALSE)</f>
        <v>53</v>
      </c>
      <c r="K922" t="str">
        <f>VLOOKUP($F922, codebooks_data_reordered!$A:$I, 6, FALSE)</f>
        <v>Extend of support for Yasser Arafat</v>
      </c>
      <c r="L922" t="str">
        <f>VLOOKUP($F922, codebooks_data_reordered!$A:$I, 7, FALSE)</f>
        <v>Extent of support on 1-10 scale, 1=total rejection, 10=strong support</v>
      </c>
      <c r="M922" t="str">
        <f>VLOOKUP($F922, codebooks_data_reordered!$A:$I, 9, FALSE)</f>
        <v>1: Totally reject; 10: Strongly support</v>
      </c>
      <c r="O922" s="2" t="str">
        <f t="shared" si="14"/>
        <v>1: Totally reject
 10: Strongly support</v>
      </c>
    </row>
    <row r="923" spans="1:15" ht="72" hidden="1" x14ac:dyDescent="0.3">
      <c r="A923" t="s">
        <v>7998</v>
      </c>
      <c r="B923" t="s">
        <v>7752</v>
      </c>
      <c r="C923" s="2" t="s">
        <v>8011</v>
      </c>
      <c r="D923" t="s">
        <v>5843</v>
      </c>
      <c r="E923" s="2" t="s">
        <v>8012</v>
      </c>
      <c r="F923" t="s">
        <v>9331</v>
      </c>
      <c r="G923" t="e">
        <f>VLOOKUP($F923, codebooks_data_reordered!$A:$I, 2, FALSE)</f>
        <v>#N/A</v>
      </c>
      <c r="H923" t="e">
        <f>VLOOKUP($F923, codebooks_data_reordered!$A:$I, 3, FALSE)</f>
        <v>#N/A</v>
      </c>
      <c r="I923" t="e">
        <f>VLOOKUP($F923, codebooks_data_reordered!$A:$I, 4, FALSE)</f>
        <v>#N/A</v>
      </c>
      <c r="J923" t="e">
        <f>VLOOKUP($F923, codebooks_data_reordered!$A:$I, 5, FALSE)</f>
        <v>#N/A</v>
      </c>
      <c r="K923" t="e">
        <f>VLOOKUP($F923, codebooks_data_reordered!$A:$I, 6, FALSE)</f>
        <v>#N/A</v>
      </c>
      <c r="L923" t="e">
        <f>VLOOKUP($F923, codebooks_data_reordered!$A:$I, 7, FALSE)</f>
        <v>#N/A</v>
      </c>
      <c r="M923" t="e">
        <f>VLOOKUP($F923, codebooks_data_reordered!$A:$I, 9, FALSE)</f>
        <v>#N/A</v>
      </c>
      <c r="O923" t="e">
        <f t="shared" si="14"/>
        <v>#N/A</v>
      </c>
    </row>
    <row r="924" spans="1:15" ht="115.2" hidden="1" x14ac:dyDescent="0.3">
      <c r="A924" t="s">
        <v>7998</v>
      </c>
      <c r="B924" t="s">
        <v>8013</v>
      </c>
      <c r="C924" s="2" t="s">
        <v>8014</v>
      </c>
      <c r="D924" t="s">
        <v>5843</v>
      </c>
      <c r="E924" s="2" t="s">
        <v>8015</v>
      </c>
      <c r="F924" t="s">
        <v>304</v>
      </c>
      <c r="G924" t="str">
        <f>VLOOKUP($F924, codebooks_data_reordered!$A:$I, 2, FALSE)</f>
        <v>2006</v>
      </c>
      <c r="H924" t="str">
        <f>VLOOKUP($F924, codebooks_data_reordered!$A:$I, 3, FALSE)</f>
        <v>Support/Rejection of a Group or a Person</v>
      </c>
      <c r="I924" t="str">
        <f>VLOOKUP($F924, codebooks_data_reordered!$A:$I, 4, FALSE)</f>
        <v>1</v>
      </c>
      <c r="J924" t="str">
        <f>VLOOKUP($F924, codebooks_data_reordered!$A:$I, 5, FALSE)</f>
        <v>97-98</v>
      </c>
      <c r="K924" t="str">
        <f>VLOOKUP($F924, codebooks_data_reordered!$A:$I, 6, FALSE)</f>
        <v>Support: Sharanskiy</v>
      </c>
      <c r="L924">
        <f>VLOOKUP($F924, codebooks_data_reordered!$A:$I, 7, FALSE)</f>
        <v>0</v>
      </c>
      <c r="M924" t="str">
        <f>VLOOKUP($F924, codebooks_data_reordered!$A:$I, 9, FALSE)</f>
        <v>1: Hate/rejection; 10: Love/support</v>
      </c>
      <c r="O924" s="2" t="str">
        <f t="shared" si="14"/>
        <v>1: Hate/rejection
 10: Love/support</v>
      </c>
    </row>
    <row r="925" spans="1:15" ht="100.8" hidden="1" x14ac:dyDescent="0.3">
      <c r="A925" t="s">
        <v>7998</v>
      </c>
      <c r="B925" t="s">
        <v>8016</v>
      </c>
      <c r="C925" s="2" t="s">
        <v>8017</v>
      </c>
      <c r="D925" t="s">
        <v>5843</v>
      </c>
      <c r="E925" s="2" t="s">
        <v>8018</v>
      </c>
      <c r="F925" t="s">
        <v>199</v>
      </c>
      <c r="G925" t="str">
        <f>VLOOKUP($F925, codebooks_data_reordered!$A:$I, 2, FALSE)</f>
        <v>2006</v>
      </c>
      <c r="H925" t="str">
        <f>VLOOKUP($F925, codebooks_data_reordered!$A:$I, 3, FALSE)</f>
        <v>Agree/Disagree with the Different Statements</v>
      </c>
      <c r="I925" t="str">
        <f>VLOOKUP($F925, codebooks_data_reordered!$A:$I, 4, FALSE)</f>
        <v>1</v>
      </c>
      <c r="J925" t="str">
        <f>VLOOKUP($F925, codebooks_data_reordered!$A:$I, 5, FALSE)</f>
        <v>51</v>
      </c>
      <c r="K925" t="str">
        <f>VLOOKUP($F925, codebooks_data_reordered!$A:$I, 6, FALSE)</f>
        <v>Democracy as a best system</v>
      </c>
      <c r="L925" t="str">
        <f>VLOOKUP($F925, codebooks_data_reordered!$A:$I, 7, FALSE)</f>
        <v>To what extent do you agree or disagree with the following statements? 46. Even if there are problems in democracy, it's still the best political system</v>
      </c>
      <c r="M925" t="str">
        <f>VLOOKUP($F925, codebooks_data_reordered!$A:$I, 9, FALSE)</f>
        <v>1: Definitely disagree; 2: Disagree; 3: Agree; 4: Definitely agree</v>
      </c>
      <c r="O925" s="2" t="str">
        <f t="shared" si="14"/>
        <v>1: Definitely disagree
 2: Disagree
 3: Agree
 4: Definitely agree</v>
      </c>
    </row>
    <row r="926" spans="1:15" ht="86.4" hidden="1" x14ac:dyDescent="0.3">
      <c r="A926" t="s">
        <v>7998</v>
      </c>
      <c r="B926" t="s">
        <v>8019</v>
      </c>
      <c r="C926" s="2" t="s">
        <v>8020</v>
      </c>
      <c r="D926" t="s">
        <v>5843</v>
      </c>
      <c r="E926" s="2" t="s">
        <v>8021</v>
      </c>
      <c r="F926" t="s">
        <v>263</v>
      </c>
      <c r="G926" t="str">
        <f>VLOOKUP($F926, codebooks_data_reordered!$A:$I, 2, FALSE)</f>
        <v>2006</v>
      </c>
      <c r="H926" t="str">
        <f>VLOOKUP($F926, codebooks_data_reordered!$A:$I, 3, FALSE)</f>
        <v>Support/Rejection of a Group or a Person</v>
      </c>
      <c r="I926" t="str">
        <f>VLOOKUP($F926, codebooks_data_reordered!$A:$I, 4, FALSE)</f>
        <v>1</v>
      </c>
      <c r="J926" t="str">
        <f>VLOOKUP($F926, codebooks_data_reordered!$A:$I, 5, FALSE)</f>
        <v>71-72</v>
      </c>
      <c r="K926" t="str">
        <f>VLOOKUP($F926, codebooks_data_reordered!$A:$I, 6, FALSE)</f>
        <v>Support: Ihud Leumi - Mafdal</v>
      </c>
      <c r="L926" t="str">
        <f>VLOOKUP($F926, codebooks_data_reordered!$A:$I, 7, FALSE)</f>
        <v>Here is a scale from 1 to 10 to express support or rejection of a group or a person. '1' describes strong rejection/ hate, and '10' describes strong support/ love.</v>
      </c>
      <c r="M926" t="str">
        <f>VLOOKUP($F926, codebooks_data_reordered!$A:$I, 9, FALSE)</f>
        <v>1: Hate/rejection; 10: Love/support</v>
      </c>
      <c r="O926" s="2" t="str">
        <f t="shared" si="14"/>
        <v>1: Hate/rejection
 10: Love/support</v>
      </c>
    </row>
    <row r="927" spans="1:15" ht="115.2" hidden="1" x14ac:dyDescent="0.3">
      <c r="A927" t="s">
        <v>7998</v>
      </c>
      <c r="B927" t="s">
        <v>6636</v>
      </c>
      <c r="C927" s="2" t="s">
        <v>8022</v>
      </c>
      <c r="D927" t="s">
        <v>5843</v>
      </c>
      <c r="E927" s="2" t="s">
        <v>8023</v>
      </c>
      <c r="F927" t="s">
        <v>1937</v>
      </c>
      <c r="G927" t="str">
        <f>VLOOKUP($F927, codebooks_data_reordered!$A:$I, 2, FALSE)</f>
        <v>1999_1</v>
      </c>
      <c r="H927" t="str">
        <f>VLOOKUP($F927, codebooks_data_reordered!$A:$I, 3, FALSE)</f>
        <v>MORE ATTITUDES TOWARD PARTIES AND CANDIDATES</v>
      </c>
      <c r="I927" t="str">
        <f>VLOOKUP($F927, codebooks_data_reordered!$A:$I, 4, FALSE)</f>
        <v>1</v>
      </c>
      <c r="J927" t="str">
        <f>VLOOKUP($F927, codebooks_data_reordered!$A:$I, 5, FALSE)</f>
        <v>84</v>
      </c>
      <c r="K927" t="str">
        <f>VLOOKUP($F927, codebooks_data_reordered!$A:$I, 6, FALSE)</f>
        <v>Identification with Azmi Bashara's socio-economic policy</v>
      </c>
      <c r="L927" t="str">
        <f>VLOOKUP($F927, codebooks_data_reordered!$A:$I, 7, FALSE)</f>
        <v>Identification with candidate on 1-10 scale: 1=Strong rejection, 10=Strong support</v>
      </c>
      <c r="M927" t="str">
        <f>VLOOKUP($F927, codebooks_data_reordered!$A:$I, 9, FALSE)</f>
        <v>1: Strong rejection; 10: Strong support</v>
      </c>
      <c r="O927" s="2" t="str">
        <f t="shared" si="14"/>
        <v>1: Strong rejection
 10: Strong support</v>
      </c>
    </row>
    <row r="928" spans="1:15" ht="100.8" hidden="1" x14ac:dyDescent="0.3">
      <c r="A928" t="s">
        <v>7998</v>
      </c>
      <c r="B928" t="s">
        <v>7205</v>
      </c>
      <c r="C928" s="2" t="s">
        <v>8024</v>
      </c>
      <c r="D928" t="s">
        <v>5843</v>
      </c>
      <c r="E928" s="2" t="s">
        <v>8025</v>
      </c>
      <c r="F928" t="s">
        <v>2363</v>
      </c>
      <c r="G928" t="str">
        <f>VLOOKUP($F928, codebooks_data_reordered!$A:$I, 2, FALSE)</f>
        <v>1996_Jews</v>
      </c>
      <c r="H928" t="str">
        <f>VLOOKUP($F928, codebooks_data_reordered!$A:$I, 3, FALSE)</f>
        <v>CLOSER TO LIKUD/LABOR ON THE FOLLOWING ISSUES</v>
      </c>
      <c r="I928" t="str">
        <f>VLOOKUP($F928, codebooks_data_reordered!$A:$I, 4, FALSE)</f>
        <v>1</v>
      </c>
      <c r="J928" t="str">
        <f>VLOOKUP($F928, codebooks_data_reordered!$A:$I, 5, FALSE)</f>
        <v>100</v>
      </c>
      <c r="K928" t="str">
        <f>VLOOKUP($F928, codebooks_data_reordered!$A:$I, 6, FALSE)</f>
        <v>Closer to Likud/Labor: Terrorism</v>
      </c>
      <c r="L928">
        <f>VLOOKUP($F928, codebooks_data_reordered!$A:$I, 7, FALSE)</f>
        <v>0</v>
      </c>
      <c r="M928" t="str">
        <f>VLOOKUP($F928, codebooks_data_reordered!$A:$I, 9, FALSE)</f>
        <v>1: Closer to Labor's attitude; 2: Closer to Likud's attitude; 3: Another party</v>
      </c>
      <c r="O928" s="2" t="str">
        <f t="shared" si="14"/>
        <v>1: Closer to Labor's attitude
 2: Closer to Likud's attitude
 3: Another party</v>
      </c>
    </row>
    <row r="929" spans="1:15" ht="72" hidden="1" x14ac:dyDescent="0.3">
      <c r="A929" t="s">
        <v>7998</v>
      </c>
      <c r="B929" t="s">
        <v>8026</v>
      </c>
      <c r="C929" s="2" t="s">
        <v>8027</v>
      </c>
      <c r="D929" t="s">
        <v>5843</v>
      </c>
      <c r="E929" s="2" t="s">
        <v>8028</v>
      </c>
      <c r="F929" t="s">
        <v>3378</v>
      </c>
      <c r="G929" t="str">
        <f>VLOOKUP($F929, codebooks_data_reordered!$A:$I, 2, FALSE)</f>
        <v>1988_Panel_N=416</v>
      </c>
      <c r="H929" t="str">
        <f>VLOOKUP($F929, codebooks_data_reordered!$A:$I, 3, FALSE)</f>
        <v>NATIONAL SECURITY SCALE</v>
      </c>
      <c r="I929" t="str">
        <f>VLOOKUP($F929, codebooks_data_reordered!$A:$I, 4, FALSE)</f>
        <v>3</v>
      </c>
      <c r="J929" t="str">
        <f>VLOOKUP($F929, codebooks_data_reordered!$A:$I, 5, FALSE)</f>
        <v>22</v>
      </c>
      <c r="K929" t="str">
        <f>VLOOKUP($F929, codebooks_data_reordered!$A:$I, 6, FALSE)</f>
        <v>Evaluation of government's policy in territories of maintaining tranquility</v>
      </c>
      <c r="L929">
        <f>VLOOKUP($F929, codebooks_data_reordered!$A:$I, 7, FALSE)</f>
        <v>0</v>
      </c>
      <c r="M929" t="str">
        <f>VLOOKUP($F929, codebooks_data_reordered!$A:$I, 9, FALSE)</f>
        <v>1: Too harsh; 2: Appropriate; 3: Too permissive</v>
      </c>
      <c r="O929" s="2" t="str">
        <f t="shared" si="14"/>
        <v>1: Too harsh
 2: Appropriate
 3: Too permissive</v>
      </c>
    </row>
    <row r="930" spans="1:15" ht="86.4" hidden="1" x14ac:dyDescent="0.3">
      <c r="A930" t="s">
        <v>7998</v>
      </c>
      <c r="B930" t="s">
        <v>7213</v>
      </c>
      <c r="C930" s="2" t="s">
        <v>8009</v>
      </c>
      <c r="D930" t="s">
        <v>5843</v>
      </c>
      <c r="E930" s="2" t="s">
        <v>8010</v>
      </c>
      <c r="F930" t="s">
        <v>1863</v>
      </c>
      <c r="G930" t="str">
        <f>VLOOKUP($F930, codebooks_data_reordered!$A:$I, 2, FALSE)</f>
        <v>1999_1</v>
      </c>
      <c r="H930" t="str">
        <f>VLOOKUP($F930, codebooks_data_reordered!$A:$I, 3, FALSE)</f>
        <v>ATTITUDES TOWARD CANDIDATES AND PARTIES</v>
      </c>
      <c r="I930" t="str">
        <f>VLOOKUP($F930, codebooks_data_reordered!$A:$I, 4, FALSE)</f>
        <v>1</v>
      </c>
      <c r="J930" t="str">
        <f>VLOOKUP($F930, codebooks_data_reordered!$A:$I, 5, FALSE)</f>
        <v>54</v>
      </c>
      <c r="K930" t="str">
        <f>VLOOKUP($F930, codebooks_data_reordered!$A:$I, 6, FALSE)</f>
        <v>Extend of support for Ehud Barak</v>
      </c>
      <c r="L930" t="str">
        <f>VLOOKUP($F930, codebooks_data_reordered!$A:$I, 7, FALSE)</f>
        <v>Extent of support on 1-10 scale, 1=total rejection, 10=strong support</v>
      </c>
      <c r="M930" t="str">
        <f>VLOOKUP($F930, codebooks_data_reordered!$A:$I, 9, FALSE)</f>
        <v>1: Totally reject; 10: Strongly support</v>
      </c>
      <c r="O930" s="2" t="str">
        <f t="shared" si="14"/>
        <v>1: Totally reject
 10: Strongly support</v>
      </c>
    </row>
    <row r="931" spans="1:15" ht="72" hidden="1" x14ac:dyDescent="0.3">
      <c r="A931" t="s">
        <v>7998</v>
      </c>
      <c r="B931" t="s">
        <v>5854</v>
      </c>
      <c r="C931" s="2" t="s">
        <v>8011</v>
      </c>
      <c r="D931" t="s">
        <v>5843</v>
      </c>
      <c r="E931" s="2" t="s">
        <v>8012</v>
      </c>
      <c r="F931" t="s">
        <v>9332</v>
      </c>
      <c r="G931" t="e">
        <f>VLOOKUP($F931, codebooks_data_reordered!$A:$I, 2, FALSE)</f>
        <v>#N/A</v>
      </c>
      <c r="H931" t="e">
        <f>VLOOKUP($F931, codebooks_data_reordered!$A:$I, 3, FALSE)</f>
        <v>#N/A</v>
      </c>
      <c r="I931" t="e">
        <f>VLOOKUP($F931, codebooks_data_reordered!$A:$I, 4, FALSE)</f>
        <v>#N/A</v>
      </c>
      <c r="J931" t="e">
        <f>VLOOKUP($F931, codebooks_data_reordered!$A:$I, 5, FALSE)</f>
        <v>#N/A</v>
      </c>
      <c r="K931" t="e">
        <f>VLOOKUP($F931, codebooks_data_reordered!$A:$I, 6, FALSE)</f>
        <v>#N/A</v>
      </c>
      <c r="L931" t="e">
        <f>VLOOKUP($F931, codebooks_data_reordered!$A:$I, 7, FALSE)</f>
        <v>#N/A</v>
      </c>
      <c r="M931" t="e">
        <f>VLOOKUP($F931, codebooks_data_reordered!$A:$I, 9, FALSE)</f>
        <v>#N/A</v>
      </c>
      <c r="O931" t="e">
        <f t="shared" si="14"/>
        <v>#N/A</v>
      </c>
    </row>
    <row r="932" spans="1:15" ht="158.4" hidden="1" x14ac:dyDescent="0.3">
      <c r="A932" t="s">
        <v>7998</v>
      </c>
      <c r="B932" t="s">
        <v>8029</v>
      </c>
      <c r="C932" s="2" t="s">
        <v>8030</v>
      </c>
      <c r="D932" t="s">
        <v>5843</v>
      </c>
      <c r="E932" s="2" t="s">
        <v>8031</v>
      </c>
      <c r="F932" t="s">
        <v>1763</v>
      </c>
      <c r="G932" t="str">
        <f>VLOOKUP($F932, codebooks_data_reordered!$A:$I, 2, FALSE)</f>
        <v>1999_1</v>
      </c>
      <c r="H932" t="str">
        <f>VLOOKUP($F932, codebooks_data_reordered!$A:$I, 3, FALSE)</f>
        <v>GENERAL POLITICAL ATTITUDE</v>
      </c>
      <c r="I932" t="str">
        <f>VLOOKUP($F932, codebooks_data_reordered!$A:$I, 4, FALSE)</f>
        <v>1</v>
      </c>
      <c r="J932" t="str">
        <f>VLOOKUP($F932, codebooks_data_reordered!$A:$I, 5, FALSE)</f>
        <v>13</v>
      </c>
      <c r="K932" t="str">
        <f>VLOOKUP($F932, codebooks_data_reordered!$A:$I, 6, FALSE)</f>
        <v>General economic situation in last 3 years</v>
      </c>
      <c r="L932">
        <f>VLOOKUP($F932, codebooks_data_reordered!$A:$I, 7, FALSE)</f>
        <v>0</v>
      </c>
      <c r="M932" t="str">
        <f>VLOOKUP($F932, codebooks_data_reordered!$A:$I, 9, FALSE)</f>
        <v>1: Greatly improved; 2: Slightly improved; 3: Hasn't changed; 4: Worsened slightly; 5: Worsened greatly</v>
      </c>
      <c r="O932" s="2" t="str">
        <f t="shared" si="14"/>
        <v>1: Greatly improved
 2: Slightly improved
 3: Hasn't changed
 4: Worsened slightly
 5: Worsened greatly</v>
      </c>
    </row>
    <row r="933" spans="1:15" ht="57.6" hidden="1" x14ac:dyDescent="0.3">
      <c r="A933" t="s">
        <v>7998</v>
      </c>
      <c r="B933" t="s">
        <v>6538</v>
      </c>
      <c r="C933" s="2" t="s">
        <v>8032</v>
      </c>
      <c r="D933" t="s">
        <v>5843</v>
      </c>
      <c r="E933" s="2" t="s">
        <v>8033</v>
      </c>
      <c r="F933" t="s">
        <v>1747</v>
      </c>
      <c r="G933" t="str">
        <f>VLOOKUP($F933, codebooks_data_reordered!$A:$I, 2, FALSE)</f>
        <v>1999_1</v>
      </c>
      <c r="H933" t="str">
        <f>VLOOKUP($F933, codebooks_data_reordered!$A:$I, 3, FALSE)</f>
        <v>GENERAL</v>
      </c>
      <c r="I933" t="str">
        <f>VLOOKUP($F933, codebooks_data_reordered!$A:$I, 4, FALSE)</f>
        <v>1</v>
      </c>
      <c r="J933" t="str">
        <f>VLOOKUP($F933, codebooks_data_reordered!$A:$I, 5, FALSE)</f>
        <v>5</v>
      </c>
      <c r="K933" t="str">
        <f>VLOOKUP($F933, codebooks_data_reordered!$A:$I, 6, FALSE)</f>
        <v>Type of record</v>
      </c>
      <c r="L933">
        <f>VLOOKUP($F933, codebooks_data_reordered!$A:$I, 7, FALSE)</f>
        <v>0</v>
      </c>
      <c r="M933">
        <f>VLOOKUP($F933, codebooks_data_reordered!$A:$I, 9, FALSE)</f>
        <v>0</v>
      </c>
      <c r="O933" s="2" t="str">
        <f t="shared" si="14"/>
        <v>0</v>
      </c>
    </row>
    <row r="934" spans="1:15" ht="158.4" hidden="1" x14ac:dyDescent="0.3">
      <c r="A934" t="s">
        <v>7998</v>
      </c>
      <c r="B934" t="s">
        <v>6655</v>
      </c>
      <c r="C934" s="2" t="s">
        <v>8034</v>
      </c>
      <c r="D934" t="s">
        <v>5843</v>
      </c>
      <c r="E934" s="2" t="s">
        <v>8035</v>
      </c>
      <c r="F934" t="s">
        <v>1765</v>
      </c>
      <c r="G934" t="str">
        <f>VLOOKUP($F934, codebooks_data_reordered!$A:$I, 2, FALSE)</f>
        <v>1999_1</v>
      </c>
      <c r="H934" t="str">
        <f>VLOOKUP($F934, codebooks_data_reordered!$A:$I, 3, FALSE)</f>
        <v>GENERAL POLITICAL ATTITUDE</v>
      </c>
      <c r="I934" t="str">
        <f>VLOOKUP($F934, codebooks_data_reordered!$A:$I, 4, FALSE)</f>
        <v>1</v>
      </c>
      <c r="J934" t="str">
        <f>VLOOKUP($F934, codebooks_data_reordered!$A:$I, 5, FALSE)</f>
        <v>14</v>
      </c>
      <c r="K934" t="str">
        <f>VLOOKUP($F934, codebooks_data_reordered!$A:$I, 6, FALSE)</f>
        <v>Personal economic situation in last 3 years</v>
      </c>
      <c r="L934">
        <f>VLOOKUP($F934, codebooks_data_reordered!$A:$I, 7, FALSE)</f>
        <v>0</v>
      </c>
      <c r="M934" t="str">
        <f>VLOOKUP($F934, codebooks_data_reordered!$A:$I, 9, FALSE)</f>
        <v>1: Greatly improved; 2: Slightly improved; 3: Hasn't changed; 4: Worsened slightly; 5: Worsened greatly</v>
      </c>
      <c r="O934" s="2" t="str">
        <f t="shared" si="14"/>
        <v>1: Greatly improved
 2: Slightly improved
 3: Hasn't changed
 4: Worsened slightly
 5: Worsened greatly</v>
      </c>
    </row>
    <row r="935" spans="1:15" ht="57.6" hidden="1" x14ac:dyDescent="0.3">
      <c r="A935" t="s">
        <v>7998</v>
      </c>
      <c r="B935" t="s">
        <v>8036</v>
      </c>
      <c r="C935" s="2" t="s">
        <v>8037</v>
      </c>
      <c r="D935" t="s">
        <v>5843</v>
      </c>
      <c r="E935" s="2" t="s">
        <v>8038</v>
      </c>
      <c r="F935" t="s">
        <v>1744</v>
      </c>
      <c r="G935" t="str">
        <f>VLOOKUP($F935, codebooks_data_reordered!$A:$I, 2, FALSE)</f>
        <v>1999_1</v>
      </c>
      <c r="H935" t="str">
        <f>VLOOKUP($F935, codebooks_data_reordered!$A:$I, 3, FALSE)</f>
        <v>GENERAL</v>
      </c>
      <c r="I935" t="str">
        <f>VLOOKUP($F935, codebooks_data_reordered!$A:$I, 4, FALSE)</f>
        <v>1</v>
      </c>
      <c r="J935" t="str">
        <f>VLOOKUP($F935, codebooks_data_reordered!$A:$I, 5, FALSE)</f>
        <v>1-4</v>
      </c>
      <c r="K935" t="str">
        <f>VLOOKUP($F935, codebooks_data_reordered!$A:$I, 6, FALSE)</f>
        <v>Case ID</v>
      </c>
      <c r="L935">
        <f>VLOOKUP($F935, codebooks_data_reordered!$A:$I, 7, FALSE)</f>
        <v>0</v>
      </c>
      <c r="M935">
        <f>VLOOKUP($F935, codebooks_data_reordered!$A:$I, 9, FALSE)</f>
        <v>0</v>
      </c>
      <c r="O935" s="2" t="str">
        <f t="shared" si="14"/>
        <v>0</v>
      </c>
    </row>
    <row r="936" spans="1:15" ht="115.2" hidden="1" x14ac:dyDescent="0.3">
      <c r="A936" t="s">
        <v>7998</v>
      </c>
      <c r="B936" t="s">
        <v>6658</v>
      </c>
      <c r="C936" s="2" t="s">
        <v>6859</v>
      </c>
      <c r="D936" t="s">
        <v>5843</v>
      </c>
      <c r="E936" s="2" t="s">
        <v>6860</v>
      </c>
      <c r="F936" t="s">
        <v>1801</v>
      </c>
      <c r="G936" t="str">
        <f>VLOOKUP($F936, codebooks_data_reordered!$A:$I, 2, FALSE)</f>
        <v>1999_1</v>
      </c>
      <c r="H936" t="str">
        <f>VLOOKUP($F936, codebooks_data_reordered!$A:$I, 3, FALSE)</f>
        <v>GENERAL POLITICAL ATTITUDE</v>
      </c>
      <c r="I936" t="str">
        <f>VLOOKUP($F936, codebooks_data_reordered!$A:$I, 4, FALSE)</f>
        <v>1</v>
      </c>
      <c r="J936" t="str">
        <f>VLOOKUP($F936, codebooks_data_reordered!$A:$I, 5, FALSE)</f>
        <v>28</v>
      </c>
      <c r="K936" t="str">
        <f>VLOOKUP($F936, codebooks_data_reordered!$A:$I, 6, FALSE)</f>
        <v>Should government encourage Arab emmigration from Israel?</v>
      </c>
      <c r="L936">
        <f>VLOOKUP($F936, codebooks_data_reordered!$A:$I, 7, FALSE)</f>
        <v>0</v>
      </c>
      <c r="M936" t="str">
        <f>VLOOKUP($F936, codebooks_data_reordered!$A:$I, 9, FALSE)</f>
        <v>1: Definitely yes; 2: Yes; 3: No; 4: Definitely not</v>
      </c>
      <c r="O936" s="2" t="str">
        <f t="shared" si="14"/>
        <v>1: Definitely yes
 2: Yes
 3: No
 4: Definitely not</v>
      </c>
    </row>
    <row r="937" spans="1:15" ht="216" hidden="1" x14ac:dyDescent="0.3">
      <c r="A937" t="s">
        <v>7998</v>
      </c>
      <c r="B937" t="s">
        <v>8039</v>
      </c>
      <c r="C937" s="2" t="s">
        <v>8040</v>
      </c>
      <c r="D937" t="s">
        <v>5843</v>
      </c>
      <c r="E937" s="2" t="s">
        <v>8041</v>
      </c>
      <c r="F937" t="s">
        <v>1798</v>
      </c>
      <c r="G937" t="str">
        <f>VLOOKUP($F937, codebooks_data_reordered!$A:$I, 2, FALSE)</f>
        <v>1999_1</v>
      </c>
      <c r="H937" t="str">
        <f>VLOOKUP($F937, codebooks_data_reordered!$A:$I, 3, FALSE)</f>
        <v>GENERAL POLITICAL ATTITUDE</v>
      </c>
      <c r="I937" t="str">
        <f>VLOOKUP($F937, codebooks_data_reordered!$A:$I, 4, FALSE)</f>
        <v>1</v>
      </c>
      <c r="J937" t="str">
        <f>VLOOKUP($F937, codebooks_data_reordered!$A:$I, 5, FALSE)</f>
        <v>27</v>
      </c>
      <c r="K937" t="str">
        <f>VLOOKUP($F937, codebooks_data_reordered!$A:$I, 6, FALSE)</f>
        <v>Forecast future public support for a Palestinian State</v>
      </c>
      <c r="L937">
        <f>VLOOKUP($F937, codebooks_data_reordered!$A:$I, 7, FALSE)</f>
        <v>0</v>
      </c>
      <c r="M937" t="str">
        <f>VLOOKUP($F937, codebooks_data_reordered!$A:$I, 9, FALSE)</f>
        <v>1: More people will support; 2: Less people will support</v>
      </c>
      <c r="O937" s="2" t="str">
        <f t="shared" si="14"/>
        <v>1: More people will support
 2: Less people will support</v>
      </c>
    </row>
    <row r="938" spans="1:15" ht="57.6" hidden="1" x14ac:dyDescent="0.3">
      <c r="A938" t="s">
        <v>7998</v>
      </c>
      <c r="B938" t="s">
        <v>8042</v>
      </c>
      <c r="C938" s="2" t="s">
        <v>8043</v>
      </c>
      <c r="D938" t="s">
        <v>5843</v>
      </c>
      <c r="E938" s="2" t="s">
        <v>8044</v>
      </c>
      <c r="F938" t="s">
        <v>1921</v>
      </c>
      <c r="G938" t="str">
        <f>VLOOKUP($F938, codebooks_data_reordered!$A:$I, 2, FALSE)</f>
        <v>1999_1</v>
      </c>
      <c r="H938" t="str">
        <f>VLOOKUP($F938, codebooks_data_reordered!$A:$I, 3, FALSE)</f>
        <v>MORE ATTITUDES TOWARD PARTIES AND CANDIDATES</v>
      </c>
      <c r="I938" t="str">
        <f>VLOOKUP($F938, codebooks_data_reordered!$A:$I, 4, FALSE)</f>
        <v>1</v>
      </c>
      <c r="J938" t="str">
        <f>VLOOKUP($F938, codebooks_data_reordered!$A:$I, 5, FALSE)</f>
        <v>77</v>
      </c>
      <c r="K938" t="str">
        <f>VLOOKUP($F938, codebooks_data_reordered!$A:$I, 6, FALSE)</f>
        <v>Identification with Itzhak Mordechai's peace and defense policies</v>
      </c>
      <c r="L938" t="str">
        <f>VLOOKUP($F938, codebooks_data_reordered!$A:$I, 7, FALSE)</f>
        <v>Identification with candidate on 1-10 scale: 1=Strong rejection, 10=Strong support</v>
      </c>
      <c r="M938" t="str">
        <f>VLOOKUP($F938, codebooks_data_reordered!$A:$I, 9, FALSE)</f>
        <v>1: Strong rejection; 10: Strong support</v>
      </c>
      <c r="O938" s="2" t="str">
        <f t="shared" si="14"/>
        <v>1: Strong rejection
 10: Strong support</v>
      </c>
    </row>
    <row r="939" spans="1:15" ht="201.6" hidden="1" x14ac:dyDescent="0.3">
      <c r="A939" t="s">
        <v>7998</v>
      </c>
      <c r="B939" t="s">
        <v>8045</v>
      </c>
      <c r="C939" s="2" t="s">
        <v>8046</v>
      </c>
      <c r="D939" t="s">
        <v>5843</v>
      </c>
      <c r="E939" s="2" t="s">
        <v>8047</v>
      </c>
      <c r="F939" t="s">
        <v>3092</v>
      </c>
      <c r="G939" t="str">
        <f>VLOOKUP($F939, codebooks_data_reordered!$A:$I, 2, FALSE)</f>
        <v>1988_Panel_N=416</v>
      </c>
      <c r="H939" t="str">
        <f>VLOOKUP($F939, codebooks_data_reordered!$A:$I, 3, FALSE)</f>
        <v>WHICH OF THE FOLLOWING IS A REASON FOR THE ARABS OBJECTING TO ISRAEL'S EXISTENCE</v>
      </c>
      <c r="I939" t="str">
        <f>VLOOKUP($F939, codebooks_data_reordered!$A:$I, 4, FALSE)</f>
        <v>1</v>
      </c>
      <c r="J939" t="str">
        <f>VLOOKUP($F939, codebooks_data_reordered!$A:$I, 5, FALSE)</f>
        <v>97</v>
      </c>
      <c r="K939" t="str">
        <f>VLOOKUP($F939, codebooks_data_reordered!$A:$I, 6, FALSE)</f>
        <v>From the above list name second main cause for their opposition to us</v>
      </c>
      <c r="L939">
        <f>VLOOKUP($F939, codebooks_data_reordered!$A:$I, 7, FALSE)</f>
        <v>0</v>
      </c>
      <c r="M939" t="str">
        <f>VLOOKUP($F939, codebooks_data_reordered!$A:$I, 9, FALSE)</f>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c r="O939" s="2" t="str">
        <f t="shared" si="14"/>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row>
    <row r="940" spans="1:15" ht="57.6" hidden="1" x14ac:dyDescent="0.3">
      <c r="A940" t="s">
        <v>7998</v>
      </c>
      <c r="B940" t="s">
        <v>6661</v>
      </c>
      <c r="C940" s="2" t="s">
        <v>8048</v>
      </c>
      <c r="D940" t="s">
        <v>5843</v>
      </c>
      <c r="E940" s="2" t="s">
        <v>8049</v>
      </c>
      <c r="F940" t="s">
        <v>1923</v>
      </c>
      <c r="G940" t="str">
        <f>VLOOKUP($F940, codebooks_data_reordered!$A:$I, 2, FALSE)</f>
        <v>1999_1</v>
      </c>
      <c r="H940" t="str">
        <f>VLOOKUP($F940, codebooks_data_reordered!$A:$I, 3, FALSE)</f>
        <v>MORE ATTITUDES TOWARD PARTIES AND CANDIDATES</v>
      </c>
      <c r="I940" t="str">
        <f>VLOOKUP($F940, codebooks_data_reordered!$A:$I, 4, FALSE)</f>
        <v>1</v>
      </c>
      <c r="J940" t="str">
        <f>VLOOKUP($F940, codebooks_data_reordered!$A:$I, 5, FALSE)</f>
        <v>78</v>
      </c>
      <c r="K940" t="str">
        <f>VLOOKUP($F940, codebooks_data_reordered!$A:$I, 6, FALSE)</f>
        <v>Identification with Beni Begin's peace and defense policies</v>
      </c>
      <c r="L940" t="str">
        <f>VLOOKUP($F940, codebooks_data_reordered!$A:$I, 7, FALSE)</f>
        <v>Identification with candidate on 1-10 scale: 1=Strong rejection, 10=Strong support</v>
      </c>
      <c r="M940" t="str">
        <f>VLOOKUP($F940, codebooks_data_reordered!$A:$I, 9, FALSE)</f>
        <v>1: Strong rejection; 10: Strong support</v>
      </c>
      <c r="O940" s="2" t="str">
        <f t="shared" si="14"/>
        <v>1: Strong rejection
 10: Strong support</v>
      </c>
    </row>
    <row r="941" spans="1:15" ht="57.6" hidden="1" x14ac:dyDescent="0.3">
      <c r="A941" t="s">
        <v>7998</v>
      </c>
      <c r="B941" t="s">
        <v>8050</v>
      </c>
      <c r="C941" s="2" t="s">
        <v>8051</v>
      </c>
      <c r="D941" t="s">
        <v>5843</v>
      </c>
      <c r="E941" s="2" t="s">
        <v>8052</v>
      </c>
      <c r="F941" t="s">
        <v>1921</v>
      </c>
      <c r="G941" t="str">
        <f>VLOOKUP($F941, codebooks_data_reordered!$A:$I, 2, FALSE)</f>
        <v>1999_1</v>
      </c>
      <c r="H941" t="str">
        <f>VLOOKUP($F941, codebooks_data_reordered!$A:$I, 3, FALSE)</f>
        <v>MORE ATTITUDES TOWARD PARTIES AND CANDIDATES</v>
      </c>
      <c r="I941" t="str">
        <f>VLOOKUP($F941, codebooks_data_reordered!$A:$I, 4, FALSE)</f>
        <v>1</v>
      </c>
      <c r="J941" t="str">
        <f>VLOOKUP($F941, codebooks_data_reordered!$A:$I, 5, FALSE)</f>
        <v>77</v>
      </c>
      <c r="K941" t="str">
        <f>VLOOKUP($F941, codebooks_data_reordered!$A:$I, 6, FALSE)</f>
        <v>Identification with Itzhak Mordechai's peace and defense policies</v>
      </c>
      <c r="L941" t="str">
        <f>VLOOKUP($F941, codebooks_data_reordered!$A:$I, 7, FALSE)</f>
        <v>Identification with candidate on 1-10 scale: 1=Strong rejection, 10=Strong support</v>
      </c>
      <c r="M941" t="str">
        <f>VLOOKUP($F941, codebooks_data_reordered!$A:$I, 9, FALSE)</f>
        <v>1: Strong rejection; 10: Strong support</v>
      </c>
      <c r="O941" s="2" t="str">
        <f t="shared" si="14"/>
        <v>1: Strong rejection
 10: Strong support</v>
      </c>
    </row>
    <row r="942" spans="1:15" ht="57.6" hidden="1" x14ac:dyDescent="0.3">
      <c r="A942" t="s">
        <v>7998</v>
      </c>
      <c r="B942" t="s">
        <v>5958</v>
      </c>
      <c r="C942" s="2" t="s">
        <v>8053</v>
      </c>
      <c r="D942" t="s">
        <v>5843</v>
      </c>
      <c r="E942" s="2" t="s">
        <v>8054</v>
      </c>
      <c r="F942" t="s">
        <v>2037</v>
      </c>
      <c r="G942" t="str">
        <f>VLOOKUP($F942, codebooks_data_reordered!$A:$I, 2, FALSE)</f>
        <v>1999_1</v>
      </c>
      <c r="H942" t="str">
        <f>VLOOKUP($F942, codebooks_data_reordered!$A:$I, 3, FALSE)</f>
        <v>MAIN POLITICAL ISSUES</v>
      </c>
      <c r="I942" t="str">
        <f>VLOOKUP($F942, codebooks_data_reordered!$A:$I, 4, FALSE)</f>
        <v>2</v>
      </c>
      <c r="J942" t="str">
        <f>VLOOKUP($F942, codebooks_data_reordered!$A:$I, 5, FALSE)</f>
        <v>49</v>
      </c>
      <c r="K942" t="str">
        <f>VLOOKUP($F942, codebooks_data_reordered!$A:$I, 6, FALSE)</f>
        <v>Government expenditures on immigration and absorption</v>
      </c>
      <c r="L942">
        <f>VLOOKUP($F942, codebooks_data_reordered!$A:$I, 7, FALSE)</f>
        <v>0</v>
      </c>
      <c r="M942" t="str">
        <f>VLOOKUP($F942, codebooks_data_reordered!$A:$I, 9, FALSE)</f>
        <v>1: Should increase; 2: Should decrease; 3: Should stay the same</v>
      </c>
      <c r="O942" s="2" t="str">
        <f t="shared" si="14"/>
        <v>1: Should increase
 2: Should decrease
 3: Should stay the same</v>
      </c>
    </row>
    <row r="943" spans="1:15" ht="115.2" hidden="1" x14ac:dyDescent="0.3">
      <c r="A943" t="s">
        <v>7998</v>
      </c>
      <c r="B943" t="s">
        <v>8055</v>
      </c>
      <c r="C943" s="2" t="s">
        <v>8056</v>
      </c>
      <c r="D943" t="s">
        <v>5843</v>
      </c>
      <c r="E943" s="2" t="s">
        <v>8057</v>
      </c>
      <c r="F943" t="s">
        <v>3047</v>
      </c>
      <c r="G943" t="str">
        <f>VLOOKUP($F943, codebooks_data_reordered!$A:$I, 2, FALSE)</f>
        <v>1988_Panel_N=416</v>
      </c>
      <c r="H943" t="str">
        <f>VLOOKUP($F943, codebooks_data_reordered!$A:$I, 3, FALSE)</f>
        <v>THE EXTENT OF APPROVAL OF THE FOLLOWING SAYINGS</v>
      </c>
      <c r="I943" t="str">
        <f>VLOOKUP($F943, codebooks_data_reordered!$A:$I, 4, FALSE)</f>
        <v>1</v>
      </c>
      <c r="J943" t="str">
        <f>VLOOKUP($F943, codebooks_data_reordered!$A:$I, 5, FALSE)</f>
        <v>78</v>
      </c>
      <c r="K943" t="str">
        <f>VLOOKUP($F943, codebooks_data_reordered!$A:$I, 6, FALSE)</f>
        <v>To what extent do you believe in our exisence in Israel in the long run</v>
      </c>
      <c r="L943">
        <f>VLOOKUP($F943, codebooks_data_reordered!$A:$I, 7, FALSE)</f>
        <v>0</v>
      </c>
      <c r="M943" t="str">
        <f>VLOOKUP($F943, codebooks_data_reordered!$A:$I, 9, FALSE)</f>
        <v>1: Definitely agrees; 2: Agrees; 3: Objects; 4: Definitely objects</v>
      </c>
      <c r="O943" s="2" t="str">
        <f t="shared" si="14"/>
        <v>1: Definitely agrees
 2: Agrees
 3: Objects
 4: Definitely objects</v>
      </c>
    </row>
    <row r="944" spans="1:15" ht="115.2" hidden="1" x14ac:dyDescent="0.3">
      <c r="A944" t="s">
        <v>7998</v>
      </c>
      <c r="B944" t="s">
        <v>8058</v>
      </c>
      <c r="C944" s="2" t="s">
        <v>8059</v>
      </c>
      <c r="D944" t="s">
        <v>5843</v>
      </c>
      <c r="E944" s="2" t="s">
        <v>8060</v>
      </c>
      <c r="F944" t="s">
        <v>3113</v>
      </c>
      <c r="G944" t="str">
        <f>VLOOKUP($F944, codebooks_data_reordered!$A:$I, 2, FALSE)</f>
        <v>1988_Panel_N=416</v>
      </c>
      <c r="H944" t="str">
        <f>VLOOKUP($F944, codebooks_data_reordered!$A:$I, 3, FALSE)</f>
        <v>WHICH OF THE FOLLOWING WOULD YOU BE WILLING TO GIVE TO MAINTAIN/STRENGTHEN THE SECURITY</v>
      </c>
      <c r="I944" t="str">
        <f>VLOOKUP($F944, codebooks_data_reordered!$A:$I, 4, FALSE)</f>
        <v>1</v>
      </c>
      <c r="J944" t="str">
        <f>VLOOKUP($F944, codebooks_data_reordered!$A:$I, 5, FALSE)</f>
        <v>105</v>
      </c>
      <c r="K944" t="str">
        <f>VLOOKUP($F944, codebooks_data_reordered!$A:$I, 6, FALSE)</f>
        <v>What would be your opinion of the defense budget should economic state get worse</v>
      </c>
      <c r="L944">
        <f>VLOOKUP($F944, codebooks_data_reordered!$A:$I, 7, FALSE)</f>
        <v>0</v>
      </c>
      <c r="M944" t="str">
        <f>VLOOKUP($F944, codebooks_data_reordered!$A:$I, 9, FALSE)</f>
        <v>1: It should be increased; 2: It should stay as is; 3: It should be cut</v>
      </c>
      <c r="O944" s="2" t="str">
        <f t="shared" si="14"/>
        <v>1: It should be increased
 2: It should stay as is
 3: It should be cut</v>
      </c>
    </row>
    <row r="945" spans="1:15" ht="115.2" hidden="1" x14ac:dyDescent="0.3">
      <c r="A945" t="s">
        <v>7998</v>
      </c>
      <c r="B945" t="s">
        <v>8061</v>
      </c>
      <c r="C945" s="2" t="s">
        <v>8062</v>
      </c>
      <c r="D945" t="s">
        <v>5843</v>
      </c>
      <c r="E945" s="2" t="s">
        <v>8063</v>
      </c>
      <c r="F945" t="s">
        <v>3067</v>
      </c>
      <c r="G945" t="str">
        <f>VLOOKUP($F945, codebooks_data_reordered!$A:$I, 2, FALSE)</f>
        <v>1988_Panel_N=416</v>
      </c>
      <c r="H945" t="str">
        <f>VLOOKUP($F945, codebooks_data_reordered!$A:$I, 3, FALSE)</f>
        <v>ISRAEL'S CAPABILITY OF COPING WITH VARIOUS SITUATIONS</v>
      </c>
      <c r="I945" t="str">
        <f>VLOOKUP($F945, codebooks_data_reordered!$A:$I, 4, FALSE)</f>
        <v>1</v>
      </c>
      <c r="J945" t="str">
        <f>VLOOKUP($F945, codebooks_data_reordered!$A:$I, 5, FALSE)</f>
        <v>87</v>
      </c>
      <c r="K945" t="str">
        <f>VLOOKUP($F945, codebooks_data_reordered!$A:$I, 6, FALSE)</f>
        <v>Level of rationality of Israel's foreign and security policy</v>
      </c>
      <c r="L945">
        <f>VLOOKUP($F945, codebooks_data_reordered!$A:$I, 7, FALSE)</f>
        <v>0</v>
      </c>
      <c r="M945" t="str">
        <f>VLOOKUP($F945, codebooks_data_reordered!$A:$I, 9, FALSE)</f>
        <v>1: Always rational; 2: Usually rational; 3: Some times rational at others not; 4: Usually irrational; 5: Always irrational</v>
      </c>
      <c r="O945" s="2" t="str">
        <f t="shared" si="14"/>
        <v>1: Always rational
 2: Usually rational
 3: Some times rational at others not
 4: Usually irrational
 5: Always irrational</v>
      </c>
    </row>
    <row r="946" spans="1:15" ht="100.8" hidden="1" x14ac:dyDescent="0.3">
      <c r="A946" t="s">
        <v>7998</v>
      </c>
      <c r="B946" t="s">
        <v>7347</v>
      </c>
      <c r="C946" s="2" t="s">
        <v>8064</v>
      </c>
      <c r="D946" t="s">
        <v>5843</v>
      </c>
      <c r="E946" s="2" t="s">
        <v>8065</v>
      </c>
      <c r="F946" t="s">
        <v>2047</v>
      </c>
      <c r="G946" t="str">
        <f>VLOOKUP($F946, codebooks_data_reordered!$A:$I, 2, FALSE)</f>
        <v>1999_1</v>
      </c>
      <c r="H946" t="str">
        <f>VLOOKUP($F946, codebooks_data_reordered!$A:$I, 3, FALSE)</f>
        <v>MAIN POLITICAL ISSUES</v>
      </c>
      <c r="I946" t="str">
        <f>VLOOKUP($F946, codebooks_data_reordered!$A:$I, 4, FALSE)</f>
        <v>2</v>
      </c>
      <c r="J946" t="str">
        <f>VLOOKUP($F946, codebooks_data_reordered!$A:$I, 5, FALSE)</f>
        <v>54</v>
      </c>
      <c r="K946" t="str">
        <f>VLOOKUP($F946, codebooks_data_reordered!$A:$I, 6, FALSE)</f>
        <v>Government expenditures on roads and road accidents</v>
      </c>
      <c r="L946">
        <f>VLOOKUP($F946, codebooks_data_reordered!$A:$I, 7, FALSE)</f>
        <v>0</v>
      </c>
      <c r="M946" t="str">
        <f>VLOOKUP($F946, codebooks_data_reordered!$A:$I, 9, FALSE)</f>
        <v>1: Should increase; 2: Should decrease; 3: Should stay the same</v>
      </c>
      <c r="O946" s="2" t="str">
        <f t="shared" si="14"/>
        <v>1: Should increase
 2: Should decrease
 3: Should stay the same</v>
      </c>
    </row>
    <row r="947" spans="1:15" ht="144" hidden="1" x14ac:dyDescent="0.3">
      <c r="A947" t="s">
        <v>7998</v>
      </c>
      <c r="B947" t="s">
        <v>7350</v>
      </c>
      <c r="C947" s="2" t="s">
        <v>8066</v>
      </c>
      <c r="D947" t="s">
        <v>5843</v>
      </c>
      <c r="E947" s="2" t="s">
        <v>8067</v>
      </c>
      <c r="F947" t="s">
        <v>2050</v>
      </c>
      <c r="G947" t="str">
        <f>VLOOKUP($F947, codebooks_data_reordered!$A:$I, 2, FALSE)</f>
        <v>1999_1</v>
      </c>
      <c r="H947" t="str">
        <f>VLOOKUP($F947, codebooks_data_reordered!$A:$I, 3, FALSE)</f>
        <v>MAIN POLITICAL ISSUES</v>
      </c>
      <c r="I947" t="str">
        <f>VLOOKUP($F947, codebooks_data_reordered!$A:$I, 4, FALSE)</f>
        <v>2</v>
      </c>
      <c r="J947" t="str">
        <f>VLOOKUP($F947, codebooks_data_reordered!$A:$I, 5, FALSE)</f>
        <v>55</v>
      </c>
      <c r="K947" t="str">
        <f>VLOOKUP($F947, codebooks_data_reordered!$A:$I, 6, FALSE)</f>
        <v>Socio-economic inequality in Israel</v>
      </c>
      <c r="L947">
        <f>VLOOKUP($F947, codebooks_data_reordered!$A:$I, 7, FALSE)</f>
        <v>0</v>
      </c>
      <c r="M947" t="str">
        <f>VLOOKUP($F947, codebooks_data_reordered!$A:$I, 9, FALSE)</f>
        <v>1: There definitely is inequality; 2: There is some inequality; 3: There is no inequality; 4: There is definitely no inequality</v>
      </c>
      <c r="O947" s="2" t="str">
        <f t="shared" si="14"/>
        <v>1: There definitely is inequality
 2: There is some inequality
 3: There is no inequality
 4: There is definitely no inequality</v>
      </c>
    </row>
    <row r="948" spans="1:15" ht="144" hidden="1" x14ac:dyDescent="0.3">
      <c r="A948" t="s">
        <v>7998</v>
      </c>
      <c r="B948" t="s">
        <v>7353</v>
      </c>
      <c r="C948" s="2" t="s">
        <v>8066</v>
      </c>
      <c r="D948" t="s">
        <v>5843</v>
      </c>
      <c r="E948" s="2" t="s">
        <v>8067</v>
      </c>
      <c r="F948" t="s">
        <v>2053</v>
      </c>
      <c r="G948" t="str">
        <f>VLOOKUP($F948, codebooks_data_reordered!$A:$I, 2, FALSE)</f>
        <v>1999_1</v>
      </c>
      <c r="H948" t="str">
        <f>VLOOKUP($F948, codebooks_data_reordered!$A:$I, 3, FALSE)</f>
        <v>MAIN POLITICAL ISSUES</v>
      </c>
      <c r="I948" t="str">
        <f>VLOOKUP($F948, codebooks_data_reordered!$A:$I, 4, FALSE)</f>
        <v>2</v>
      </c>
      <c r="J948" t="str">
        <f>VLOOKUP($F948, codebooks_data_reordered!$A:$I, 5, FALSE)</f>
        <v>56</v>
      </c>
      <c r="K948" t="str">
        <f>VLOOKUP($F948, codebooks_data_reordered!$A:$I, 6, FALSE)</f>
        <v>Ethnic discrimination in Israel</v>
      </c>
      <c r="L948">
        <f>VLOOKUP($F948, codebooks_data_reordered!$A:$I, 7, FALSE)</f>
        <v>0</v>
      </c>
      <c r="M948" t="str">
        <f>VLOOKUP($F948, codebooks_data_reordered!$A:$I, 9, FALSE)</f>
        <v>1: A great amount of discrimination; 2: Much discrimination; 3: Some discrimination; 4: Very little discrimination; 5: No discrimination at all</v>
      </c>
      <c r="O948" s="2" t="str">
        <f t="shared" si="14"/>
        <v>1: A great amount of discrimination
 2: Much discrimination
 3: Some discrimination
 4: Very little discrimination
 5: No discrimination at all</v>
      </c>
    </row>
    <row r="949" spans="1:15" ht="57.6" hidden="1" x14ac:dyDescent="0.3">
      <c r="A949" t="s">
        <v>7998</v>
      </c>
      <c r="B949" t="s">
        <v>6335</v>
      </c>
      <c r="C949" s="2" t="s">
        <v>8068</v>
      </c>
      <c r="D949" t="s">
        <v>5843</v>
      </c>
      <c r="E949" s="2" t="s">
        <v>8069</v>
      </c>
      <c r="F949" t="s">
        <v>3108</v>
      </c>
      <c r="G949" t="str">
        <f>VLOOKUP($F949, codebooks_data_reordered!$A:$I, 2, FALSE)</f>
        <v>1988_Panel_N=416</v>
      </c>
      <c r="H949" t="str">
        <f>VLOOKUP($F949, codebooks_data_reordered!$A:$I, 3, FALSE)</f>
        <v>WHICH OF THE FOLLOWING WOULD YOU BE WILLING TO GIVE TO MAINTAIN/STRENGTHEN THE SECURITY</v>
      </c>
      <c r="I949" t="str">
        <f>VLOOKUP($F949, codebooks_data_reordered!$A:$I, 4, FALSE)</f>
        <v>1</v>
      </c>
      <c r="J949" t="str">
        <f>VLOOKUP($F949, codebooks_data_reordered!$A:$I, 5, FALSE)</f>
        <v>103</v>
      </c>
      <c r="K949" t="str">
        <f>VLOOKUP($F949, codebooks_data_reordered!$A:$I, 6, FALSE)</f>
        <v>What is your opinion on the length of military service</v>
      </c>
      <c r="L949">
        <f>VLOOKUP($F949, codebooks_data_reordered!$A:$I, 7, FALSE)</f>
        <v>0</v>
      </c>
      <c r="M949" t="str">
        <f>VLOOKUP($F949, codebooks_data_reordered!$A:$I, 9, FALSE)</f>
        <v>1: Too long; 2: Appropriate; 3: Too short</v>
      </c>
      <c r="O949" s="2" t="str">
        <f t="shared" si="14"/>
        <v>1: Too long
 2: Appropriate
 3: Too short</v>
      </c>
    </row>
    <row r="950" spans="1:15" ht="57.6" hidden="1" x14ac:dyDescent="0.3">
      <c r="A950" t="s">
        <v>7998</v>
      </c>
      <c r="B950" t="s">
        <v>6338</v>
      </c>
      <c r="C950" s="2" t="s">
        <v>8068</v>
      </c>
      <c r="D950" t="s">
        <v>5843</v>
      </c>
      <c r="E950" s="2" t="s">
        <v>8069</v>
      </c>
      <c r="F950" t="s">
        <v>3111</v>
      </c>
      <c r="G950" t="str">
        <f>VLOOKUP($F950, codebooks_data_reordered!$A:$I, 2, FALSE)</f>
        <v>1988_Panel_N=416</v>
      </c>
      <c r="H950" t="str">
        <f>VLOOKUP($F950, codebooks_data_reordered!$A:$I, 3, FALSE)</f>
        <v>WHICH OF THE FOLLOWING WOULD YOU BE WILLING TO GIVE TO MAINTAIN/STRENGTHEN THE SECURITY</v>
      </c>
      <c r="I950" t="str">
        <f>VLOOKUP($F950, codebooks_data_reordered!$A:$I, 4, FALSE)</f>
        <v>1</v>
      </c>
      <c r="J950" t="str">
        <f>VLOOKUP($F950, codebooks_data_reordered!$A:$I, 5, FALSE)</f>
        <v>104</v>
      </c>
      <c r="K950" t="str">
        <f>VLOOKUP($F950, codebooks_data_reordered!$A:$I, 6, FALSE)</f>
        <v>What is your opinion of the defense budget</v>
      </c>
      <c r="L950">
        <f>VLOOKUP($F950, codebooks_data_reordered!$A:$I, 7, FALSE)</f>
        <v>0</v>
      </c>
      <c r="M950" t="str">
        <f>VLOOKUP($F950, codebooks_data_reordered!$A:$I, 9, FALSE)</f>
        <v>1: It should be increased; 2: It should stay as is; 3: It should be cut</v>
      </c>
      <c r="O950" s="2" t="str">
        <f t="shared" si="14"/>
        <v>1: It should be increased
 2: It should stay as is
 3: It should be cut</v>
      </c>
    </row>
    <row r="951" spans="1:15" ht="316.8" hidden="1" x14ac:dyDescent="0.3">
      <c r="A951" t="s">
        <v>7998</v>
      </c>
      <c r="B951" t="s">
        <v>6341</v>
      </c>
      <c r="C951" s="2" t="s">
        <v>8070</v>
      </c>
      <c r="D951" t="s">
        <v>5843</v>
      </c>
      <c r="E951" s="2" t="s">
        <v>8071</v>
      </c>
      <c r="F951" t="s">
        <v>139</v>
      </c>
      <c r="G951" t="str">
        <f>VLOOKUP($F951, codebooks_data_reordered!$A:$I, 2, FALSE)</f>
        <v>2006</v>
      </c>
      <c r="H951" t="str">
        <f>VLOOKUP($F951, codebooks_data_reordered!$A:$I, 3, FALSE)</f>
        <v>Threat of Different Issues</v>
      </c>
      <c r="I951" t="str">
        <f>VLOOKUP($F951, codebooks_data_reordered!$A:$I, 4, FALSE)</f>
        <v>1</v>
      </c>
      <c r="J951" t="str">
        <f>VLOOKUP($F951, codebooks_data_reordered!$A:$I, 5, FALSE)</f>
        <v>38</v>
      </c>
      <c r="K951" t="str">
        <f>VLOOKUP($F951, codebooks_data_reordered!$A:$I, 6, FALSE)</f>
        <v>Threat of enemies having nuclear weapons</v>
      </c>
      <c r="L951" t="str">
        <f>VLOOKUP($F951, codebooks_data_reordered!$A:$I, 7, FALSE)</f>
        <v>To what extent do you consider each of the following situations as a threat?</v>
      </c>
      <c r="M951" t="str">
        <f>VLOOKUP($F951, codebooks_data_reordered!$A:$I, 9, FALSE)</f>
        <v>1: Not at all threatening; 7: Very threatening</v>
      </c>
      <c r="O951" s="2" t="str">
        <f t="shared" si="14"/>
        <v>1: Not at all threatening
 7: Very threatening</v>
      </c>
    </row>
    <row r="952" spans="1:15" ht="72" hidden="1" x14ac:dyDescent="0.3">
      <c r="A952" t="s">
        <v>7998</v>
      </c>
      <c r="B952" t="s">
        <v>8072</v>
      </c>
      <c r="C952" s="2" t="s">
        <v>8073</v>
      </c>
      <c r="D952" t="s">
        <v>5843</v>
      </c>
      <c r="E952" s="2" t="s">
        <v>8074</v>
      </c>
      <c r="F952" t="s">
        <v>659</v>
      </c>
      <c r="G952" t="str">
        <f>VLOOKUP($F952, codebooks_data_reordered!$A:$I, 2, FALSE)</f>
        <v>2006</v>
      </c>
      <c r="H952" t="str">
        <f>VLOOKUP($F952, codebooks_data_reordered!$A:$I, 3, FALSE)</f>
        <v>Different Coalitions after the Elections</v>
      </c>
      <c r="I952" t="str">
        <f>VLOOKUP($F952, codebooks_data_reordered!$A:$I, 4, FALSE)</f>
        <v>1</v>
      </c>
      <c r="J952" t="str">
        <f>VLOOKUP($F952, codebooks_data_reordered!$A:$I, 5, FALSE)</f>
        <v>233-234</v>
      </c>
      <c r="K952" t="str">
        <f>VLOOKUP($F952, codebooks_data_reordered!$A:$I, 6, FALSE)</f>
        <v>Will support Kadima-Likud coalition</v>
      </c>
      <c r="L952" t="str">
        <f>VLOOKUP($F952,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952" t="str">
        <f>VLOOKUP($F952, codebooks_data_reordered!$A:$I, 9, FALSE)</f>
        <v>1: Reject; 10: Support</v>
      </c>
      <c r="O952" s="2" t="str">
        <f t="shared" si="14"/>
        <v>1: Reject
 10: Support</v>
      </c>
    </row>
    <row r="953" spans="1:15" ht="409.6" hidden="1" x14ac:dyDescent="0.3">
      <c r="A953" t="s">
        <v>7998</v>
      </c>
      <c r="B953" t="s">
        <v>8075</v>
      </c>
      <c r="C953" s="2" t="s">
        <v>8076</v>
      </c>
      <c r="D953" t="s">
        <v>5843</v>
      </c>
      <c r="E953" s="2" t="s">
        <v>8077</v>
      </c>
      <c r="F953" t="s">
        <v>685</v>
      </c>
      <c r="G953" t="str">
        <f>VLOOKUP($F953, codebooks_data_reordered!$A:$I, 2, FALSE)</f>
        <v>2006</v>
      </c>
      <c r="H953" t="str">
        <f>VLOOKUP($F953, codebooks_data_reordered!$A:$I, 3, FALSE)</f>
        <v>Previous Elections</v>
      </c>
      <c r="I953" t="str">
        <f>VLOOKUP($F953, codebooks_data_reordered!$A:$I, 4, FALSE)</f>
        <v>1</v>
      </c>
      <c r="J953" t="str">
        <f>VLOOKUP($F953, codebooks_data_reordered!$A:$I, 5, FALSE)</f>
        <v>251-252</v>
      </c>
      <c r="K953" t="str">
        <f>VLOOKUP($F953, codebooks_data_reordered!$A:$I, 6, FALSE)</f>
        <v>Respondent vote for PM if elections for PM were held</v>
      </c>
      <c r="L953" t="str">
        <f>VLOOKUP($F953, codebooks_data_reordered!$A:$I, 7, FALSE)</f>
        <v>36. And if there were two ballots in the coming elections, one for Prime Minister and one for the Knesset, for whom would you vote for Prime Minister?</v>
      </c>
      <c r="M953" t="str">
        <f>VLOOKUP($F953, codebooks_data_reordered!$A:$I, 9, FALSE)</f>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c r="O953" s="2" t="str">
        <f t="shared" si="14"/>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row>
    <row r="954" spans="1:15" ht="172.8" hidden="1" x14ac:dyDescent="0.3">
      <c r="A954" t="s">
        <v>7998</v>
      </c>
      <c r="B954" t="s">
        <v>8078</v>
      </c>
      <c r="C954" s="2" t="s">
        <v>8079</v>
      </c>
      <c r="D954" t="s">
        <v>5843</v>
      </c>
      <c r="E954" s="2" t="s">
        <v>8080</v>
      </c>
      <c r="F954" t="s">
        <v>1781</v>
      </c>
      <c r="G954" t="str">
        <f>VLOOKUP($F954, codebooks_data_reordered!$A:$I, 2, FALSE)</f>
        <v>1999_1</v>
      </c>
      <c r="H954" t="str">
        <f>VLOOKUP($F954, codebooks_data_reordered!$A:$I, 3, FALSE)</f>
        <v>GENERAL POLITICAL ATTITUDE</v>
      </c>
      <c r="I954" t="str">
        <f>VLOOKUP($F954, codebooks_data_reordered!$A:$I, 4, FALSE)</f>
        <v>1</v>
      </c>
      <c r="J954" t="str">
        <f>VLOOKUP($F954, codebooks_data_reordered!$A:$I, 5, FALSE)</f>
        <v>20</v>
      </c>
      <c r="K954" t="str">
        <f>VLOOKUP($F954, codebooks_data_reordered!$A:$I, 6, FALSE)</f>
        <v>Jewish religious law should take precedence over democracy</v>
      </c>
      <c r="L954" t="str">
        <f>VLOOKUP($F954, codebooks_data_reordered!$A:$I, 7, FALSE)</f>
        <v>Agreement with statement on 1-7 scale</v>
      </c>
      <c r="M954" t="str">
        <f>VLOOKUP($F954, codebooks_data_reordered!$A:$I, 9, FALSE)</f>
        <v>1: Strongly disagree; 7: Strongly agree</v>
      </c>
      <c r="O954" s="2" t="str">
        <f t="shared" si="14"/>
        <v>1: Strongly disagree
 7: Strongly agree</v>
      </c>
    </row>
    <row r="955" spans="1:15" ht="100.8" hidden="1" x14ac:dyDescent="0.3">
      <c r="A955" t="s">
        <v>7998</v>
      </c>
      <c r="B955" t="s">
        <v>8081</v>
      </c>
      <c r="C955" s="2" t="s">
        <v>8082</v>
      </c>
      <c r="D955" t="s">
        <v>5843</v>
      </c>
      <c r="E955" s="2" t="s">
        <v>8083</v>
      </c>
      <c r="F955" t="s">
        <v>77</v>
      </c>
      <c r="G955" t="str">
        <f>VLOOKUP($F955, codebooks_data_reordered!$A:$I, 2, FALSE)</f>
        <v>2006</v>
      </c>
      <c r="H955" t="str">
        <f>VLOOKUP($F955, codebooks_data_reordered!$A:$I, 3, FALSE)</f>
        <v>Pre-Election Survey</v>
      </c>
      <c r="I955" t="str">
        <f>VLOOKUP($F955, codebooks_data_reordered!$A:$I, 4, FALSE)</f>
        <v>1</v>
      </c>
      <c r="J955" t="str">
        <f>VLOOKUP($F955, codebooks_data_reordered!$A:$I, 5, FALSE)</f>
        <v>22</v>
      </c>
      <c r="K955" t="str">
        <f>VLOOKUP($F955, codebooks_data_reordered!$A:$I, 6, FALSE)</f>
        <v>Chances of peace between Israel and Arabs in next 3 years</v>
      </c>
      <c r="L955" t="str">
        <f>VLOOKUP($F955, codebooks_data_reordered!$A:$I, 7, FALSE)</f>
        <v>18. What are the odds that the peace between Israel and the Arab states will grow stronger in the next 3 years?</v>
      </c>
      <c r="M955" t="str">
        <f>VLOOKUP($F955, codebooks_data_reordered!$A:$I, 9, FALSE)</f>
        <v>1: Great odds; 2: Medium odds; 3: Low odds; 4: Very low odds</v>
      </c>
      <c r="O955" s="2" t="str">
        <f t="shared" si="14"/>
        <v>1: Great odds
 2: Medium odds
 3: Low odds
 4: Very low odds</v>
      </c>
    </row>
    <row r="956" spans="1:15" ht="57.6" hidden="1" x14ac:dyDescent="0.3">
      <c r="A956" t="s">
        <v>7998</v>
      </c>
      <c r="B956" t="s">
        <v>8084</v>
      </c>
      <c r="C956" s="2" t="s">
        <v>8085</v>
      </c>
      <c r="D956" t="s">
        <v>5843</v>
      </c>
      <c r="E956" s="2" t="s">
        <v>8086</v>
      </c>
      <c r="F956" t="s">
        <v>254</v>
      </c>
      <c r="G956" t="str">
        <f>VLOOKUP($F956, codebooks_data_reordered!$A:$I, 2, FALSE)</f>
        <v>2006</v>
      </c>
      <c r="H956" t="str">
        <f>VLOOKUP($F956, codebooks_data_reordered!$A:$I, 3, FALSE)</f>
        <v>Support/Rejection of a Group or a Person</v>
      </c>
      <c r="I956" t="str">
        <f>VLOOKUP($F956, codebooks_data_reordered!$A:$I, 4, FALSE)</f>
        <v>1</v>
      </c>
      <c r="J956" t="str">
        <f>VLOOKUP($F956, codebooks_data_reordered!$A:$I, 5, FALSE)</f>
        <v>65-66</v>
      </c>
      <c r="K956" t="str">
        <f>VLOOKUP($F956, codebooks_data_reordered!$A:$I, 6, FALSE)</f>
        <v>Support: Avoda</v>
      </c>
      <c r="L956" t="str">
        <f>VLOOKUP($F956, codebooks_data_reordered!$A:$I, 7, FALSE)</f>
        <v>Here is a scale from 1 to 10 to express support or rejection of a group or a person. '1' describes strong rejection/ hate, and '10' describes strong support/ love.</v>
      </c>
      <c r="M956" t="str">
        <f>VLOOKUP($F956, codebooks_data_reordered!$A:$I, 9, FALSE)</f>
        <v>1: Hate/rejection; 10: Love/support</v>
      </c>
      <c r="O956" s="2" t="str">
        <f t="shared" si="14"/>
        <v>1: Hate/rejection
 10: Love/support</v>
      </c>
    </row>
    <row r="957" spans="1:15" ht="187.2" hidden="1" x14ac:dyDescent="0.3">
      <c r="A957" t="s">
        <v>7998</v>
      </c>
      <c r="B957" t="s">
        <v>8087</v>
      </c>
      <c r="C957" s="2" t="s">
        <v>8088</v>
      </c>
      <c r="D957" t="s">
        <v>5843</v>
      </c>
      <c r="E957" s="2" t="s">
        <v>8089</v>
      </c>
      <c r="F957" t="s">
        <v>257</v>
      </c>
      <c r="G957" t="str">
        <f>VLOOKUP($F957, codebooks_data_reordered!$A:$I, 2, FALSE)</f>
        <v>2006</v>
      </c>
      <c r="H957" t="str">
        <f>VLOOKUP($F957, codebooks_data_reordered!$A:$I, 3, FALSE)</f>
        <v>Support/Rejection of a Group or a Person</v>
      </c>
      <c r="I957" t="str">
        <f>VLOOKUP($F957, codebooks_data_reordered!$A:$I, 4, FALSE)</f>
        <v>1</v>
      </c>
      <c r="J957" t="str">
        <f>VLOOKUP($F957, codebooks_data_reordered!$A:$I, 5, FALSE)</f>
        <v>67-68</v>
      </c>
      <c r="K957" t="str">
        <f>VLOOKUP($F957, codebooks_data_reordered!$A:$I, 6, FALSE)</f>
        <v>Support: Likud</v>
      </c>
      <c r="L957" t="str">
        <f>VLOOKUP($F957, codebooks_data_reordered!$A:$I, 7, FALSE)</f>
        <v>Here is a scale from 1 to 10 to express support or rejection of a group or a person. '1' describes strong rejection/ hate, and '10' describes strong support/ love.</v>
      </c>
      <c r="M957" t="str">
        <f>VLOOKUP($F957, codebooks_data_reordered!$A:$I, 9, FALSE)</f>
        <v>1: Hate/rejection; 10: Love/support</v>
      </c>
      <c r="O957" s="2" t="str">
        <f t="shared" si="14"/>
        <v>1: Hate/rejection
 10: Love/support</v>
      </c>
    </row>
    <row r="958" spans="1:15" ht="187.2" hidden="1" x14ac:dyDescent="0.3">
      <c r="A958" t="s">
        <v>7998</v>
      </c>
      <c r="B958" t="s">
        <v>8090</v>
      </c>
      <c r="C958" s="2" t="s">
        <v>8088</v>
      </c>
      <c r="D958" t="s">
        <v>5843</v>
      </c>
      <c r="E958" s="2" t="s">
        <v>8089</v>
      </c>
      <c r="F958" t="s">
        <v>260</v>
      </c>
      <c r="G958" t="str">
        <f>VLOOKUP($F958, codebooks_data_reordered!$A:$I, 2, FALSE)</f>
        <v>2006</v>
      </c>
      <c r="H958" t="str">
        <f>VLOOKUP($F958, codebooks_data_reordered!$A:$I, 3, FALSE)</f>
        <v>Support/Rejection of a Group or a Person</v>
      </c>
      <c r="I958" t="str">
        <f>VLOOKUP($F958, codebooks_data_reordered!$A:$I, 4, FALSE)</f>
        <v>1</v>
      </c>
      <c r="J958" t="str">
        <f>VLOOKUP($F958, codebooks_data_reordered!$A:$I, 5, FALSE)</f>
        <v>69-70</v>
      </c>
      <c r="K958" t="str">
        <f>VLOOKUP($F958, codebooks_data_reordered!$A:$I, 6, FALSE)</f>
        <v>Support: Meretz</v>
      </c>
      <c r="L958" t="str">
        <f>VLOOKUP($F958, codebooks_data_reordered!$A:$I, 7, FALSE)</f>
        <v>Here is a scale from 1 to 10 to express support or rejection of a group or a person. '1' describes strong rejection/ hate, and '10' describes strong support/ love.</v>
      </c>
      <c r="M958" t="str">
        <f>VLOOKUP($F958, codebooks_data_reordered!$A:$I, 9, FALSE)</f>
        <v>1: Hate/rejection; 10: Love/support</v>
      </c>
      <c r="O958" s="2" t="str">
        <f t="shared" si="14"/>
        <v>1: Hate/rejection
 10: Love/support</v>
      </c>
    </row>
    <row r="959" spans="1:15" ht="100.8" hidden="1" x14ac:dyDescent="0.3">
      <c r="A959" t="s">
        <v>7998</v>
      </c>
      <c r="B959" t="s">
        <v>8091</v>
      </c>
      <c r="C959" s="2" t="s">
        <v>8092</v>
      </c>
      <c r="D959" t="s">
        <v>5843</v>
      </c>
      <c r="E959" s="2" t="s">
        <v>8093</v>
      </c>
      <c r="F959" t="s">
        <v>263</v>
      </c>
      <c r="G959" t="str">
        <f>VLOOKUP($F959, codebooks_data_reordered!$A:$I, 2, FALSE)</f>
        <v>2006</v>
      </c>
      <c r="H959" t="str">
        <f>VLOOKUP($F959, codebooks_data_reordered!$A:$I, 3, FALSE)</f>
        <v>Support/Rejection of a Group or a Person</v>
      </c>
      <c r="I959" t="str">
        <f>VLOOKUP($F959, codebooks_data_reordered!$A:$I, 4, FALSE)</f>
        <v>1</v>
      </c>
      <c r="J959" t="str">
        <f>VLOOKUP($F959, codebooks_data_reordered!$A:$I, 5, FALSE)</f>
        <v>71-72</v>
      </c>
      <c r="K959" t="str">
        <f>VLOOKUP($F959, codebooks_data_reordered!$A:$I, 6, FALSE)</f>
        <v>Support: Ihud Leumi - Mafdal</v>
      </c>
      <c r="L959" t="str">
        <f>VLOOKUP($F959, codebooks_data_reordered!$A:$I, 7, FALSE)</f>
        <v>Here is a scale from 1 to 10 to express support or rejection of a group or a person. '1' describes strong rejection/ hate, and '10' describes strong support/ love.</v>
      </c>
      <c r="M959" t="str">
        <f>VLOOKUP($F959, codebooks_data_reordered!$A:$I, 9, FALSE)</f>
        <v>1: Hate/rejection; 10: Love/support</v>
      </c>
      <c r="O959" s="2" t="str">
        <f t="shared" si="14"/>
        <v>1: Hate/rejection
 10: Love/support</v>
      </c>
    </row>
    <row r="960" spans="1:15" ht="144" hidden="1" x14ac:dyDescent="0.3">
      <c r="A960" t="s">
        <v>7998</v>
      </c>
      <c r="B960" t="s">
        <v>8094</v>
      </c>
      <c r="C960" s="2" t="s">
        <v>8095</v>
      </c>
      <c r="D960" t="s">
        <v>5843</v>
      </c>
      <c r="E960" s="2" t="s">
        <v>8096</v>
      </c>
      <c r="F960" t="s">
        <v>401</v>
      </c>
      <c r="G960" t="str">
        <f>VLOOKUP($F960, codebooks_data_reordered!$A:$I, 2, FALSE)</f>
        <v>2006</v>
      </c>
      <c r="H960" t="str">
        <f>VLOOKUP($F960, codebooks_data_reordered!$A:$I, 3, FALSE)</f>
        <v>Ranking on a Right/Left Political Scale</v>
      </c>
      <c r="I960" t="str">
        <f>VLOOKUP($F960, codebooks_data_reordered!$A:$I, 4, FALSE)</f>
        <v>1</v>
      </c>
      <c r="J960" t="str">
        <f>VLOOKUP($F960, codebooks_data_reordered!$A:$I, 5, FALSE)</f>
        <v>128-129</v>
      </c>
      <c r="K960" t="str">
        <f>VLOOKUP($F960, codebooks_data_reordered!$A:$I, 6, FALSE)</f>
        <v>Ranking on a right/left political scale:Shas</v>
      </c>
      <c r="L960" t="str">
        <f>VLOOKUP($F960, codebooks_data_reordered!$A:$I, 7, FALSE)</f>
        <v>How would you rate the following parties on the left-right scale from 0 to 10, 0 stands for left, and 10 stands for right and 5 is in the middle.</v>
      </c>
      <c r="M960" t="str">
        <f>VLOOKUP($F960, codebooks_data_reordered!$A:$I, 9, FALSE)</f>
        <v>0: Left; 10: Right</v>
      </c>
      <c r="O960" s="2" t="str">
        <f t="shared" si="14"/>
        <v>0: Left
 10: Right</v>
      </c>
    </row>
    <row r="961" spans="1:15" ht="144" hidden="1" x14ac:dyDescent="0.3">
      <c r="A961" t="s">
        <v>7998</v>
      </c>
      <c r="B961" t="s">
        <v>8097</v>
      </c>
      <c r="C961" s="2" t="s">
        <v>8095</v>
      </c>
      <c r="D961" t="s">
        <v>5843</v>
      </c>
      <c r="E961" s="2" t="s">
        <v>8096</v>
      </c>
      <c r="F961" t="s">
        <v>1663</v>
      </c>
      <c r="G961" t="str">
        <f>VLOOKUP($F961, codebooks_data_reordered!$A:$I, 2, FALSE)</f>
        <v>2001</v>
      </c>
      <c r="H961" t="str">
        <f>VLOOKUP($F961, codebooks_data_reordered!$A:$I, 3, FALSE)</f>
        <v>General political attitudes and behavior</v>
      </c>
      <c r="I961" t="str">
        <f>VLOOKUP($F961, codebooks_data_reordered!$A:$I, 4, FALSE)</f>
        <v>1</v>
      </c>
      <c r="J961" t="str">
        <f>VLOOKUP($F961, codebooks_data_reordered!$A:$I, 5, FALSE)</f>
        <v>111</v>
      </c>
      <c r="K961" t="str">
        <f>VLOOKUP($F961, codebooks_data_reordered!$A:$I, 6, FALSE)</f>
        <v>Whom do you expect to win the PM elections?</v>
      </c>
      <c r="L961">
        <f>VLOOKUP($F961, codebooks_data_reordered!$A:$I, 7, FALSE)</f>
        <v>0</v>
      </c>
      <c r="M961" t="str">
        <f>VLOOKUP($F961, codebooks_data_reordered!$A:$I, 9, FALSE)</f>
        <v>1: Sharon; 2: Barak</v>
      </c>
      <c r="O961" s="2" t="str">
        <f t="shared" si="14"/>
        <v>1: Sharon
 2: Barak</v>
      </c>
    </row>
    <row r="962" spans="1:15" ht="158.4" hidden="1" x14ac:dyDescent="0.3">
      <c r="A962" t="s">
        <v>7998</v>
      </c>
      <c r="B962" t="s">
        <v>8098</v>
      </c>
      <c r="C962" s="2" t="s">
        <v>8099</v>
      </c>
      <c r="D962" t="s">
        <v>5843</v>
      </c>
      <c r="E962" s="2" t="s">
        <v>8100</v>
      </c>
      <c r="F962" t="s">
        <v>404</v>
      </c>
      <c r="G962" t="str">
        <f>VLOOKUP($F962, codebooks_data_reordered!$A:$I, 2, FALSE)</f>
        <v>2006</v>
      </c>
      <c r="H962" t="str">
        <f>VLOOKUP($F962, codebooks_data_reordered!$A:$I, 3, FALSE)</f>
        <v>Ranking on a Right/Left Political Scale</v>
      </c>
      <c r="I962" t="str">
        <f>VLOOKUP($F962, codebooks_data_reordered!$A:$I, 4, FALSE)</f>
        <v>1</v>
      </c>
      <c r="J962" t="str">
        <f>VLOOKUP($F962, codebooks_data_reordered!$A:$I, 5, FALSE)</f>
        <v>130-131</v>
      </c>
      <c r="K962" t="str">
        <f>VLOOKUP($F962, codebooks_data_reordered!$A:$I, 6, FALSE)</f>
        <v>Ranking on a right/left political scale:Ihud-Leumi Mafdal</v>
      </c>
      <c r="L962" t="str">
        <f>VLOOKUP($F962, codebooks_data_reordered!$A:$I, 7, FALSE)</f>
        <v>How would you rate the following parties on the left-right scale from 0 to 10, 0 stands for left, and 10 stands for right and 5 is in the middle.</v>
      </c>
      <c r="M962" t="str">
        <f>VLOOKUP($F962, codebooks_data_reordered!$A:$I, 9, FALSE)</f>
        <v>0: Left; 10: Right</v>
      </c>
      <c r="O962" s="2" t="str">
        <f t="shared" ref="O962:O1025" si="15">SUBSTITUTE(M962, ";", CHAR(10))</f>
        <v>0: Left
 10: Right</v>
      </c>
    </row>
    <row r="963" spans="1:15" ht="100.8" hidden="1" x14ac:dyDescent="0.3">
      <c r="A963" t="s">
        <v>7998</v>
      </c>
      <c r="B963" t="s">
        <v>8101</v>
      </c>
      <c r="C963" s="2" t="s">
        <v>8102</v>
      </c>
      <c r="D963" t="s">
        <v>5843</v>
      </c>
      <c r="E963" s="2" t="s">
        <v>8103</v>
      </c>
      <c r="F963" t="s">
        <v>4120</v>
      </c>
      <c r="G963" t="str">
        <f>VLOOKUP($F963, codebooks_data_reordered!$A:$I, 2, FALSE)</f>
        <v>1981_1</v>
      </c>
      <c r="H963" t="str">
        <f>VLOOKUP($F963, codebooks_data_reordered!$A:$I, 3, FALSE)</f>
        <v>CHARACTERIZATION OF MOSHE DAYAN, GRADED SCALE 1-6</v>
      </c>
      <c r="I963" t="str">
        <f>VLOOKUP($F963, codebooks_data_reordered!$A:$I, 4, FALSE)</f>
        <v>1</v>
      </c>
      <c r="J963" t="str">
        <f>VLOOKUP($F963, codebooks_data_reordered!$A:$I, 5, FALSE)</f>
        <v>99</v>
      </c>
      <c r="K963" t="str">
        <f>VLOOKUP($F963, codebooks_data_reordered!$A:$I, 6, FALSE)</f>
        <v>The social strata Aridor's economic policy helps most</v>
      </c>
      <c r="L963">
        <f>VLOOKUP($F963, codebooks_data_reordered!$A:$I, 7, FALSE)</f>
        <v>0</v>
      </c>
      <c r="M963" t="str">
        <f>VLOOKUP($F963, codebooks_data_reordered!$A:$I, 9, FALSE)</f>
        <v>1: Mainly lower social strata; 2: Mainly middle social strata; 3: Mainly rich social strata; 4: All of the nation's citizens</v>
      </c>
      <c r="O963" s="2" t="str">
        <f t="shared" si="15"/>
        <v>1: Mainly lower social strata
 2: Mainly middle social strata
 3: Mainly rich social strata
 4: All of the nation's citizens</v>
      </c>
    </row>
    <row r="964" spans="1:15" ht="129.6" hidden="1" x14ac:dyDescent="0.3">
      <c r="A964" t="s">
        <v>7998</v>
      </c>
      <c r="B964" t="s">
        <v>8104</v>
      </c>
      <c r="C964" s="2" t="s">
        <v>8105</v>
      </c>
      <c r="D964" t="s">
        <v>5843</v>
      </c>
      <c r="E964" s="2" t="s">
        <v>8106</v>
      </c>
      <c r="F964" t="s">
        <v>3082</v>
      </c>
      <c r="G964" t="str">
        <f>VLOOKUP($F964, codebooks_data_reordered!$A:$I, 2, FALSE)</f>
        <v>1988_Panel_N=416</v>
      </c>
      <c r="H964" t="str">
        <f>VLOOKUP($F964, codebooks_data_reordered!$A:$I, 3, FALSE)</f>
        <v>WHICH OF THE FOLLOWING IS A REASON FOR THE ARABS OBJECTING TO ISRAEL'S EXISTENCE</v>
      </c>
      <c r="I964" t="str">
        <f>VLOOKUP($F964, codebooks_data_reordered!$A:$I, 4, FALSE)</f>
        <v>1</v>
      </c>
      <c r="J964" t="str">
        <f>VLOOKUP($F964, codebooks_data_reordered!$A:$I, 5, FALSE)</f>
        <v>93</v>
      </c>
      <c r="K964" t="str">
        <f>VLOOKUP($F964, codebooks_data_reordered!$A:$I, 6, FALSE)</f>
        <v>Reason for the arabs objecting to Israels' existence:They view Israeli land as Arab land which should be returned to owners</v>
      </c>
      <c r="L964">
        <f>VLOOKUP($F964, codebooks_data_reordered!$A:$I, 7, FALSE)</f>
        <v>0</v>
      </c>
      <c r="M964" t="str">
        <f>VLOOKUP($F964, codebooks_data_reordered!$A:$I, 9, FALSE)</f>
        <v>1: Is a reason; 2: Is not a reason</v>
      </c>
      <c r="O964" s="2" t="str">
        <f t="shared" si="15"/>
        <v>1: Is a reason
 2: Is not a reason</v>
      </c>
    </row>
    <row r="965" spans="1:15" ht="187.2" hidden="1" x14ac:dyDescent="0.3">
      <c r="A965" t="s">
        <v>7998</v>
      </c>
      <c r="B965" t="s">
        <v>8107</v>
      </c>
      <c r="C965" s="2" t="s">
        <v>8108</v>
      </c>
      <c r="D965" t="s">
        <v>5843</v>
      </c>
      <c r="E965" s="2" t="s">
        <v>8109</v>
      </c>
      <c r="F965" t="s">
        <v>3084</v>
      </c>
      <c r="G965" t="str">
        <f>VLOOKUP($F965, codebooks_data_reordered!$A:$I, 2, FALSE)</f>
        <v>1988_Panel_N=416</v>
      </c>
      <c r="H965" t="str">
        <f>VLOOKUP($F965, codebooks_data_reordered!$A:$I, 3, FALSE)</f>
        <v>WHICH OF THE FOLLOWING IS A REASON FOR THE ARABS OBJECTING TO ISRAEL'S EXISTENCE</v>
      </c>
      <c r="I965" t="str">
        <f>VLOOKUP($F965, codebooks_data_reordered!$A:$I, 4, FALSE)</f>
        <v>1</v>
      </c>
      <c r="J965" t="str">
        <f>VLOOKUP($F965, codebooks_data_reordered!$A:$I, 5, FALSE)</f>
        <v>94</v>
      </c>
      <c r="K965" t="str">
        <f>VLOOKUP($F965, codebooks_data_reordered!$A:$I, 6, FALSE)</f>
        <v>Reason for the arabs objecting to Israels' existence:They only want to retrieve those lands which were taken during the 6 Day War</v>
      </c>
      <c r="L965">
        <f>VLOOKUP($F965, codebooks_data_reordered!$A:$I, 7, FALSE)</f>
        <v>0</v>
      </c>
      <c r="M965" t="str">
        <f>VLOOKUP($F965, codebooks_data_reordered!$A:$I, 9, FALSE)</f>
        <v>1: Is a reason; 2: Is not a reason</v>
      </c>
      <c r="O965" s="2" t="str">
        <f t="shared" si="15"/>
        <v>1: Is a reason
 2: Is not a reason</v>
      </c>
    </row>
    <row r="966" spans="1:15" ht="129.6" hidden="1" x14ac:dyDescent="0.3">
      <c r="A966" t="s">
        <v>7998</v>
      </c>
      <c r="B966" t="s">
        <v>8110</v>
      </c>
      <c r="C966" s="2" t="s">
        <v>8111</v>
      </c>
      <c r="D966" t="s">
        <v>5843</v>
      </c>
      <c r="E966" s="2" t="s">
        <v>8112</v>
      </c>
      <c r="F966" t="s">
        <v>3086</v>
      </c>
      <c r="G966" t="str">
        <f>VLOOKUP($F966, codebooks_data_reordered!$A:$I, 2, FALSE)</f>
        <v>1988_Panel_N=416</v>
      </c>
      <c r="H966" t="str">
        <f>VLOOKUP($F966, codebooks_data_reordered!$A:$I, 3, FALSE)</f>
        <v>WHICH OF THE FOLLOWING IS A REASON FOR THE ARABS OBJECTING TO ISRAEL'S EXISTENCE</v>
      </c>
      <c r="I966" t="str">
        <f>VLOOKUP($F966, codebooks_data_reordered!$A:$I, 4, FALSE)</f>
        <v>1</v>
      </c>
      <c r="J966" t="str">
        <f>VLOOKUP($F966, codebooks_data_reordered!$A:$I, 5, FALSE)</f>
        <v>95</v>
      </c>
      <c r="K966" t="str">
        <f>VLOOKUP($F966, codebooks_data_reordered!$A:$I, 6, FALSE)</f>
        <v>Reason for the arabs objecting to Israels' existence:They fear future Israeli aggressiveness</v>
      </c>
      <c r="L966">
        <f>VLOOKUP($F966, codebooks_data_reordered!$A:$I, 7, FALSE)</f>
        <v>0</v>
      </c>
      <c r="M966" t="str">
        <f>VLOOKUP($F966, codebooks_data_reordered!$A:$I, 9, FALSE)</f>
        <v>1: Is a reason; 2: Is not a reason</v>
      </c>
      <c r="O966" s="2" t="str">
        <f t="shared" si="15"/>
        <v>1: Is a reason
 2: Is not a reason</v>
      </c>
    </row>
    <row r="967" spans="1:15" ht="201.6" hidden="1" x14ac:dyDescent="0.3">
      <c r="A967" t="s">
        <v>7998</v>
      </c>
      <c r="B967" t="s">
        <v>8113</v>
      </c>
      <c r="C967" s="2" t="s">
        <v>8114</v>
      </c>
      <c r="D967" t="s">
        <v>5843</v>
      </c>
      <c r="E967" s="2" t="s">
        <v>8115</v>
      </c>
      <c r="F967" t="s">
        <v>3092</v>
      </c>
      <c r="G967" t="str">
        <f>VLOOKUP($F967, codebooks_data_reordered!$A:$I, 2, FALSE)</f>
        <v>1988_Panel_N=416</v>
      </c>
      <c r="H967" t="str">
        <f>VLOOKUP($F967, codebooks_data_reordered!$A:$I, 3, FALSE)</f>
        <v>WHICH OF THE FOLLOWING IS A REASON FOR THE ARABS OBJECTING TO ISRAEL'S EXISTENCE</v>
      </c>
      <c r="I967" t="str">
        <f>VLOOKUP($F967, codebooks_data_reordered!$A:$I, 4, FALSE)</f>
        <v>1</v>
      </c>
      <c r="J967" t="str">
        <f>VLOOKUP($F967, codebooks_data_reordered!$A:$I, 5, FALSE)</f>
        <v>97</v>
      </c>
      <c r="K967" t="str">
        <f>VLOOKUP($F967, codebooks_data_reordered!$A:$I, 6, FALSE)</f>
        <v>From the above list name second main cause for their opposition to us</v>
      </c>
      <c r="L967">
        <f>VLOOKUP($F967, codebooks_data_reordered!$A:$I, 7, FALSE)</f>
        <v>0</v>
      </c>
      <c r="M967" t="str">
        <f>VLOOKUP($F967, codebooks_data_reordered!$A:$I, 9, FALSE)</f>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c r="O967" s="2" t="str">
        <f t="shared" si="15"/>
        <v>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v>
      </c>
    </row>
    <row r="968" spans="1:15" ht="86.4" hidden="1" x14ac:dyDescent="0.3">
      <c r="A968" t="s">
        <v>7998</v>
      </c>
      <c r="B968" t="s">
        <v>8116</v>
      </c>
      <c r="C968" s="2" t="s">
        <v>8117</v>
      </c>
      <c r="D968" t="s">
        <v>5843</v>
      </c>
      <c r="E968" s="2" t="s">
        <v>8118</v>
      </c>
      <c r="F968" t="s">
        <v>168</v>
      </c>
      <c r="G968" t="str">
        <f>VLOOKUP($F968, codebooks_data_reordered!$A:$I, 2, FALSE)</f>
        <v>2006</v>
      </c>
      <c r="H968" t="str">
        <f>VLOOKUP($F968, codebooks_data_reordered!$A:$I, 3, FALSE)</f>
        <v>Threat of Different Issues</v>
      </c>
      <c r="I968" t="str">
        <f>VLOOKUP($F968, codebooks_data_reordered!$A:$I, 4, FALSE)</f>
        <v>1</v>
      </c>
      <c r="J968" t="str">
        <f>VLOOKUP($F968, codebooks_data_reordered!$A:$I, 5, FALSE)</f>
        <v>45</v>
      </c>
      <c r="K968" t="str">
        <f>VLOOKUP($F968, codebooks_data_reordered!$A:$I, 6, FALSE)</f>
        <v>Establishment of a Pal. state as part of permanent settlement</v>
      </c>
      <c r="L968" t="str">
        <f>VLOOKUP($F968, codebooks_data_reordered!$A:$I, 7, FALSE)</f>
        <v>40. Do you think Israel should agree or disagree to the establishment of a Palestinian state in Judea, Samaria, and the Gaza strip as part of a permanent settlement?</v>
      </c>
      <c r="M968" t="str">
        <f>VLOOKUP($F968, codebooks_data_reordered!$A:$I, 9, FALSE)</f>
        <v>1: Should definitely agree; 2: I think should agree; 3: I think should not agree; 4: Should definitely not agree</v>
      </c>
      <c r="O968" s="2" t="str">
        <f t="shared" si="15"/>
        <v>1: Should definitely agree
 2: I think should agree
 3: I think should not agree
 4: Should definitely not agree</v>
      </c>
    </row>
    <row r="969" spans="1:15" ht="129.6" hidden="1" x14ac:dyDescent="0.3">
      <c r="A969" t="s">
        <v>7998</v>
      </c>
      <c r="B969" t="s">
        <v>8119</v>
      </c>
      <c r="C969" s="2" t="s">
        <v>8120</v>
      </c>
      <c r="D969" t="s">
        <v>5843</v>
      </c>
      <c r="E969" s="2" t="s">
        <v>8121</v>
      </c>
      <c r="F969" t="s">
        <v>591</v>
      </c>
      <c r="G969" t="str">
        <f>VLOOKUP($F969, codebooks_data_reordered!$A:$I, 2, FALSE)</f>
        <v>2006</v>
      </c>
      <c r="H969" t="str">
        <f>VLOOKUP($F969, codebooks_data_reordered!$A:$I, 3, FALSE)</f>
        <v>Chance the Party to be in the Next Government</v>
      </c>
      <c r="I969" t="str">
        <f>VLOOKUP($F969, codebooks_data_reordered!$A:$I, 4, FALSE)</f>
        <v>1</v>
      </c>
      <c r="J969" t="str">
        <f>VLOOKUP($F969, codebooks_data_reordered!$A:$I, 5, FALSE)</f>
        <v>183</v>
      </c>
      <c r="K969" t="str">
        <f>VLOOKUP($F969, codebooks_data_reordered!$A:$I, 6, FALSE)</f>
        <v>Supporter or member of any party</v>
      </c>
      <c r="L969" t="str">
        <f>VLOOKUP($F969, codebooks_data_reordered!$A:$I, 7, FALSE)</f>
        <v>72. Are you a member, supporter, or an activist of any of the parties?</v>
      </c>
      <c r="M969" t="str">
        <f>VLOOKUP($F969, codebooks_data_reordered!$A:$I, 9, FALSE)</f>
        <v>1: Not a supporter or an activist in any of the parties; 2: Supporter of a party but not a member; 3: Member; 4: Active member; 5: A member and hold a position in a party</v>
      </c>
      <c r="O969" s="2" t="str">
        <f t="shared" si="15"/>
        <v>1: Not a supporter or an activist in any of the parties
 2: Supporter of a party but not a member
 3: Member
 4: Active member
 5: A member and hold a position in a party</v>
      </c>
    </row>
    <row r="970" spans="1:15" ht="57.6" hidden="1" x14ac:dyDescent="0.3">
      <c r="A970" t="s">
        <v>7998</v>
      </c>
      <c r="B970" t="s">
        <v>8122</v>
      </c>
      <c r="C970" s="2" t="s">
        <v>8123</v>
      </c>
      <c r="D970" t="s">
        <v>5843</v>
      </c>
      <c r="E970" s="2" t="s">
        <v>8124</v>
      </c>
      <c r="F970" t="s">
        <v>4226</v>
      </c>
      <c r="G970" t="str">
        <f>VLOOKUP($F970, codebooks_data_reordered!$A:$I, 2, FALSE)</f>
        <v>1981_3</v>
      </c>
      <c r="H970">
        <f>VLOOKUP($F970, codebooks_data_reordered!$A:$I, 3, FALSE)</f>
        <v>0</v>
      </c>
      <c r="I970" t="str">
        <f>VLOOKUP($F970, codebooks_data_reordered!$A:$I, 4, FALSE)</f>
        <v>1</v>
      </c>
      <c r="J970" t="str">
        <f>VLOOKUP($F970, codebooks_data_reordered!$A:$I, 5, FALSE)</f>
        <v>6</v>
      </c>
      <c r="K970" t="str">
        <f>VLOOKUP($F970, codebooks_data_reordered!$A:$I, 6, FALSE)</f>
        <v>Way government handles present problems in Israel</v>
      </c>
      <c r="L970">
        <f>VLOOKUP($F970, codebooks_data_reordered!$A:$I, 7, FALSE)</f>
        <v>0</v>
      </c>
      <c r="M970" t="str">
        <f>VLOOKUP($F970, codebooks_data_reordered!$A:$I, 9, FALSE)</f>
        <v>1: Very well; 2: Well; 3: Not so well; 4: Not well at all</v>
      </c>
      <c r="O970" s="2" t="str">
        <f t="shared" si="15"/>
        <v>1: Very well
 2: Well
 3: Not so well
 4: Not well at all</v>
      </c>
    </row>
    <row r="971" spans="1:15" ht="86.4" hidden="1" x14ac:dyDescent="0.3">
      <c r="A971" t="s">
        <v>7998</v>
      </c>
      <c r="B971" t="s">
        <v>8125</v>
      </c>
      <c r="C971" s="2" t="s">
        <v>6294</v>
      </c>
      <c r="D971" t="s">
        <v>5843</v>
      </c>
      <c r="E971" s="2" t="s">
        <v>6295</v>
      </c>
      <c r="F971" t="s">
        <v>224</v>
      </c>
      <c r="G971" t="str">
        <f>VLOOKUP($F971, codebooks_data_reordered!$A:$I, 2, FALSE)</f>
        <v>2006</v>
      </c>
      <c r="H971" t="str">
        <f>VLOOKUP($F971, codebooks_data_reordered!$A:$I, 3, FALSE)</f>
        <v>Agree/Disagree with the Different Statements</v>
      </c>
      <c r="I971" t="str">
        <f>VLOOKUP($F971, codebooks_data_reordered!$A:$I, 4, FALSE)</f>
        <v>1</v>
      </c>
      <c r="J971" t="str">
        <f>VLOOKUP($F971, codebooks_data_reordered!$A:$I, 5, FALSE)</f>
        <v>57</v>
      </c>
      <c r="K971" t="str">
        <f>VLOOKUP($F971, codebooks_data_reordered!$A:$I, 6, FALSE)</f>
        <v>Talking about political issues</v>
      </c>
      <c r="L971" t="str">
        <f>VLOOKUP($F971, codebooks_data_reordered!$A:$I, 7, FALSE)</f>
        <v>53. To what extent do you talk with your friends and family about political issues?</v>
      </c>
      <c r="M971" t="str">
        <f>VLOOKUP($F971, codebooks_data_reordered!$A:$I, 9, FALSE)</f>
        <v>1: A great amount; 2: A certain amount; 3: A small amount; 4: Not at all</v>
      </c>
      <c r="O971" s="2" t="str">
        <f t="shared" si="15"/>
        <v>1: A great amount
 2: A certain amount
 3: A small amount
 4: Not at all</v>
      </c>
    </row>
    <row r="972" spans="1:15" ht="129.6" hidden="1" x14ac:dyDescent="0.3">
      <c r="A972" t="s">
        <v>7998</v>
      </c>
      <c r="B972" t="s">
        <v>8126</v>
      </c>
      <c r="C972" s="2" t="s">
        <v>8127</v>
      </c>
      <c r="D972" t="s">
        <v>5843</v>
      </c>
      <c r="E972" s="2" t="s">
        <v>8128</v>
      </c>
      <c r="F972" t="s">
        <v>5020</v>
      </c>
      <c r="G972" t="str">
        <f>VLOOKUP($F972, codebooks_data_reordered!$A:$I, 2, FALSE)</f>
        <v>1973_2</v>
      </c>
      <c r="H972" t="str">
        <f>VLOOKUP($F972, codebooks_data_reordered!$A:$I, 3, FALSE)</f>
        <v>DO YOU AGREE WITH THE FOLLOWING STATEMENT</v>
      </c>
      <c r="I972" t="str">
        <f>VLOOKUP($F972, codebooks_data_reordered!$A:$I, 4, FALSE)</f>
        <v>2</v>
      </c>
      <c r="J972" t="str">
        <f>VLOOKUP($F972, codebooks_data_reordered!$A:$I, 5, FALSE)</f>
        <v>53</v>
      </c>
      <c r="K972" t="str">
        <f>VLOOKUP($F972, codebooks_data_reordered!$A:$I, 6, FALSE)</f>
        <v>What will help you make up your mind</v>
      </c>
      <c r="L972">
        <f>VLOOKUP($F972, codebooks_data_reordered!$A:$I, 7, FALSE)</f>
        <v>0</v>
      </c>
      <c r="M972" t="str">
        <f>VLOOKUP($F972, codebooks_data_reordered!$A:$I, 9, FALSE)</f>
        <v>0: No answer; 1: The media (newspapers, T.V., Radio); 2: Nothing specific; 3: Other; 4: Doesn't indend to vote; 9: Already know who to vote for</v>
      </c>
      <c r="O972" s="2" t="str">
        <f t="shared" si="15"/>
        <v>0: No answer
 1: The media (newspapers, T.V., Radio)
 2: Nothing specific
 3: Other
 4: Doesn't indend to vote
 9: Already know who to vote for</v>
      </c>
    </row>
    <row r="973" spans="1:15" ht="360" hidden="1" x14ac:dyDescent="0.3">
      <c r="A973" t="s">
        <v>7998</v>
      </c>
      <c r="B973" t="s">
        <v>8129</v>
      </c>
      <c r="C973" s="2" t="s">
        <v>8130</v>
      </c>
      <c r="D973" t="s">
        <v>5843</v>
      </c>
      <c r="E973" s="2" t="s">
        <v>8131</v>
      </c>
      <c r="F973" t="s">
        <v>2560</v>
      </c>
      <c r="G973" t="str">
        <f>VLOOKUP($F973, codebooks_data_reordered!$A:$I, 2, FALSE)</f>
        <v>1996_Jews</v>
      </c>
      <c r="H973" t="str">
        <f>VLOOKUP($F973, codebooks_data_reordered!$A:$I, 3, FALSE)</f>
        <v>WHICH PM CANDID. BEST SUITS EACH DESCRIPTION?</v>
      </c>
      <c r="I973" t="str">
        <f>VLOOKUP($F973, codebooks_data_reordered!$A:$I, 4, FALSE)</f>
        <v>1</v>
      </c>
      <c r="J973" t="str">
        <f>VLOOKUP($F973, codebooks_data_reordered!$A:$I, 5, FALSE)</f>
        <v>188-189</v>
      </c>
      <c r="K973" t="str">
        <f>VLOOKUP($F973, codebooks_data_reordered!$A:$I, 6, FALSE)</f>
        <v>Vote for party in 1988</v>
      </c>
      <c r="L973">
        <f>VLOOKUP($F973, codebooks_data_reordered!$A:$I, 7, FALSE)</f>
        <v>0</v>
      </c>
      <c r="M973" t="str">
        <f>VLOOKUP($F973, codebooks_data_reordered!$A:$I, 9, FALSE)</f>
        <v>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v>
      </c>
      <c r="O973" s="2" t="str">
        <f t="shared" si="15"/>
        <v>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v>
      </c>
    </row>
    <row r="974" spans="1:15" ht="115.2" hidden="1" x14ac:dyDescent="0.3">
      <c r="A974" t="s">
        <v>7998</v>
      </c>
      <c r="B974" t="s">
        <v>7023</v>
      </c>
      <c r="C974" s="2" t="s">
        <v>7282</v>
      </c>
      <c r="D974" t="s">
        <v>5986</v>
      </c>
      <c r="E974" s="2" t="s">
        <v>7283</v>
      </c>
      <c r="F974" t="s">
        <v>194</v>
      </c>
      <c r="G974" t="str">
        <f>VLOOKUP($F974, codebooks_data_reordered!$A:$I, 2, FALSE)</f>
        <v>2006</v>
      </c>
      <c r="H974" t="str">
        <f>VLOOKUP($F974, codebooks_data_reordered!$A:$I, 3, FALSE)</f>
        <v>Threat of Different Issues</v>
      </c>
      <c r="I974" t="str">
        <f>VLOOKUP($F974, codebooks_data_reordered!$A:$I, 4, FALSE)</f>
        <v>1</v>
      </c>
      <c r="J974" t="str">
        <f>VLOOKUP($F974, codebooks_data_reordered!$A:$I, 5, FALSE)</f>
        <v>50</v>
      </c>
      <c r="K974" t="str">
        <f>VLOOKUP($F974, codebooks_data_reordered!$A:$I, 6, FALSE)</f>
        <v>Israel's economic structure (socialist or capitalist)</v>
      </c>
      <c r="L974" t="str">
        <f>VLOOKUP($F974, codebooks_data_reordered!$A:$I, 7, FALSE)</f>
        <v>45. Regarding the economic structure of life in Israel, do you support a more socialist approach or a more capitalist one?</v>
      </c>
      <c r="M974" t="str">
        <f>VLOOKUP($F974, codebooks_data_reordered!$A:$I, 9, FALSE)</f>
        <v>1: Definitely capitalist; 2: More capitalist than socialist; 3: More socialist than capitalist; 4: Definitely socialist; 5: Socialist and capitalist; 6: Other</v>
      </c>
      <c r="O974" s="2" t="str">
        <f t="shared" si="15"/>
        <v>1: Definitely capitalist
 2: More capitalist than socialist
 3: More socialist than capitalist
 4: Definitely socialist
 5: Socialist and capitalist
 6: Other</v>
      </c>
    </row>
    <row r="975" spans="1:15" ht="57.6" hidden="1" x14ac:dyDescent="0.3">
      <c r="A975" t="s">
        <v>7998</v>
      </c>
      <c r="B975" t="s">
        <v>8132</v>
      </c>
      <c r="C975" s="2" t="s">
        <v>7284</v>
      </c>
      <c r="D975" t="s">
        <v>5986</v>
      </c>
      <c r="E975" s="2" t="s">
        <v>7285</v>
      </c>
      <c r="F975" t="s">
        <v>4180</v>
      </c>
      <c r="G975" t="str">
        <f>VLOOKUP($F975, codebooks_data_reordered!$A:$I, 2, FALSE)</f>
        <v>1981_1</v>
      </c>
      <c r="H975" t="str">
        <f>VLOOKUP($F975, codebooks_data_reordered!$A:$I, 3, FALSE)</f>
        <v>CHARACTERIZATION OF MOSHE DAYAN, GRADED SCALE 1-6</v>
      </c>
      <c r="I975" t="str">
        <f>VLOOKUP($F975, codebooks_data_reordered!$A:$I, 4, FALSE)</f>
        <v>1</v>
      </c>
      <c r="J975" t="str">
        <f>VLOOKUP($F975, codebooks_data_reordered!$A:$I, 5, FALSE)</f>
        <v>133</v>
      </c>
      <c r="K975" t="str">
        <f>VLOOKUP($F975, codebooks_data_reordered!$A:$I, 6, FALSE)</f>
        <v>Interviewee will vote for same party in Histadrut and Knesset elections</v>
      </c>
      <c r="L975">
        <f>VLOOKUP($F975, codebooks_data_reordered!$A:$I, 7, FALSE)</f>
        <v>0</v>
      </c>
      <c r="M975" t="str">
        <f>VLOOKUP($F975, codebooks_data_reordered!$A:$I, 9, FALSE)</f>
        <v>1: Yes; 2: No; 3: Undecided; 4: Will not vote</v>
      </c>
      <c r="O975" s="2" t="str">
        <f t="shared" si="15"/>
        <v>1: Yes
 2: No
 3: Undecided
 4: Will not vote</v>
      </c>
    </row>
    <row r="976" spans="1:15" ht="28.8" hidden="1" x14ac:dyDescent="0.3">
      <c r="A976" t="s">
        <v>7998</v>
      </c>
      <c r="B976" t="s">
        <v>8133</v>
      </c>
      <c r="C976" s="2" t="s">
        <v>7284</v>
      </c>
      <c r="D976" t="s">
        <v>5986</v>
      </c>
      <c r="E976" s="2" t="s">
        <v>7285</v>
      </c>
      <c r="F976" t="s">
        <v>642</v>
      </c>
      <c r="G976" t="str">
        <f>VLOOKUP($F976, codebooks_data_reordered!$A:$I, 2, FALSE)</f>
        <v>2006</v>
      </c>
      <c r="H976" t="str">
        <f>VLOOKUP($F976, codebooks_data_reordered!$A:$I, 3, FALSE)</f>
        <v>Different Coalitions after the Elections</v>
      </c>
      <c r="I976" t="str">
        <f>VLOOKUP($F976, codebooks_data_reordered!$A:$I, 4, FALSE)</f>
        <v>1</v>
      </c>
      <c r="J976" t="str">
        <f>VLOOKUP($F976, codebooks_data_reordered!$A:$I, 5, FALSE)</f>
        <v>219-221</v>
      </c>
      <c r="K976" t="str">
        <f>VLOOKUP($F976, codebooks_data_reordered!$A:$I, 6, FALSE)</f>
        <v>Chances for Kadima-Labor-Haredim coalition</v>
      </c>
      <c r="L976" t="str">
        <f>VLOOKUP($F976,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976">
        <f>VLOOKUP($F976, codebooks_data_reordered!$A:$I, 9, FALSE)</f>
        <v>0</v>
      </c>
      <c r="O976" s="2" t="str">
        <f t="shared" si="15"/>
        <v>0</v>
      </c>
    </row>
    <row r="977" spans="1:15" ht="72" hidden="1" x14ac:dyDescent="0.3">
      <c r="A977" t="s">
        <v>7998</v>
      </c>
      <c r="B977" t="s">
        <v>8134</v>
      </c>
      <c r="C977" s="2" t="s">
        <v>8135</v>
      </c>
      <c r="D977" t="s">
        <v>5986</v>
      </c>
      <c r="E977" s="2" t="s">
        <v>8136</v>
      </c>
      <c r="F977" t="s">
        <v>2169</v>
      </c>
      <c r="G977" t="str">
        <f>VLOOKUP($F977, codebooks_data_reordered!$A:$I, 2, FALSE)</f>
        <v>1999_1</v>
      </c>
      <c r="H977" t="str">
        <f>VLOOKUP($F977, codebooks_data_reordered!$A:$I, 3, FALSE)</f>
        <v>VOTING PATTERNS</v>
      </c>
      <c r="I977" t="str">
        <f>VLOOKUP($F977, codebooks_data_reordered!$A:$I, 4, FALSE)</f>
        <v>3</v>
      </c>
      <c r="J977" t="str">
        <f>VLOOKUP($F977, codebooks_data_reordered!$A:$I, 5, FALSE)</f>
        <v>20</v>
      </c>
      <c r="K977" t="str">
        <f>VLOOKUP($F977, codebooks_data_reordered!$A:$I, 6, FALSE)</f>
        <v>Vote for PM in 1996</v>
      </c>
      <c r="L977">
        <f>VLOOKUP($F977, codebooks_data_reordered!$A:$I, 7, FALSE)</f>
        <v>0</v>
      </c>
      <c r="M977" t="str">
        <f>VLOOKUP($F977, codebooks_data_reordered!$A:$I, 9, FALSE)</f>
        <v>1: Netanyahu; 2: Peres; 3: Blank note; 4: Did not vote; 5: Do not remember</v>
      </c>
      <c r="O977" s="2" t="str">
        <f t="shared" si="15"/>
        <v>1: Netanyahu
 2: Peres
 3: Blank note
 4: Did not vote
 5: Do not remember</v>
      </c>
    </row>
    <row r="978" spans="1:15" ht="72" hidden="1" x14ac:dyDescent="0.3">
      <c r="A978" t="s">
        <v>7998</v>
      </c>
      <c r="B978" t="s">
        <v>6849</v>
      </c>
      <c r="C978" s="2" t="s">
        <v>8137</v>
      </c>
      <c r="D978" t="s">
        <v>7439</v>
      </c>
      <c r="E978" s="2" t="s">
        <v>8138</v>
      </c>
      <c r="F978" t="s">
        <v>9333</v>
      </c>
      <c r="G978" t="e">
        <f>VLOOKUP($F978, codebooks_data_reordered!$A:$I, 2, FALSE)</f>
        <v>#N/A</v>
      </c>
      <c r="H978" t="e">
        <f>VLOOKUP($F978, codebooks_data_reordered!$A:$I, 3, FALSE)</f>
        <v>#N/A</v>
      </c>
      <c r="I978" t="e">
        <f>VLOOKUP($F978, codebooks_data_reordered!$A:$I, 4, FALSE)</f>
        <v>#N/A</v>
      </c>
      <c r="J978" t="e">
        <f>VLOOKUP($F978, codebooks_data_reordered!$A:$I, 5, FALSE)</f>
        <v>#N/A</v>
      </c>
      <c r="K978" t="e">
        <f>VLOOKUP($F978, codebooks_data_reordered!$A:$I, 6, FALSE)</f>
        <v>#N/A</v>
      </c>
      <c r="L978" t="e">
        <f>VLOOKUP($F978, codebooks_data_reordered!$A:$I, 7, FALSE)</f>
        <v>#N/A</v>
      </c>
      <c r="M978" t="e">
        <f>VLOOKUP($F978, codebooks_data_reordered!$A:$I, 9, FALSE)</f>
        <v>#N/A</v>
      </c>
      <c r="O978" t="e">
        <f t="shared" si="15"/>
        <v>#N/A</v>
      </c>
    </row>
    <row r="979" spans="1:15" ht="331.2" hidden="1" x14ac:dyDescent="0.3">
      <c r="A979" t="s">
        <v>7998</v>
      </c>
      <c r="B979" t="s">
        <v>8139</v>
      </c>
      <c r="C979" s="2" t="s">
        <v>8140</v>
      </c>
      <c r="D979" t="s">
        <v>5843</v>
      </c>
      <c r="E979" s="2" t="s">
        <v>8141</v>
      </c>
      <c r="F979" t="s">
        <v>9334</v>
      </c>
      <c r="G979" t="e">
        <f>VLOOKUP($F979, codebooks_data_reordered!$A:$I, 2, FALSE)</f>
        <v>#N/A</v>
      </c>
      <c r="H979" t="e">
        <f>VLOOKUP($F979, codebooks_data_reordered!$A:$I, 3, FALSE)</f>
        <v>#N/A</v>
      </c>
      <c r="I979" t="e">
        <f>VLOOKUP($F979, codebooks_data_reordered!$A:$I, 4, FALSE)</f>
        <v>#N/A</v>
      </c>
      <c r="J979" t="e">
        <f>VLOOKUP($F979, codebooks_data_reordered!$A:$I, 5, FALSE)</f>
        <v>#N/A</v>
      </c>
      <c r="K979" t="e">
        <f>VLOOKUP($F979, codebooks_data_reordered!$A:$I, 6, FALSE)</f>
        <v>#N/A</v>
      </c>
      <c r="L979" t="e">
        <f>VLOOKUP($F979, codebooks_data_reordered!$A:$I, 7, FALSE)</f>
        <v>#N/A</v>
      </c>
      <c r="M979" t="e">
        <f>VLOOKUP($F979, codebooks_data_reordered!$A:$I, 9, FALSE)</f>
        <v>#N/A</v>
      </c>
      <c r="O979" t="e">
        <f t="shared" si="15"/>
        <v>#N/A</v>
      </c>
    </row>
    <row r="980" spans="1:15" ht="72" hidden="1" x14ac:dyDescent="0.3">
      <c r="A980" t="s">
        <v>7998</v>
      </c>
      <c r="B980" t="s">
        <v>6851</v>
      </c>
      <c r="C980" s="2" t="s">
        <v>8142</v>
      </c>
      <c r="D980" t="s">
        <v>7439</v>
      </c>
      <c r="E980" s="2" t="s">
        <v>8143</v>
      </c>
      <c r="F980" t="s">
        <v>9335</v>
      </c>
      <c r="G980" t="e">
        <f>VLOOKUP($F980, codebooks_data_reordered!$A:$I, 2, FALSE)</f>
        <v>#N/A</v>
      </c>
      <c r="H980" t="e">
        <f>VLOOKUP($F980, codebooks_data_reordered!$A:$I, 3, FALSE)</f>
        <v>#N/A</v>
      </c>
      <c r="I980" t="e">
        <f>VLOOKUP($F980, codebooks_data_reordered!$A:$I, 4, FALSE)</f>
        <v>#N/A</v>
      </c>
      <c r="J980" t="e">
        <f>VLOOKUP($F980, codebooks_data_reordered!$A:$I, 5, FALSE)</f>
        <v>#N/A</v>
      </c>
      <c r="K980" t="e">
        <f>VLOOKUP($F980, codebooks_data_reordered!$A:$I, 6, FALSE)</f>
        <v>#N/A</v>
      </c>
      <c r="L980" t="e">
        <f>VLOOKUP($F980, codebooks_data_reordered!$A:$I, 7, FALSE)</f>
        <v>#N/A</v>
      </c>
      <c r="M980" t="e">
        <f>VLOOKUP($F980, codebooks_data_reordered!$A:$I, 9, FALSE)</f>
        <v>#N/A</v>
      </c>
      <c r="O980" t="e">
        <f t="shared" si="15"/>
        <v>#N/A</v>
      </c>
    </row>
    <row r="981" spans="1:15" ht="409.6" hidden="1" x14ac:dyDescent="0.3">
      <c r="A981" t="s">
        <v>7998</v>
      </c>
      <c r="B981" t="s">
        <v>8144</v>
      </c>
      <c r="C981" s="2" t="s">
        <v>8145</v>
      </c>
      <c r="D981" t="s">
        <v>5843</v>
      </c>
      <c r="E981" s="2" t="s">
        <v>8146</v>
      </c>
      <c r="F981" t="s">
        <v>9336</v>
      </c>
      <c r="G981" t="e">
        <f>VLOOKUP($F981, codebooks_data_reordered!$A:$I, 2, FALSE)</f>
        <v>#N/A</v>
      </c>
      <c r="H981" t="e">
        <f>VLOOKUP($F981, codebooks_data_reordered!$A:$I, 3, FALSE)</f>
        <v>#N/A</v>
      </c>
      <c r="I981" t="e">
        <f>VLOOKUP($F981, codebooks_data_reordered!$A:$I, 4, FALSE)</f>
        <v>#N/A</v>
      </c>
      <c r="J981" t="e">
        <f>VLOOKUP($F981, codebooks_data_reordered!$A:$I, 5, FALSE)</f>
        <v>#N/A</v>
      </c>
      <c r="K981" t="e">
        <f>VLOOKUP($F981, codebooks_data_reordered!$A:$I, 6, FALSE)</f>
        <v>#N/A</v>
      </c>
      <c r="L981" t="e">
        <f>VLOOKUP($F981, codebooks_data_reordered!$A:$I, 7, FALSE)</f>
        <v>#N/A</v>
      </c>
      <c r="M981" t="e">
        <f>VLOOKUP($F981, codebooks_data_reordered!$A:$I, 9, FALSE)</f>
        <v>#N/A</v>
      </c>
      <c r="O981" t="e">
        <f t="shared" si="15"/>
        <v>#N/A</v>
      </c>
    </row>
    <row r="982" spans="1:15" ht="216" hidden="1" x14ac:dyDescent="0.3">
      <c r="A982" t="s">
        <v>7998</v>
      </c>
      <c r="B982" t="s">
        <v>8147</v>
      </c>
      <c r="C982" s="2" t="s">
        <v>8148</v>
      </c>
      <c r="D982" t="s">
        <v>7566</v>
      </c>
      <c r="E982" s="2" t="s">
        <v>8149</v>
      </c>
      <c r="F982" t="s">
        <v>5026</v>
      </c>
      <c r="G982" t="str">
        <f>VLOOKUP($F982, codebooks_data_reordered!$A:$I, 2, FALSE)</f>
        <v>1973_2</v>
      </c>
      <c r="H982" t="str">
        <f>VLOOKUP($F982, codebooks_data_reordered!$A:$I, 3, FALSE)</f>
        <v>DO YOU AGREE WITH THE FOLLOWING STATEMENT</v>
      </c>
      <c r="I982" t="str">
        <f>VLOOKUP($F982, codebooks_data_reordered!$A:$I, 4, FALSE)</f>
        <v>2</v>
      </c>
      <c r="J982" t="str">
        <f>VLOOKUP($F982, codebooks_data_reordered!$A:$I, 5, FALSE)</f>
        <v>55</v>
      </c>
      <c r="K982" t="str">
        <f>VLOOKUP($F982, codebooks_data_reordered!$A:$I, 6, FALSE)</f>
        <v>If yes-whom will you vote for</v>
      </c>
      <c r="L982">
        <f>VLOOKUP($F982, codebooks_data_reordered!$A:$I, 7, FALSE)</f>
        <v>0</v>
      </c>
      <c r="M982" t="str">
        <f>VLOOKUP($F982, codebooks_data_reordered!$A:$I, 9, FALSE)</f>
        <v>0: No answer; 1: Alignment Labor-Mapam; 2: Haoved Hadati; 3: Brit Smol (Leftist Alliance; 4: Moked (Meir Pail and communist party); 5: Meri (Haolam Haze); 6: Likud (Gahal, Reshima Mamlachtit, Free center); 7: Achva (Brotherhood); 8: Tnuat Avoda Liberalim (Independant Liberals); 9: Other</v>
      </c>
      <c r="O982" s="2" t="str">
        <f t="shared" si="15"/>
        <v>0: No answer
 1: Alignment Labor-Mapam
 2: Haoved Hadati
 3: Brit Smol (Leftist Alliance
 4: Moked (Meir Pail and communist party)
 5: Meri (Haolam Haze)
 6: Likud (Gahal, Reshima Mamlachtit, Free center)
 7: Achva (Brotherhood)
 8: Tnuat Avoda Liberalim (Independant Liberals)
 9: Other</v>
      </c>
    </row>
    <row r="983" spans="1:15" ht="129.6" hidden="1" x14ac:dyDescent="0.3">
      <c r="A983" t="s">
        <v>7998</v>
      </c>
      <c r="B983" t="s">
        <v>8150</v>
      </c>
      <c r="C983" s="2" t="s">
        <v>8151</v>
      </c>
      <c r="D983" t="s">
        <v>5843</v>
      </c>
      <c r="E983" s="2" t="s">
        <v>8152</v>
      </c>
      <c r="F983" t="s">
        <v>1734</v>
      </c>
      <c r="G983" t="str">
        <f>VLOOKUP($F983, codebooks_data_reordered!$A:$I, 2, FALSE)</f>
        <v>2001</v>
      </c>
      <c r="H983" t="str">
        <f>VLOOKUP($F983, codebooks_data_reordered!$A:$I, 3, FALSE)</f>
        <v>Demographic details</v>
      </c>
      <c r="I983" t="str">
        <f>VLOOKUP($F983, codebooks_data_reordered!$A:$I, 4, FALSE)</f>
        <v>1</v>
      </c>
      <c r="J983" t="str">
        <f>VLOOKUP($F983, codebooks_data_reordered!$A:$I, 5, FALSE)</f>
        <v>164</v>
      </c>
      <c r="K983" t="str">
        <f>VLOOKUP($F983, codebooks_data_reordered!$A:$I, 6, FALSE)</f>
        <v>Which newspaper (Arabs only)</v>
      </c>
      <c r="L983">
        <f>VLOOKUP($F983, codebooks_data_reordered!$A:$I, 7, FALSE)</f>
        <v>0</v>
      </c>
      <c r="M983" t="str">
        <f>VLOOKUP($F983, codebooks_data_reordered!$A:$I, 9, FALSE)</f>
        <v>1: Yediot; 2: AlSanara; 3: FatelAlmakal; 5: Maariv; 6: AlAtchad; 7: KolAlArab; 8: Haaretz</v>
      </c>
      <c r="O983" s="2" t="str">
        <f t="shared" si="15"/>
        <v>1: Yediot
 2: AlSanara
 3: FatelAlmakal
 5: Maariv
 6: AlAtchad
 7: KolAlArab
 8: Haaretz</v>
      </c>
    </row>
    <row r="984" spans="1:15" ht="86.4" hidden="1" x14ac:dyDescent="0.3">
      <c r="A984" t="s">
        <v>7998</v>
      </c>
      <c r="B984" t="s">
        <v>8153</v>
      </c>
      <c r="C984" s="2" t="s">
        <v>8154</v>
      </c>
      <c r="D984" t="s">
        <v>5843</v>
      </c>
      <c r="E984" s="2" t="s">
        <v>8155</v>
      </c>
      <c r="F984" t="s">
        <v>3537</v>
      </c>
      <c r="G984" t="str">
        <f>VLOOKUP($F984, codebooks_data_reordered!$A:$I, 2, FALSE)</f>
        <v>1988_Panel_N=416</v>
      </c>
      <c r="H984" t="str">
        <f>VLOOKUP($F984, codebooks_data_reordered!$A:$I, 3, FALSE)</f>
        <v>THERMOMETER SCALE TOWARDS PERSONS OR GROUPS (0-10 scale)</v>
      </c>
      <c r="I984" t="str">
        <f>VLOOKUP($F984, codebooks_data_reordered!$A:$I, 4, FALSE)</f>
        <v>3</v>
      </c>
      <c r="J984" t="str">
        <f>VLOOKUP($F984, codebooks_data_reordered!$A:$I, 5, FALSE)</f>
        <v>120</v>
      </c>
      <c r="K984" t="str">
        <f>VLOOKUP($F984, codebooks_data_reordered!$A:$I, 6, FALSE)</f>
        <v>Yitzhak Rabin</v>
      </c>
      <c r="L984">
        <f>VLOOKUP($F984, codebooks_data_reordered!$A:$I, 7, FALSE)</f>
        <v>0</v>
      </c>
      <c r="M984" t="str">
        <f>VLOOKUP($F984, codebooks_data_reordered!$A:$I, 9, FALSE)</f>
        <v>1: 1 Strong aversion; 10: 10 Strong affection</v>
      </c>
      <c r="O984" s="2" t="str">
        <f t="shared" si="15"/>
        <v>1: 1 Strong aversion
 10: 10 Strong affection</v>
      </c>
    </row>
    <row r="985" spans="1:15" ht="115.2" hidden="1" x14ac:dyDescent="0.3">
      <c r="A985" t="s">
        <v>7998</v>
      </c>
      <c r="B985" t="s">
        <v>8156</v>
      </c>
      <c r="C985" s="2" t="s">
        <v>8157</v>
      </c>
      <c r="D985" t="s">
        <v>5843</v>
      </c>
      <c r="E985" s="2" t="s">
        <v>8158</v>
      </c>
      <c r="F985" t="s">
        <v>546</v>
      </c>
      <c r="G985" t="str">
        <f>VLOOKUP($F985, codebooks_data_reordered!$A:$I, 2, FALSE)</f>
        <v>2006</v>
      </c>
      <c r="H985" t="str">
        <f>VLOOKUP($F985, codebooks_data_reordered!$A:$I, 3, FALSE)</f>
        <v>Most/Less Suitable Characteristic of the Party</v>
      </c>
      <c r="I985" t="str">
        <f>VLOOKUP($F985, codebooks_data_reordered!$A:$I, 4, FALSE)</f>
        <v>1</v>
      </c>
      <c r="J985" t="str">
        <f>VLOOKUP($F985, codebooks_data_reordered!$A:$I, 5, FALSE)</f>
        <v>172</v>
      </c>
      <c r="K985" t="str">
        <f>VLOOKUP($F985, codebooks_data_reordered!$A:$I, 6, FALSE)</f>
        <v>With which political tendency do you identify</v>
      </c>
      <c r="L985" t="str">
        <f>VLOOKUP($F985, codebooks_data_reordered!$A:$I, 7, FALSE)</f>
        <v>61. With which political tendency do you identify?</v>
      </c>
      <c r="M985" t="str">
        <f>VLOOKUP($F985, codebooks_data_reordered!$A:$I, 9, FALSE)</f>
        <v>1: Left; 2: Moderate left; 3: Center; 4: Moderate right; 5: Right; 6: Religious; 7: None of them</v>
      </c>
      <c r="O985" s="2" t="str">
        <f t="shared" si="15"/>
        <v>1: Left
 2: Moderate left
 3: Center
 4: Moderate right
 5: Right
 6: Religious
 7: None of them</v>
      </c>
    </row>
    <row r="986" spans="1:15" ht="115.2" hidden="1" x14ac:dyDescent="0.3">
      <c r="A986" t="s">
        <v>7998</v>
      </c>
      <c r="B986" t="s">
        <v>8159</v>
      </c>
      <c r="C986" s="2" t="s">
        <v>8160</v>
      </c>
      <c r="D986" t="s">
        <v>5843</v>
      </c>
      <c r="E986" s="2" t="s">
        <v>8161</v>
      </c>
      <c r="F986" t="s">
        <v>1905</v>
      </c>
      <c r="G986" t="str">
        <f>VLOOKUP($F986, codebooks_data_reordered!$A:$I, 2, FALSE)</f>
        <v>1999_1</v>
      </c>
      <c r="H986" t="str">
        <f>VLOOKUP($F986, codebooks_data_reordered!$A:$I, 3, FALSE)</f>
        <v>MORE ATTITUDES TOWARD PARTIES AND CANDIDATES</v>
      </c>
      <c r="I986" t="str">
        <f>VLOOKUP($F986, codebooks_data_reordered!$A:$I, 4, FALSE)</f>
        <v>1</v>
      </c>
      <c r="J986" t="str">
        <f>VLOOKUP($F986, codebooks_data_reordered!$A:$I, 5, FALSE)</f>
        <v>70</v>
      </c>
      <c r="K986" t="str">
        <f>VLOOKUP($F986, codebooks_data_reordered!$A:$I, 6, FALSE)</f>
        <v>Effect of social policy's effect on vote for PM</v>
      </c>
      <c r="L986">
        <f>VLOOKUP($F986, codebooks_data_reordered!$A:$I, 7, FALSE)</f>
        <v>0</v>
      </c>
      <c r="M986" t="str">
        <f>VLOOKUP($F986, codebooks_data_reordered!$A:$I, 9, FALSE)</f>
        <v>1: Not at all; 2: A small effect; 3: Some effect; 4: A great effect</v>
      </c>
      <c r="O986" s="2" t="str">
        <f t="shared" si="15"/>
        <v>1: Not at all
 2: A small effect
 3: Some effect
 4: A great effect</v>
      </c>
    </row>
    <row r="987" spans="1:15" ht="115.2" hidden="1" x14ac:dyDescent="0.3">
      <c r="A987" t="s">
        <v>7998</v>
      </c>
      <c r="B987" t="s">
        <v>8162</v>
      </c>
      <c r="C987" s="2" t="s">
        <v>8163</v>
      </c>
      <c r="D987" t="s">
        <v>5843</v>
      </c>
      <c r="E987" s="2" t="s">
        <v>8164</v>
      </c>
      <c r="F987" t="s">
        <v>3160</v>
      </c>
      <c r="G987" t="str">
        <f>VLOOKUP($F987, codebooks_data_reordered!$A:$I, 2, FALSE)</f>
        <v>1988_Panel_N=416</v>
      </c>
      <c r="H987" t="str">
        <f>VLOOKUP($F987, codebooks_data_reordered!$A:$I, 3, FALSE)</f>
        <v>THE EXTENT OF APPROVAL OF THE FOLLOWING</v>
      </c>
      <c r="I987" t="str">
        <f>VLOOKUP($F987, codebooks_data_reordered!$A:$I, 4, FALSE)</f>
        <v>1</v>
      </c>
      <c r="J987" t="str">
        <f>VLOOKUP($F987, codebooks_data_reordered!$A:$I, 5, FALSE)</f>
        <v>123</v>
      </c>
      <c r="K987" t="str">
        <f>VLOOKUP($F987, codebooks_data_reordered!$A:$I, 6, FALSE)</f>
        <v>If he come to slay thee, forestall by slaying him</v>
      </c>
      <c r="L987">
        <f>VLOOKUP($F987, codebooks_data_reordered!$A:$I, 7, FALSE)</f>
        <v>0</v>
      </c>
      <c r="M987" t="str">
        <f>VLOOKUP($F987, codebooks_data_reordered!$A:$I, 9, FALSE)</f>
        <v>1: Definitely agrees; 2: Agrees; 3: Disagrees; 4: Definitely disagrees</v>
      </c>
      <c r="O987" s="2" t="str">
        <f t="shared" si="15"/>
        <v>1: Definitely agrees
 2: Agrees
 3: Disagrees
 4: Definitely disagrees</v>
      </c>
    </row>
    <row r="988" spans="1:15" ht="144" hidden="1" x14ac:dyDescent="0.3">
      <c r="A988" t="s">
        <v>7998</v>
      </c>
      <c r="B988" t="s">
        <v>8165</v>
      </c>
      <c r="C988" s="2" t="s">
        <v>8166</v>
      </c>
      <c r="D988" t="s">
        <v>5843</v>
      </c>
      <c r="E988" s="2" t="s">
        <v>8167</v>
      </c>
      <c r="F988" t="s">
        <v>392</v>
      </c>
      <c r="G988" t="str">
        <f>VLOOKUP($F988, codebooks_data_reordered!$A:$I, 2, FALSE)</f>
        <v>2006</v>
      </c>
      <c r="H988" t="str">
        <f>VLOOKUP($F988, codebooks_data_reordered!$A:$I, 3, FALSE)</f>
        <v>Ranking on a Right/Left Political Scale</v>
      </c>
      <c r="I988" t="str">
        <f>VLOOKUP($F988, codebooks_data_reordered!$A:$I, 4, FALSE)</f>
        <v>1</v>
      </c>
      <c r="J988" t="str">
        <f>VLOOKUP($F988, codebooks_data_reordered!$A:$I, 5, FALSE)</f>
        <v>122-123</v>
      </c>
      <c r="K988" t="str">
        <f>VLOOKUP($F988, codebooks_data_reordered!$A:$I, 6, FALSE)</f>
        <v>Ranking on a right/left political scale:Likud</v>
      </c>
      <c r="L988" t="str">
        <f>VLOOKUP($F988, codebooks_data_reordered!$A:$I, 7, FALSE)</f>
        <v>How would you rate the following parties on the left-right scale from 0 to 10, 0 stands for left, and 10 stands for right and 5 is in the middle.</v>
      </c>
      <c r="M988" t="str">
        <f>VLOOKUP($F988, codebooks_data_reordered!$A:$I, 9, FALSE)</f>
        <v>0: Left; 10: Right</v>
      </c>
      <c r="O988" s="2" t="str">
        <f t="shared" si="15"/>
        <v>0: Left
 10: Right</v>
      </c>
    </row>
    <row r="989" spans="1:15" ht="187.2" hidden="1" x14ac:dyDescent="0.3">
      <c r="A989" t="s">
        <v>7998</v>
      </c>
      <c r="B989" t="s">
        <v>8168</v>
      </c>
      <c r="C989" s="2" t="s">
        <v>8169</v>
      </c>
      <c r="D989" t="s">
        <v>5843</v>
      </c>
      <c r="E989" s="2" t="s">
        <v>8170</v>
      </c>
      <c r="F989" t="s">
        <v>2140</v>
      </c>
      <c r="G989" t="str">
        <f>VLOOKUP($F989, codebooks_data_reordered!$A:$I, 2, FALSE)</f>
        <v>1999_1</v>
      </c>
      <c r="H989" t="str">
        <f>VLOOKUP($F989, codebooks_data_reordered!$A:$I, 3, FALSE)</f>
        <v>IMPACT OF MEDIA</v>
      </c>
      <c r="I989" t="str">
        <f>VLOOKUP($F989, codebooks_data_reordered!$A:$I, 4, FALSE)</f>
        <v>3</v>
      </c>
      <c r="J989" t="str">
        <f>VLOOKUP($F989, codebooks_data_reordered!$A:$I, 5, FALSE)</f>
        <v>7</v>
      </c>
      <c r="K989" t="str">
        <f>VLOOKUP($F989, codebooks_data_reordered!$A:$I, 6, FALSE)</f>
        <v>Follow publications of election polls</v>
      </c>
      <c r="L989">
        <f>VLOOKUP($F989, codebooks_data_reordered!$A:$I, 7, FALSE)</f>
        <v>0</v>
      </c>
      <c r="M989" t="str">
        <f>VLOOKUP($F989, codebooks_data_reordered!$A:$I, 9, FALSE)</f>
        <v>1: With a great interest; 2: With some interest; 3: With little interest; 4: Do not follow at all</v>
      </c>
      <c r="O989" s="2" t="str">
        <f t="shared" si="15"/>
        <v>1: With a great interest
 2: With some interest
 3: With little interest
 4: Do not follow at all</v>
      </c>
    </row>
    <row r="990" spans="1:15" ht="115.2" hidden="1" x14ac:dyDescent="0.3">
      <c r="A990" t="s">
        <v>7998</v>
      </c>
      <c r="B990" t="s">
        <v>6416</v>
      </c>
      <c r="C990" s="2" t="s">
        <v>8171</v>
      </c>
      <c r="D990" t="s">
        <v>5843</v>
      </c>
      <c r="E990" s="2" t="s">
        <v>8172</v>
      </c>
      <c r="F990" t="s">
        <v>4992</v>
      </c>
      <c r="G990" t="str">
        <f>VLOOKUP($F990, codebooks_data_reordered!$A:$I, 2, FALSE)</f>
        <v>1973_2</v>
      </c>
      <c r="H990" t="str">
        <f>VLOOKUP($F990, codebooks_data_reordered!$A:$I, 3, FALSE)</f>
        <v>DO YOU AGREE WITH THE FOLLOWING STATEMENT</v>
      </c>
      <c r="I990" t="str">
        <f>VLOOKUP($F990, codebooks_data_reordered!$A:$I, 4, FALSE)</f>
        <v>2</v>
      </c>
      <c r="J990" t="str">
        <f>VLOOKUP($F990, codebooks_data_reordered!$A:$I, 5, FALSE)</f>
        <v>42</v>
      </c>
      <c r="K990" t="str">
        <f>VLOOKUP($F990, codebooks_data_reordered!$A:$I, 6, FALSE)</f>
        <v>To what extent can the Likud/Gahal represent a subsitute for the Labor party in government</v>
      </c>
      <c r="L990">
        <f>VLOOKUP($F990, codebooks_data_reordered!$A:$I, 7, FALSE)</f>
        <v>0</v>
      </c>
      <c r="M990" t="str">
        <f>VLOOKUP($F990, codebooks_data_reordered!$A:$I, 9, FALSE)</f>
        <v>0: No answer; 1: To a great extent; 2: To a certain extent; 3: To a small extent; 4: Not at all</v>
      </c>
      <c r="O990" s="2" t="str">
        <f t="shared" si="15"/>
        <v>0: No answer
 1: To a great extent
 2: To a certain extent
 3: To a small extent
 4: Not at all</v>
      </c>
    </row>
    <row r="991" spans="1:15" ht="187.2" hidden="1" x14ac:dyDescent="0.3">
      <c r="A991" t="s">
        <v>7998</v>
      </c>
      <c r="B991" t="s">
        <v>8173</v>
      </c>
      <c r="C991" s="2" t="s">
        <v>8174</v>
      </c>
      <c r="D991" t="s">
        <v>5843</v>
      </c>
      <c r="E991" s="2" t="s">
        <v>8175</v>
      </c>
      <c r="F991" t="s">
        <v>2674</v>
      </c>
      <c r="G991" t="str">
        <f>VLOOKUP($F991, codebooks_data_reordered!$A:$I, 2, FALSE)</f>
        <v>1992</v>
      </c>
      <c r="H991">
        <f>VLOOKUP($F991, codebooks_data_reordered!$A:$I, 3, FALSE)</f>
        <v>0</v>
      </c>
      <c r="I991" t="str">
        <f>VLOOKUP($F991, codebooks_data_reordered!$A:$I, 4, FALSE)</f>
        <v>1</v>
      </c>
      <c r="J991" t="str">
        <f>VLOOKUP($F991, codebooks_data_reordered!$A:$I, 5, FALSE)</f>
        <v>6</v>
      </c>
      <c r="K991" t="str">
        <f>VLOOKUP($F991, codebooks_data_reordered!$A:$I, 6, FALSE)</f>
        <v>General situation in Israel today</v>
      </c>
      <c r="L991">
        <f>VLOOKUP($F991, codebooks_data_reordered!$A:$I, 7, FALSE)</f>
        <v>0</v>
      </c>
      <c r="M991" t="str">
        <f>VLOOKUP($F991, codebooks_data_reordered!$A:$I, 9, FALSE)</f>
        <v>1: Very good; 2: Good; 3: Not so good; 4: Not good; 5: Bad</v>
      </c>
      <c r="O991" s="2" t="str">
        <f t="shared" si="15"/>
        <v>1: Very good
 2: Good
 3: Not so good
 4: Not good
 5: Bad</v>
      </c>
    </row>
    <row r="992" spans="1:15" ht="129.6" hidden="1" x14ac:dyDescent="0.3">
      <c r="A992" t="s">
        <v>7998</v>
      </c>
      <c r="B992" t="s">
        <v>8176</v>
      </c>
      <c r="C992" s="2" t="s">
        <v>8177</v>
      </c>
      <c r="D992" t="s">
        <v>5843</v>
      </c>
      <c r="E992" s="2" t="s">
        <v>8178</v>
      </c>
      <c r="F992" t="s">
        <v>2676</v>
      </c>
      <c r="G992" t="str">
        <f>VLOOKUP($F992, codebooks_data_reordered!$A:$I, 2, FALSE)</f>
        <v>1992</v>
      </c>
      <c r="H992">
        <f>VLOOKUP($F992, codebooks_data_reordered!$A:$I, 3, FALSE)</f>
        <v>0</v>
      </c>
      <c r="I992" t="str">
        <f>VLOOKUP($F992, codebooks_data_reordered!$A:$I, 4, FALSE)</f>
        <v>1</v>
      </c>
      <c r="J992" t="str">
        <f>VLOOKUP($F992, codebooks_data_reordered!$A:$I, 5, FALSE)</f>
        <v>7</v>
      </c>
      <c r="K992" t="str">
        <f>VLOOKUP($F992, codebooks_data_reordered!$A:$I, 6, FALSE)</f>
        <v>Way the government handles the nation's problems</v>
      </c>
      <c r="L992">
        <f>VLOOKUP($F992, codebooks_data_reordered!$A:$I, 7, FALSE)</f>
        <v>0</v>
      </c>
      <c r="M992" t="str">
        <f>VLOOKUP($F992, codebooks_data_reordered!$A:$I, 9, FALSE)</f>
        <v>1: Very good; 2: Good; 3: Not so good; 4: Not good; 5: Bad</v>
      </c>
      <c r="O992" s="2" t="str">
        <f t="shared" si="15"/>
        <v>1: Very good
 2: Good
 3: Not so good
 4: Not good
 5: Bad</v>
      </c>
    </row>
    <row r="993" spans="1:15" ht="115.2" hidden="1" x14ac:dyDescent="0.3">
      <c r="A993" t="s">
        <v>7998</v>
      </c>
      <c r="B993" t="s">
        <v>8179</v>
      </c>
      <c r="C993" s="2" t="s">
        <v>8180</v>
      </c>
      <c r="D993" t="s">
        <v>5843</v>
      </c>
      <c r="E993" s="2" t="s">
        <v>8181</v>
      </c>
      <c r="F993" t="s">
        <v>2291</v>
      </c>
      <c r="G993" t="str">
        <f>VLOOKUP($F993, codebooks_data_reordered!$A:$I, 2, FALSE)</f>
        <v>1996_Jews</v>
      </c>
      <c r="H993">
        <f>VLOOKUP($F993, codebooks_data_reordered!$A:$I, 3, FALSE)</f>
        <v>0</v>
      </c>
      <c r="I993" t="str">
        <f>VLOOKUP($F993, codebooks_data_reordered!$A:$I, 4, FALSE)</f>
        <v>1</v>
      </c>
      <c r="J993" t="str">
        <f>VLOOKUP($F993, codebooks_data_reordered!$A:$I, 5, FALSE)</f>
        <v>48</v>
      </c>
      <c r="K993" t="str">
        <f>VLOOKUP($F993, codebooks_data_reordered!$A:$I, 6, FALSE)</f>
        <v>Possibility of a civil war over the territ.</v>
      </c>
      <c r="L993">
        <f>VLOOKUP($F993, codebooks_data_reordered!$A:$I, 7, FALSE)</f>
        <v>0</v>
      </c>
      <c r="M993" t="str">
        <f>VLOOKUP($F993, codebooks_data_reordered!$A:$I, 9, FALSE)</f>
        <v>1: Very possible; 2: Possibly; 3: Light possibility; 4: Not possible at all</v>
      </c>
      <c r="O993" s="2" t="str">
        <f t="shared" si="15"/>
        <v>1: Very possible
 2: Possibly
 3: Light possibility
 4: Not possible at all</v>
      </c>
    </row>
    <row r="994" spans="1:15" ht="216" hidden="1" x14ac:dyDescent="0.3">
      <c r="A994" t="s">
        <v>7998</v>
      </c>
      <c r="B994" t="s">
        <v>8182</v>
      </c>
      <c r="C994" s="2" t="s">
        <v>8183</v>
      </c>
      <c r="D994" t="s">
        <v>5843</v>
      </c>
      <c r="E994" s="2" t="s">
        <v>8184</v>
      </c>
      <c r="F994" t="s">
        <v>5082</v>
      </c>
      <c r="G994" t="str">
        <f>VLOOKUP($F994, codebooks_data_reordered!$A:$I, 2, FALSE)</f>
        <v>1973_2</v>
      </c>
      <c r="H994" t="str">
        <f>VLOOKUP($F994, codebooks_data_reordered!$A:$I, 3, FALSE)</f>
        <v>HOW WOULD YOU CLASSFIFY THE OTHER PARTIES BY PROXIMITY TO YOUR VIEWPOINTS</v>
      </c>
      <c r="I994" t="str">
        <f>VLOOKUP($F994, codebooks_data_reordered!$A:$I, 4, FALSE)</f>
        <v>3</v>
      </c>
      <c r="J994" t="str">
        <f>VLOOKUP($F994, codebooks_data_reordered!$A:$I, 5, FALSE)</f>
        <v>22</v>
      </c>
      <c r="K994" t="str">
        <f>VLOOKUP($F994, codebooks_data_reordered!$A:$I, 6, FALSE)</f>
        <v>Do you think it would be good to have a new mayor in your city</v>
      </c>
      <c r="L994">
        <f>VLOOKUP($F994, codebooks_data_reordered!$A:$I, 7, FALSE)</f>
        <v>0</v>
      </c>
      <c r="M994" t="str">
        <f>VLOOKUP($F994, codebooks_data_reordered!$A:$I, 9, FALSE)</f>
        <v>0: No answer; 1: Very good; 2: Good; 3: Not so good; 4: Not at all</v>
      </c>
      <c r="O994" s="2" t="str">
        <f t="shared" si="15"/>
        <v>0: No answer
 1: Very good
 2: Good
 3: Not so good
 4: Not at all</v>
      </c>
    </row>
    <row r="995" spans="1:15" ht="331.2" hidden="1" x14ac:dyDescent="0.3">
      <c r="A995" t="s">
        <v>7998</v>
      </c>
      <c r="B995" t="s">
        <v>8185</v>
      </c>
      <c r="C995" s="2" t="s">
        <v>8186</v>
      </c>
      <c r="D995" t="s">
        <v>5843</v>
      </c>
      <c r="E995" s="2" t="s">
        <v>8187</v>
      </c>
      <c r="F995" t="s">
        <v>674</v>
      </c>
      <c r="G995" t="str">
        <f>VLOOKUP($F995, codebooks_data_reordered!$A:$I, 2, FALSE)</f>
        <v>2006</v>
      </c>
      <c r="H995" t="str">
        <f>VLOOKUP($F995, codebooks_data_reordered!$A:$I, 3, FALSE)</f>
        <v>Different Coalitions after the Elections</v>
      </c>
      <c r="I995" t="str">
        <f>VLOOKUP($F995, codebooks_data_reordered!$A:$I, 4, FALSE)</f>
        <v>1</v>
      </c>
      <c r="J995" t="str">
        <f>VLOOKUP($F995, codebooks_data_reordered!$A:$I, 5, FALSE)</f>
        <v>246-248</v>
      </c>
      <c r="K995" t="str">
        <f>VLOOKUP($F995, codebooks_data_reordered!$A:$I, 6, FALSE)</f>
        <v>Will support Kadima-Labor-Likud-Right parties and Haredim coalition</v>
      </c>
      <c r="L995" t="str">
        <f>VLOOKUP($F995,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995" t="str">
        <f>VLOOKUP($F995, codebooks_data_reordered!$A:$I, 9, FALSE)</f>
        <v>1: Reject; 10: Support</v>
      </c>
      <c r="O995" s="2" t="str">
        <f t="shared" si="15"/>
        <v>1: Reject
 10: Support</v>
      </c>
    </row>
    <row r="996" spans="1:15" ht="100.8" hidden="1" x14ac:dyDescent="0.3">
      <c r="A996" t="s">
        <v>7998</v>
      </c>
      <c r="B996" t="s">
        <v>8188</v>
      </c>
      <c r="C996" s="2" t="s">
        <v>8189</v>
      </c>
      <c r="D996" t="s">
        <v>5843</v>
      </c>
      <c r="E996" s="2" t="s">
        <v>8190</v>
      </c>
      <c r="F996" t="s">
        <v>1663</v>
      </c>
      <c r="G996" t="str">
        <f>VLOOKUP($F996, codebooks_data_reordered!$A:$I, 2, FALSE)</f>
        <v>2001</v>
      </c>
      <c r="H996" t="str">
        <f>VLOOKUP($F996, codebooks_data_reordered!$A:$I, 3, FALSE)</f>
        <v>General political attitudes and behavior</v>
      </c>
      <c r="I996" t="str">
        <f>VLOOKUP($F996, codebooks_data_reordered!$A:$I, 4, FALSE)</f>
        <v>1</v>
      </c>
      <c r="J996" t="str">
        <f>VLOOKUP($F996, codebooks_data_reordered!$A:$I, 5, FALSE)</f>
        <v>111</v>
      </c>
      <c r="K996" t="str">
        <f>VLOOKUP($F996, codebooks_data_reordered!$A:$I, 6, FALSE)</f>
        <v>Whom do you expect to win the PM elections?</v>
      </c>
      <c r="L996">
        <f>VLOOKUP($F996, codebooks_data_reordered!$A:$I, 7, FALSE)</f>
        <v>0</v>
      </c>
      <c r="M996" t="str">
        <f>VLOOKUP($F996, codebooks_data_reordered!$A:$I, 9, FALSE)</f>
        <v>1: Sharon; 2: Barak</v>
      </c>
      <c r="O996" s="2" t="str">
        <f t="shared" si="15"/>
        <v>1: Sharon
 2: Barak</v>
      </c>
    </row>
    <row r="997" spans="1:15" ht="100.8" hidden="1" x14ac:dyDescent="0.3">
      <c r="A997" t="s">
        <v>7998</v>
      </c>
      <c r="B997" t="s">
        <v>8191</v>
      </c>
      <c r="C997" s="2" t="s">
        <v>8192</v>
      </c>
      <c r="D997" t="s">
        <v>5843</v>
      </c>
      <c r="E997" s="2" t="s">
        <v>8193</v>
      </c>
      <c r="F997" t="s">
        <v>2165</v>
      </c>
      <c r="G997" t="str">
        <f>VLOOKUP($F997, codebooks_data_reordered!$A:$I, 2, FALSE)</f>
        <v>1999_1</v>
      </c>
      <c r="H997" t="str">
        <f>VLOOKUP($F997, codebooks_data_reordered!$A:$I, 3, FALSE)</f>
        <v>VOTING PATTERNS</v>
      </c>
      <c r="I997" t="str">
        <f>VLOOKUP($F997, codebooks_data_reordered!$A:$I, 4, FALSE)</f>
        <v>3</v>
      </c>
      <c r="J997" t="str">
        <f>VLOOKUP($F997, codebooks_data_reordered!$A:$I, 5, FALSE)</f>
        <v>19</v>
      </c>
      <c r="K997" t="str">
        <f>VLOOKUP($F997, codebooks_data_reordered!$A:$I, 6, FALSE)</f>
        <v>Whom do you expect to win the PM elections?</v>
      </c>
      <c r="L997">
        <f>VLOOKUP($F997, codebooks_data_reordered!$A:$I, 7, FALSE)</f>
        <v>0</v>
      </c>
      <c r="M997" t="str">
        <f>VLOOKUP($F997, codebooks_data_reordered!$A:$I, 9, FALSE)</f>
        <v>1: Netanyahu; 2: Barak; 3: Mordechai</v>
      </c>
      <c r="O997" s="2" t="str">
        <f t="shared" si="15"/>
        <v>1: Netanyahu
 2: Barak
 3: Mordechai</v>
      </c>
    </row>
    <row r="998" spans="1:15" ht="129.6" hidden="1" x14ac:dyDescent="0.3">
      <c r="A998" t="s">
        <v>7998</v>
      </c>
      <c r="B998" t="s">
        <v>8194</v>
      </c>
      <c r="C998" s="2" t="s">
        <v>8195</v>
      </c>
      <c r="D998" t="s">
        <v>5843</v>
      </c>
      <c r="E998" s="2" t="s">
        <v>8196</v>
      </c>
      <c r="F998" t="s">
        <v>642</v>
      </c>
      <c r="G998" t="str">
        <f>VLOOKUP($F998, codebooks_data_reordered!$A:$I, 2, FALSE)</f>
        <v>2006</v>
      </c>
      <c r="H998" t="str">
        <f>VLOOKUP($F998, codebooks_data_reordered!$A:$I, 3, FALSE)</f>
        <v>Different Coalitions after the Elections</v>
      </c>
      <c r="I998" t="str">
        <f>VLOOKUP($F998, codebooks_data_reordered!$A:$I, 4, FALSE)</f>
        <v>1</v>
      </c>
      <c r="J998" t="str">
        <f>VLOOKUP($F998, codebooks_data_reordered!$A:$I, 5, FALSE)</f>
        <v>219-221</v>
      </c>
      <c r="K998" t="str">
        <f>VLOOKUP($F998, codebooks_data_reordered!$A:$I, 6, FALSE)</f>
        <v>Chances for Kadima-Labor-Haredim coalition</v>
      </c>
      <c r="L998" t="str">
        <f>VLOOKUP($F998,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998">
        <f>VLOOKUP($F998, codebooks_data_reordered!$A:$I, 9, FALSE)</f>
        <v>0</v>
      </c>
      <c r="O998" s="2" t="str">
        <f t="shared" si="15"/>
        <v>0</v>
      </c>
    </row>
    <row r="999" spans="1:15" ht="129.6" hidden="1" x14ac:dyDescent="0.3">
      <c r="A999" t="s">
        <v>7998</v>
      </c>
      <c r="B999" t="s">
        <v>8197</v>
      </c>
      <c r="C999" s="2" t="s">
        <v>8198</v>
      </c>
      <c r="D999" t="s">
        <v>5843</v>
      </c>
      <c r="E999" s="2" t="s">
        <v>8199</v>
      </c>
      <c r="F999" t="s">
        <v>2179</v>
      </c>
      <c r="G999" t="str">
        <f>VLOOKUP($F999, codebooks_data_reordered!$A:$I, 2, FALSE)</f>
        <v>1999_1</v>
      </c>
      <c r="H999" t="str">
        <f>VLOOKUP($F999, codebooks_data_reordered!$A:$I, 3, FALSE)</f>
        <v>RESPONDENT'S DEMOGRAPHIC DETAILS</v>
      </c>
      <c r="I999" t="str">
        <f>VLOOKUP($F999, codebooks_data_reordered!$A:$I, 4, FALSE)</f>
        <v>3</v>
      </c>
      <c r="J999" t="str">
        <f>VLOOKUP($F999, codebooks_data_reordered!$A:$I, 5, FALSE)</f>
        <v>27</v>
      </c>
      <c r="K999" t="str">
        <f>VLOOKUP($F999, codebooks_data_reordered!$A:$I, 6, FALSE)</f>
        <v>Conduct life according to religious tradition</v>
      </c>
      <c r="L999">
        <f>VLOOKUP($F999, codebooks_data_reordered!$A:$I, 7, FALSE)</f>
        <v>0</v>
      </c>
      <c r="M999" t="str">
        <f>VLOOKUP($F999, codebooks_data_reordered!$A:$I, 9, FALSE)</f>
        <v>1: Thoroughly; 2: Significantly; 3: A little; 4: Not at all</v>
      </c>
      <c r="O999" s="2" t="str">
        <f t="shared" si="15"/>
        <v>1: Thoroughly
 2: Significantly
 3: A little
 4: Not at all</v>
      </c>
    </row>
    <row r="1000" spans="1:15" ht="100.8" hidden="1" x14ac:dyDescent="0.3">
      <c r="A1000" t="s">
        <v>7998</v>
      </c>
      <c r="B1000" t="s">
        <v>8200</v>
      </c>
      <c r="C1000" s="2" t="s">
        <v>8192</v>
      </c>
      <c r="D1000" t="s">
        <v>5843</v>
      </c>
      <c r="E1000" s="2" t="s">
        <v>8193</v>
      </c>
      <c r="F1000" t="s">
        <v>2181</v>
      </c>
      <c r="G1000" t="str">
        <f>VLOOKUP($F1000, codebooks_data_reordered!$A:$I, 2, FALSE)</f>
        <v>1999_1</v>
      </c>
      <c r="H1000" t="str">
        <f>VLOOKUP($F1000, codebooks_data_reordered!$A:$I, 3, FALSE)</f>
        <v>RESPONDENT'S DEMOGRAPHIC DETAILS</v>
      </c>
      <c r="I1000" t="str">
        <f>VLOOKUP($F1000, codebooks_data_reordered!$A:$I, 4, FALSE)</f>
        <v>3</v>
      </c>
      <c r="J1000" t="str">
        <f>VLOOKUP($F1000, codebooks_data_reordered!$A:$I, 5, FALSE)</f>
        <v>28</v>
      </c>
      <c r="K1000" t="str">
        <f>VLOOKUP($F1000, codebooks_data_reordered!$A:$I, 6, FALSE)</f>
        <v>First label to define identity</v>
      </c>
      <c r="L1000">
        <f>VLOOKUP($F1000, codebooks_data_reordered!$A:$I, 7, FALSE)</f>
        <v>0</v>
      </c>
      <c r="M1000" t="str">
        <f>VLOOKUP($F1000, codebooks_data_reordered!$A:$I, 9, FALSE)</f>
        <v>1: Israeli; 2: Jewish; 3: Ethnic group(Ashkenazi/Sefaradi); 4: Religious/Secular</v>
      </c>
      <c r="O1000" s="2" t="str">
        <f t="shared" si="15"/>
        <v>1: Israeli
 2: Jewish
 3: Ethnic group(Ashkenazi/Sefaradi)
 4: Religious/Secular</v>
      </c>
    </row>
    <row r="1001" spans="1:15" ht="100.8" hidden="1" x14ac:dyDescent="0.3">
      <c r="A1001" t="s">
        <v>7998</v>
      </c>
      <c r="B1001" t="s">
        <v>6444</v>
      </c>
      <c r="C1001" s="2" t="s">
        <v>8201</v>
      </c>
      <c r="D1001" t="s">
        <v>5843</v>
      </c>
      <c r="E1001" s="2" t="s">
        <v>8202</v>
      </c>
      <c r="F1001" t="s">
        <v>2184</v>
      </c>
      <c r="G1001" t="str">
        <f>VLOOKUP($F1001, codebooks_data_reordered!$A:$I, 2, FALSE)</f>
        <v>1999_1</v>
      </c>
      <c r="H1001" t="str">
        <f>VLOOKUP($F1001, codebooks_data_reordered!$A:$I, 3, FALSE)</f>
        <v>RESPONDENT'S DEMOGRAPHIC DETAILS</v>
      </c>
      <c r="I1001" t="str">
        <f>VLOOKUP($F1001, codebooks_data_reordered!$A:$I, 4, FALSE)</f>
        <v>3</v>
      </c>
      <c r="J1001" t="str">
        <f>VLOOKUP($F1001, codebooks_data_reordered!$A:$I, 5, FALSE)</f>
        <v>31</v>
      </c>
      <c r="K1001" t="str">
        <f>VLOOKUP($F1001, codebooks_data_reordered!$A:$I, 6, FALSE)</f>
        <v>Fourth label to define identity</v>
      </c>
      <c r="L1001">
        <f>VLOOKUP($F1001, codebooks_data_reordered!$A:$I, 7, FALSE)</f>
        <v>0</v>
      </c>
      <c r="M1001" t="str">
        <f>VLOOKUP($F1001, codebooks_data_reordered!$A:$I, 9, FALSE)</f>
        <v>1: Israeli; 2: Jewish; 3: Ethnic group(Ashkenazi/Sefaradi); 4: Religious/Secular</v>
      </c>
      <c r="O1001" s="2" t="str">
        <f t="shared" si="15"/>
        <v>1: Israeli
 2: Jewish
 3: Ethnic group(Ashkenazi/Sefaradi)
 4: Religious/Secular</v>
      </c>
    </row>
    <row r="1002" spans="1:15" ht="115.2" hidden="1" x14ac:dyDescent="0.3">
      <c r="A1002" t="s">
        <v>7998</v>
      </c>
      <c r="B1002" t="s">
        <v>8203</v>
      </c>
      <c r="C1002" s="2" t="s">
        <v>8204</v>
      </c>
      <c r="D1002" t="s">
        <v>5843</v>
      </c>
      <c r="E1002" s="2" t="s">
        <v>8205</v>
      </c>
      <c r="F1002" t="s">
        <v>651</v>
      </c>
      <c r="G1002" t="str">
        <f>VLOOKUP($F1002, codebooks_data_reordered!$A:$I, 2, FALSE)</f>
        <v>2006</v>
      </c>
      <c r="H1002" t="str">
        <f>VLOOKUP($F1002, codebooks_data_reordered!$A:$I, 3, FALSE)</f>
        <v>Different Coalitions after the Elections</v>
      </c>
      <c r="I1002" t="str">
        <f>VLOOKUP($F1002, codebooks_data_reordered!$A:$I, 4, FALSE)</f>
        <v>1</v>
      </c>
      <c r="J1002" t="str">
        <f>VLOOKUP($F1002, codebooks_data_reordered!$A:$I, 5, FALSE)</f>
        <v>228-230</v>
      </c>
      <c r="K1002" t="str">
        <f>VLOOKUP($F1002, codebooks_data_reordered!$A:$I, 6, FALSE)</f>
        <v>Chances for Kadima-Labor-Likud-Right parties and Haredim coalition</v>
      </c>
      <c r="L1002" t="str">
        <f>VLOOKUP($F1002,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002">
        <f>VLOOKUP($F1002, codebooks_data_reordered!$A:$I, 9, FALSE)</f>
        <v>0</v>
      </c>
      <c r="O1002" s="2" t="str">
        <f t="shared" si="15"/>
        <v>0</v>
      </c>
    </row>
    <row r="1003" spans="1:15" ht="115.2" hidden="1" x14ac:dyDescent="0.3">
      <c r="A1003" t="s">
        <v>7998</v>
      </c>
      <c r="B1003" t="s">
        <v>6450</v>
      </c>
      <c r="C1003" s="2" t="s">
        <v>8204</v>
      </c>
      <c r="D1003" t="s">
        <v>5843</v>
      </c>
      <c r="E1003" s="2" t="s">
        <v>8205</v>
      </c>
      <c r="F1003" t="s">
        <v>659</v>
      </c>
      <c r="G1003" t="str">
        <f>VLOOKUP($F1003, codebooks_data_reordered!$A:$I, 2, FALSE)</f>
        <v>2006</v>
      </c>
      <c r="H1003" t="str">
        <f>VLOOKUP($F1003, codebooks_data_reordered!$A:$I, 3, FALSE)</f>
        <v>Different Coalitions after the Elections</v>
      </c>
      <c r="I1003" t="str">
        <f>VLOOKUP($F1003, codebooks_data_reordered!$A:$I, 4, FALSE)</f>
        <v>1</v>
      </c>
      <c r="J1003" t="str">
        <f>VLOOKUP($F1003, codebooks_data_reordered!$A:$I, 5, FALSE)</f>
        <v>233-234</v>
      </c>
      <c r="K1003" t="str">
        <f>VLOOKUP($F1003, codebooks_data_reordered!$A:$I, 6, FALSE)</f>
        <v>Will support Kadima-Likud coalition</v>
      </c>
      <c r="L1003" t="str">
        <f>VLOOKUP($F1003,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003" t="str">
        <f>VLOOKUP($F1003, codebooks_data_reordered!$A:$I, 9, FALSE)</f>
        <v>1: Reject; 10: Support</v>
      </c>
      <c r="O1003" s="2" t="str">
        <f t="shared" si="15"/>
        <v>1: Reject
 10: Support</v>
      </c>
    </row>
    <row r="1004" spans="1:15" ht="43.2" hidden="1" x14ac:dyDescent="0.3">
      <c r="A1004" t="s">
        <v>7998</v>
      </c>
      <c r="B1004" t="s">
        <v>8206</v>
      </c>
      <c r="C1004" s="2" t="s">
        <v>5947</v>
      </c>
      <c r="D1004" t="s">
        <v>5843</v>
      </c>
      <c r="E1004" s="2" t="s">
        <v>5948</v>
      </c>
      <c r="F1004" t="s">
        <v>662</v>
      </c>
      <c r="G1004" t="str">
        <f>VLOOKUP($F1004, codebooks_data_reordered!$A:$I, 2, FALSE)</f>
        <v>2006</v>
      </c>
      <c r="H1004" t="str">
        <f>VLOOKUP($F1004, codebooks_data_reordered!$A:$I, 3, FALSE)</f>
        <v>Different Coalitions after the Elections</v>
      </c>
      <c r="I1004" t="str">
        <f>VLOOKUP($F1004, codebooks_data_reordered!$A:$I, 4, FALSE)</f>
        <v>1</v>
      </c>
      <c r="J1004" t="str">
        <f>VLOOKUP($F1004, codebooks_data_reordered!$A:$I, 5, FALSE)</f>
        <v>235-237</v>
      </c>
      <c r="K1004" t="str">
        <f>VLOOKUP($F1004, codebooks_data_reordered!$A:$I, 6, FALSE)</f>
        <v>Will support Kadima-Likud-Haredim coalition</v>
      </c>
      <c r="L1004" t="str">
        <f>VLOOKUP($F1004,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004" t="str">
        <f>VLOOKUP($F1004, codebooks_data_reordered!$A:$I, 9, FALSE)</f>
        <v>1: Reject; 10: Support</v>
      </c>
      <c r="O1004" s="2" t="str">
        <f t="shared" si="15"/>
        <v>1: Reject
 10: Support</v>
      </c>
    </row>
    <row r="1005" spans="1:15" ht="115.2" hidden="1" x14ac:dyDescent="0.3">
      <c r="A1005" t="s">
        <v>7998</v>
      </c>
      <c r="B1005" t="s">
        <v>8207</v>
      </c>
      <c r="C1005" s="2" t="s">
        <v>8204</v>
      </c>
      <c r="D1005" t="s">
        <v>5843</v>
      </c>
      <c r="E1005" s="2" t="s">
        <v>8205</v>
      </c>
      <c r="F1005" t="s">
        <v>668</v>
      </c>
      <c r="G1005" t="str">
        <f>VLOOKUP($F1005, codebooks_data_reordered!$A:$I, 2, FALSE)</f>
        <v>2006</v>
      </c>
      <c r="H1005" t="str">
        <f>VLOOKUP($F1005, codebooks_data_reordered!$A:$I, 3, FALSE)</f>
        <v>Different Coalitions after the Elections</v>
      </c>
      <c r="I1005" t="str">
        <f>VLOOKUP($F1005, codebooks_data_reordered!$A:$I, 4, FALSE)</f>
        <v>1</v>
      </c>
      <c r="J1005" t="str">
        <f>VLOOKUP($F1005, codebooks_data_reordered!$A:$I, 5, FALSE)</f>
        <v>241-243</v>
      </c>
      <c r="K1005" t="str">
        <f>VLOOKUP($F1005, codebooks_data_reordered!$A:$I, 6, FALSE)</f>
        <v>Will support Kadima-Likud-Right coalition</v>
      </c>
      <c r="L1005" t="str">
        <f>VLOOKUP($F1005,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005" t="str">
        <f>VLOOKUP($F1005, codebooks_data_reordered!$A:$I, 9, FALSE)</f>
        <v>1: Reject; 10: Support</v>
      </c>
      <c r="O1005" s="2" t="str">
        <f t="shared" si="15"/>
        <v>1: Reject
 10: Support</v>
      </c>
    </row>
    <row r="1006" spans="1:15" ht="158.4" hidden="1" x14ac:dyDescent="0.3">
      <c r="A1006" t="s">
        <v>7998</v>
      </c>
      <c r="B1006" t="s">
        <v>8208</v>
      </c>
      <c r="C1006" s="2" t="s">
        <v>8209</v>
      </c>
      <c r="D1006" t="s">
        <v>5843</v>
      </c>
      <c r="E1006" s="2" t="s">
        <v>8210</v>
      </c>
      <c r="F1006" t="s">
        <v>9337</v>
      </c>
      <c r="G1006" t="e">
        <f>VLOOKUP($F1006, codebooks_data_reordered!$A:$I, 2, FALSE)</f>
        <v>#N/A</v>
      </c>
      <c r="H1006" t="e">
        <f>VLOOKUP($F1006, codebooks_data_reordered!$A:$I, 3, FALSE)</f>
        <v>#N/A</v>
      </c>
      <c r="I1006" t="e">
        <f>VLOOKUP($F1006, codebooks_data_reordered!$A:$I, 4, FALSE)</f>
        <v>#N/A</v>
      </c>
      <c r="J1006" t="e">
        <f>VLOOKUP($F1006, codebooks_data_reordered!$A:$I, 5, FALSE)</f>
        <v>#N/A</v>
      </c>
      <c r="K1006" t="e">
        <f>VLOOKUP($F1006, codebooks_data_reordered!$A:$I, 6, FALSE)</f>
        <v>#N/A</v>
      </c>
      <c r="L1006" t="e">
        <f>VLOOKUP($F1006, codebooks_data_reordered!$A:$I, 7, FALSE)</f>
        <v>#N/A</v>
      </c>
      <c r="M1006" t="e">
        <f>VLOOKUP($F1006, codebooks_data_reordered!$A:$I, 9, FALSE)</f>
        <v>#N/A</v>
      </c>
      <c r="O1006" t="e">
        <f t="shared" si="15"/>
        <v>#N/A</v>
      </c>
    </row>
    <row r="1007" spans="1:15" ht="28.8" hidden="1" x14ac:dyDescent="0.3">
      <c r="A1007" t="s">
        <v>8211</v>
      </c>
      <c r="B1007" t="s">
        <v>8212</v>
      </c>
      <c r="C1007" s="2" t="s">
        <v>6831</v>
      </c>
      <c r="D1007" t="s">
        <v>5906</v>
      </c>
      <c r="E1007" s="2" t="s">
        <v>6832</v>
      </c>
      <c r="F1007" t="s">
        <v>9338</v>
      </c>
      <c r="G1007" t="e">
        <f>VLOOKUP($F1007, codebooks_data_reordered!$A:$I, 2, FALSE)</f>
        <v>#N/A</v>
      </c>
      <c r="H1007" t="e">
        <f>VLOOKUP($F1007, codebooks_data_reordered!$A:$I, 3, FALSE)</f>
        <v>#N/A</v>
      </c>
      <c r="I1007" t="e">
        <f>VLOOKUP($F1007, codebooks_data_reordered!$A:$I, 4, FALSE)</f>
        <v>#N/A</v>
      </c>
      <c r="J1007" t="e">
        <f>VLOOKUP($F1007, codebooks_data_reordered!$A:$I, 5, FALSE)</f>
        <v>#N/A</v>
      </c>
      <c r="K1007" t="e">
        <f>VLOOKUP($F1007, codebooks_data_reordered!$A:$I, 6, FALSE)</f>
        <v>#N/A</v>
      </c>
      <c r="L1007" t="e">
        <f>VLOOKUP($F1007, codebooks_data_reordered!$A:$I, 7, FALSE)</f>
        <v>#N/A</v>
      </c>
      <c r="M1007" t="e">
        <f>VLOOKUP($F1007, codebooks_data_reordered!$A:$I, 9, FALSE)</f>
        <v>#N/A</v>
      </c>
      <c r="O1007" t="e">
        <f t="shared" si="15"/>
        <v>#N/A</v>
      </c>
    </row>
    <row r="1008" spans="1:15" ht="230.4" hidden="1" x14ac:dyDescent="0.3">
      <c r="A1008" t="s">
        <v>8211</v>
      </c>
      <c r="B1008" t="s">
        <v>6206</v>
      </c>
      <c r="C1008" s="2" t="s">
        <v>8213</v>
      </c>
      <c r="D1008" t="s">
        <v>5843</v>
      </c>
      <c r="E1008" s="2" t="s">
        <v>8214</v>
      </c>
      <c r="F1008" t="s">
        <v>1779</v>
      </c>
      <c r="G1008" t="str">
        <f>VLOOKUP($F1008, codebooks_data_reordered!$A:$I, 2, FALSE)</f>
        <v>1999_1</v>
      </c>
      <c r="H1008" t="str">
        <f>VLOOKUP($F1008, codebooks_data_reordered!$A:$I, 3, FALSE)</f>
        <v>GENERAL POLITICAL ATTITUDE</v>
      </c>
      <c r="I1008" t="str">
        <f>VLOOKUP($F1008, codebooks_data_reordered!$A:$I, 4, FALSE)</f>
        <v>1</v>
      </c>
      <c r="J1008" t="str">
        <f>VLOOKUP($F1008, codebooks_data_reordered!$A:$I, 5, FALSE)</f>
        <v>19</v>
      </c>
      <c r="K1008" t="str">
        <f>VLOOKUP($F1008, codebooks_data_reordered!$A:$I, 6, FALSE)</f>
        <v>Peace process should be stopped even at risk of war</v>
      </c>
      <c r="L1008" t="str">
        <f>VLOOKUP($F1008, codebooks_data_reordered!$A:$I, 7, FALSE)</f>
        <v>Agreement with statement on 1-7 scale</v>
      </c>
      <c r="M1008" t="str">
        <f>VLOOKUP($F1008, codebooks_data_reordered!$A:$I, 9, FALSE)</f>
        <v>1: Strongly disagree; 7: Strongly agree</v>
      </c>
      <c r="O1008" s="2" t="str">
        <f t="shared" si="15"/>
        <v>1: Strongly disagree
 7: Strongly agree</v>
      </c>
    </row>
    <row r="1009" spans="1:15" ht="28.8" hidden="1" x14ac:dyDescent="0.3">
      <c r="A1009" t="s">
        <v>8211</v>
      </c>
      <c r="B1009" t="s">
        <v>6923</v>
      </c>
      <c r="C1009" s="2" t="s">
        <v>6831</v>
      </c>
      <c r="D1009" t="s">
        <v>5906</v>
      </c>
      <c r="E1009" s="2" t="s">
        <v>6832</v>
      </c>
      <c r="F1009" t="s">
        <v>9339</v>
      </c>
      <c r="G1009" t="e">
        <f>VLOOKUP($F1009, codebooks_data_reordered!$A:$I, 2, FALSE)</f>
        <v>#N/A</v>
      </c>
      <c r="H1009" t="e">
        <f>VLOOKUP($F1009, codebooks_data_reordered!$A:$I, 3, FALSE)</f>
        <v>#N/A</v>
      </c>
      <c r="I1009" t="e">
        <f>VLOOKUP($F1009, codebooks_data_reordered!$A:$I, 4, FALSE)</f>
        <v>#N/A</v>
      </c>
      <c r="J1009" t="e">
        <f>VLOOKUP($F1009, codebooks_data_reordered!$A:$I, 5, FALSE)</f>
        <v>#N/A</v>
      </c>
      <c r="K1009" t="e">
        <f>VLOOKUP($F1009, codebooks_data_reordered!$A:$I, 6, FALSE)</f>
        <v>#N/A</v>
      </c>
      <c r="L1009" t="e">
        <f>VLOOKUP($F1009, codebooks_data_reordered!$A:$I, 7, FALSE)</f>
        <v>#N/A</v>
      </c>
      <c r="M1009" t="e">
        <f>VLOOKUP($F1009, codebooks_data_reordered!$A:$I, 9, FALSE)</f>
        <v>#N/A</v>
      </c>
      <c r="O1009" t="e">
        <f t="shared" si="15"/>
        <v>#N/A</v>
      </c>
    </row>
    <row r="1010" spans="1:15" ht="244.8" hidden="1" x14ac:dyDescent="0.3">
      <c r="A1010" t="s">
        <v>8211</v>
      </c>
      <c r="B1010" t="s">
        <v>5848</v>
      </c>
      <c r="C1010" s="2" t="s">
        <v>8215</v>
      </c>
      <c r="D1010" t="s">
        <v>5843</v>
      </c>
      <c r="E1010" s="2" t="s">
        <v>8216</v>
      </c>
      <c r="F1010" t="s">
        <v>1795</v>
      </c>
      <c r="G1010" t="str">
        <f>VLOOKUP($F1010, codebooks_data_reordered!$A:$I, 2, FALSE)</f>
        <v>1999_1</v>
      </c>
      <c r="H1010" t="str">
        <f>VLOOKUP($F1010, codebooks_data_reordered!$A:$I, 3, FALSE)</f>
        <v>GENERAL POLITICAL ATTITUDE</v>
      </c>
      <c r="I1010" t="str">
        <f>VLOOKUP($F1010, codebooks_data_reordered!$A:$I, 4, FALSE)</f>
        <v>1</v>
      </c>
      <c r="J1010" t="str">
        <f>VLOOKUP($F1010, codebooks_data_reordered!$A:$I, 5, FALSE)</f>
        <v>25-26</v>
      </c>
      <c r="K1010" t="str">
        <f>VLOOKUP($F1010, codebooks_data_reordered!$A:$I, 6, FALSE)</f>
        <v>Estimate Israeli public support for a Palestinian State (percentage)</v>
      </c>
      <c r="L1010">
        <f>VLOOKUP($F1010, codebooks_data_reordered!$A:$I, 7, FALSE)</f>
        <v>0</v>
      </c>
      <c r="M1010">
        <f>VLOOKUP($F1010, codebooks_data_reordered!$A:$I, 9, FALSE)</f>
        <v>0</v>
      </c>
      <c r="O1010" s="2" t="str">
        <f t="shared" si="15"/>
        <v>0</v>
      </c>
    </row>
    <row r="1011" spans="1:15" ht="129.6" hidden="1" x14ac:dyDescent="0.3">
      <c r="A1011" t="s">
        <v>8211</v>
      </c>
      <c r="B1011" t="s">
        <v>8013</v>
      </c>
      <c r="C1011" s="2" t="s">
        <v>8217</v>
      </c>
      <c r="D1011" t="s">
        <v>5906</v>
      </c>
      <c r="E1011" s="2" t="s">
        <v>8218</v>
      </c>
      <c r="F1011" t="s">
        <v>183</v>
      </c>
      <c r="G1011" t="str">
        <f>VLOOKUP($F1011, codebooks_data_reordered!$A:$I, 2, FALSE)</f>
        <v>2006</v>
      </c>
      <c r="H1011" t="str">
        <f>VLOOKUP($F1011, codebooks_data_reordered!$A:$I, 3, FALSE)</f>
        <v>Threat of Different Issues</v>
      </c>
      <c r="I1011" t="str">
        <f>VLOOKUP($F1011, codebooks_data_reordered!$A:$I, 4, FALSE)</f>
        <v>1</v>
      </c>
      <c r="J1011" t="str">
        <f>VLOOKUP($F1011, codebooks_data_reordered!$A:$I, 5, FALSE)</f>
        <v>48</v>
      </c>
      <c r="K1011" t="str">
        <f>VLOOKUP($F1011, codebooks_data_reordered!$A:$I, 6, FALSE)</f>
        <v>Evacuating in judea and Samaria</v>
      </c>
      <c r="L1011" t="str">
        <f>VLOOKUP($F1011, codebooks_data_reordered!$A:$I, 7, FALSE)</f>
        <v>43. And what is your opinion regarding the evacuation of Jewish settlements in Judea, Samaria, and Gaza as part of a permanent agreement?</v>
      </c>
      <c r="M1011" t="str">
        <f>VLOOKUP($F1011, codebooks_data_reordered!$A:$I, 9, FALSE)</f>
        <v>1: Nothing should be evacuated; 2: I am prepared to evacuate small and isolated settlements; 3: I am willing to evacuate all the settlements including the large blocs of settlements</v>
      </c>
      <c r="O1011" s="2" t="str">
        <f t="shared" si="15"/>
        <v>1: Nothing should be evacuated
 2: I am prepared to evacuate small and isolated settlements
 3: I am willing to evacuate all the settlements including the large blocs of settlements</v>
      </c>
    </row>
    <row r="1012" spans="1:15" ht="115.2" hidden="1" x14ac:dyDescent="0.3">
      <c r="A1012" t="s">
        <v>8211</v>
      </c>
      <c r="B1012" t="s">
        <v>8219</v>
      </c>
      <c r="C1012" s="2" t="s">
        <v>8220</v>
      </c>
      <c r="D1012" t="s">
        <v>5843</v>
      </c>
      <c r="E1012" s="2" t="s">
        <v>8221</v>
      </c>
      <c r="F1012" t="s">
        <v>3136</v>
      </c>
      <c r="G1012" t="str">
        <f>VLOOKUP($F1012, codebooks_data_reordered!$A:$I, 2, FALSE)</f>
        <v>1988_Panel_N=416</v>
      </c>
      <c r="H1012" t="str">
        <f>VLOOKUP($F1012, codebooks_data_reordered!$A:$I, 3, FALSE)</f>
        <v>WHICH OF THE FOLLOWING WOULD YOU BE WILLING TO GIVE TO MAINTAIN/STRENGTHEN THE SECURITY</v>
      </c>
      <c r="I1012" t="str">
        <f>VLOOKUP($F1012, codebooks_data_reordered!$A:$I, 4, FALSE)</f>
        <v>1</v>
      </c>
      <c r="J1012" t="str">
        <f>VLOOKUP($F1012, codebooks_data_reordered!$A:$I, 5, FALSE)</f>
        <v>113</v>
      </c>
      <c r="K1012" t="str">
        <f>VLOOKUP($F1012, codebooks_data_reordered!$A:$I, 6, FALSE)</f>
        <v>Should security considerations override the law</v>
      </c>
      <c r="L1012">
        <f>VLOOKUP($F1012, codebooks_data_reordered!$A:$I, 7, FALSE)</f>
        <v>0</v>
      </c>
      <c r="M1012" t="str">
        <f>VLOOKUP($F1012, codebooks_data_reordered!$A:$I, 9, FALSE)</f>
        <v>1: Security considerations should override all others; 7: Security should not override</v>
      </c>
      <c r="O1012" s="2" t="str">
        <f t="shared" si="15"/>
        <v>1: Security considerations should override all others
 7: Security should not override</v>
      </c>
    </row>
    <row r="1013" spans="1:15" ht="28.8" hidden="1" x14ac:dyDescent="0.3">
      <c r="A1013" t="s">
        <v>8211</v>
      </c>
      <c r="B1013" t="s">
        <v>6932</v>
      </c>
      <c r="C1013" s="2" t="s">
        <v>5905</v>
      </c>
      <c r="D1013" t="s">
        <v>5906</v>
      </c>
      <c r="E1013" s="2" t="s">
        <v>5907</v>
      </c>
      <c r="F1013" t="s">
        <v>9340</v>
      </c>
      <c r="G1013" t="e">
        <f>VLOOKUP($F1013, codebooks_data_reordered!$A:$I, 2, FALSE)</f>
        <v>#N/A</v>
      </c>
      <c r="H1013" t="e">
        <f>VLOOKUP($F1013, codebooks_data_reordered!$A:$I, 3, FALSE)</f>
        <v>#N/A</v>
      </c>
      <c r="I1013" t="e">
        <f>VLOOKUP($F1013, codebooks_data_reordered!$A:$I, 4, FALSE)</f>
        <v>#N/A</v>
      </c>
      <c r="J1013" t="e">
        <f>VLOOKUP($F1013, codebooks_data_reordered!$A:$I, 5, FALSE)</f>
        <v>#N/A</v>
      </c>
      <c r="K1013" t="e">
        <f>VLOOKUP($F1013, codebooks_data_reordered!$A:$I, 6, FALSE)</f>
        <v>#N/A</v>
      </c>
      <c r="L1013" t="e">
        <f>VLOOKUP($F1013, codebooks_data_reordered!$A:$I, 7, FALSE)</f>
        <v>#N/A</v>
      </c>
      <c r="M1013" t="e">
        <f>VLOOKUP($F1013, codebooks_data_reordered!$A:$I, 9, FALSE)</f>
        <v>#N/A</v>
      </c>
      <c r="O1013" t="e">
        <f t="shared" si="15"/>
        <v>#N/A</v>
      </c>
    </row>
    <row r="1014" spans="1:15" ht="216" hidden="1" x14ac:dyDescent="0.3">
      <c r="A1014" t="s">
        <v>8211</v>
      </c>
      <c r="B1014" t="s">
        <v>8222</v>
      </c>
      <c r="C1014" s="2" t="s">
        <v>8223</v>
      </c>
      <c r="D1014" t="s">
        <v>5843</v>
      </c>
      <c r="E1014" s="2" t="s">
        <v>8224</v>
      </c>
      <c r="F1014" t="s">
        <v>1795</v>
      </c>
      <c r="G1014" t="str">
        <f>VLOOKUP($F1014, codebooks_data_reordered!$A:$I, 2, FALSE)</f>
        <v>1999_1</v>
      </c>
      <c r="H1014" t="str">
        <f>VLOOKUP($F1014, codebooks_data_reordered!$A:$I, 3, FALSE)</f>
        <v>GENERAL POLITICAL ATTITUDE</v>
      </c>
      <c r="I1014" t="str">
        <f>VLOOKUP($F1014, codebooks_data_reordered!$A:$I, 4, FALSE)</f>
        <v>1</v>
      </c>
      <c r="J1014" t="str">
        <f>VLOOKUP($F1014, codebooks_data_reordered!$A:$I, 5, FALSE)</f>
        <v>25-26</v>
      </c>
      <c r="K1014" t="str">
        <f>VLOOKUP($F1014, codebooks_data_reordered!$A:$I, 6, FALSE)</f>
        <v>Estimate Israeli public support for a Palestinian State (percentage)</v>
      </c>
      <c r="L1014">
        <f>VLOOKUP($F1014, codebooks_data_reordered!$A:$I, 7, FALSE)</f>
        <v>0</v>
      </c>
      <c r="M1014">
        <f>VLOOKUP($F1014, codebooks_data_reordered!$A:$I, 9, FALSE)</f>
        <v>0</v>
      </c>
      <c r="O1014" s="2" t="str">
        <f t="shared" si="15"/>
        <v>0</v>
      </c>
    </row>
    <row r="1015" spans="1:15" ht="129.6" hidden="1" x14ac:dyDescent="0.3">
      <c r="A1015" t="s">
        <v>8211</v>
      </c>
      <c r="B1015" t="s">
        <v>8225</v>
      </c>
      <c r="C1015" s="2" t="s">
        <v>8226</v>
      </c>
      <c r="D1015" t="s">
        <v>5843</v>
      </c>
      <c r="E1015" s="2" t="s">
        <v>8227</v>
      </c>
      <c r="F1015" t="s">
        <v>1779</v>
      </c>
      <c r="G1015" t="str">
        <f>VLOOKUP($F1015, codebooks_data_reordered!$A:$I, 2, FALSE)</f>
        <v>1999_1</v>
      </c>
      <c r="H1015" t="str">
        <f>VLOOKUP($F1015, codebooks_data_reordered!$A:$I, 3, FALSE)</f>
        <v>GENERAL POLITICAL ATTITUDE</v>
      </c>
      <c r="I1015" t="str">
        <f>VLOOKUP($F1015, codebooks_data_reordered!$A:$I, 4, FALSE)</f>
        <v>1</v>
      </c>
      <c r="J1015" t="str">
        <f>VLOOKUP($F1015, codebooks_data_reordered!$A:$I, 5, FALSE)</f>
        <v>19</v>
      </c>
      <c r="K1015" t="str">
        <f>VLOOKUP($F1015, codebooks_data_reordered!$A:$I, 6, FALSE)</f>
        <v>Peace process should be stopped even at risk of war</v>
      </c>
      <c r="L1015" t="str">
        <f>VLOOKUP($F1015, codebooks_data_reordered!$A:$I, 7, FALSE)</f>
        <v>Agreement with statement on 1-7 scale</v>
      </c>
      <c r="M1015" t="str">
        <f>VLOOKUP($F1015, codebooks_data_reordered!$A:$I, 9, FALSE)</f>
        <v>1: Strongly disagree; 7: Strongly agree</v>
      </c>
      <c r="O1015" s="2" t="str">
        <f t="shared" si="15"/>
        <v>1: Strongly disagree
 7: Strongly agree</v>
      </c>
    </row>
    <row r="1016" spans="1:15" ht="100.8" hidden="1" x14ac:dyDescent="0.3">
      <c r="A1016" t="s">
        <v>8211</v>
      </c>
      <c r="B1016" t="s">
        <v>8228</v>
      </c>
      <c r="C1016" s="2" t="s">
        <v>8229</v>
      </c>
      <c r="D1016" t="s">
        <v>5843</v>
      </c>
      <c r="E1016" s="2" t="s">
        <v>8230</v>
      </c>
      <c r="F1016" t="s">
        <v>2174</v>
      </c>
      <c r="G1016" t="str">
        <f>VLOOKUP($F1016, codebooks_data_reordered!$A:$I, 2, FALSE)</f>
        <v>1999_1</v>
      </c>
      <c r="H1016" t="str">
        <f>VLOOKUP($F1016, codebooks_data_reordered!$A:$I, 3, FALSE)</f>
        <v>VOTING PATTERNS</v>
      </c>
      <c r="I1016" t="str">
        <f>VLOOKUP($F1016, codebooks_data_reordered!$A:$I, 4, FALSE)</f>
        <v>3</v>
      </c>
      <c r="J1016" t="str">
        <f>VLOOKUP($F1016, codebooks_data_reordered!$A:$I, 5, FALSE)</f>
        <v>23</v>
      </c>
      <c r="K1016" t="str">
        <f>VLOOKUP($F1016, codebooks_data_reordered!$A:$I, 6, FALSE)</f>
        <v>Supporter or member in any party</v>
      </c>
      <c r="L1016">
        <f>VLOOKUP($F1016, codebooks_data_reordered!$A:$I, 7, FALSE)</f>
        <v>0</v>
      </c>
      <c r="M1016" t="str">
        <f>VLOOKUP($F1016, codebooks_data_reordered!$A:$I, 9, FALSE)</f>
        <v>1: None; 2: Supporter,but not a member; 3: A member; 4: An active member; 5: Member,and have a role in the party</v>
      </c>
      <c r="O1016" s="2" t="str">
        <f t="shared" si="15"/>
        <v>1: None
 2: Supporter,but not a member
 3: A member
 4: An active member
 5: Member,and have a role in the party</v>
      </c>
    </row>
    <row r="1017" spans="1:15" ht="115.2" hidden="1" x14ac:dyDescent="0.3">
      <c r="A1017" t="s">
        <v>8211</v>
      </c>
      <c r="B1017" t="s">
        <v>8231</v>
      </c>
      <c r="C1017" s="2" t="s">
        <v>8232</v>
      </c>
      <c r="D1017" t="s">
        <v>5843</v>
      </c>
      <c r="E1017" s="2" t="s">
        <v>8233</v>
      </c>
      <c r="F1017" t="s">
        <v>1833</v>
      </c>
      <c r="G1017" t="str">
        <f>VLOOKUP($F1017, codebooks_data_reordered!$A:$I, 2, FALSE)</f>
        <v>1999_1</v>
      </c>
      <c r="H1017" t="str">
        <f>VLOOKUP($F1017, codebooks_data_reordered!$A:$I, 3, FALSE)</f>
        <v>VALUES AND TRUST</v>
      </c>
      <c r="I1017" t="str">
        <f>VLOOKUP($F1017, codebooks_data_reordered!$A:$I, 4, FALSE)</f>
        <v>1</v>
      </c>
      <c r="J1017" t="str">
        <f>VLOOKUP($F1017, codebooks_data_reordered!$A:$I, 5, FALSE)</f>
        <v>41</v>
      </c>
      <c r="K1017" t="str">
        <f>VLOOKUP($F1017, codebooks_data_reordered!$A:$I, 6, FALSE)</f>
        <v>Satisfaction with public discussion in Israel</v>
      </c>
      <c r="L1017">
        <f>VLOOKUP($F1017, codebooks_data_reordered!$A:$I, 7, FALSE)</f>
        <v>0</v>
      </c>
      <c r="M1017" t="str">
        <f>VLOOKUP($F1017, codebooks_data_reordered!$A:$I, 9, FALSE)</f>
        <v>1: Very satisfied; 2: Quite satisfied; 3: Not so satisfied; 4: Not satisfied at all</v>
      </c>
      <c r="O1017" s="2" t="str">
        <f t="shared" si="15"/>
        <v>1: Very satisfied
 2: Quite satisfied
 3: Not so satisfied
 4: Not satisfied at all</v>
      </c>
    </row>
    <row r="1018" spans="1:15" ht="100.8" hidden="1" x14ac:dyDescent="0.3">
      <c r="A1018" t="s">
        <v>8211</v>
      </c>
      <c r="B1018" t="s">
        <v>8234</v>
      </c>
      <c r="C1018" s="2" t="s">
        <v>8235</v>
      </c>
      <c r="D1018" t="s">
        <v>5843</v>
      </c>
      <c r="E1018" s="2" t="s">
        <v>8236</v>
      </c>
      <c r="F1018" t="s">
        <v>1833</v>
      </c>
      <c r="G1018" t="str">
        <f>VLOOKUP($F1018, codebooks_data_reordered!$A:$I, 2, FALSE)</f>
        <v>1999_1</v>
      </c>
      <c r="H1018" t="str">
        <f>VLOOKUP($F1018, codebooks_data_reordered!$A:$I, 3, FALSE)</f>
        <v>VALUES AND TRUST</v>
      </c>
      <c r="I1018" t="str">
        <f>VLOOKUP($F1018, codebooks_data_reordered!$A:$I, 4, FALSE)</f>
        <v>1</v>
      </c>
      <c r="J1018" t="str">
        <f>VLOOKUP($F1018, codebooks_data_reordered!$A:$I, 5, FALSE)</f>
        <v>41</v>
      </c>
      <c r="K1018" t="str">
        <f>VLOOKUP($F1018, codebooks_data_reordered!$A:$I, 6, FALSE)</f>
        <v>Satisfaction with public discussion in Israel</v>
      </c>
      <c r="L1018">
        <f>VLOOKUP($F1018, codebooks_data_reordered!$A:$I, 7, FALSE)</f>
        <v>0</v>
      </c>
      <c r="M1018" t="str">
        <f>VLOOKUP($F1018, codebooks_data_reordered!$A:$I, 9, FALSE)</f>
        <v>1: Very satisfied; 2: Quite satisfied; 3: Not so satisfied; 4: Not satisfied at all</v>
      </c>
      <c r="O1018" s="2" t="str">
        <f t="shared" si="15"/>
        <v>1: Very satisfied
 2: Quite satisfied
 3: Not so satisfied
 4: Not satisfied at all</v>
      </c>
    </row>
    <row r="1019" spans="1:15" ht="100.8" hidden="1" x14ac:dyDescent="0.3">
      <c r="A1019" t="s">
        <v>8211</v>
      </c>
      <c r="B1019" t="s">
        <v>7892</v>
      </c>
      <c r="C1019" s="2" t="s">
        <v>8235</v>
      </c>
      <c r="D1019" t="s">
        <v>5843</v>
      </c>
      <c r="E1019" s="2" t="s">
        <v>8236</v>
      </c>
      <c r="F1019" t="s">
        <v>1847</v>
      </c>
      <c r="G1019" t="str">
        <f>VLOOKUP($F1019, codebooks_data_reordered!$A:$I, 2, FALSE)</f>
        <v>1999_1</v>
      </c>
      <c r="H1019" t="str">
        <f>VLOOKUP($F1019, codebooks_data_reordered!$A:$I, 3, FALSE)</f>
        <v>ATTITUDES TOWARD CANDIDATES AND PARTIES</v>
      </c>
      <c r="I1019" t="str">
        <f>VLOOKUP($F1019, codebooks_data_reordered!$A:$I, 4, FALSE)</f>
        <v>1</v>
      </c>
      <c r="J1019" t="str">
        <f>VLOOKUP($F1019, codebooks_data_reordered!$A:$I, 5, FALSE)</f>
        <v>46</v>
      </c>
      <c r="K1019" t="str">
        <f>VLOOKUP($F1019, codebooks_data_reordered!$A:$I, 6, FALSE)</f>
        <v>Extend of support for the Center Party</v>
      </c>
      <c r="L1019" t="str">
        <f>VLOOKUP($F1019, codebooks_data_reordered!$A:$I, 7, FALSE)</f>
        <v>Extent of support on 1-10 scale, 1=total rejection, 10=strong support</v>
      </c>
      <c r="M1019" t="str">
        <f>VLOOKUP($F1019, codebooks_data_reordered!$A:$I, 9, FALSE)</f>
        <v>1: Totally reject; 10: Strongly support</v>
      </c>
      <c r="O1019" s="2" t="str">
        <f t="shared" si="15"/>
        <v>1: Totally reject
 10: Strongly support</v>
      </c>
    </row>
    <row r="1020" spans="1:15" ht="72" hidden="1" x14ac:dyDescent="0.3">
      <c r="A1020" t="s">
        <v>8211</v>
      </c>
      <c r="B1020" t="s">
        <v>8237</v>
      </c>
      <c r="C1020" s="2" t="s">
        <v>8238</v>
      </c>
      <c r="D1020" t="s">
        <v>5843</v>
      </c>
      <c r="E1020" s="2" t="s">
        <v>8239</v>
      </c>
      <c r="F1020" t="s">
        <v>1775</v>
      </c>
      <c r="G1020" t="str">
        <f>VLOOKUP($F1020, codebooks_data_reordered!$A:$I, 2, FALSE)</f>
        <v>1999_1</v>
      </c>
      <c r="H1020" t="str">
        <f>VLOOKUP($F1020, codebooks_data_reordered!$A:$I, 3, FALSE)</f>
        <v>GENERAL POLITICAL ATTITUDE</v>
      </c>
      <c r="I1020" t="str">
        <f>VLOOKUP($F1020, codebooks_data_reordered!$A:$I, 4, FALSE)</f>
        <v>1</v>
      </c>
      <c r="J1020" t="str">
        <f>VLOOKUP($F1020, codebooks_data_reordered!$A:$I, 5, FALSE)</f>
        <v>17</v>
      </c>
      <c r="K1020" t="str">
        <f>VLOOKUP($F1020, codebooks_data_reordered!$A:$I, 6, FALSE)</f>
        <v>Territories should be returned for peace</v>
      </c>
      <c r="L1020" t="str">
        <f>VLOOKUP($F1020, codebooks_data_reordered!$A:$I, 7, FALSE)</f>
        <v>Agreement with statement on 1-7 scale</v>
      </c>
      <c r="M1020" t="str">
        <f>VLOOKUP($F1020, codebooks_data_reordered!$A:$I, 9, FALSE)</f>
        <v>1: Strongly disagree; 7: Strongly agree</v>
      </c>
      <c r="O1020" s="2" t="str">
        <f t="shared" si="15"/>
        <v>1: Strongly disagree
 7: Strongly agree</v>
      </c>
    </row>
    <row r="1021" spans="1:15" ht="230.4" hidden="1" x14ac:dyDescent="0.3">
      <c r="A1021" t="s">
        <v>8211</v>
      </c>
      <c r="B1021" t="s">
        <v>8240</v>
      </c>
      <c r="C1021" s="2" t="s">
        <v>8241</v>
      </c>
      <c r="D1021" t="s">
        <v>5843</v>
      </c>
      <c r="E1021" s="2" t="s">
        <v>8242</v>
      </c>
      <c r="F1021" t="s">
        <v>1806</v>
      </c>
      <c r="G1021" t="str">
        <f>VLOOKUP($F1021, codebooks_data_reordered!$A:$I, 2, FALSE)</f>
        <v>1999_1</v>
      </c>
      <c r="H1021" t="str">
        <f>VLOOKUP($F1021, codebooks_data_reordered!$A:$I, 3, FALSE)</f>
        <v>GENERAL POLITICAL ATTITUDE</v>
      </c>
      <c r="I1021" t="str">
        <f>VLOOKUP($F1021, codebooks_data_reordered!$A:$I, 4, FALSE)</f>
        <v>1</v>
      </c>
      <c r="J1021" t="str">
        <f>VLOOKUP($F1021, codebooks_data_reordered!$A:$I, 5, FALSE)</f>
        <v>30</v>
      </c>
      <c r="K1021" t="str">
        <f>VLOOKUP($F1021, codebooks_data_reordered!$A:$I, 6, FALSE)</f>
        <v>What should be emphasized to prevent war between Israel and the Arab world?</v>
      </c>
      <c r="L1021">
        <f>VLOOKUP($F1021, codebooks_data_reordered!$A:$I, 7, FALSE)</f>
        <v>0</v>
      </c>
      <c r="M1021" t="str">
        <f>VLOOKUP($F1021, codebooks_data_reordered!$A:$I, 9, FALSE)</f>
        <v>1: Focus on Peace talks; 2: Increase military power</v>
      </c>
      <c r="O1021" s="2" t="str">
        <f t="shared" si="15"/>
        <v>1: Focus on Peace talks
 2: Increase military power</v>
      </c>
    </row>
    <row r="1022" spans="1:15" ht="129.6" hidden="1" x14ac:dyDescent="0.3">
      <c r="A1022" t="s">
        <v>8211</v>
      </c>
      <c r="B1022" t="s">
        <v>8243</v>
      </c>
      <c r="C1022" s="2" t="s">
        <v>8117</v>
      </c>
      <c r="D1022" t="s">
        <v>5843</v>
      </c>
      <c r="E1022" s="2" t="s">
        <v>8118</v>
      </c>
      <c r="F1022" t="s">
        <v>183</v>
      </c>
      <c r="G1022" t="str">
        <f>VLOOKUP($F1022, codebooks_data_reordered!$A:$I, 2, FALSE)</f>
        <v>2006</v>
      </c>
      <c r="H1022" t="str">
        <f>VLOOKUP($F1022, codebooks_data_reordered!$A:$I, 3, FALSE)</f>
        <v>Threat of Different Issues</v>
      </c>
      <c r="I1022" t="str">
        <f>VLOOKUP($F1022, codebooks_data_reordered!$A:$I, 4, FALSE)</f>
        <v>1</v>
      </c>
      <c r="J1022" t="str">
        <f>VLOOKUP($F1022, codebooks_data_reordered!$A:$I, 5, FALSE)</f>
        <v>48</v>
      </c>
      <c r="K1022" t="str">
        <f>VLOOKUP($F1022, codebooks_data_reordered!$A:$I, 6, FALSE)</f>
        <v>Evacuating in judea and Samaria</v>
      </c>
      <c r="L1022" t="str">
        <f>VLOOKUP($F1022, codebooks_data_reordered!$A:$I, 7, FALSE)</f>
        <v>43. And what is your opinion regarding the evacuation of Jewish settlements in Judea, Samaria, and Gaza as part of a permanent agreement?</v>
      </c>
      <c r="M1022" t="str">
        <f>VLOOKUP($F1022, codebooks_data_reordered!$A:$I, 9, FALSE)</f>
        <v>1: Nothing should be evacuated; 2: I am prepared to evacuate small and isolated settlements; 3: I am willing to evacuate all the settlements including the large blocs of settlements</v>
      </c>
      <c r="O1022" s="2" t="str">
        <f t="shared" si="15"/>
        <v>1: Nothing should be evacuated
 2: I am prepared to evacuate small and isolated settlements
 3: I am willing to evacuate all the settlements including the large blocs of settlements</v>
      </c>
    </row>
    <row r="1023" spans="1:15" ht="403.2" hidden="1" x14ac:dyDescent="0.3">
      <c r="A1023" t="s">
        <v>8211</v>
      </c>
      <c r="B1023" t="s">
        <v>6937</v>
      </c>
      <c r="C1023" s="2" t="s">
        <v>8244</v>
      </c>
      <c r="D1023" t="s">
        <v>5843</v>
      </c>
      <c r="E1023" s="2" t="s">
        <v>8245</v>
      </c>
      <c r="F1023" t="s">
        <v>317</v>
      </c>
      <c r="G1023" t="str">
        <f>VLOOKUP($F1023, codebooks_data_reordered!$A:$I, 2, FALSE)</f>
        <v>2006</v>
      </c>
      <c r="H1023" t="str">
        <f>VLOOKUP($F1023, codebooks_data_reordered!$A:$I, 3, FALSE)</f>
        <v>Support/Rejection of a Group or a Person</v>
      </c>
      <c r="I1023" t="str">
        <f>VLOOKUP($F1023, codebooks_data_reordered!$A:$I, 4, FALSE)</f>
        <v>1</v>
      </c>
      <c r="J1023" t="str">
        <f>VLOOKUP($F1023, codebooks_data_reordered!$A:$I, 5, FALSE)</f>
        <v>101</v>
      </c>
      <c r="K1023" t="str">
        <f>VLOOKUP($F1023, codebooks_data_reordered!$A:$I, 6, FALSE)</f>
        <v>Party leaders to deal best with the social problems</v>
      </c>
      <c r="L1023" t="str">
        <f>VLOOKUP($F1023, codebooks_data_reordered!$A:$I, 7, FALSE)</f>
        <v>80  81. And regarding the social problems in Israel?</v>
      </c>
      <c r="M1023" t="str">
        <f>VLOOKUP($F1023, codebooks_data_reordered!$A:$I, 9, FALSE)</f>
        <v>1: Kadima leaders; 2: Likud leaders; 3: Avoda leaders; 4: All of them to the same deggree; 5: None of them; 6: Another party</v>
      </c>
      <c r="O1023" s="2" t="str">
        <f t="shared" si="15"/>
        <v>1: Kadima leaders
 2: Likud leaders
 3: Avoda leaders
 4: All of them to the same deggree
 5: None of them
 6: Another party</v>
      </c>
    </row>
    <row r="1024" spans="1:15" ht="115.2" hidden="1" x14ac:dyDescent="0.3">
      <c r="A1024" t="s">
        <v>8211</v>
      </c>
      <c r="B1024" t="s">
        <v>8246</v>
      </c>
      <c r="C1024" s="2" t="s">
        <v>8247</v>
      </c>
      <c r="D1024" t="s">
        <v>5843</v>
      </c>
      <c r="E1024" s="2" t="s">
        <v>8248</v>
      </c>
      <c r="F1024" t="s">
        <v>320</v>
      </c>
      <c r="G1024" t="str">
        <f>VLOOKUP($F1024, codebooks_data_reordered!$A:$I, 2, FALSE)</f>
        <v>2006</v>
      </c>
      <c r="H1024" t="str">
        <f>VLOOKUP($F1024, codebooks_data_reordered!$A:$I, 3, FALSE)</f>
        <v>Support/Rejection of a Group or a Person</v>
      </c>
      <c r="I1024" t="str">
        <f>VLOOKUP($F1024, codebooks_data_reordered!$A:$I, 4, FALSE)</f>
        <v>1</v>
      </c>
      <c r="J1024" t="str">
        <f>VLOOKUP($F1024, codebooks_data_reordered!$A:$I, 5, FALSE)</f>
        <v>102</v>
      </c>
      <c r="K1024" t="str">
        <f>VLOOKUP($F1024, codebooks_data_reordered!$A:$I, 6, FALSE)</f>
        <v>In second place</v>
      </c>
      <c r="L1024" t="str">
        <f>VLOOKUP($F1024, codebooks_data_reordered!$A:$I, 7, FALSE)</f>
        <v>81  81. And regarding the social problems in Israel?</v>
      </c>
      <c r="M1024" t="str">
        <f>VLOOKUP($F1024, codebooks_data_reordered!$A:$I, 9, FALSE)</f>
        <v>1: Kadima leaders; 2: Likud leaders; 3: Avoda leaders; 4: All of them to the same deggree; 5: None of them; 6: Another party</v>
      </c>
      <c r="O1024" s="2" t="str">
        <f t="shared" si="15"/>
        <v>1: Kadima leaders
 2: Likud leaders
 3: Avoda leaders
 4: All of them to the same deggree
 5: None of them
 6: Another party</v>
      </c>
    </row>
    <row r="1025" spans="1:15" ht="115.2" hidden="1" x14ac:dyDescent="0.3">
      <c r="A1025" t="s">
        <v>8211</v>
      </c>
      <c r="B1025" t="s">
        <v>7274</v>
      </c>
      <c r="C1025" s="2" t="s">
        <v>8247</v>
      </c>
      <c r="D1025" t="s">
        <v>5843</v>
      </c>
      <c r="E1025" s="2" t="s">
        <v>8248</v>
      </c>
      <c r="F1025" t="s">
        <v>324</v>
      </c>
      <c r="G1025" t="str">
        <f>VLOOKUP($F1025, codebooks_data_reordered!$A:$I, 2, FALSE)</f>
        <v>2006</v>
      </c>
      <c r="H1025" t="str">
        <f>VLOOKUP($F1025, codebooks_data_reordered!$A:$I, 3, FALSE)</f>
        <v>Support/Rejection of a Group or a Person</v>
      </c>
      <c r="I1025" t="str">
        <f>VLOOKUP($F1025, codebooks_data_reordered!$A:$I, 4, FALSE)</f>
        <v>1</v>
      </c>
      <c r="J1025" t="str">
        <f>VLOOKUP($F1025, codebooks_data_reordered!$A:$I, 5, FALSE)</f>
        <v>103</v>
      </c>
      <c r="K1025" t="str">
        <f>VLOOKUP($F1025, codebooks_data_reordered!$A:$I, 6, FALSE)</f>
        <v>Party leaders to deal best with foreign and security issues in Israel</v>
      </c>
      <c r="L1025" t="str">
        <f>VLOOKUP($F1025, codebooks_data_reordered!$A:$I, 7, FALSE)</f>
        <v>82  83. And regarding the foreign and security issues in Israel?</v>
      </c>
      <c r="M1025" t="str">
        <f>VLOOKUP($F1025, codebooks_data_reordered!$A:$I, 9, FALSE)</f>
        <v>1: Kadima leaders; 2: Likud leaders; 3: Avoda leaders; 4: All of them to the same deggree; 5: None of them; 6: Another party</v>
      </c>
      <c r="O1025" s="2" t="str">
        <f t="shared" si="15"/>
        <v>1: Kadima leaders
 2: Likud leaders
 3: Avoda leaders
 4: All of them to the same deggree
 5: None of them
 6: Another party</v>
      </c>
    </row>
    <row r="1026" spans="1:15" ht="115.2" hidden="1" x14ac:dyDescent="0.3">
      <c r="A1026" t="s">
        <v>8211</v>
      </c>
      <c r="B1026" t="s">
        <v>8249</v>
      </c>
      <c r="C1026" s="2" t="s">
        <v>8247</v>
      </c>
      <c r="D1026" t="s">
        <v>5843</v>
      </c>
      <c r="E1026" s="2" t="s">
        <v>8248</v>
      </c>
      <c r="F1026" t="s">
        <v>328</v>
      </c>
      <c r="G1026" t="str">
        <f>VLOOKUP($F1026, codebooks_data_reordered!$A:$I, 2, FALSE)</f>
        <v>2006</v>
      </c>
      <c r="H1026" t="str">
        <f>VLOOKUP($F1026, codebooks_data_reordered!$A:$I, 3, FALSE)</f>
        <v>Support/Rejection of a Group or a Person</v>
      </c>
      <c r="I1026" t="str">
        <f>VLOOKUP($F1026, codebooks_data_reordered!$A:$I, 4, FALSE)</f>
        <v>1</v>
      </c>
      <c r="J1026" t="str">
        <f>VLOOKUP($F1026, codebooks_data_reordered!$A:$I, 5, FALSE)</f>
        <v>104</v>
      </c>
      <c r="K1026" t="str">
        <f>VLOOKUP($F1026, codebooks_data_reordered!$A:$I, 6, FALSE)</f>
        <v>In second place</v>
      </c>
      <c r="L1026" t="str">
        <f>VLOOKUP($F1026, codebooks_data_reordered!$A:$I, 7, FALSE)</f>
        <v>83  83. And regarding the foreign and security issues in Israel?</v>
      </c>
      <c r="M1026" t="str">
        <f>VLOOKUP($F1026, codebooks_data_reordered!$A:$I, 9, FALSE)</f>
        <v>1: Kadima leaders; 2: Likud leaders; 3: Avoda leaders; 4: All of them to the same deggree; 5: None of them; 6: Another party</v>
      </c>
      <c r="O1026" s="2" t="str">
        <f t="shared" ref="O1026:O1089" si="16">SUBSTITUTE(M1026, ";", CHAR(10))</f>
        <v>1: Kadima leaders
 2: Likud leaders
 3: Avoda leaders
 4: All of them to the same deggree
 5: None of them
 6: Another party</v>
      </c>
    </row>
    <row r="1027" spans="1:15" ht="115.2" hidden="1" x14ac:dyDescent="0.3">
      <c r="A1027" t="s">
        <v>8211</v>
      </c>
      <c r="B1027" t="s">
        <v>8250</v>
      </c>
      <c r="C1027" s="2" t="s">
        <v>6327</v>
      </c>
      <c r="D1027" t="s">
        <v>5843</v>
      </c>
      <c r="E1027" s="2" t="s">
        <v>6328</v>
      </c>
      <c r="F1027" t="s">
        <v>1962</v>
      </c>
      <c r="G1027" t="str">
        <f>VLOOKUP($F1027, codebooks_data_reordered!$A:$I, 2, FALSE)</f>
        <v>1999_1</v>
      </c>
      <c r="H1027" t="str">
        <f>VLOOKUP($F1027, codebooks_data_reordered!$A:$I, 3, FALSE)</f>
        <v>ATTITUDES TOWARD CANDIDATES FOR PM</v>
      </c>
      <c r="I1027" t="str">
        <f>VLOOKUP($F1027, codebooks_data_reordered!$A:$I, 4, FALSE)</f>
        <v>2</v>
      </c>
      <c r="J1027" t="str">
        <f>VLOOKUP($F1027, codebooks_data_reordered!$A:$I, 5, FALSE)</f>
        <v>17</v>
      </c>
      <c r="K1027" t="str">
        <f>VLOOKUP($F1027, codebooks_data_reordered!$A:$I, 6, FALSE)</f>
        <v>Barak makes me feel hopeful</v>
      </c>
      <c r="L1027">
        <f>VLOOKUP($F1027, codebooks_data_reordered!$A:$I, 7, FALSE)</f>
        <v>0</v>
      </c>
      <c r="M1027" t="str">
        <f>VLOOKUP($F1027, codebooks_data_reordered!$A:$I, 9, FALSE)</f>
        <v>1: Yes; 2: No</v>
      </c>
      <c r="O1027" s="2" t="str">
        <f t="shared" si="16"/>
        <v>1: Yes
 2: No</v>
      </c>
    </row>
    <row r="1028" spans="1:15" ht="57.6" hidden="1" x14ac:dyDescent="0.3">
      <c r="A1028" t="s">
        <v>8211</v>
      </c>
      <c r="B1028" t="s">
        <v>8251</v>
      </c>
      <c r="C1028" s="2" t="s">
        <v>6330</v>
      </c>
      <c r="D1028" t="s">
        <v>5843</v>
      </c>
      <c r="E1028" s="2" t="s">
        <v>6331</v>
      </c>
      <c r="F1028" t="s">
        <v>1987</v>
      </c>
      <c r="G1028" t="str">
        <f>VLOOKUP($F1028, codebooks_data_reordered!$A:$I, 2, FALSE)</f>
        <v>1999_1</v>
      </c>
      <c r="H1028" t="str">
        <f>VLOOKUP($F1028, codebooks_data_reordered!$A:$I, 3, FALSE)</f>
        <v>POLITICAL SELF-DEFINITION</v>
      </c>
      <c r="I1028" t="str">
        <f>VLOOKUP($F1028, codebooks_data_reordered!$A:$I, 4, FALSE)</f>
        <v>2</v>
      </c>
      <c r="J1028" t="str">
        <f>VLOOKUP($F1028, codebooks_data_reordered!$A:$I, 5, FALSE)</f>
        <v>26</v>
      </c>
      <c r="K1028" t="str">
        <f>VLOOKUP($F1028, codebooks_data_reordered!$A:$I, 6, FALSE)</f>
        <v>Jerusalem issue's effect on vote for Knesset</v>
      </c>
      <c r="L1028">
        <f>VLOOKUP($F1028, codebooks_data_reordered!$A:$I, 7, FALSE)</f>
        <v>0</v>
      </c>
      <c r="M1028" t="str">
        <f>VLOOKUP($F1028, codebooks_data_reordered!$A:$I, 9, FALSE)</f>
        <v>1: Not at all; 2: A small effect; 3: Some effect; 4: A great effect</v>
      </c>
      <c r="O1028" s="2" t="str">
        <f t="shared" si="16"/>
        <v>1: Not at all
 2: A small effect
 3: Some effect
 4: A great effect</v>
      </c>
    </row>
    <row r="1029" spans="1:15" ht="86.4" hidden="1" x14ac:dyDescent="0.3">
      <c r="A1029" t="s">
        <v>8211</v>
      </c>
      <c r="B1029" t="s">
        <v>8252</v>
      </c>
      <c r="C1029" s="2" t="s">
        <v>8253</v>
      </c>
      <c r="D1029" t="s">
        <v>5843</v>
      </c>
      <c r="E1029" s="2" t="s">
        <v>8254</v>
      </c>
      <c r="F1029" t="s">
        <v>2184</v>
      </c>
      <c r="G1029" t="str">
        <f>VLOOKUP($F1029, codebooks_data_reordered!$A:$I, 2, FALSE)</f>
        <v>1999_1</v>
      </c>
      <c r="H1029" t="str">
        <f>VLOOKUP($F1029, codebooks_data_reordered!$A:$I, 3, FALSE)</f>
        <v>RESPONDENT'S DEMOGRAPHIC DETAILS</v>
      </c>
      <c r="I1029" t="str">
        <f>VLOOKUP($F1029, codebooks_data_reordered!$A:$I, 4, FALSE)</f>
        <v>3</v>
      </c>
      <c r="J1029" t="str">
        <f>VLOOKUP($F1029, codebooks_data_reordered!$A:$I, 5, FALSE)</f>
        <v>31</v>
      </c>
      <c r="K1029" t="str">
        <f>VLOOKUP($F1029, codebooks_data_reordered!$A:$I, 6, FALSE)</f>
        <v>Fourth label to define identity</v>
      </c>
      <c r="L1029">
        <f>VLOOKUP($F1029, codebooks_data_reordered!$A:$I, 7, FALSE)</f>
        <v>0</v>
      </c>
      <c r="M1029" t="str">
        <f>VLOOKUP($F1029, codebooks_data_reordered!$A:$I, 9, FALSE)</f>
        <v>1: Israeli; 2: Jewish; 3: Ethnic group(Ashkenazi/Sefaradi); 4: Religious/Secular</v>
      </c>
      <c r="O1029" s="2" t="str">
        <f t="shared" si="16"/>
        <v>1: Israeli
 2: Jewish
 3: Ethnic group(Ashkenazi/Sefaradi)
 4: Religious/Secular</v>
      </c>
    </row>
    <row r="1030" spans="1:15" ht="115.2" hidden="1" x14ac:dyDescent="0.3">
      <c r="A1030" t="s">
        <v>8211</v>
      </c>
      <c r="B1030" t="s">
        <v>8255</v>
      </c>
      <c r="C1030" s="2" t="s">
        <v>8256</v>
      </c>
      <c r="D1030" t="s">
        <v>5843</v>
      </c>
      <c r="E1030" s="2" t="s">
        <v>8257</v>
      </c>
      <c r="F1030" t="s">
        <v>526</v>
      </c>
      <c r="G1030" t="str">
        <f>VLOOKUP($F1030, codebooks_data_reordered!$A:$I, 2, FALSE)</f>
        <v>2006</v>
      </c>
      <c r="H1030" t="str">
        <f>VLOOKUP($F1030, codebooks_data_reordered!$A:$I, 3, FALSE)</f>
        <v>Most/Less Suitable Characteristic of the Party</v>
      </c>
      <c r="I1030" t="str">
        <f>VLOOKUP($F1030, codebooks_data_reordered!$A:$I, 4, FALSE)</f>
        <v>1</v>
      </c>
      <c r="J1030" t="str">
        <f>VLOOKUP($F1030, codebooks_data_reordered!$A:$I, 5, FALSE)</f>
        <v>167</v>
      </c>
      <c r="K1030" t="str">
        <f>VLOOKUP($F1030, codebooks_data_reordered!$A:$I, 6, FALSE)</f>
        <v>Most suitable characteristic of the party: Good Negotiating</v>
      </c>
      <c r="L1030" t="str">
        <f>VLOOKUP($F1030,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Good negotiating capability</v>
      </c>
      <c r="M1030" t="str">
        <f>VLOOKUP($F1030, codebooks_data_reordered!$A:$I, 9, FALSE)</f>
        <v>1: Olmert; 2: Netanyahu; 3: Peretz; 4: All; 5: None</v>
      </c>
      <c r="O1030" s="2" t="str">
        <f t="shared" si="16"/>
        <v>1: Olmert
 2: Netanyahu
 3: Peretz
 4: All
 5: None</v>
      </c>
    </row>
    <row r="1031" spans="1:15" ht="144" hidden="1" x14ac:dyDescent="0.3">
      <c r="A1031" t="s">
        <v>8211</v>
      </c>
      <c r="B1031" t="s">
        <v>8258</v>
      </c>
      <c r="C1031" s="2" t="s">
        <v>8259</v>
      </c>
      <c r="D1031" t="s">
        <v>5843</v>
      </c>
      <c r="E1031" s="2" t="s">
        <v>8260</v>
      </c>
      <c r="F1031" t="s">
        <v>529</v>
      </c>
      <c r="G1031" t="str">
        <f>VLOOKUP($F1031, codebooks_data_reordered!$A:$I, 2, FALSE)</f>
        <v>2006</v>
      </c>
      <c r="H1031" t="str">
        <f>VLOOKUP($F1031, codebooks_data_reordered!$A:$I, 3, FALSE)</f>
        <v>Most/Less Suitable Characteristic of the Party</v>
      </c>
      <c r="I1031" t="str">
        <f>VLOOKUP($F1031, codebooks_data_reordered!$A:$I, 4, FALSE)</f>
        <v>1</v>
      </c>
      <c r="J1031" t="str">
        <f>VLOOKUP($F1031, codebooks_data_reordered!$A:$I, 5, FALSE)</f>
        <v>168</v>
      </c>
      <c r="K1031" t="str">
        <f>VLOOKUP($F1031, codebooks_data_reordered!$A:$I, 6, FALSE)</f>
        <v>Least suitable characteristic of the party: Good Negotiating Skills</v>
      </c>
      <c r="L1031" t="str">
        <f>VLOOKUP($F1031,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Good negotiating capability</v>
      </c>
      <c r="M1031" t="str">
        <f>VLOOKUP($F1031, codebooks_data_reordered!$A:$I, 9, FALSE)</f>
        <v>1: Olmert; 2: Netanyahu; 3: Peretz; 4: All; 5: None</v>
      </c>
      <c r="O1031" s="2" t="str">
        <f t="shared" si="16"/>
        <v>1: Olmert
 2: Netanyahu
 3: Peretz
 4: All
 5: None</v>
      </c>
    </row>
    <row r="1032" spans="1:15" ht="144" hidden="1" x14ac:dyDescent="0.3">
      <c r="A1032" t="s">
        <v>8211</v>
      </c>
      <c r="B1032" t="s">
        <v>8261</v>
      </c>
      <c r="C1032" s="2" t="s">
        <v>8262</v>
      </c>
      <c r="D1032" t="s">
        <v>5843</v>
      </c>
      <c r="E1032" s="2" t="s">
        <v>8263</v>
      </c>
      <c r="F1032" t="s">
        <v>3105</v>
      </c>
      <c r="G1032" t="str">
        <f>VLOOKUP($F1032, codebooks_data_reordered!$A:$I, 2, FALSE)</f>
        <v>1988_Panel_N=416</v>
      </c>
      <c r="H1032" t="str">
        <f>VLOOKUP($F1032, codebooks_data_reordered!$A:$I, 3, FALSE)</f>
        <v>WHICH OF THE FOLLOWING WOULD YOU BE WILLING TO GIVE TO MAINTAIN/STRENGTHEN THE SECURITY</v>
      </c>
      <c r="I1032" t="str">
        <f>VLOOKUP($F1032, codebooks_data_reordered!$A:$I, 4, FALSE)</f>
        <v>1</v>
      </c>
      <c r="J1032" t="str">
        <f>VLOOKUP($F1032, codebooks_data_reordered!$A:$I, 5, FALSE)</f>
        <v>102</v>
      </c>
      <c r="K1032" t="str">
        <f>VLOOKUP($F1032, codebooks_data_reordered!$A:$I, 6, FALSE)</f>
        <v>Is the reserve military service used efficiently or wasted</v>
      </c>
      <c r="L1032">
        <f>VLOOKUP($F1032, codebooks_data_reordered!$A:$I, 7, FALSE)</f>
        <v>0</v>
      </c>
      <c r="M1032" t="str">
        <f>VLOOKUP($F1032, codebooks_data_reordered!$A:$I, 9, FALSE)</f>
        <v>1: Usually used efficiently; 2: Usually wasted</v>
      </c>
      <c r="O1032" s="2" t="str">
        <f t="shared" si="16"/>
        <v>1: Usually used efficiently
 2: Usually wasted</v>
      </c>
    </row>
    <row r="1033" spans="1:15" ht="129.6" hidden="1" x14ac:dyDescent="0.3">
      <c r="A1033" t="s">
        <v>8211</v>
      </c>
      <c r="B1033" t="s">
        <v>6591</v>
      </c>
      <c r="C1033" s="2" t="s">
        <v>8264</v>
      </c>
      <c r="D1033" t="s">
        <v>5843</v>
      </c>
      <c r="E1033" s="2" t="s">
        <v>8265</v>
      </c>
      <c r="F1033" t="s">
        <v>401</v>
      </c>
      <c r="G1033" t="str">
        <f>VLOOKUP($F1033, codebooks_data_reordered!$A:$I, 2, FALSE)</f>
        <v>2006</v>
      </c>
      <c r="H1033" t="str">
        <f>VLOOKUP($F1033, codebooks_data_reordered!$A:$I, 3, FALSE)</f>
        <v>Ranking on a Right/Left Political Scale</v>
      </c>
      <c r="I1033" t="str">
        <f>VLOOKUP($F1033, codebooks_data_reordered!$A:$I, 4, FALSE)</f>
        <v>1</v>
      </c>
      <c r="J1033" t="str">
        <f>VLOOKUP($F1033, codebooks_data_reordered!$A:$I, 5, FALSE)</f>
        <v>128-129</v>
      </c>
      <c r="K1033" t="str">
        <f>VLOOKUP($F1033, codebooks_data_reordered!$A:$I, 6, FALSE)</f>
        <v>Ranking on a right/left political scale:Shas</v>
      </c>
      <c r="L1033" t="str">
        <f>VLOOKUP($F1033, codebooks_data_reordered!$A:$I, 7, FALSE)</f>
        <v>How would you rate the following parties on the left-right scale from 0 to 10, 0 stands for left, and 10 stands for right and 5 is in the middle.</v>
      </c>
      <c r="M1033" t="str">
        <f>VLOOKUP($F1033, codebooks_data_reordered!$A:$I, 9, FALSE)</f>
        <v>0: Left; 10: Right</v>
      </c>
      <c r="O1033" s="2" t="str">
        <f t="shared" si="16"/>
        <v>0: Left
 10: Right</v>
      </c>
    </row>
    <row r="1034" spans="1:15" ht="144" hidden="1" x14ac:dyDescent="0.3">
      <c r="A1034" t="s">
        <v>8211</v>
      </c>
      <c r="B1034" t="s">
        <v>6592</v>
      </c>
      <c r="C1034" s="2" t="s">
        <v>8266</v>
      </c>
      <c r="D1034" t="s">
        <v>5843</v>
      </c>
      <c r="E1034" s="2" t="s">
        <v>8267</v>
      </c>
      <c r="F1034" t="s">
        <v>377</v>
      </c>
      <c r="G1034" t="str">
        <f>VLOOKUP($F1034, codebooks_data_reordered!$A:$I, 2, FALSE)</f>
        <v>2006</v>
      </c>
      <c r="H1034" t="str">
        <f>VLOOKUP($F1034, codebooks_data_reordered!$A:$I, 3, FALSE)</f>
        <v>Influence of Different Issues on Vote</v>
      </c>
      <c r="I1034" t="str">
        <f>VLOOKUP($F1034, codebooks_data_reordered!$A:$I, 4, FALSE)</f>
        <v>1</v>
      </c>
      <c r="J1034" t="str">
        <f>VLOOKUP($F1034, codebooks_data_reordered!$A:$I, 5, FALSE)</f>
        <v>118</v>
      </c>
      <c r="K1034" t="str">
        <f>VLOOKUP($F1034, codebooks_data_reordered!$A:$I, 6, FALSE)</f>
        <v>Influence the following have on your vote:Corruption</v>
      </c>
      <c r="L1034" t="str">
        <f>VLOOKUP($F1034, codebooks_data_reordered!$A:$I, 7, FALSE)</f>
        <v>To what extent do each of the following issues effect or not effect your voting?</v>
      </c>
      <c r="M1034" t="str">
        <f>VLOOKUP($F1034, codebooks_data_reordered!$A:$I, 9, FALSE)</f>
        <v>1: A great deal; 2: Some; 3: Little; 4: Not at all</v>
      </c>
      <c r="O1034" s="2" t="str">
        <f t="shared" si="16"/>
        <v>1: A great deal
 2: Some
 3: Little
 4: Not at all</v>
      </c>
    </row>
    <row r="1035" spans="1:15" ht="273.60000000000002" hidden="1" x14ac:dyDescent="0.3">
      <c r="A1035" t="s">
        <v>8211</v>
      </c>
      <c r="B1035" t="s">
        <v>6595</v>
      </c>
      <c r="C1035" s="2" t="s">
        <v>8268</v>
      </c>
      <c r="D1035" t="s">
        <v>5843</v>
      </c>
      <c r="E1035" s="2" t="s">
        <v>8269</v>
      </c>
      <c r="F1035" t="s">
        <v>383</v>
      </c>
      <c r="G1035" t="str">
        <f>VLOOKUP($F1035, codebooks_data_reordered!$A:$I, 2, FALSE)</f>
        <v>2006</v>
      </c>
      <c r="H1035" t="str">
        <f>VLOOKUP($F1035, codebooks_data_reordered!$A:$I, 3, FALSE)</f>
        <v>Influence of Different Issues on Vote</v>
      </c>
      <c r="I1035" t="str">
        <f>VLOOKUP($F1035, codebooks_data_reordered!$A:$I, 4, FALSE)</f>
        <v>1</v>
      </c>
      <c r="J1035" t="str">
        <f>VLOOKUP($F1035, codebooks_data_reordered!$A:$I, 5, FALSE)</f>
        <v>119</v>
      </c>
      <c r="K1035" t="str">
        <f>VLOOKUP($F1035, codebooks_data_reordered!$A:$I, 6, FALSE)</f>
        <v>Greatest effect on your voting</v>
      </c>
      <c r="L1035" t="str">
        <f>VLOOKUP($F1035, codebooks_data_reordered!$A:$I, 7, FALSE)</f>
        <v>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v>
      </c>
      <c r="M1035" t="str">
        <f>VLOOKUP($F1035, codebooks_data_reordered!$A:$I, 9, FALSE)</f>
        <v>1: Political process with the Palestinians; 2: Defence situation; 3: Socio-economic situation; 4: Relationships between religious and nonreligious; 5: Corruption and the rule of law; 6: The unity of the people; 7: Other; 8: Do not know; 9: More than one answer</v>
      </c>
      <c r="O1035" s="2" t="str">
        <f t="shared" si="16"/>
        <v>1: Political process with the Palestinians
 2: Defence situation
 3: Socio-economic situation
 4: Relationships between religious and nonreligious
 5: Corruption and the rule of law
 6: The unity of the people
 7: Other
 8: Do not know
 9: More than one answer</v>
      </c>
    </row>
    <row r="1036" spans="1:15" ht="100.8" hidden="1" x14ac:dyDescent="0.3">
      <c r="A1036" t="s">
        <v>8211</v>
      </c>
      <c r="B1036" t="s">
        <v>6596</v>
      </c>
      <c r="C1036" s="2" t="s">
        <v>8270</v>
      </c>
      <c r="D1036" t="s">
        <v>5843</v>
      </c>
      <c r="E1036" s="2" t="s">
        <v>8271</v>
      </c>
      <c r="F1036" t="s">
        <v>2174</v>
      </c>
      <c r="G1036" t="str">
        <f>VLOOKUP($F1036, codebooks_data_reordered!$A:$I, 2, FALSE)</f>
        <v>1999_1</v>
      </c>
      <c r="H1036" t="str">
        <f>VLOOKUP($F1036, codebooks_data_reordered!$A:$I, 3, FALSE)</f>
        <v>VOTING PATTERNS</v>
      </c>
      <c r="I1036" t="str">
        <f>VLOOKUP($F1036, codebooks_data_reordered!$A:$I, 4, FALSE)</f>
        <v>3</v>
      </c>
      <c r="J1036" t="str">
        <f>VLOOKUP($F1036, codebooks_data_reordered!$A:$I, 5, FALSE)</f>
        <v>23</v>
      </c>
      <c r="K1036" t="str">
        <f>VLOOKUP($F1036, codebooks_data_reordered!$A:$I, 6, FALSE)</f>
        <v>Supporter or member in any party</v>
      </c>
      <c r="L1036">
        <f>VLOOKUP($F1036, codebooks_data_reordered!$A:$I, 7, FALSE)</f>
        <v>0</v>
      </c>
      <c r="M1036" t="str">
        <f>VLOOKUP($F1036, codebooks_data_reordered!$A:$I, 9, FALSE)</f>
        <v>1: None; 2: Supporter,but not a member; 3: A member; 4: An active member; 5: Member,and have a role in the party</v>
      </c>
      <c r="O1036" s="2" t="str">
        <f t="shared" si="16"/>
        <v>1: None
 2: Supporter,but not a member
 3: A member
 4: An active member
 5: Member,and have a role in the party</v>
      </c>
    </row>
    <row r="1037" spans="1:15" ht="115.2" hidden="1" x14ac:dyDescent="0.3">
      <c r="A1037" t="s">
        <v>8272</v>
      </c>
      <c r="B1037" t="s">
        <v>7869</v>
      </c>
      <c r="C1037" s="2" t="s">
        <v>8002</v>
      </c>
      <c r="D1037" t="s">
        <v>5843</v>
      </c>
      <c r="E1037" s="2" t="s">
        <v>8003</v>
      </c>
      <c r="F1037" t="s">
        <v>1861</v>
      </c>
      <c r="G1037" t="str">
        <f>VLOOKUP($F1037, codebooks_data_reordered!$A:$I, 2, FALSE)</f>
        <v>1999_1</v>
      </c>
      <c r="H1037" t="str">
        <f>VLOOKUP($F1037, codebooks_data_reordered!$A:$I, 3, FALSE)</f>
        <v>ATTITUDES TOWARD CANDIDATES AND PARTIES</v>
      </c>
      <c r="I1037" t="str">
        <f>VLOOKUP($F1037, codebooks_data_reordered!$A:$I, 4, FALSE)</f>
        <v>1</v>
      </c>
      <c r="J1037" t="str">
        <f>VLOOKUP($F1037, codebooks_data_reordered!$A:$I, 5, FALSE)</f>
        <v>53</v>
      </c>
      <c r="K1037" t="str">
        <f>VLOOKUP($F1037, codebooks_data_reordered!$A:$I, 6, FALSE)</f>
        <v>Extend of support for Yasser Arafat</v>
      </c>
      <c r="L1037" t="str">
        <f>VLOOKUP($F1037, codebooks_data_reordered!$A:$I, 7, FALSE)</f>
        <v>Extent of support on 1-10 scale, 1=total rejection, 10=strong support</v>
      </c>
      <c r="M1037" t="str">
        <f>VLOOKUP($F1037, codebooks_data_reordered!$A:$I, 9, FALSE)</f>
        <v>1: Totally reject; 10: Strongly support</v>
      </c>
      <c r="O1037" s="2" t="str">
        <f t="shared" si="16"/>
        <v>1: Totally reject
 10: Strongly support</v>
      </c>
    </row>
    <row r="1038" spans="1:15" ht="129.6" hidden="1" x14ac:dyDescent="0.3">
      <c r="A1038" t="s">
        <v>8272</v>
      </c>
      <c r="B1038" t="s">
        <v>8273</v>
      </c>
      <c r="C1038" s="2" t="s">
        <v>7985</v>
      </c>
      <c r="D1038" t="s">
        <v>5843</v>
      </c>
      <c r="E1038" s="2" t="s">
        <v>7986</v>
      </c>
      <c r="F1038" t="s">
        <v>1861</v>
      </c>
      <c r="G1038" t="str">
        <f>VLOOKUP($F1038, codebooks_data_reordered!$A:$I, 2, FALSE)</f>
        <v>1999_1</v>
      </c>
      <c r="H1038" t="str">
        <f>VLOOKUP($F1038, codebooks_data_reordered!$A:$I, 3, FALSE)</f>
        <v>ATTITUDES TOWARD CANDIDATES AND PARTIES</v>
      </c>
      <c r="I1038" t="str">
        <f>VLOOKUP($F1038, codebooks_data_reordered!$A:$I, 4, FALSE)</f>
        <v>1</v>
      </c>
      <c r="J1038" t="str">
        <f>VLOOKUP($F1038, codebooks_data_reordered!$A:$I, 5, FALSE)</f>
        <v>53</v>
      </c>
      <c r="K1038" t="str">
        <f>VLOOKUP($F1038, codebooks_data_reordered!$A:$I, 6, FALSE)</f>
        <v>Extend of support for Yasser Arafat</v>
      </c>
      <c r="L1038" t="str">
        <f>VLOOKUP($F1038, codebooks_data_reordered!$A:$I, 7, FALSE)</f>
        <v>Extent of support on 1-10 scale, 1=total rejection, 10=strong support</v>
      </c>
      <c r="M1038" t="str">
        <f>VLOOKUP($F1038, codebooks_data_reordered!$A:$I, 9, FALSE)</f>
        <v>1: Totally reject; 10: Strongly support</v>
      </c>
      <c r="O1038" s="2" t="str">
        <f t="shared" si="16"/>
        <v>1: Totally reject
 10: Strongly support</v>
      </c>
    </row>
    <row r="1039" spans="1:15" ht="100.8" hidden="1" x14ac:dyDescent="0.3">
      <c r="A1039" t="s">
        <v>8272</v>
      </c>
      <c r="B1039" t="s">
        <v>6206</v>
      </c>
      <c r="C1039" s="2" t="s">
        <v>8274</v>
      </c>
      <c r="D1039" t="s">
        <v>5843</v>
      </c>
      <c r="E1039" s="2" t="s">
        <v>8275</v>
      </c>
      <c r="F1039" t="s">
        <v>1861</v>
      </c>
      <c r="G1039" t="str">
        <f>VLOOKUP($F1039, codebooks_data_reordered!$A:$I, 2, FALSE)</f>
        <v>1999_1</v>
      </c>
      <c r="H1039" t="str">
        <f>VLOOKUP($F1039, codebooks_data_reordered!$A:$I, 3, FALSE)</f>
        <v>ATTITUDES TOWARD CANDIDATES AND PARTIES</v>
      </c>
      <c r="I1039" t="str">
        <f>VLOOKUP($F1039, codebooks_data_reordered!$A:$I, 4, FALSE)</f>
        <v>1</v>
      </c>
      <c r="J1039" t="str">
        <f>VLOOKUP($F1039, codebooks_data_reordered!$A:$I, 5, FALSE)</f>
        <v>53</v>
      </c>
      <c r="K1039" t="str">
        <f>VLOOKUP($F1039, codebooks_data_reordered!$A:$I, 6, FALSE)</f>
        <v>Extend of support for Yasser Arafat</v>
      </c>
      <c r="L1039" t="str">
        <f>VLOOKUP($F1039, codebooks_data_reordered!$A:$I, 7, FALSE)</f>
        <v>Extent of support on 1-10 scale, 1=total rejection, 10=strong support</v>
      </c>
      <c r="M1039" t="str">
        <f>VLOOKUP($F1039, codebooks_data_reordered!$A:$I, 9, FALSE)</f>
        <v>1: Totally reject; 10: Strongly support</v>
      </c>
      <c r="O1039" s="2" t="str">
        <f t="shared" si="16"/>
        <v>1: Totally reject
 10: Strongly support</v>
      </c>
    </row>
    <row r="1040" spans="1:15" ht="115.2" hidden="1" x14ac:dyDescent="0.3">
      <c r="A1040" t="s">
        <v>8272</v>
      </c>
      <c r="B1040" t="s">
        <v>6615</v>
      </c>
      <c r="C1040" s="2" t="s">
        <v>8007</v>
      </c>
      <c r="D1040" t="s">
        <v>5843</v>
      </c>
      <c r="E1040" s="2" t="s">
        <v>8008</v>
      </c>
      <c r="F1040" t="s">
        <v>1886</v>
      </c>
      <c r="G1040" t="str">
        <f>VLOOKUP($F1040, codebooks_data_reordered!$A:$I, 2, FALSE)</f>
        <v>1999_1</v>
      </c>
      <c r="H1040" t="str">
        <f>VLOOKUP($F1040, codebooks_data_reordered!$A:$I, 3, FALSE)</f>
        <v>MORE ATTITUDES TOWARD PARTIES AND CANDIDATES</v>
      </c>
      <c r="I1040" t="str">
        <f>VLOOKUP($F1040, codebooks_data_reordered!$A:$I, 4, FALSE)</f>
        <v>1</v>
      </c>
      <c r="J1040" t="str">
        <f>VLOOKUP($F1040, codebooks_data_reordered!$A:$I, 5, FALSE)</f>
        <v>63</v>
      </c>
      <c r="K1040" t="str">
        <f>VLOOKUP($F1040, codebooks_data_reordered!$A:$I, 6, FALSE)</f>
        <v>Participation of Israeli Arabs in critical decisions</v>
      </c>
      <c r="L1040">
        <f>VLOOKUP($F1040, codebooks_data_reordered!$A:$I, 7, FALSE)</f>
        <v>0</v>
      </c>
      <c r="M1040" t="str">
        <f>VLOOKUP($F1040, codebooks_data_reordered!$A:$I, 9, FALSE)</f>
        <v>1: Decisions should be made by Jewish majority only; 2: Decisions should be made by Jewish majority; 3: Arabs should take part; 4: Arabs should take part</v>
      </c>
      <c r="O1040" s="2" t="str">
        <f t="shared" si="16"/>
        <v>1: Decisions should be made by Jewish majority only
 2: Decisions should be made by Jewish majority
 3: Arabs should take part
 4: Arabs should take part</v>
      </c>
    </row>
    <row r="1041" spans="1:15" ht="86.4" hidden="1" x14ac:dyDescent="0.3">
      <c r="A1041" t="s">
        <v>8272</v>
      </c>
      <c r="B1041" t="s">
        <v>6758</v>
      </c>
      <c r="C1041" s="2" t="s">
        <v>8009</v>
      </c>
      <c r="D1041" t="s">
        <v>5843</v>
      </c>
      <c r="E1041" s="2" t="s">
        <v>8010</v>
      </c>
      <c r="F1041" t="s">
        <v>1865</v>
      </c>
      <c r="G1041" t="str">
        <f>VLOOKUP($F1041, codebooks_data_reordered!$A:$I, 2, FALSE)</f>
        <v>1999_1</v>
      </c>
      <c r="H1041" t="str">
        <f>VLOOKUP($F1041, codebooks_data_reordered!$A:$I, 3, FALSE)</f>
        <v>ATTITUDES TOWARD CANDIDATES AND PARTIES</v>
      </c>
      <c r="I1041" t="str">
        <f>VLOOKUP($F1041, codebooks_data_reordered!$A:$I, 4, FALSE)</f>
        <v>1</v>
      </c>
      <c r="J1041" t="str">
        <f>VLOOKUP($F1041, codebooks_data_reordered!$A:$I, 5, FALSE)</f>
        <v>55</v>
      </c>
      <c r="K1041" t="str">
        <f>VLOOKUP($F1041, codebooks_data_reordered!$A:$I, 6, FALSE)</f>
        <v>Extend of support for Azmi Bashara</v>
      </c>
      <c r="L1041" t="str">
        <f>VLOOKUP($F1041, codebooks_data_reordered!$A:$I, 7, FALSE)</f>
        <v>Extent of support on 1-10 scale, 1=total rejection, 10=strong support</v>
      </c>
      <c r="M1041" t="str">
        <f>VLOOKUP($F1041, codebooks_data_reordered!$A:$I, 9, FALSE)</f>
        <v>1: Totally reject; 10: Strongly support</v>
      </c>
      <c r="O1041" s="2" t="str">
        <f t="shared" si="16"/>
        <v>1: Totally reject
 10: Strongly support</v>
      </c>
    </row>
    <row r="1042" spans="1:15" ht="72" hidden="1" x14ac:dyDescent="0.3">
      <c r="A1042" t="s">
        <v>8272</v>
      </c>
      <c r="B1042" t="s">
        <v>6914</v>
      </c>
      <c r="C1042" s="2" t="s">
        <v>8011</v>
      </c>
      <c r="D1042" t="s">
        <v>5843</v>
      </c>
      <c r="E1042" s="2" t="s">
        <v>8012</v>
      </c>
      <c r="F1042" t="s">
        <v>9341</v>
      </c>
      <c r="G1042" t="e">
        <f>VLOOKUP($F1042, codebooks_data_reordered!$A:$I, 2, FALSE)</f>
        <v>#N/A</v>
      </c>
      <c r="H1042" t="e">
        <f>VLOOKUP($F1042, codebooks_data_reordered!$A:$I, 3, FALSE)</f>
        <v>#N/A</v>
      </c>
      <c r="I1042" t="e">
        <f>VLOOKUP($F1042, codebooks_data_reordered!$A:$I, 4, FALSE)</f>
        <v>#N/A</v>
      </c>
      <c r="J1042" t="e">
        <f>VLOOKUP($F1042, codebooks_data_reordered!$A:$I, 5, FALSE)</f>
        <v>#N/A</v>
      </c>
      <c r="K1042" t="e">
        <f>VLOOKUP($F1042, codebooks_data_reordered!$A:$I, 6, FALSE)</f>
        <v>#N/A</v>
      </c>
      <c r="L1042" t="e">
        <f>VLOOKUP($F1042, codebooks_data_reordered!$A:$I, 7, FALSE)</f>
        <v>#N/A</v>
      </c>
      <c r="M1042" t="e">
        <f>VLOOKUP($F1042, codebooks_data_reordered!$A:$I, 9, FALSE)</f>
        <v>#N/A</v>
      </c>
      <c r="O1042" t="e">
        <f t="shared" si="16"/>
        <v>#N/A</v>
      </c>
    </row>
    <row r="1043" spans="1:15" ht="115.2" hidden="1" x14ac:dyDescent="0.3">
      <c r="A1043" t="s">
        <v>8272</v>
      </c>
      <c r="B1043" t="s">
        <v>8276</v>
      </c>
      <c r="C1043" s="2" t="s">
        <v>8014</v>
      </c>
      <c r="D1043" t="s">
        <v>5843</v>
      </c>
      <c r="E1043" s="2" t="s">
        <v>8015</v>
      </c>
      <c r="F1043" t="s">
        <v>320</v>
      </c>
      <c r="G1043" t="str">
        <f>VLOOKUP($F1043, codebooks_data_reordered!$A:$I, 2, FALSE)</f>
        <v>2006</v>
      </c>
      <c r="H1043" t="str">
        <f>VLOOKUP($F1043, codebooks_data_reordered!$A:$I, 3, FALSE)</f>
        <v>Support/Rejection of a Group or a Person</v>
      </c>
      <c r="I1043" t="str">
        <f>VLOOKUP($F1043, codebooks_data_reordered!$A:$I, 4, FALSE)</f>
        <v>1</v>
      </c>
      <c r="J1043" t="str">
        <f>VLOOKUP($F1043, codebooks_data_reordered!$A:$I, 5, FALSE)</f>
        <v>102</v>
      </c>
      <c r="K1043" t="str">
        <f>VLOOKUP($F1043, codebooks_data_reordered!$A:$I, 6, FALSE)</f>
        <v>In second place</v>
      </c>
      <c r="L1043" t="str">
        <f>VLOOKUP($F1043, codebooks_data_reordered!$A:$I, 7, FALSE)</f>
        <v>81  81. And regarding the social problems in Israel?</v>
      </c>
      <c r="M1043" t="str">
        <f>VLOOKUP($F1043, codebooks_data_reordered!$A:$I, 9, FALSE)</f>
        <v>1: Kadima leaders; 2: Likud leaders; 3: Avoda leaders; 4: All of them to the same deggree; 5: None of them; 6: Another party</v>
      </c>
      <c r="O1043" s="2" t="str">
        <f t="shared" si="16"/>
        <v>1: Kadima leaders
 2: Likud leaders
 3: Avoda leaders
 4: All of them to the same deggree
 5: None of them
 6: Another party</v>
      </c>
    </row>
    <row r="1044" spans="1:15" ht="100.8" hidden="1" x14ac:dyDescent="0.3">
      <c r="A1044" t="s">
        <v>8272</v>
      </c>
      <c r="B1044" t="s">
        <v>6761</v>
      </c>
      <c r="C1044" s="2" t="s">
        <v>8017</v>
      </c>
      <c r="D1044" t="s">
        <v>5843</v>
      </c>
      <c r="E1044" s="2" t="s">
        <v>8018</v>
      </c>
      <c r="F1044" t="s">
        <v>203</v>
      </c>
      <c r="G1044" t="str">
        <f>VLOOKUP($F1044, codebooks_data_reordered!$A:$I, 2, FALSE)</f>
        <v>2006</v>
      </c>
      <c r="H1044" t="str">
        <f>VLOOKUP($F1044, codebooks_data_reordered!$A:$I, 3, FALSE)</f>
        <v>Agree/Disagree with the Different Statements</v>
      </c>
      <c r="I1044" t="str">
        <f>VLOOKUP($F1044, codebooks_data_reordered!$A:$I, 4, FALSE)</f>
        <v>1</v>
      </c>
      <c r="J1044" t="str">
        <f>VLOOKUP($F1044, codebooks_data_reordered!$A:$I, 5, FALSE)</f>
        <v>52</v>
      </c>
      <c r="K1044" t="str">
        <f>VLOOKUP($F1044, codebooks_data_reordered!$A:$I, 6, FALSE)</f>
        <v>Politicians tend not to consider the opinion of the citizen</v>
      </c>
      <c r="L1044" t="str">
        <f>VLOOKUP($F1044, codebooks_data_reordered!$A:$I, 7, FALSE)</f>
        <v>To what extent do you agree or disagree with the following statements? 47. A politician tends not to consider the opinion of the simple citizen</v>
      </c>
      <c r="M1044" t="str">
        <f>VLOOKUP($F1044, codebooks_data_reordered!$A:$I, 9, FALSE)</f>
        <v>1: Definitely disagree; 2: Disagree; 3: Agree; 4: Definitely agree</v>
      </c>
      <c r="O1044" s="2" t="str">
        <f t="shared" si="16"/>
        <v>1: Definitely disagree
 2: Disagree
 3: Agree
 4: Definitely agree</v>
      </c>
    </row>
    <row r="1045" spans="1:15" ht="100.8" hidden="1" x14ac:dyDescent="0.3">
      <c r="A1045" t="s">
        <v>8272</v>
      </c>
      <c r="B1045" t="s">
        <v>6209</v>
      </c>
      <c r="C1045" s="2" t="s">
        <v>8277</v>
      </c>
      <c r="D1045" t="s">
        <v>5843</v>
      </c>
      <c r="E1045" s="2" t="s">
        <v>8278</v>
      </c>
      <c r="F1045" t="s">
        <v>266</v>
      </c>
      <c r="G1045" t="str">
        <f>VLOOKUP($F1045, codebooks_data_reordered!$A:$I, 2, FALSE)</f>
        <v>2006</v>
      </c>
      <c r="H1045" t="str">
        <f>VLOOKUP($F1045, codebooks_data_reordered!$A:$I, 3, FALSE)</f>
        <v>Support/Rejection of a Group or a Person</v>
      </c>
      <c r="I1045" t="str">
        <f>VLOOKUP($F1045, codebooks_data_reordered!$A:$I, 4, FALSE)</f>
        <v>1</v>
      </c>
      <c r="J1045" t="str">
        <f>VLOOKUP($F1045, codebooks_data_reordered!$A:$I, 5, FALSE)</f>
        <v>73-74</v>
      </c>
      <c r="K1045" t="str">
        <f>VLOOKUP($F1045, codebooks_data_reordered!$A:$I, 6, FALSE)</f>
        <v>Support: Israel Beiteinu</v>
      </c>
      <c r="L1045" t="str">
        <f>VLOOKUP($F1045, codebooks_data_reordered!$A:$I, 7, FALSE)</f>
        <v>Here is a scale from 1 to 10 to express support or rejection of a group or a person. '1' describes strong rejection/ hate, and '10' describes strong support/ love.</v>
      </c>
      <c r="M1045" t="str">
        <f>VLOOKUP($F1045, codebooks_data_reordered!$A:$I, 9, FALSE)</f>
        <v>1: Hate/rejection; 10: Love/support</v>
      </c>
      <c r="O1045" s="2" t="str">
        <f t="shared" si="16"/>
        <v>1: Hate/rejection
 10: Love/support</v>
      </c>
    </row>
    <row r="1046" spans="1:15" ht="115.2" hidden="1" x14ac:dyDescent="0.3">
      <c r="A1046" t="s">
        <v>8272</v>
      </c>
      <c r="B1046" t="s">
        <v>6212</v>
      </c>
      <c r="C1046" s="2" t="s">
        <v>8022</v>
      </c>
      <c r="D1046" t="s">
        <v>5843</v>
      </c>
      <c r="E1046" s="2" t="s">
        <v>8023</v>
      </c>
      <c r="F1046" t="s">
        <v>1943</v>
      </c>
      <c r="G1046" t="str">
        <f>VLOOKUP($F1046, codebooks_data_reordered!$A:$I, 2, FALSE)</f>
        <v>1999_1</v>
      </c>
      <c r="H1046" t="str">
        <f>VLOOKUP($F1046, codebooks_data_reordered!$A:$I, 3, FALSE)</f>
        <v>ATTITUDES TOWARD CANDIDATES FOR PM</v>
      </c>
      <c r="I1046" t="str">
        <f>VLOOKUP($F1046, codebooks_data_reordered!$A:$I, 4, FALSE)</f>
        <v>2</v>
      </c>
      <c r="J1046" t="str">
        <f>VLOOKUP($F1046, codebooks_data_reordered!$A:$I, 5, FALSE)</f>
        <v>7</v>
      </c>
      <c r="K1046" t="str">
        <f>VLOOKUP($F1046, codebooks_data_reordered!$A:$I, 6, FALSE)</f>
        <v>Second Candidate most capable to deal with economy issues</v>
      </c>
      <c r="L1046">
        <f>VLOOKUP($F1046, codebooks_data_reordered!$A:$I, 7, FALSE)</f>
        <v>0</v>
      </c>
      <c r="M1046" t="str">
        <f>VLOOKUP($F1046, codebooks_data_reordered!$A:$I, 9, FALSE)</f>
        <v>1: Netanyahu; 2: Barak; 3: Mordechai; 4: Equally capable; 5: None of them; 6: Bashara</v>
      </c>
      <c r="O1046" s="2" t="str">
        <f t="shared" si="16"/>
        <v>1: Netanyahu
 2: Barak
 3: Mordechai
 4: Equally capable
 5: None of them
 6: Bashara</v>
      </c>
    </row>
    <row r="1047" spans="1:15" ht="100.8" hidden="1" x14ac:dyDescent="0.3">
      <c r="A1047" t="s">
        <v>8272</v>
      </c>
      <c r="B1047" t="s">
        <v>7743</v>
      </c>
      <c r="C1047" s="2" t="s">
        <v>8024</v>
      </c>
      <c r="D1047" t="s">
        <v>5843</v>
      </c>
      <c r="E1047" s="2" t="s">
        <v>8025</v>
      </c>
      <c r="F1047" t="s">
        <v>2366</v>
      </c>
      <c r="G1047" t="str">
        <f>VLOOKUP($F1047, codebooks_data_reordered!$A:$I, 2, FALSE)</f>
        <v>1996_Jews</v>
      </c>
      <c r="H1047" t="str">
        <f>VLOOKUP($F1047, codebooks_data_reordered!$A:$I, 3, FALSE)</f>
        <v>CLOSER TO LIKUD/LABOR ON THE FOLLOWING ISSUES</v>
      </c>
      <c r="I1047" t="str">
        <f>VLOOKUP($F1047, codebooks_data_reordered!$A:$I, 4, FALSE)</f>
        <v>1</v>
      </c>
      <c r="J1047" t="str">
        <f>VLOOKUP($F1047, codebooks_data_reordered!$A:$I, 5, FALSE)</f>
        <v>101</v>
      </c>
      <c r="K1047" t="str">
        <f>VLOOKUP($F1047, codebooks_data_reordered!$A:$I, 6, FALSE)</f>
        <v>Party most capable of handling economic issues</v>
      </c>
      <c r="L1047">
        <f>VLOOKUP($F1047, codebooks_data_reordered!$A:$I, 7, FALSE)</f>
        <v>0</v>
      </c>
      <c r="M1047" t="str">
        <f>VLOOKUP($F1047, codebooks_data_reordered!$A:$I, 9, FALSE)</f>
        <v>1: Labor; 2: Likud; 3: Equally capable; 4: Neither</v>
      </c>
      <c r="O1047" s="2" t="str">
        <f t="shared" si="16"/>
        <v>1: Labor
 2: Likud
 3: Equally capable
 4: Neither</v>
      </c>
    </row>
    <row r="1048" spans="1:15" ht="72" hidden="1" x14ac:dyDescent="0.3">
      <c r="A1048" t="s">
        <v>8272</v>
      </c>
      <c r="B1048" t="s">
        <v>8279</v>
      </c>
      <c r="C1048" s="2" t="s">
        <v>8280</v>
      </c>
      <c r="D1048" t="s">
        <v>5843</v>
      </c>
      <c r="E1048" s="2" t="s">
        <v>8281</v>
      </c>
      <c r="F1048" t="s">
        <v>1653</v>
      </c>
      <c r="G1048" t="str">
        <f>VLOOKUP($F1048, codebooks_data_reordered!$A:$I, 2, FALSE)</f>
        <v>2001</v>
      </c>
      <c r="H1048" t="str">
        <f>VLOOKUP($F1048, codebooks_data_reordered!$A:$I, 3, FALSE)</f>
        <v>General political attitudes and behavior</v>
      </c>
      <c r="I1048" t="str">
        <f>VLOOKUP($F1048, codebooks_data_reordered!$A:$I, 4, FALSE)</f>
        <v>1</v>
      </c>
      <c r="J1048" t="str">
        <f>VLOOKUP($F1048, codebooks_data_reordered!$A:$I, 5, FALSE)</f>
        <v>105</v>
      </c>
      <c r="K1048" t="str">
        <f>VLOOKUP($F1048, codebooks_data_reordered!$A:$I, 6, FALSE)</f>
        <v>Inclusion of ministers from Arab parties in government</v>
      </c>
      <c r="L1048">
        <f>VLOOKUP($F1048, codebooks_data_reordered!$A:$I, 7, FALSE)</f>
        <v>0</v>
      </c>
      <c r="M1048" t="str">
        <f>VLOOKUP($F1048, codebooks_data_reordered!$A:$I, 9, FALSE)</f>
        <v>1: Certanly disagree; 2: Do not agree; 3: Agree; 4: Certanly agree</v>
      </c>
      <c r="O1048" s="2" t="str">
        <f t="shared" si="16"/>
        <v>1: Certanly disagree
 2: Do not agree
 3: Agree
 4: Certanly agree</v>
      </c>
    </row>
    <row r="1049" spans="1:15" ht="409.6" hidden="1" x14ac:dyDescent="0.3">
      <c r="A1049" t="s">
        <v>8272</v>
      </c>
      <c r="B1049" t="s">
        <v>8282</v>
      </c>
      <c r="C1049" s="2" t="s">
        <v>8283</v>
      </c>
      <c r="D1049" t="s">
        <v>5843</v>
      </c>
      <c r="E1049" s="2" t="s">
        <v>8284</v>
      </c>
      <c r="F1049" t="s">
        <v>2159</v>
      </c>
      <c r="G1049" t="str">
        <f>VLOOKUP($F1049, codebooks_data_reordered!$A:$I, 2, FALSE)</f>
        <v>1999_1</v>
      </c>
      <c r="H1049" t="str">
        <f>VLOOKUP($F1049, codebooks_data_reordered!$A:$I, 3, FALSE)</f>
        <v>VOTING PATTERNS</v>
      </c>
      <c r="I1049" t="str">
        <f>VLOOKUP($F1049, codebooks_data_reordered!$A:$I, 4, FALSE)</f>
        <v>3</v>
      </c>
      <c r="J1049" t="str">
        <f>VLOOKUP($F1049, codebooks_data_reordered!$A:$I, 5, FALSE)</f>
        <v>15-16</v>
      </c>
      <c r="K1049" t="str">
        <f>VLOOKUP($F1049, codebooks_data_reordered!$A:$I, 6, FALSE)</f>
        <v>Party vote, if elections were held today</v>
      </c>
      <c r="L1049">
        <f>VLOOKUP($F1049, codebooks_data_reordered!$A:$I, 7, FALSE)</f>
        <v>0</v>
      </c>
      <c r="M1049" t="str">
        <f>VLOOKUP($F1049, codebooks_data_reordered!$A:$I, 9, FALSE)</f>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c r="O1049" s="2" t="str">
        <f t="shared" si="16"/>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row>
    <row r="1050" spans="1:15" ht="57.6" hidden="1" x14ac:dyDescent="0.3">
      <c r="A1050" t="s">
        <v>8272</v>
      </c>
      <c r="B1050" t="s">
        <v>6242</v>
      </c>
      <c r="C1050" s="2" t="s">
        <v>8285</v>
      </c>
      <c r="D1050" t="s">
        <v>5843</v>
      </c>
      <c r="E1050" s="2" t="s">
        <v>8286</v>
      </c>
      <c r="F1050" t="s">
        <v>3809</v>
      </c>
      <c r="G1050" t="str">
        <f>VLOOKUP($F1050, codebooks_data_reordered!$A:$I, 2, FALSE)</f>
        <v>1988_N=873</v>
      </c>
      <c r="H1050" t="str">
        <f>VLOOKUP($F1050, codebooks_data_reordered!$A:$I, 3, FALSE)</f>
        <v>FOR WHICH PARTIES WOULD YOU VOTE FOR IF NO LIMITATION IS POSED</v>
      </c>
      <c r="I1050" t="str">
        <f>VLOOKUP($F1050, codebooks_data_reordered!$A:$I, 4, FALSE)</f>
        <v>1</v>
      </c>
      <c r="J1050" t="str">
        <f>VLOOKUP($F1050, codebooks_data_reordered!$A:$I, 5, FALSE)</f>
        <v>165-166</v>
      </c>
      <c r="K1050" t="str">
        <f>VLOOKUP($F1050, codebooks_data_reordered!$A:$I, 6, FALSE)</f>
        <v>Basis for above estimate</v>
      </c>
      <c r="L1050">
        <f>VLOOKUP($F1050, codebooks_data_reordered!$A:$I, 7, FALSE)</f>
        <v>0</v>
      </c>
      <c r="M1050">
        <f>VLOOKUP($F1050, codebooks_data_reordered!$A:$I, 9, FALSE)</f>
        <v>0</v>
      </c>
      <c r="O1050" s="2" t="str">
        <f t="shared" si="16"/>
        <v>0</v>
      </c>
    </row>
    <row r="1051" spans="1:15" ht="158.4" hidden="1" x14ac:dyDescent="0.3">
      <c r="A1051" t="s">
        <v>8272</v>
      </c>
      <c r="B1051" t="s">
        <v>8287</v>
      </c>
      <c r="C1051" s="2" t="s">
        <v>8030</v>
      </c>
      <c r="D1051" t="s">
        <v>5843</v>
      </c>
      <c r="E1051" s="2" t="s">
        <v>8031</v>
      </c>
      <c r="F1051" t="s">
        <v>1768</v>
      </c>
      <c r="G1051" t="str">
        <f>VLOOKUP($F1051, codebooks_data_reordered!$A:$I, 2, FALSE)</f>
        <v>1999_1</v>
      </c>
      <c r="H1051" t="str">
        <f>VLOOKUP($F1051, codebooks_data_reordered!$A:$I, 3, FALSE)</f>
        <v>GENERAL POLITICAL ATTITUDE</v>
      </c>
      <c r="I1051" t="str">
        <f>VLOOKUP($F1051, codebooks_data_reordered!$A:$I, 4, FALSE)</f>
        <v>1</v>
      </c>
      <c r="J1051" t="str">
        <f>VLOOKUP($F1051, codebooks_data_reordered!$A:$I, 5, FALSE)</f>
        <v>15</v>
      </c>
      <c r="K1051" t="str">
        <f>VLOOKUP($F1051, codebooks_data_reordered!$A:$I, 6, FALSE)</f>
        <v>Danger of conflict with Arab world compared to pre-Peace-process</v>
      </c>
      <c r="L1051">
        <f>VLOOKUP($F1051, codebooks_data_reordered!$A:$I, 7, FALSE)</f>
        <v>0</v>
      </c>
      <c r="M1051" t="str">
        <f>VLOOKUP($F1051, codebooks_data_reordered!$A:$I, 9, FALSE)</f>
        <v>1: Greatly increased; 2: Increased; 3: Decreased; 4: Greatly decreased</v>
      </c>
      <c r="O1051" s="2" t="str">
        <f t="shared" si="16"/>
        <v>1: Greatly increased
 2: Increased
 3: Decreased
 4: Greatly decreased</v>
      </c>
    </row>
    <row r="1052" spans="1:15" ht="100.8" hidden="1" x14ac:dyDescent="0.3">
      <c r="A1052" t="s">
        <v>8272</v>
      </c>
      <c r="B1052" t="s">
        <v>8219</v>
      </c>
      <c r="C1052" s="2" t="s">
        <v>6504</v>
      </c>
      <c r="D1052" t="s">
        <v>5843</v>
      </c>
      <c r="E1052" s="2" t="s">
        <v>6505</v>
      </c>
      <c r="F1052" t="s">
        <v>1777</v>
      </c>
      <c r="G1052" t="str">
        <f>VLOOKUP($F1052, codebooks_data_reordered!$A:$I, 2, FALSE)</f>
        <v>1999_1</v>
      </c>
      <c r="H1052" t="str">
        <f>VLOOKUP($F1052, codebooks_data_reordered!$A:$I, 3, FALSE)</f>
        <v>GENERAL POLITICAL ATTITUDE</v>
      </c>
      <c r="I1052" t="str">
        <f>VLOOKUP($F1052, codebooks_data_reordered!$A:$I, 4, FALSE)</f>
        <v>1</v>
      </c>
      <c r="J1052" t="str">
        <f>VLOOKUP($F1052, codebooks_data_reordered!$A:$I, 5, FALSE)</f>
        <v>18</v>
      </c>
      <c r="K1052" t="str">
        <f>VLOOKUP($F1052, codebooks_data_reordered!$A:$I, 6, FALSE)</f>
        <v>Religion should be separated from State</v>
      </c>
      <c r="L1052" t="str">
        <f>VLOOKUP($F1052, codebooks_data_reordered!$A:$I, 7, FALSE)</f>
        <v>Agreement with statement on 1-7 scale</v>
      </c>
      <c r="M1052" t="str">
        <f>VLOOKUP($F1052, codebooks_data_reordered!$A:$I, 9, FALSE)</f>
        <v>1: Strongly disagree; 7: Strongly agree</v>
      </c>
      <c r="O1052" s="2" t="str">
        <f t="shared" si="16"/>
        <v>1: Strongly disagree
 7: Strongly agree</v>
      </c>
    </row>
    <row r="1053" spans="1:15" ht="57.6" hidden="1" x14ac:dyDescent="0.3">
      <c r="A1053" t="s">
        <v>8272</v>
      </c>
      <c r="B1053" t="s">
        <v>8288</v>
      </c>
      <c r="C1053" s="2" t="s">
        <v>8289</v>
      </c>
      <c r="D1053" t="s">
        <v>5843</v>
      </c>
      <c r="E1053" s="2" t="s">
        <v>8290</v>
      </c>
      <c r="F1053" t="s">
        <v>1795</v>
      </c>
      <c r="G1053" t="str">
        <f>VLOOKUP($F1053, codebooks_data_reordered!$A:$I, 2, FALSE)</f>
        <v>1999_1</v>
      </c>
      <c r="H1053" t="str">
        <f>VLOOKUP($F1053, codebooks_data_reordered!$A:$I, 3, FALSE)</f>
        <v>GENERAL POLITICAL ATTITUDE</v>
      </c>
      <c r="I1053" t="str">
        <f>VLOOKUP($F1053, codebooks_data_reordered!$A:$I, 4, FALSE)</f>
        <v>1</v>
      </c>
      <c r="J1053" t="str">
        <f>VLOOKUP($F1053, codebooks_data_reordered!$A:$I, 5, FALSE)</f>
        <v>25-26</v>
      </c>
      <c r="K1053" t="str">
        <f>VLOOKUP($F1053, codebooks_data_reordered!$A:$I, 6, FALSE)</f>
        <v>Estimate Israeli public support for a Palestinian State (percentage)</v>
      </c>
      <c r="L1053">
        <f>VLOOKUP($F1053, codebooks_data_reordered!$A:$I, 7, FALSE)</f>
        <v>0</v>
      </c>
      <c r="M1053">
        <f>VLOOKUP($F1053, codebooks_data_reordered!$A:$I, 9, FALSE)</f>
        <v>0</v>
      </c>
      <c r="O1053" s="2" t="str">
        <f t="shared" si="16"/>
        <v>0</v>
      </c>
    </row>
    <row r="1054" spans="1:15" ht="115.2" hidden="1" x14ac:dyDescent="0.3">
      <c r="A1054" t="s">
        <v>8272</v>
      </c>
      <c r="B1054" t="s">
        <v>8291</v>
      </c>
      <c r="C1054" s="2" t="s">
        <v>8292</v>
      </c>
      <c r="D1054" t="s">
        <v>5843</v>
      </c>
      <c r="E1054" s="2" t="s">
        <v>8293</v>
      </c>
      <c r="F1054" t="s">
        <v>96</v>
      </c>
      <c r="G1054" t="str">
        <f>VLOOKUP($F1054, codebooks_data_reordered!$A:$I, 2, FALSE)</f>
        <v>2006</v>
      </c>
      <c r="H1054" t="str">
        <f>VLOOKUP($F1054, codebooks_data_reordered!$A:$I, 3, FALSE)</f>
        <v>Pre-Election Survey</v>
      </c>
      <c r="I1054" t="str">
        <f>VLOOKUP($F1054, codebooks_data_reordered!$A:$I, 4, FALSE)</f>
        <v>1</v>
      </c>
      <c r="J1054" t="str">
        <f>VLOOKUP($F1054, codebooks_data_reordered!$A:$I, 5, FALSE)</f>
        <v>27</v>
      </c>
      <c r="K1054" t="str">
        <f>VLOOKUP($F1054, codebooks_data_reordered!$A:$I, 6, FALSE)</f>
        <v>Peace agreement to conclude Arab-Israeli conflict</v>
      </c>
      <c r="L1054" t="str">
        <f>VLOOKUP($F1054, codebooks_data_reordered!$A:$I, 7, FALSE)</f>
        <v>22. If there will be a peace agreement with the Palestinians and the Arab states, do you think the Israeli  Arab conflict will come to an end?</v>
      </c>
      <c r="M1054" t="str">
        <f>VLOOKUP($F1054, codebooks_data_reordered!$A:$I, 9, FALSE)</f>
        <v>1: I'm sure it will come to an end; 2: I think it will come to an end; 3: I think it won't come to an end; 4: I'm sure it won't come to an end</v>
      </c>
      <c r="O1054" s="2" t="str">
        <f t="shared" si="16"/>
        <v>1: I'm sure it will come to an end
 2: I think it will come to an end
 3: I think it won't come to an end
 4: I'm sure it won't come to an end</v>
      </c>
    </row>
    <row r="1055" spans="1:15" ht="100.8" hidden="1" x14ac:dyDescent="0.3">
      <c r="A1055" t="s">
        <v>8272</v>
      </c>
      <c r="B1055" t="s">
        <v>6642</v>
      </c>
      <c r="C1055" s="2" t="s">
        <v>6504</v>
      </c>
      <c r="D1055" t="s">
        <v>5843</v>
      </c>
      <c r="E1055" s="2" t="s">
        <v>6505</v>
      </c>
      <c r="F1055" t="s">
        <v>1806</v>
      </c>
      <c r="G1055" t="str">
        <f>VLOOKUP($F1055, codebooks_data_reordered!$A:$I, 2, FALSE)</f>
        <v>1999_1</v>
      </c>
      <c r="H1055" t="str">
        <f>VLOOKUP($F1055, codebooks_data_reordered!$A:$I, 3, FALSE)</f>
        <v>GENERAL POLITICAL ATTITUDE</v>
      </c>
      <c r="I1055" t="str">
        <f>VLOOKUP($F1055, codebooks_data_reordered!$A:$I, 4, FALSE)</f>
        <v>1</v>
      </c>
      <c r="J1055" t="str">
        <f>VLOOKUP($F1055, codebooks_data_reordered!$A:$I, 5, FALSE)</f>
        <v>30</v>
      </c>
      <c r="K1055" t="str">
        <f>VLOOKUP($F1055, codebooks_data_reordered!$A:$I, 6, FALSE)</f>
        <v>What should be emphasized to prevent war between Israel and the Arab world?</v>
      </c>
      <c r="L1055">
        <f>VLOOKUP($F1055, codebooks_data_reordered!$A:$I, 7, FALSE)</f>
        <v>0</v>
      </c>
      <c r="M1055" t="str">
        <f>VLOOKUP($F1055, codebooks_data_reordered!$A:$I, 9, FALSE)</f>
        <v>1: Focus on Peace talks; 2: Increase military power</v>
      </c>
      <c r="O1055" s="2" t="str">
        <f t="shared" si="16"/>
        <v>1: Focus on Peace talks
 2: Increase military power</v>
      </c>
    </row>
    <row r="1056" spans="1:15" ht="100.8" hidden="1" x14ac:dyDescent="0.3">
      <c r="A1056" t="s">
        <v>8272</v>
      </c>
      <c r="B1056" t="s">
        <v>8294</v>
      </c>
      <c r="C1056" s="2" t="s">
        <v>8295</v>
      </c>
      <c r="D1056" t="s">
        <v>5843</v>
      </c>
      <c r="E1056" s="2" t="s">
        <v>8296</v>
      </c>
      <c r="F1056" t="s">
        <v>1781</v>
      </c>
      <c r="G1056" t="str">
        <f>VLOOKUP($F1056, codebooks_data_reordered!$A:$I, 2, FALSE)</f>
        <v>1999_1</v>
      </c>
      <c r="H1056" t="str">
        <f>VLOOKUP($F1056, codebooks_data_reordered!$A:$I, 3, FALSE)</f>
        <v>GENERAL POLITICAL ATTITUDE</v>
      </c>
      <c r="I1056" t="str">
        <f>VLOOKUP($F1056, codebooks_data_reordered!$A:$I, 4, FALSE)</f>
        <v>1</v>
      </c>
      <c r="J1056" t="str">
        <f>VLOOKUP($F1056, codebooks_data_reordered!$A:$I, 5, FALSE)</f>
        <v>20</v>
      </c>
      <c r="K1056" t="str">
        <f>VLOOKUP($F1056, codebooks_data_reordered!$A:$I, 6, FALSE)</f>
        <v>Jewish religious law should take precedence over democracy</v>
      </c>
      <c r="L1056" t="str">
        <f>VLOOKUP($F1056, codebooks_data_reordered!$A:$I, 7, FALSE)</f>
        <v>Agreement with statement on 1-7 scale</v>
      </c>
      <c r="M1056" t="str">
        <f>VLOOKUP($F1056, codebooks_data_reordered!$A:$I, 9, FALSE)</f>
        <v>1: Strongly disagree; 7: Strongly agree</v>
      </c>
      <c r="O1056" s="2" t="str">
        <f t="shared" si="16"/>
        <v>1: Strongly disagree
 7: Strongly agree</v>
      </c>
    </row>
    <row r="1057" spans="1:15" ht="201.6" hidden="1" x14ac:dyDescent="0.3">
      <c r="A1057" t="s">
        <v>8272</v>
      </c>
      <c r="B1057" t="s">
        <v>8222</v>
      </c>
      <c r="C1057" s="2" t="s">
        <v>8297</v>
      </c>
      <c r="D1057" t="s">
        <v>5843</v>
      </c>
      <c r="E1057" s="2" t="s">
        <v>8298</v>
      </c>
      <c r="F1057" t="s">
        <v>1801</v>
      </c>
      <c r="G1057" t="str">
        <f>VLOOKUP($F1057, codebooks_data_reordered!$A:$I, 2, FALSE)</f>
        <v>1999_1</v>
      </c>
      <c r="H1057" t="str">
        <f>VLOOKUP($F1057, codebooks_data_reordered!$A:$I, 3, FALSE)</f>
        <v>GENERAL POLITICAL ATTITUDE</v>
      </c>
      <c r="I1057" t="str">
        <f>VLOOKUP($F1057, codebooks_data_reordered!$A:$I, 4, FALSE)</f>
        <v>1</v>
      </c>
      <c r="J1057" t="str">
        <f>VLOOKUP($F1057, codebooks_data_reordered!$A:$I, 5, FALSE)</f>
        <v>28</v>
      </c>
      <c r="K1057" t="str">
        <f>VLOOKUP($F1057, codebooks_data_reordered!$A:$I, 6, FALSE)</f>
        <v>Should government encourage Arab emmigration from Israel?</v>
      </c>
      <c r="L1057">
        <f>VLOOKUP($F1057, codebooks_data_reordered!$A:$I, 7, FALSE)</f>
        <v>0</v>
      </c>
      <c r="M1057" t="str">
        <f>VLOOKUP($F1057, codebooks_data_reordered!$A:$I, 9, FALSE)</f>
        <v>1: Definitely yes; 2: Yes; 3: No; 4: Definitely not</v>
      </c>
      <c r="O1057" s="2" t="str">
        <f t="shared" si="16"/>
        <v>1: Definitely yes
 2: Yes
 3: No
 4: Definitely not</v>
      </c>
    </row>
    <row r="1058" spans="1:15" ht="158.4" hidden="1" x14ac:dyDescent="0.3">
      <c r="A1058" t="s">
        <v>8272</v>
      </c>
      <c r="B1058" t="s">
        <v>8228</v>
      </c>
      <c r="C1058" s="2" t="s">
        <v>8299</v>
      </c>
      <c r="D1058" t="s">
        <v>5843</v>
      </c>
      <c r="E1058" s="2" t="s">
        <v>8300</v>
      </c>
      <c r="F1058" t="s">
        <v>735</v>
      </c>
      <c r="G1058" t="str">
        <f>VLOOKUP($F1058, codebooks_data_reordered!$A:$I, 2, FALSE)</f>
        <v>2006</v>
      </c>
      <c r="H1058" t="str">
        <f>VLOOKUP($F1058, codebooks_data_reordered!$A:$I, 3, FALSE)</f>
        <v>Self-identity</v>
      </c>
      <c r="I1058" t="str">
        <f>VLOOKUP($F1058, codebooks_data_reordered!$A:$I, 4, FALSE)</f>
        <v>1</v>
      </c>
      <c r="J1058" t="str">
        <f>VLOOKUP($F1058, codebooks_data_reordered!$A:$I, 5, FALSE)</f>
        <v>266</v>
      </c>
      <c r="K1058" t="str">
        <f>VLOOKUP($F1058, codebooks_data_reordered!$A:$I, 6, FALSE)</f>
        <v>Minimum threshold for representation in the Knesset</v>
      </c>
      <c r="L1058" t="str">
        <f>VLOOKUP($F1058, codebooks_data_reordered!$A:$I, 7, FALSE)</f>
        <v>51. To the best of your knowledge, what is the minimum threshold for representation in the Knesset?</v>
      </c>
      <c r="M1058" t="str">
        <f>VLOOKUP($F1058, codebooks_data_reordered!$A:$I, 9, FALSE)</f>
        <v>1: 2%; 2: Wrong answer; 8: Don't know</v>
      </c>
      <c r="O1058" s="2" t="str">
        <f t="shared" si="16"/>
        <v>1: 2%
 2: Wrong answer
 8: Don't know</v>
      </c>
    </row>
    <row r="1059" spans="1:15" ht="216" hidden="1" x14ac:dyDescent="0.3">
      <c r="A1059" t="s">
        <v>8272</v>
      </c>
      <c r="B1059" t="s">
        <v>6535</v>
      </c>
      <c r="C1059" s="2" t="s">
        <v>8301</v>
      </c>
      <c r="D1059" t="s">
        <v>5843</v>
      </c>
      <c r="E1059" s="2" t="s">
        <v>8302</v>
      </c>
      <c r="F1059" t="s">
        <v>3136</v>
      </c>
      <c r="G1059" t="str">
        <f>VLOOKUP($F1059, codebooks_data_reordered!$A:$I, 2, FALSE)</f>
        <v>1988_Panel_N=416</v>
      </c>
      <c r="H1059" t="str">
        <f>VLOOKUP($F1059, codebooks_data_reordered!$A:$I, 3, FALSE)</f>
        <v>WHICH OF THE FOLLOWING WOULD YOU BE WILLING TO GIVE TO MAINTAIN/STRENGTHEN THE SECURITY</v>
      </c>
      <c r="I1059" t="str">
        <f>VLOOKUP($F1059, codebooks_data_reordered!$A:$I, 4, FALSE)</f>
        <v>1</v>
      </c>
      <c r="J1059" t="str">
        <f>VLOOKUP($F1059, codebooks_data_reordered!$A:$I, 5, FALSE)</f>
        <v>113</v>
      </c>
      <c r="K1059" t="str">
        <f>VLOOKUP($F1059, codebooks_data_reordered!$A:$I, 6, FALSE)</f>
        <v>Should security considerations override the law</v>
      </c>
      <c r="L1059">
        <f>VLOOKUP($F1059, codebooks_data_reordered!$A:$I, 7, FALSE)</f>
        <v>0</v>
      </c>
      <c r="M1059" t="str">
        <f>VLOOKUP($F1059, codebooks_data_reordered!$A:$I, 9, FALSE)</f>
        <v>1: Security considerations should override all others; 7: Security should not override</v>
      </c>
      <c r="O1059" s="2" t="str">
        <f t="shared" si="16"/>
        <v>1: Security considerations should override all others
 7: Security should not override</v>
      </c>
    </row>
    <row r="1060" spans="1:15" ht="216" hidden="1" x14ac:dyDescent="0.3">
      <c r="A1060" t="s">
        <v>8272</v>
      </c>
      <c r="B1060" t="s">
        <v>8303</v>
      </c>
      <c r="C1060" s="2" t="s">
        <v>8301</v>
      </c>
      <c r="D1060" t="s">
        <v>5843</v>
      </c>
      <c r="E1060" s="2" t="s">
        <v>8302</v>
      </c>
      <c r="F1060" t="s">
        <v>3139</v>
      </c>
      <c r="G1060" t="str">
        <f>VLOOKUP($F1060, codebooks_data_reordered!$A:$I, 2, FALSE)</f>
        <v>1988_Panel_N=416</v>
      </c>
      <c r="H1060" t="str">
        <f>VLOOKUP($F1060, codebooks_data_reordered!$A:$I, 3, FALSE)</f>
        <v>WHICH OF THE FOLLOWING WOULD YOU BE WILLING TO GIVE TO MAINTAIN/STRENGTHEN THE SECURITY</v>
      </c>
      <c r="I1060" t="str">
        <f>VLOOKUP($F1060, codebooks_data_reordered!$A:$I, 4, FALSE)</f>
        <v>1</v>
      </c>
      <c r="J1060" t="str">
        <f>VLOOKUP($F1060, codebooks_data_reordered!$A:$I, 5, FALSE)</f>
        <v>114</v>
      </c>
      <c r="K1060" t="str">
        <f>VLOOKUP($F1060, codebooks_data_reordered!$A:$I, 6, FALSE)</f>
        <v>How does the current leadership view the security/law dichotomy</v>
      </c>
      <c r="L1060">
        <f>VLOOKUP($F1060, codebooks_data_reordered!$A:$I, 7, FALSE)</f>
        <v>0</v>
      </c>
      <c r="M1060" t="str">
        <f>VLOOKUP($F1060, codebooks_data_reordered!$A:$I, 9, FALSE)</f>
        <v>1: Always prefers security considerations; 2: Usually prefers security considerations; 3: Usually prefers the law; 4: Always prefers the law</v>
      </c>
      <c r="O1060" s="2" t="str">
        <f t="shared" si="16"/>
        <v>1: Always prefers security considerations
 2: Usually prefers security considerations
 3: Usually prefers the law
 4: Always prefers the law</v>
      </c>
    </row>
    <row r="1061" spans="1:15" ht="129.6" hidden="1" x14ac:dyDescent="0.3">
      <c r="A1061" t="s">
        <v>8272</v>
      </c>
      <c r="B1061" t="s">
        <v>6541</v>
      </c>
      <c r="C1061" s="2" t="s">
        <v>8304</v>
      </c>
      <c r="D1061" t="s">
        <v>5843</v>
      </c>
      <c r="E1061" s="2" t="s">
        <v>8305</v>
      </c>
      <c r="F1061" t="s">
        <v>1808</v>
      </c>
      <c r="G1061" t="str">
        <f>VLOOKUP($F1061, codebooks_data_reordered!$A:$I, 2, FALSE)</f>
        <v>1999_1</v>
      </c>
      <c r="H1061" t="str">
        <f>VLOOKUP($F1061, codebooks_data_reordered!$A:$I, 3, FALSE)</f>
        <v>GENERAL POLITICAL ATTITUDE</v>
      </c>
      <c r="I1061" t="str">
        <f>VLOOKUP($F1061, codebooks_data_reordered!$A:$I, 4, FALSE)</f>
        <v>1</v>
      </c>
      <c r="J1061" t="str">
        <f>VLOOKUP($F1061, codebooks_data_reordered!$A:$I, 5, FALSE)</f>
        <v>31</v>
      </c>
      <c r="K1061" t="str">
        <f>VLOOKUP($F1061, codebooks_data_reordered!$A:$I, 6, FALSE)</f>
        <v>Are you or your family worried about being injured by Arabs in daily life?</v>
      </c>
      <c r="L1061">
        <f>VLOOKUP($F1061, codebooks_data_reordered!$A:$I, 7, FALSE)</f>
        <v>0</v>
      </c>
      <c r="M1061" t="str">
        <f>VLOOKUP($F1061, codebooks_data_reordered!$A:$I, 9, FALSE)</f>
        <v>1: Very worried; 2: Worried; 3: Not worried; 4: Not worried at all</v>
      </c>
      <c r="O1061" s="2" t="str">
        <f t="shared" si="16"/>
        <v>1: Very worried
 2: Worried
 3: Not worried
 4: Not worried at all</v>
      </c>
    </row>
    <row r="1062" spans="1:15" ht="115.2" hidden="1" x14ac:dyDescent="0.3">
      <c r="A1062" t="s">
        <v>8272</v>
      </c>
      <c r="B1062" t="s">
        <v>8306</v>
      </c>
      <c r="C1062" s="2" t="s">
        <v>8307</v>
      </c>
      <c r="D1062" t="s">
        <v>5843</v>
      </c>
      <c r="E1062" s="2" t="s">
        <v>8308</v>
      </c>
      <c r="F1062" t="s">
        <v>9342</v>
      </c>
      <c r="G1062" t="e">
        <f>VLOOKUP($F1062, codebooks_data_reordered!$A:$I, 2, FALSE)</f>
        <v>#N/A</v>
      </c>
      <c r="H1062" t="e">
        <f>VLOOKUP($F1062, codebooks_data_reordered!$A:$I, 3, FALSE)</f>
        <v>#N/A</v>
      </c>
      <c r="I1062" t="e">
        <f>VLOOKUP($F1062, codebooks_data_reordered!$A:$I, 4, FALSE)</f>
        <v>#N/A</v>
      </c>
      <c r="J1062" t="e">
        <f>VLOOKUP($F1062, codebooks_data_reordered!$A:$I, 5, FALSE)</f>
        <v>#N/A</v>
      </c>
      <c r="K1062" t="e">
        <f>VLOOKUP($F1062, codebooks_data_reordered!$A:$I, 6, FALSE)</f>
        <v>#N/A</v>
      </c>
      <c r="L1062" t="e">
        <f>VLOOKUP($F1062, codebooks_data_reordered!$A:$I, 7, FALSE)</f>
        <v>#N/A</v>
      </c>
      <c r="M1062" t="e">
        <f>VLOOKUP($F1062, codebooks_data_reordered!$A:$I, 9, FALSE)</f>
        <v>#N/A</v>
      </c>
      <c r="O1062" t="e">
        <f t="shared" si="16"/>
        <v>#N/A</v>
      </c>
    </row>
    <row r="1063" spans="1:15" ht="216" hidden="1" x14ac:dyDescent="0.3">
      <c r="A1063" t="s">
        <v>8272</v>
      </c>
      <c r="B1063" t="s">
        <v>8309</v>
      </c>
      <c r="C1063" s="2" t="s">
        <v>8310</v>
      </c>
      <c r="D1063" t="s">
        <v>5843</v>
      </c>
      <c r="E1063" s="2" t="s">
        <v>8311</v>
      </c>
      <c r="F1063" t="s">
        <v>9343</v>
      </c>
      <c r="G1063" t="e">
        <f>VLOOKUP($F1063, codebooks_data_reordered!$A:$I, 2, FALSE)</f>
        <v>#N/A</v>
      </c>
      <c r="H1063" t="e">
        <f>VLOOKUP($F1063, codebooks_data_reordered!$A:$I, 3, FALSE)</f>
        <v>#N/A</v>
      </c>
      <c r="I1063" t="e">
        <f>VLOOKUP($F1063, codebooks_data_reordered!$A:$I, 4, FALSE)</f>
        <v>#N/A</v>
      </c>
      <c r="J1063" t="e">
        <f>VLOOKUP($F1063, codebooks_data_reordered!$A:$I, 5, FALSE)</f>
        <v>#N/A</v>
      </c>
      <c r="K1063" t="e">
        <f>VLOOKUP($F1063, codebooks_data_reordered!$A:$I, 6, FALSE)</f>
        <v>#N/A</v>
      </c>
      <c r="L1063" t="e">
        <f>VLOOKUP($F1063, codebooks_data_reordered!$A:$I, 7, FALSE)</f>
        <v>#N/A</v>
      </c>
      <c r="M1063" t="e">
        <f>VLOOKUP($F1063, codebooks_data_reordered!$A:$I, 9, FALSE)</f>
        <v>#N/A</v>
      </c>
      <c r="O1063" t="e">
        <f t="shared" si="16"/>
        <v>#N/A</v>
      </c>
    </row>
    <row r="1064" spans="1:15" ht="100.8" hidden="1" x14ac:dyDescent="0.3">
      <c r="A1064" t="s">
        <v>8272</v>
      </c>
      <c r="B1064" t="s">
        <v>8042</v>
      </c>
      <c r="C1064" s="2" t="s">
        <v>8312</v>
      </c>
      <c r="D1064" t="s">
        <v>5843</v>
      </c>
      <c r="E1064" s="2" t="s">
        <v>8313</v>
      </c>
      <c r="F1064" t="s">
        <v>1836</v>
      </c>
      <c r="G1064" t="str">
        <f>VLOOKUP($F1064, codebooks_data_reordered!$A:$I, 2, FALSE)</f>
        <v>1999_1</v>
      </c>
      <c r="H1064" t="str">
        <f>VLOOKUP($F1064, codebooks_data_reordered!$A:$I, 3, FALSE)</f>
        <v>VALUES AND TRUST</v>
      </c>
      <c r="I1064" t="str">
        <f>VLOOKUP($F1064, codebooks_data_reordered!$A:$I, 4, FALSE)</f>
        <v>1</v>
      </c>
      <c r="J1064" t="str">
        <f>VLOOKUP($F1064, codebooks_data_reordered!$A:$I, 5, FALSE)</f>
        <v>42</v>
      </c>
      <c r="K1064" t="str">
        <f>VLOOKUP($F1064, codebooks_data_reordered!$A:$I, 6, FALSE)</f>
        <v>Jewish majority in Israel as a significant value</v>
      </c>
      <c r="L1064">
        <f>VLOOKUP($F1064, codebooks_data_reordered!$A:$I, 7, FALSE)</f>
        <v>0</v>
      </c>
      <c r="M1064" t="str">
        <f>VLOOKUP($F1064, codebooks_data_reordered!$A:$I, 9, FALSE)</f>
        <v>1: Most important value; 2: Second value; 3: Third value; 4: Fourth value</v>
      </c>
      <c r="O1064" s="2" t="str">
        <f t="shared" si="16"/>
        <v>1: Most important value
 2: Second value
 3: Third value
 4: Fourth value</v>
      </c>
    </row>
    <row r="1065" spans="1:15" ht="100.8" hidden="1" x14ac:dyDescent="0.3">
      <c r="A1065" t="s">
        <v>8272</v>
      </c>
      <c r="B1065" t="s">
        <v>6661</v>
      </c>
      <c r="C1065" s="2" t="s">
        <v>8312</v>
      </c>
      <c r="D1065" t="s">
        <v>5843</v>
      </c>
      <c r="E1065" s="2" t="s">
        <v>8313</v>
      </c>
      <c r="F1065" t="s">
        <v>1838</v>
      </c>
      <c r="G1065" t="str">
        <f>VLOOKUP($F1065, codebooks_data_reordered!$A:$I, 2, FALSE)</f>
        <v>1999_1</v>
      </c>
      <c r="H1065" t="str">
        <f>VLOOKUP($F1065, codebooks_data_reordered!$A:$I, 3, FALSE)</f>
        <v>VALUES AND TRUST</v>
      </c>
      <c r="I1065" t="str">
        <f>VLOOKUP($F1065, codebooks_data_reordered!$A:$I, 4, FALSE)</f>
        <v>1</v>
      </c>
      <c r="J1065" t="str">
        <f>VLOOKUP($F1065, codebooks_data_reordered!$A:$I, 5, FALSE)</f>
        <v>43</v>
      </c>
      <c r="K1065" t="str">
        <f>VLOOKUP($F1065, codebooks_data_reordered!$A:$I, 6, FALSE)</f>
        <v>Greater Israel as a significant value</v>
      </c>
      <c r="L1065">
        <f>VLOOKUP($F1065, codebooks_data_reordered!$A:$I, 7, FALSE)</f>
        <v>0</v>
      </c>
      <c r="M1065" t="str">
        <f>VLOOKUP($F1065, codebooks_data_reordered!$A:$I, 9, FALSE)</f>
        <v>1: Most important value; 2: Second value; 3: Third value; 4: Fourth value</v>
      </c>
      <c r="O1065" s="2" t="str">
        <f t="shared" si="16"/>
        <v>1: Most important value
 2: Second value
 3: Third value
 4: Fourth value</v>
      </c>
    </row>
    <row r="1066" spans="1:15" ht="100.8" hidden="1" x14ac:dyDescent="0.3">
      <c r="A1066" t="s">
        <v>8272</v>
      </c>
      <c r="B1066" t="s">
        <v>6279</v>
      </c>
      <c r="C1066" s="2" t="s">
        <v>8312</v>
      </c>
      <c r="D1066" t="s">
        <v>5843</v>
      </c>
      <c r="E1066" s="2" t="s">
        <v>8313</v>
      </c>
      <c r="F1066" t="s">
        <v>1840</v>
      </c>
      <c r="G1066" t="str">
        <f>VLOOKUP($F1066, codebooks_data_reordered!$A:$I, 2, FALSE)</f>
        <v>1999_1</v>
      </c>
      <c r="H1066" t="str">
        <f>VLOOKUP($F1066, codebooks_data_reordered!$A:$I, 3, FALSE)</f>
        <v>VALUES AND TRUST</v>
      </c>
      <c r="I1066" t="str">
        <f>VLOOKUP($F1066, codebooks_data_reordered!$A:$I, 4, FALSE)</f>
        <v>1</v>
      </c>
      <c r="J1066" t="str">
        <f>VLOOKUP($F1066, codebooks_data_reordered!$A:$I, 5, FALSE)</f>
        <v>44</v>
      </c>
      <c r="K1066" t="str">
        <f>VLOOKUP($F1066, codebooks_data_reordered!$A:$I, 6, FALSE)</f>
        <v>Democratic State as a significant value</v>
      </c>
      <c r="L1066">
        <f>VLOOKUP($F1066, codebooks_data_reordered!$A:$I, 7, FALSE)</f>
        <v>0</v>
      </c>
      <c r="M1066" t="str">
        <f>VLOOKUP($F1066, codebooks_data_reordered!$A:$I, 9, FALSE)</f>
        <v>1: Most important value; 2: Second value; 3: Third value; 4: Fourth value</v>
      </c>
      <c r="O1066" s="2" t="str">
        <f t="shared" si="16"/>
        <v>1: Most important value
 2: Second value
 3: Third value
 4: Fourth value</v>
      </c>
    </row>
    <row r="1067" spans="1:15" ht="100.8" hidden="1" x14ac:dyDescent="0.3">
      <c r="A1067" t="s">
        <v>8272</v>
      </c>
      <c r="B1067" t="s">
        <v>6282</v>
      </c>
      <c r="C1067" s="2" t="s">
        <v>8314</v>
      </c>
      <c r="D1067" t="s">
        <v>5843</v>
      </c>
      <c r="E1067" s="2" t="s">
        <v>8315</v>
      </c>
      <c r="F1067" t="s">
        <v>1838</v>
      </c>
      <c r="G1067" t="str">
        <f>VLOOKUP($F1067, codebooks_data_reordered!$A:$I, 2, FALSE)</f>
        <v>1999_1</v>
      </c>
      <c r="H1067" t="str">
        <f>VLOOKUP($F1067, codebooks_data_reordered!$A:$I, 3, FALSE)</f>
        <v>VALUES AND TRUST</v>
      </c>
      <c r="I1067" t="str">
        <f>VLOOKUP($F1067, codebooks_data_reordered!$A:$I, 4, FALSE)</f>
        <v>1</v>
      </c>
      <c r="J1067" t="str">
        <f>VLOOKUP($F1067, codebooks_data_reordered!$A:$I, 5, FALSE)</f>
        <v>43</v>
      </c>
      <c r="K1067" t="str">
        <f>VLOOKUP($F1067, codebooks_data_reordered!$A:$I, 6, FALSE)</f>
        <v>Greater Israel as a significant value</v>
      </c>
      <c r="L1067">
        <f>VLOOKUP($F1067, codebooks_data_reordered!$A:$I, 7, FALSE)</f>
        <v>0</v>
      </c>
      <c r="M1067" t="str">
        <f>VLOOKUP($F1067, codebooks_data_reordered!$A:$I, 9, FALSE)</f>
        <v>1: Most important value; 2: Second value; 3: Third value; 4: Fourth value</v>
      </c>
      <c r="O1067" s="2" t="str">
        <f t="shared" si="16"/>
        <v>1: Most important value
 2: Second value
 3: Third value
 4: Fourth value</v>
      </c>
    </row>
    <row r="1068" spans="1:15" ht="72" hidden="1" x14ac:dyDescent="0.3">
      <c r="A1068" t="s">
        <v>8272</v>
      </c>
      <c r="B1068" t="s">
        <v>8316</v>
      </c>
      <c r="C1068" s="2" t="s">
        <v>8317</v>
      </c>
      <c r="D1068" t="s">
        <v>5843</v>
      </c>
      <c r="E1068" s="2" t="s">
        <v>8318</v>
      </c>
      <c r="F1068" t="s">
        <v>1768</v>
      </c>
      <c r="G1068" t="str">
        <f>VLOOKUP($F1068, codebooks_data_reordered!$A:$I, 2, FALSE)</f>
        <v>1999_1</v>
      </c>
      <c r="H1068" t="str">
        <f>VLOOKUP($F1068, codebooks_data_reordered!$A:$I, 3, FALSE)</f>
        <v>GENERAL POLITICAL ATTITUDE</v>
      </c>
      <c r="I1068" t="str">
        <f>VLOOKUP($F1068, codebooks_data_reordered!$A:$I, 4, FALSE)</f>
        <v>1</v>
      </c>
      <c r="J1068" t="str">
        <f>VLOOKUP($F1068, codebooks_data_reordered!$A:$I, 5, FALSE)</f>
        <v>15</v>
      </c>
      <c r="K1068" t="str">
        <f>VLOOKUP($F1068, codebooks_data_reordered!$A:$I, 6, FALSE)</f>
        <v>Danger of conflict with Arab world compared to pre-Peace-process</v>
      </c>
      <c r="L1068">
        <f>VLOOKUP($F1068, codebooks_data_reordered!$A:$I, 7, FALSE)</f>
        <v>0</v>
      </c>
      <c r="M1068" t="str">
        <f>VLOOKUP($F1068, codebooks_data_reordered!$A:$I, 9, FALSE)</f>
        <v>1: Greatly increased; 2: Increased; 3: Decreased; 4: Greatly decreased</v>
      </c>
      <c r="O1068" s="2" t="str">
        <f t="shared" si="16"/>
        <v>1: Greatly increased
 2: Increased
 3: Decreased
 4: Greatly decreased</v>
      </c>
    </row>
    <row r="1069" spans="1:15" ht="409.6" hidden="1" x14ac:dyDescent="0.3">
      <c r="A1069" t="s">
        <v>8272</v>
      </c>
      <c r="B1069" t="s">
        <v>5927</v>
      </c>
      <c r="C1069" s="2" t="s">
        <v>8319</v>
      </c>
      <c r="D1069" t="s">
        <v>5843</v>
      </c>
      <c r="E1069" s="2" t="s">
        <v>8320</v>
      </c>
      <c r="F1069" t="s">
        <v>1712</v>
      </c>
      <c r="G1069" t="str">
        <f>VLOOKUP($F1069, codebooks_data_reordered!$A:$I, 2, FALSE)</f>
        <v>2003</v>
      </c>
      <c r="H1069" t="str">
        <f>VLOOKUP($F1069, codebooks_data_reordered!$A:$I, 3, FALSE)</f>
        <v>Preference for each of the following coalitions</v>
      </c>
      <c r="I1069" t="str">
        <f>VLOOKUP($F1069, codebooks_data_reordered!$A:$I, 4, FALSE)</f>
        <v>1</v>
      </c>
      <c r="J1069" t="str">
        <f>VLOOKUP($F1069, codebooks_data_reordered!$A:$I, 5, FALSE)</f>
        <v>172-173</v>
      </c>
      <c r="K1069" t="str">
        <f>VLOOKUP($F1069, codebooks_data_reordered!$A:$I, 6, FALSE)</f>
        <v>Respondent party vote if elections were held today</v>
      </c>
      <c r="L1069" t="str">
        <f>VLOOKUP($F1069, codebooks_data_reordered!$A:$I, 7, FALSE)</f>
        <v>In this election we will vote only for the Knesset and not with two ballots. If the Knesset elections were held today, for which list would you vote?</v>
      </c>
      <c r="M1069" t="str">
        <f>VLOOKUP($F1069, codebooks_data_reordered!$A:$I, 9, FALSE)</f>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c r="O1069" s="2" t="str">
        <f t="shared" si="16"/>
        <v>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v>
      </c>
    </row>
    <row r="1070" spans="1:15" ht="115.2" hidden="1" x14ac:dyDescent="0.3">
      <c r="A1070" t="s">
        <v>8272</v>
      </c>
      <c r="B1070" t="s">
        <v>8321</v>
      </c>
      <c r="C1070" s="2" t="s">
        <v>8319</v>
      </c>
      <c r="D1070" t="s">
        <v>5843</v>
      </c>
      <c r="E1070" s="2" t="s">
        <v>8320</v>
      </c>
      <c r="F1070" t="s">
        <v>1818</v>
      </c>
      <c r="G1070" t="str">
        <f>VLOOKUP($F1070, codebooks_data_reordered!$A:$I, 2, FALSE)</f>
        <v>1999_1</v>
      </c>
      <c r="H1070" t="str">
        <f>VLOOKUP($F1070, codebooks_data_reordered!$A:$I, 3, FALSE)</f>
        <v>GENERAL POLITICAL ATTITUDE</v>
      </c>
      <c r="I1070" t="str">
        <f>VLOOKUP($F1070, codebooks_data_reordered!$A:$I, 4, FALSE)</f>
        <v>1</v>
      </c>
      <c r="J1070" t="str">
        <f>VLOOKUP($F1070, codebooks_data_reordered!$A:$I, 5, FALSE)</f>
        <v>34</v>
      </c>
      <c r="K1070" t="str">
        <f>VLOOKUP($F1070, codebooks_data_reordered!$A:$I, 6, FALSE)</f>
        <v>Extend of faith in political parties</v>
      </c>
      <c r="L1070">
        <f>VLOOKUP($F1070, codebooks_data_reordered!$A:$I, 7, FALSE)</f>
        <v>0</v>
      </c>
      <c r="M1070" t="str">
        <f>VLOOKUP($F1070, codebooks_data_reordered!$A:$I, 9, FALSE)</f>
        <v>1: Not at all; 2: A little faith; 3: Some faith; 4: Strong faith</v>
      </c>
      <c r="O1070" s="2" t="str">
        <f t="shared" si="16"/>
        <v>1: Not at all
 2: A little faith
 3: Some faith
 4: Strong faith</v>
      </c>
    </row>
    <row r="1071" spans="1:15" ht="86.4" hidden="1" x14ac:dyDescent="0.3">
      <c r="A1071" t="s">
        <v>8272</v>
      </c>
      <c r="B1071" t="s">
        <v>8322</v>
      </c>
      <c r="C1071" s="2" t="s">
        <v>8323</v>
      </c>
      <c r="D1071" t="s">
        <v>5843</v>
      </c>
      <c r="E1071" s="2" t="s">
        <v>8324</v>
      </c>
      <c r="F1071" t="s">
        <v>163</v>
      </c>
      <c r="G1071" t="str">
        <f>VLOOKUP($F1071, codebooks_data_reordered!$A:$I, 2, FALSE)</f>
        <v>2006</v>
      </c>
      <c r="H1071" t="str">
        <f>VLOOKUP($F1071, codebooks_data_reordered!$A:$I, 3, FALSE)</f>
        <v>Threat of Different Issues</v>
      </c>
      <c r="I1071" t="str">
        <f>VLOOKUP($F1071, codebooks_data_reordered!$A:$I, 4, FALSE)</f>
        <v>1</v>
      </c>
      <c r="J1071" t="str">
        <f>VLOOKUP($F1071, codebooks_data_reordered!$A:$I, 5, FALSE)</f>
        <v>44</v>
      </c>
      <c r="K1071" t="str">
        <f>VLOOKUP($F1071, codebooks_data_reordered!$A:$I, 6, FALSE)</f>
        <v>Law or security</v>
      </c>
      <c r="L1071" t="str">
        <f>VLOOKUP($F1071, codebooks_data_reordered!$A:$I, 7, FALSE)</f>
        <v>39. There are situations in which there is a contradiction between the rule of law and national security interests. In the case of such a contradiction, should the rule of law prevail or should national security interests prevail?</v>
      </c>
      <c r="M1071" t="str">
        <f>VLOOKUP($F1071, codebooks_data_reordered!$A:$I, 9, FALSE)</f>
        <v>1: The rule of law should prevail; 2: It depends; 3: National security interests should prevail</v>
      </c>
      <c r="O1071" s="2" t="str">
        <f t="shared" si="16"/>
        <v>1: The rule of law should prevail
 2: It depends
 3: National security interests should prevail</v>
      </c>
    </row>
    <row r="1072" spans="1:15" ht="72" hidden="1" x14ac:dyDescent="0.3">
      <c r="A1072" t="s">
        <v>8272</v>
      </c>
      <c r="B1072" t="s">
        <v>7234</v>
      </c>
      <c r="C1072" s="2" t="s">
        <v>8317</v>
      </c>
      <c r="D1072" t="s">
        <v>5843</v>
      </c>
      <c r="E1072" s="2" t="s">
        <v>8318</v>
      </c>
      <c r="F1072" t="s">
        <v>1771</v>
      </c>
      <c r="G1072" t="str">
        <f>VLOOKUP($F1072, codebooks_data_reordered!$A:$I, 2, FALSE)</f>
        <v>1999_1</v>
      </c>
      <c r="H1072" t="str">
        <f>VLOOKUP($F1072, codebooks_data_reordered!$A:$I, 3, FALSE)</f>
        <v>GENERAL POLITICAL ATTITUDE</v>
      </c>
      <c r="I1072" t="str">
        <f>VLOOKUP($F1072, codebooks_data_reordered!$A:$I, 4, FALSE)</f>
        <v>1</v>
      </c>
      <c r="J1072" t="str">
        <f>VLOOKUP($F1072, codebooks_data_reordered!$A:$I, 5, FALSE)</f>
        <v>16</v>
      </c>
      <c r="K1072" t="str">
        <f>VLOOKUP($F1072, codebooks_data_reordered!$A:$I, 6, FALSE)</f>
        <v>Danger of conflict with Arab world during Netanyahu's government</v>
      </c>
      <c r="L1072" t="str">
        <f>VLOOKUP($F1072, codebooks_data_reordered!$A:$I, 7, FALSE)</f>
        <v>Compared to Rabin and Peres' post-Oslo government</v>
      </c>
      <c r="M1072" t="str">
        <f>VLOOKUP($F1072, codebooks_data_reordered!$A:$I, 9, FALSE)</f>
        <v>1: Greatly increased; 2: Increased; 3: Decreased; 4: Greatly decreased</v>
      </c>
      <c r="O1072" s="2" t="str">
        <f t="shared" si="16"/>
        <v>1: Greatly increased
 2: Increased
 3: Decreased
 4: Greatly decreased</v>
      </c>
    </row>
    <row r="1073" spans="1:15" ht="360" hidden="1" x14ac:dyDescent="0.3">
      <c r="A1073" t="s">
        <v>8272</v>
      </c>
      <c r="B1073" t="s">
        <v>8325</v>
      </c>
      <c r="C1073" s="2" t="s">
        <v>8326</v>
      </c>
      <c r="D1073" t="s">
        <v>5843</v>
      </c>
      <c r="E1073" s="2" t="s">
        <v>8327</v>
      </c>
      <c r="F1073" t="s">
        <v>570</v>
      </c>
      <c r="G1073" t="str">
        <f>VLOOKUP($F1073, codebooks_data_reordered!$A:$I, 2, FALSE)</f>
        <v>2006</v>
      </c>
      <c r="H1073" t="str">
        <f>VLOOKUP($F1073, codebooks_data_reordered!$A:$I, 3, FALSE)</f>
        <v>Newspaper/TV</v>
      </c>
      <c r="I1073" t="str">
        <f>VLOOKUP($F1073, codebooks_data_reordered!$A:$I, 4, FALSE)</f>
        <v>1</v>
      </c>
      <c r="J1073" t="str">
        <f>VLOOKUP($F1073, codebooks_data_reordered!$A:$I, 5, FALSE)</f>
        <v>178-179</v>
      </c>
      <c r="K1073" t="str">
        <f>VLOOKUP($F1073, codebooks_data_reordered!$A:$I, 6, FALSE)</f>
        <v>Which TV channel</v>
      </c>
      <c r="L1073" t="str">
        <f>VLOOKUP($F1073, codebooks_data_reordered!$A:$I, 7, FALSE)</f>
        <v>67. And which TV channel do you usually watch? (do not read)</v>
      </c>
      <c r="M1073" t="str">
        <f>VLOOKUP($F1073, codebooks_data_reordered!$A:$I, 9, FALSE)</f>
        <v>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v>
      </c>
      <c r="O1073" s="2" t="str">
        <f t="shared" si="16"/>
        <v>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v>
      </c>
    </row>
    <row r="1074" spans="1:15" ht="115.2" hidden="1" x14ac:dyDescent="0.3">
      <c r="A1074" t="s">
        <v>8272</v>
      </c>
      <c r="B1074" t="s">
        <v>8250</v>
      </c>
      <c r="C1074" s="2" t="s">
        <v>6327</v>
      </c>
      <c r="D1074" t="s">
        <v>5843</v>
      </c>
      <c r="E1074" s="2" t="s">
        <v>6328</v>
      </c>
      <c r="F1074" t="s">
        <v>1960</v>
      </c>
      <c r="G1074" t="str">
        <f>VLOOKUP($F1074, codebooks_data_reordered!$A:$I, 2, FALSE)</f>
        <v>1999_1</v>
      </c>
      <c r="H1074" t="str">
        <f>VLOOKUP($F1074, codebooks_data_reordered!$A:$I, 3, FALSE)</f>
        <v>ATTITUDES TOWARD CANDIDATES FOR PM</v>
      </c>
      <c r="I1074" t="str">
        <f>VLOOKUP($F1074, codebooks_data_reordered!$A:$I, 4, FALSE)</f>
        <v>2</v>
      </c>
      <c r="J1074" t="str">
        <f>VLOOKUP($F1074, codebooks_data_reordered!$A:$I, 5, FALSE)</f>
        <v>16</v>
      </c>
      <c r="K1074" t="str">
        <f>VLOOKUP($F1074, codebooks_data_reordered!$A:$I, 6, FALSE)</f>
        <v>Barak makes me feel proud</v>
      </c>
      <c r="L1074">
        <f>VLOOKUP($F1074, codebooks_data_reordered!$A:$I, 7, FALSE)</f>
        <v>0</v>
      </c>
      <c r="M1074" t="str">
        <f>VLOOKUP($F1074, codebooks_data_reordered!$A:$I, 9, FALSE)</f>
        <v>1: Yes; 2: No</v>
      </c>
      <c r="O1074" s="2" t="str">
        <f t="shared" si="16"/>
        <v>1: Yes
 2: No</v>
      </c>
    </row>
    <row r="1075" spans="1:15" ht="57.6" hidden="1" x14ac:dyDescent="0.3">
      <c r="A1075" t="s">
        <v>8272</v>
      </c>
      <c r="B1075" t="s">
        <v>8328</v>
      </c>
      <c r="C1075" s="2" t="s">
        <v>8329</v>
      </c>
      <c r="D1075" t="s">
        <v>5986</v>
      </c>
      <c r="E1075" s="2" t="s">
        <v>8330</v>
      </c>
      <c r="F1075" t="s">
        <v>1820</v>
      </c>
      <c r="G1075" t="str">
        <f>VLOOKUP($F1075, codebooks_data_reordered!$A:$I, 2, FALSE)</f>
        <v>1999_1</v>
      </c>
      <c r="H1075" t="str">
        <f>VLOOKUP($F1075, codebooks_data_reordered!$A:$I, 3, FALSE)</f>
        <v>VALUES AND TRUST</v>
      </c>
      <c r="I1075" t="str">
        <f>VLOOKUP($F1075, codebooks_data_reordered!$A:$I, 4, FALSE)</f>
        <v>1</v>
      </c>
      <c r="J1075" t="str">
        <f>VLOOKUP($F1075, codebooks_data_reordered!$A:$I, 5, FALSE)</f>
        <v>35</v>
      </c>
      <c r="K1075" t="str">
        <f>VLOOKUP($F1075, codebooks_data_reordered!$A:$I, 6, FALSE)</f>
        <v>Extend of faith in the Prime Minister</v>
      </c>
      <c r="L1075">
        <f>VLOOKUP($F1075, codebooks_data_reordered!$A:$I, 7, FALSE)</f>
        <v>0</v>
      </c>
      <c r="M1075" t="str">
        <f>VLOOKUP($F1075, codebooks_data_reordered!$A:$I, 9, FALSE)</f>
        <v>1: Not at all; 2: A little faith; 3: Some faith; 4: Strong faith</v>
      </c>
      <c r="O1075" s="2" t="str">
        <f t="shared" si="16"/>
        <v>1: Not at all
 2: A little faith
 3: Some faith
 4: Strong faith</v>
      </c>
    </row>
    <row r="1076" spans="1:15" ht="57.6" hidden="1" x14ac:dyDescent="0.3">
      <c r="A1076" t="s">
        <v>8272</v>
      </c>
      <c r="B1076" t="s">
        <v>5971</v>
      </c>
      <c r="C1076" s="2" t="s">
        <v>8331</v>
      </c>
      <c r="D1076" t="s">
        <v>5986</v>
      </c>
      <c r="E1076" s="2" t="s">
        <v>8332</v>
      </c>
      <c r="F1076" t="s">
        <v>1824</v>
      </c>
      <c r="G1076" t="str">
        <f>VLOOKUP($F1076, codebooks_data_reordered!$A:$I, 2, FALSE)</f>
        <v>1999_1</v>
      </c>
      <c r="H1076" t="str">
        <f>VLOOKUP($F1076, codebooks_data_reordered!$A:$I, 3, FALSE)</f>
        <v>VALUES AND TRUST</v>
      </c>
      <c r="I1076" t="str">
        <f>VLOOKUP($F1076, codebooks_data_reordered!$A:$I, 4, FALSE)</f>
        <v>1</v>
      </c>
      <c r="J1076" t="str">
        <f>VLOOKUP($F1076, codebooks_data_reordered!$A:$I, 5, FALSE)</f>
        <v>37</v>
      </c>
      <c r="K1076" t="str">
        <f>VLOOKUP($F1076, codebooks_data_reordered!$A:$I, 6, FALSE)</f>
        <v>Extend of faith in State Advocacy</v>
      </c>
      <c r="L1076">
        <f>VLOOKUP($F1076, codebooks_data_reordered!$A:$I, 7, FALSE)</f>
        <v>0</v>
      </c>
      <c r="M1076" t="str">
        <f>VLOOKUP($F1076, codebooks_data_reordered!$A:$I, 9, FALSE)</f>
        <v>1: Not at all; 2: A little faith; 3: Some faith; 4: Strong faith</v>
      </c>
      <c r="O1076" s="2" t="str">
        <f t="shared" si="16"/>
        <v>1: Not at all
 2: A little faith
 3: Some faith
 4: Strong faith</v>
      </c>
    </row>
    <row r="1077" spans="1:15" ht="158.4" hidden="1" x14ac:dyDescent="0.3">
      <c r="A1077" t="s">
        <v>8272</v>
      </c>
      <c r="B1077" t="s">
        <v>8251</v>
      </c>
      <c r="C1077" s="2" t="s">
        <v>8333</v>
      </c>
      <c r="D1077" t="s">
        <v>5843</v>
      </c>
      <c r="E1077" s="2" t="s">
        <v>8334</v>
      </c>
      <c r="F1077" t="s">
        <v>1982</v>
      </c>
      <c r="G1077" t="str">
        <f>VLOOKUP($F1077, codebooks_data_reordered!$A:$I, 2, FALSE)</f>
        <v>1999_1</v>
      </c>
      <c r="H1077" t="str">
        <f>VLOOKUP($F1077, codebooks_data_reordered!$A:$I, 3, FALSE)</f>
        <v>POLITICAL SELF-DEFINITION</v>
      </c>
      <c r="I1077" t="str">
        <f>VLOOKUP($F1077, codebooks_data_reordered!$A:$I, 4, FALSE)</f>
        <v>2</v>
      </c>
      <c r="J1077" t="str">
        <f>VLOOKUP($F1077, codebooks_data_reordered!$A:$I, 5, FALSE)</f>
        <v>24</v>
      </c>
      <c r="K1077" t="str">
        <f>VLOOKUP($F1077, codebooks_data_reordered!$A:$I, 6, FALSE)</f>
        <v>Chances of moving to the opposite political wing</v>
      </c>
      <c r="L1077" t="str">
        <f>VLOOKUP($F1077, codebooks_data_reordered!$A:$I, 7, FALSE)</f>
        <v>For those who answer 4 to var. i19</v>
      </c>
      <c r="M1077" t="str">
        <f>VLOOKUP($F1077, codebooks_data_reordered!$A:$I, 9, FALSE)</f>
        <v>1: Easily; 2: Probably yes; 3: Probably no; 4: Definitely no</v>
      </c>
      <c r="O1077" s="2" t="str">
        <f t="shared" si="16"/>
        <v>1: Easily
 2: Probably yes
 3: Probably no
 4: Definitely no</v>
      </c>
    </row>
    <row r="1078" spans="1:15" ht="129.6" hidden="1" x14ac:dyDescent="0.3">
      <c r="A1078" t="s">
        <v>8272</v>
      </c>
      <c r="B1078" t="s">
        <v>8335</v>
      </c>
      <c r="C1078" s="2" t="s">
        <v>8336</v>
      </c>
      <c r="D1078" t="s">
        <v>5843</v>
      </c>
      <c r="E1078" s="2" t="s">
        <v>8337</v>
      </c>
      <c r="F1078" t="s">
        <v>37</v>
      </c>
      <c r="G1078" t="str">
        <f>VLOOKUP($F1078, codebooks_data_reordered!$A:$I, 2, FALSE)</f>
        <v>2006</v>
      </c>
      <c r="H1078" t="str">
        <f>VLOOKUP($F1078, codebooks_data_reordered!$A:$I, 3, FALSE)</f>
        <v>Pre-Election Survey</v>
      </c>
      <c r="I1078" t="str">
        <f>VLOOKUP($F1078, codebooks_data_reordered!$A:$I, 4, FALSE)</f>
        <v>1</v>
      </c>
      <c r="J1078" t="str">
        <f>VLOOKUP($F1078, codebooks_data_reordered!$A:$I, 5, FALSE)</f>
        <v>11-12</v>
      </c>
      <c r="K1078" t="str">
        <f>VLOOKUP($F1078, codebooks_data_reordered!$A:$I, 6, FALSE)</f>
        <v>Most important problem for government</v>
      </c>
      <c r="L1078" t="str">
        <f>VLOOKUP($F1078, codebooks_data_reordered!$A:$I, 7, FALSE)</f>
        <v>8. What do you think is the most important problem the government must take care of?</v>
      </c>
      <c r="M1078">
        <f>VLOOKUP($F1078, codebooks_data_reordered!$A:$I, 9, FALSE)</f>
        <v>0</v>
      </c>
      <c r="O1078" s="2" t="str">
        <f t="shared" si="16"/>
        <v>0</v>
      </c>
    </row>
    <row r="1079" spans="1:15" ht="100.8" hidden="1" x14ac:dyDescent="0.3">
      <c r="A1079" t="s">
        <v>8272</v>
      </c>
      <c r="B1079" t="s">
        <v>8338</v>
      </c>
      <c r="C1079" s="2" t="s">
        <v>8339</v>
      </c>
      <c r="D1079" t="s">
        <v>5843</v>
      </c>
      <c r="E1079" s="2" t="s">
        <v>8340</v>
      </c>
      <c r="F1079" t="s">
        <v>1784</v>
      </c>
      <c r="G1079" t="str">
        <f>VLOOKUP($F1079, codebooks_data_reordered!$A:$I, 2, FALSE)</f>
        <v>1999_1</v>
      </c>
      <c r="H1079" t="str">
        <f>VLOOKUP($F1079, codebooks_data_reordered!$A:$I, 3, FALSE)</f>
        <v>GENERAL POLITICAL ATTITUDE</v>
      </c>
      <c r="I1079" t="str">
        <f>VLOOKUP($F1079, codebooks_data_reordered!$A:$I, 4, FALSE)</f>
        <v>1</v>
      </c>
      <c r="J1079" t="str">
        <f>VLOOKUP($F1079, codebooks_data_reordered!$A:$I, 5, FALSE)</f>
        <v>21</v>
      </c>
      <c r="K1079" t="str">
        <f>VLOOKUP($F1079, codebooks_data_reordered!$A:$I, 6, FALSE)</f>
        <v>Attitude towards Oslo Accord</v>
      </c>
      <c r="L1079">
        <f>VLOOKUP($F1079, codebooks_data_reordered!$A:$I, 7, FALSE)</f>
        <v>0</v>
      </c>
      <c r="M1079" t="str">
        <f>VLOOKUP($F1079, codebooks_data_reordered!$A:$I, 9, FALSE)</f>
        <v>1: Strongly support; 2: Support; 3: Object; 4: Strongly object</v>
      </c>
      <c r="O1079" s="2" t="str">
        <f t="shared" si="16"/>
        <v>1: Strongly support
 2: Support
 3: Object
 4: Strongly object</v>
      </c>
    </row>
    <row r="1080" spans="1:15" ht="100.8" hidden="1" x14ac:dyDescent="0.3">
      <c r="A1080" t="s">
        <v>8272</v>
      </c>
      <c r="B1080" t="s">
        <v>8341</v>
      </c>
      <c r="C1080" s="2" t="s">
        <v>8339</v>
      </c>
      <c r="D1080" t="s">
        <v>5843</v>
      </c>
      <c r="E1080" s="2" t="s">
        <v>8340</v>
      </c>
      <c r="F1080" t="s">
        <v>1787</v>
      </c>
      <c r="G1080" t="str">
        <f>VLOOKUP($F1080, codebooks_data_reordered!$A:$I, 2, FALSE)</f>
        <v>1999_1</v>
      </c>
      <c r="H1080" t="str">
        <f>VLOOKUP($F1080, codebooks_data_reordered!$A:$I, 3, FALSE)</f>
        <v>GENERAL POLITICAL ATTITUDE</v>
      </c>
      <c r="I1080" t="str">
        <f>VLOOKUP($F1080, codebooks_data_reordered!$A:$I, 4, FALSE)</f>
        <v>1</v>
      </c>
      <c r="J1080" t="str">
        <f>VLOOKUP($F1080, codebooks_data_reordered!$A:$I, 5, FALSE)</f>
        <v>22</v>
      </c>
      <c r="K1080" t="str">
        <f>VLOOKUP($F1080, codebooks_data_reordered!$A:$I, 6, FALSE)</f>
        <v>Personal Security of Israeli citizens since Peace process began</v>
      </c>
      <c r="L1080">
        <f>VLOOKUP($F1080, codebooks_data_reordered!$A:$I, 7, FALSE)</f>
        <v>0</v>
      </c>
      <c r="M1080" t="str">
        <f>VLOOKUP($F1080, codebooks_data_reordered!$A:$I, 9, FALSE)</f>
        <v>1: Much better; 2: Better; 3: Worse; 4: Much worse</v>
      </c>
      <c r="O1080" s="2" t="str">
        <f t="shared" si="16"/>
        <v>1: Much better
 2: Better
 3: Worse
 4: Much worse</v>
      </c>
    </row>
    <row r="1081" spans="1:15" ht="100.8" hidden="1" x14ac:dyDescent="0.3">
      <c r="A1081" t="s">
        <v>8272</v>
      </c>
      <c r="B1081" t="s">
        <v>8342</v>
      </c>
      <c r="C1081" s="2" t="s">
        <v>8343</v>
      </c>
      <c r="D1081" t="s">
        <v>5843</v>
      </c>
      <c r="E1081" s="2" t="s">
        <v>8344</v>
      </c>
      <c r="F1081" t="s">
        <v>1765</v>
      </c>
      <c r="G1081" t="str">
        <f>VLOOKUP($F1081, codebooks_data_reordered!$A:$I, 2, FALSE)</f>
        <v>1999_1</v>
      </c>
      <c r="H1081" t="str">
        <f>VLOOKUP($F1081, codebooks_data_reordered!$A:$I, 3, FALSE)</f>
        <v>GENERAL POLITICAL ATTITUDE</v>
      </c>
      <c r="I1081" t="str">
        <f>VLOOKUP($F1081, codebooks_data_reordered!$A:$I, 4, FALSE)</f>
        <v>1</v>
      </c>
      <c r="J1081" t="str">
        <f>VLOOKUP($F1081, codebooks_data_reordered!$A:$I, 5, FALSE)</f>
        <v>14</v>
      </c>
      <c r="K1081" t="str">
        <f>VLOOKUP($F1081, codebooks_data_reordered!$A:$I, 6, FALSE)</f>
        <v>Personal economic situation in last 3 years</v>
      </c>
      <c r="L1081">
        <f>VLOOKUP($F1081, codebooks_data_reordered!$A:$I, 7, FALSE)</f>
        <v>0</v>
      </c>
      <c r="M1081" t="str">
        <f>VLOOKUP($F1081, codebooks_data_reordered!$A:$I, 9, FALSE)</f>
        <v>1: Greatly improved; 2: Slightly improved; 3: Hasn't changed; 4: Worsened slightly; 5: Worsened greatly</v>
      </c>
      <c r="O1081" s="2" t="str">
        <f t="shared" si="16"/>
        <v>1: Greatly improved
 2: Slightly improved
 3: Hasn't changed
 4: Worsened slightly
 5: Worsened greatly</v>
      </c>
    </row>
    <row r="1082" spans="1:15" ht="100.8" hidden="1" x14ac:dyDescent="0.3">
      <c r="A1082" t="s">
        <v>8272</v>
      </c>
      <c r="B1082" t="s">
        <v>8345</v>
      </c>
      <c r="C1082" s="2" t="s">
        <v>8343</v>
      </c>
      <c r="D1082" t="s">
        <v>5843</v>
      </c>
      <c r="E1082" s="2" t="s">
        <v>8344</v>
      </c>
      <c r="F1082" t="s">
        <v>1768</v>
      </c>
      <c r="G1082" t="str">
        <f>VLOOKUP($F1082, codebooks_data_reordered!$A:$I, 2, FALSE)</f>
        <v>1999_1</v>
      </c>
      <c r="H1082" t="str">
        <f>VLOOKUP($F1082, codebooks_data_reordered!$A:$I, 3, FALSE)</f>
        <v>GENERAL POLITICAL ATTITUDE</v>
      </c>
      <c r="I1082" t="str">
        <f>VLOOKUP($F1082, codebooks_data_reordered!$A:$I, 4, FALSE)</f>
        <v>1</v>
      </c>
      <c r="J1082" t="str">
        <f>VLOOKUP($F1082, codebooks_data_reordered!$A:$I, 5, FALSE)</f>
        <v>15</v>
      </c>
      <c r="K1082" t="str">
        <f>VLOOKUP($F1082, codebooks_data_reordered!$A:$I, 6, FALSE)</f>
        <v>Danger of conflict with Arab world compared to pre-Peace-process</v>
      </c>
      <c r="L1082">
        <f>VLOOKUP($F1082, codebooks_data_reordered!$A:$I, 7, FALSE)</f>
        <v>0</v>
      </c>
      <c r="M1082" t="str">
        <f>VLOOKUP($F1082, codebooks_data_reordered!$A:$I, 9, FALSE)</f>
        <v>1: Greatly increased; 2: Increased; 3: Decreased; 4: Greatly decreased</v>
      </c>
      <c r="O1082" s="2" t="str">
        <f t="shared" si="16"/>
        <v>1: Greatly increased
 2: Increased
 3: Decreased
 4: Greatly decreased</v>
      </c>
    </row>
    <row r="1083" spans="1:15" ht="72" hidden="1" x14ac:dyDescent="0.3">
      <c r="A1083" t="s">
        <v>8272</v>
      </c>
      <c r="B1083" t="s">
        <v>8346</v>
      </c>
      <c r="C1083" s="2" t="s">
        <v>8347</v>
      </c>
      <c r="D1083" t="s">
        <v>5843</v>
      </c>
      <c r="E1083" s="2" t="s">
        <v>8348</v>
      </c>
      <c r="F1083" t="s">
        <v>656</v>
      </c>
      <c r="G1083" t="str">
        <f>VLOOKUP($F1083, codebooks_data_reordered!$A:$I, 2, FALSE)</f>
        <v>2006</v>
      </c>
      <c r="H1083" t="str">
        <f>VLOOKUP($F1083, codebooks_data_reordered!$A:$I, 3, FALSE)</f>
        <v>Different Coalitions after the Elections</v>
      </c>
      <c r="I1083" t="str">
        <f>VLOOKUP($F1083, codebooks_data_reordered!$A:$I, 4, FALSE)</f>
        <v>1</v>
      </c>
      <c r="J1083" t="str">
        <f>VLOOKUP($F1083, codebooks_data_reordered!$A:$I, 5, FALSE)</f>
        <v>231-232</v>
      </c>
      <c r="K1083" t="str">
        <f>VLOOKUP($F1083, codebooks_data_reordered!$A:$I, 6, FALSE)</f>
        <v>Will support Kadima-Labor coalition</v>
      </c>
      <c r="L1083" t="str">
        <f>VLOOKUP($F1083,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083" t="str">
        <f>VLOOKUP($F1083, codebooks_data_reordered!$A:$I, 9, FALSE)</f>
        <v>1: Reject; 10: Support</v>
      </c>
      <c r="O1083" s="2" t="str">
        <f t="shared" si="16"/>
        <v>1: Reject
 10: Support</v>
      </c>
    </row>
    <row r="1084" spans="1:15" ht="57.6" hidden="1" x14ac:dyDescent="0.3">
      <c r="A1084" t="s">
        <v>8272</v>
      </c>
      <c r="B1084" t="s">
        <v>8349</v>
      </c>
      <c r="C1084" s="2" t="s">
        <v>8350</v>
      </c>
      <c r="D1084" t="s">
        <v>5843</v>
      </c>
      <c r="E1084" s="2" t="s">
        <v>8351</v>
      </c>
      <c r="F1084" t="s">
        <v>67</v>
      </c>
      <c r="G1084" t="str">
        <f>VLOOKUP($F1084, codebooks_data_reordered!$A:$I, 2, FALSE)</f>
        <v>2006</v>
      </c>
      <c r="H1084" t="str">
        <f>VLOOKUP($F1084, codebooks_data_reordered!$A:$I, 3, FALSE)</f>
        <v>Pre-Election Survey</v>
      </c>
      <c r="I1084" t="str">
        <f>VLOOKUP($F1084, codebooks_data_reordered!$A:$I, 4, FALSE)</f>
        <v>1</v>
      </c>
      <c r="J1084" t="str">
        <f>VLOOKUP($F1084, codebooks_data_reordered!$A:$I, 5, FALSE)</f>
        <v>19</v>
      </c>
      <c r="K1084" t="str">
        <f>VLOOKUP($F1084, codebooks_data_reordered!$A:$I, 6, FALSE)</f>
        <v>Israel should decide on borders and unilaterally withdraw</v>
      </c>
      <c r="L1084" t="str">
        <f>VLOOKUP($F1084, codebooks_data_reordered!$A:$I, 7, FALSE)</f>
        <v>16. And if it would not be possible to achieve a peace agreement with the Palestinians in the next few years, should Israel undertake another unilateral separation?</v>
      </c>
      <c r="M1084" t="str">
        <f>VLOOKUP($F1084, codebooks_data_reordered!$A:$I, 9, FALSE)</f>
        <v>1: Yes definitely; 2: Yes; 3: No; 4: Definitely no</v>
      </c>
      <c r="O1084" s="2" t="str">
        <f t="shared" si="16"/>
        <v>1: Yes definitely
 2: Yes
 3: No
 4: Definitely no</v>
      </c>
    </row>
    <row r="1085" spans="1:15" ht="129.6" hidden="1" x14ac:dyDescent="0.3">
      <c r="A1085" t="s">
        <v>8272</v>
      </c>
      <c r="B1085" t="s">
        <v>6021</v>
      </c>
      <c r="C1085" s="2" t="s">
        <v>8352</v>
      </c>
      <c r="D1085" t="s">
        <v>5843</v>
      </c>
      <c r="E1085" s="2" t="s">
        <v>8353</v>
      </c>
      <c r="F1085" t="s">
        <v>651</v>
      </c>
      <c r="G1085" t="str">
        <f>VLOOKUP($F1085, codebooks_data_reordered!$A:$I, 2, FALSE)</f>
        <v>2006</v>
      </c>
      <c r="H1085" t="str">
        <f>VLOOKUP($F1085, codebooks_data_reordered!$A:$I, 3, FALSE)</f>
        <v>Different Coalitions after the Elections</v>
      </c>
      <c r="I1085" t="str">
        <f>VLOOKUP($F1085, codebooks_data_reordered!$A:$I, 4, FALSE)</f>
        <v>1</v>
      </c>
      <c r="J1085" t="str">
        <f>VLOOKUP($F1085, codebooks_data_reordered!$A:$I, 5, FALSE)</f>
        <v>228-230</v>
      </c>
      <c r="K1085" t="str">
        <f>VLOOKUP($F1085, codebooks_data_reordered!$A:$I, 6, FALSE)</f>
        <v>Chances for Kadima-Labor-Likud-Right parties and Haredim coalition</v>
      </c>
      <c r="L1085" t="str">
        <f>VLOOKUP($F1085,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085">
        <f>VLOOKUP($F1085, codebooks_data_reordered!$A:$I, 9, FALSE)</f>
        <v>0</v>
      </c>
      <c r="O1085" s="2" t="str">
        <f t="shared" si="16"/>
        <v>0</v>
      </c>
    </row>
    <row r="1086" spans="1:15" ht="187.2" hidden="1" x14ac:dyDescent="0.3">
      <c r="A1086" t="s">
        <v>8272</v>
      </c>
      <c r="B1086" t="s">
        <v>8354</v>
      </c>
      <c r="C1086" s="2" t="s">
        <v>8355</v>
      </c>
      <c r="D1086" t="s">
        <v>5843</v>
      </c>
      <c r="E1086" s="2" t="s">
        <v>8356</v>
      </c>
      <c r="F1086" t="s">
        <v>112</v>
      </c>
      <c r="G1086" t="str">
        <f>VLOOKUP($F1086, codebooks_data_reordered!$A:$I, 2, FALSE)</f>
        <v>2006</v>
      </c>
      <c r="H1086" t="str">
        <f>VLOOKUP($F1086, codebooks_data_reordered!$A:$I, 3, FALSE)</f>
        <v>Likely Direction of Development of Israel</v>
      </c>
      <c r="I1086" t="str">
        <f>VLOOKUP($F1086, codebooks_data_reordered!$A:$I, 4, FALSE)</f>
        <v>1</v>
      </c>
      <c r="J1086" t="str">
        <f>VLOOKUP($F1086, codebooks_data_reordered!$A:$I, 5, FALSE)</f>
        <v>30</v>
      </c>
      <c r="K1086" t="str">
        <f>VLOOKUP($F1086, codebooks_data_reordered!$A:$I, 6, FALSE)</f>
        <v>The most important value (not asked of Arabs)</v>
      </c>
      <c r="L1086" t="str">
        <f>VLOOKUP($F1086,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086" t="str">
        <f>VLOOKUP($F1086, codebooks_data_reordered!$A:$I, 9, FALSE)</f>
        <v>1: Jewish majority; 2: Greater Israel; 3: Democracy; 4: Peace</v>
      </c>
      <c r="O1086" s="2" t="str">
        <f t="shared" si="16"/>
        <v>1: Jewish majority
 2: Greater Israel
 3: Democracy
 4: Peace</v>
      </c>
    </row>
    <row r="1087" spans="1:15" ht="72" hidden="1" x14ac:dyDescent="0.3">
      <c r="A1087" t="s">
        <v>8272</v>
      </c>
      <c r="B1087" t="s">
        <v>8357</v>
      </c>
      <c r="C1087" s="2" t="s">
        <v>8358</v>
      </c>
      <c r="D1087" t="s">
        <v>5843</v>
      </c>
      <c r="E1087" s="2" t="s">
        <v>8359</v>
      </c>
      <c r="F1087" t="s">
        <v>136</v>
      </c>
      <c r="G1087" t="str">
        <f>VLOOKUP($F1087, codebooks_data_reordered!$A:$I, 2, FALSE)</f>
        <v>2006</v>
      </c>
      <c r="H1087" t="str">
        <f>VLOOKUP($F1087, codebooks_data_reordered!$A:$I, 3, FALSE)</f>
        <v>Threat of Different Issues</v>
      </c>
      <c r="I1087" t="str">
        <f>VLOOKUP($F1087, codebooks_data_reordered!$A:$I, 4, FALSE)</f>
        <v>1</v>
      </c>
      <c r="J1087" t="str">
        <f>VLOOKUP($F1087, codebooks_data_reordered!$A:$I, 5, FALSE)</f>
        <v>37</v>
      </c>
      <c r="K1087" t="str">
        <f>VLOOKUP($F1087, codebooks_data_reordered!$A:$I, 6, FALSE)</f>
        <v>Threat of disengagement from Palestinians</v>
      </c>
      <c r="L1087" t="str">
        <f>VLOOKUP($F1087, codebooks_data_reordered!$A:$I, 7, FALSE)</f>
        <v>To what extent do you consider each of the following situations as a threat?</v>
      </c>
      <c r="M1087" t="str">
        <f>VLOOKUP($F1087, codebooks_data_reordered!$A:$I, 9, FALSE)</f>
        <v>1: Not at all threatening; 7: Very threatening</v>
      </c>
      <c r="O1087" s="2" t="str">
        <f t="shared" si="16"/>
        <v>1: Not at all threatening
 7: Very threatening</v>
      </c>
    </row>
    <row r="1088" spans="1:15" ht="115.2" hidden="1" x14ac:dyDescent="0.3">
      <c r="A1088" t="s">
        <v>8272</v>
      </c>
      <c r="B1088" t="s">
        <v>8360</v>
      </c>
      <c r="C1088" s="2" t="s">
        <v>8361</v>
      </c>
      <c r="D1088" t="s">
        <v>5843</v>
      </c>
      <c r="E1088" s="2" t="s">
        <v>8362</v>
      </c>
      <c r="F1088" t="s">
        <v>178</v>
      </c>
      <c r="G1088" t="str">
        <f>VLOOKUP($F1088, codebooks_data_reordered!$A:$I, 2, FALSE)</f>
        <v>2006</v>
      </c>
      <c r="H1088" t="str">
        <f>VLOOKUP($F1088, codebooks_data_reordered!$A:$I, 3, FALSE)</f>
        <v>Threat of Different Issues</v>
      </c>
      <c r="I1088" t="str">
        <f>VLOOKUP($F1088, codebooks_data_reordered!$A:$I, 4, FALSE)</f>
        <v>1</v>
      </c>
      <c r="J1088" t="str">
        <f>VLOOKUP($F1088, codebooks_data_reordered!$A:$I, 5, FALSE)</f>
        <v>47</v>
      </c>
      <c r="K1088" t="str">
        <f>VLOOKUP($F1088, codebooks_data_reordered!$A:$I, 6, FALSE)</f>
        <v>Returning Golan</v>
      </c>
      <c r="L1088" t="str">
        <f>VLOOKUP($F1088, codebooks_data_reordered!$A:$I, 7, FALSE)</f>
        <v>42. Should Israel return to Syria territories in the Golan in return for a peace treaty and security arrangements acceptable to the IDF?</v>
      </c>
      <c r="M1088" t="str">
        <f>VLOOKUP($F1088, codebooks_data_reordered!$A:$I, 9, FALSE)</f>
        <v>1: No; 2: Israel should return a small part of the Golan; 3: Israel should return a significant part of the Golan; 4: Israel should return all of the Golan Heights</v>
      </c>
      <c r="O1088" s="2" t="str">
        <f t="shared" si="16"/>
        <v>1: No
 2: Israel should return a small part of the Golan
 3: Israel should return a significant part of the Golan
 4: Israel should return all of the Golan Heights</v>
      </c>
    </row>
    <row r="1089" spans="1:15" ht="86.4" hidden="1" x14ac:dyDescent="0.3">
      <c r="A1089" t="s">
        <v>8272</v>
      </c>
      <c r="B1089" t="s">
        <v>8363</v>
      </c>
      <c r="C1089" s="2" t="s">
        <v>8364</v>
      </c>
      <c r="D1089" t="s">
        <v>5843</v>
      </c>
      <c r="E1089" s="2" t="s">
        <v>8365</v>
      </c>
      <c r="F1089" t="s">
        <v>1775</v>
      </c>
      <c r="G1089" t="str">
        <f>VLOOKUP($F1089, codebooks_data_reordered!$A:$I, 2, FALSE)</f>
        <v>1999_1</v>
      </c>
      <c r="H1089" t="str">
        <f>VLOOKUP($F1089, codebooks_data_reordered!$A:$I, 3, FALSE)</f>
        <v>GENERAL POLITICAL ATTITUDE</v>
      </c>
      <c r="I1089" t="str">
        <f>VLOOKUP($F1089, codebooks_data_reordered!$A:$I, 4, FALSE)</f>
        <v>1</v>
      </c>
      <c r="J1089" t="str">
        <f>VLOOKUP($F1089, codebooks_data_reordered!$A:$I, 5, FALSE)</f>
        <v>17</v>
      </c>
      <c r="K1089" t="str">
        <f>VLOOKUP($F1089, codebooks_data_reordered!$A:$I, 6, FALSE)</f>
        <v>Territories should be returned for peace</v>
      </c>
      <c r="L1089" t="str">
        <f>VLOOKUP($F1089, codebooks_data_reordered!$A:$I, 7, FALSE)</f>
        <v>Agreement with statement on 1-7 scale</v>
      </c>
      <c r="M1089" t="str">
        <f>VLOOKUP($F1089, codebooks_data_reordered!$A:$I, 9, FALSE)</f>
        <v>1: Strongly disagree; 7: Strongly agree</v>
      </c>
      <c r="O1089" s="2" t="str">
        <f t="shared" si="16"/>
        <v>1: Strongly disagree
 7: Strongly agree</v>
      </c>
    </row>
    <row r="1090" spans="1:15" ht="201.6" hidden="1" x14ac:dyDescent="0.3">
      <c r="A1090" t="s">
        <v>8272</v>
      </c>
      <c r="B1090" t="s">
        <v>6348</v>
      </c>
      <c r="C1090" s="2" t="s">
        <v>8366</v>
      </c>
      <c r="D1090" t="s">
        <v>5843</v>
      </c>
      <c r="E1090" s="2" t="s">
        <v>8367</v>
      </c>
      <c r="F1090" t="s">
        <v>1779</v>
      </c>
      <c r="G1090" t="str">
        <f>VLOOKUP($F1090, codebooks_data_reordered!$A:$I, 2, FALSE)</f>
        <v>1999_1</v>
      </c>
      <c r="H1090" t="str">
        <f>VLOOKUP($F1090, codebooks_data_reordered!$A:$I, 3, FALSE)</f>
        <v>GENERAL POLITICAL ATTITUDE</v>
      </c>
      <c r="I1090" t="str">
        <f>VLOOKUP($F1090, codebooks_data_reordered!$A:$I, 4, FALSE)</f>
        <v>1</v>
      </c>
      <c r="J1090" t="str">
        <f>VLOOKUP($F1090, codebooks_data_reordered!$A:$I, 5, FALSE)</f>
        <v>19</v>
      </c>
      <c r="K1090" t="str">
        <f>VLOOKUP($F1090, codebooks_data_reordered!$A:$I, 6, FALSE)</f>
        <v>Peace process should be stopped even at risk of war</v>
      </c>
      <c r="L1090" t="str">
        <f>VLOOKUP($F1090, codebooks_data_reordered!$A:$I, 7, FALSE)</f>
        <v>Agreement with statement on 1-7 scale</v>
      </c>
      <c r="M1090" t="str">
        <f>VLOOKUP($F1090, codebooks_data_reordered!$A:$I, 9, FALSE)</f>
        <v>1: Strongly disagree; 7: Strongly agree</v>
      </c>
      <c r="O1090" s="2" t="str">
        <f t="shared" ref="O1090:O1153" si="17">SUBSTITUTE(M1090, ";", CHAR(10))</f>
        <v>1: Strongly disagree
 7: Strongly agree</v>
      </c>
    </row>
    <row r="1091" spans="1:15" ht="259.2" hidden="1" x14ac:dyDescent="0.3">
      <c r="A1091" t="s">
        <v>8272</v>
      </c>
      <c r="B1091" t="s">
        <v>6118</v>
      </c>
      <c r="C1091" s="2" t="s">
        <v>8368</v>
      </c>
      <c r="D1091" t="s">
        <v>5843</v>
      </c>
      <c r="E1091" s="2" t="s">
        <v>8369</v>
      </c>
      <c r="F1091" t="s">
        <v>1795</v>
      </c>
      <c r="G1091" t="str">
        <f>VLOOKUP($F1091, codebooks_data_reordered!$A:$I, 2, FALSE)</f>
        <v>1999_1</v>
      </c>
      <c r="H1091" t="str">
        <f>VLOOKUP($F1091, codebooks_data_reordered!$A:$I, 3, FALSE)</f>
        <v>GENERAL POLITICAL ATTITUDE</v>
      </c>
      <c r="I1091" t="str">
        <f>VLOOKUP($F1091, codebooks_data_reordered!$A:$I, 4, FALSE)</f>
        <v>1</v>
      </c>
      <c r="J1091" t="str">
        <f>VLOOKUP($F1091, codebooks_data_reordered!$A:$I, 5, FALSE)</f>
        <v>25-26</v>
      </c>
      <c r="K1091" t="str">
        <f>VLOOKUP($F1091, codebooks_data_reordered!$A:$I, 6, FALSE)</f>
        <v>Estimate Israeli public support for a Palestinian State (percentage)</v>
      </c>
      <c r="L1091">
        <f>VLOOKUP($F1091, codebooks_data_reordered!$A:$I, 7, FALSE)</f>
        <v>0</v>
      </c>
      <c r="M1091">
        <f>VLOOKUP($F1091, codebooks_data_reordered!$A:$I, 9, FALSE)</f>
        <v>0</v>
      </c>
      <c r="O1091" s="2" t="str">
        <f t="shared" si="17"/>
        <v>0</v>
      </c>
    </row>
    <row r="1092" spans="1:15" ht="259.2" hidden="1" x14ac:dyDescent="0.3">
      <c r="A1092" t="s">
        <v>8272</v>
      </c>
      <c r="B1092" t="s">
        <v>6353</v>
      </c>
      <c r="C1092" s="2" t="s">
        <v>8370</v>
      </c>
      <c r="D1092" t="s">
        <v>5843</v>
      </c>
      <c r="E1092" s="2" t="s">
        <v>8371</v>
      </c>
      <c r="F1092" t="s">
        <v>1798</v>
      </c>
      <c r="G1092" t="str">
        <f>VLOOKUP($F1092, codebooks_data_reordered!$A:$I, 2, FALSE)</f>
        <v>1999_1</v>
      </c>
      <c r="H1092" t="str">
        <f>VLOOKUP($F1092, codebooks_data_reordered!$A:$I, 3, FALSE)</f>
        <v>GENERAL POLITICAL ATTITUDE</v>
      </c>
      <c r="I1092" t="str">
        <f>VLOOKUP($F1092, codebooks_data_reordered!$A:$I, 4, FALSE)</f>
        <v>1</v>
      </c>
      <c r="J1092" t="str">
        <f>VLOOKUP($F1092, codebooks_data_reordered!$A:$I, 5, FALSE)</f>
        <v>27</v>
      </c>
      <c r="K1092" t="str">
        <f>VLOOKUP($F1092, codebooks_data_reordered!$A:$I, 6, FALSE)</f>
        <v>Forecast future public support for a Palestinian State</v>
      </c>
      <c r="L1092">
        <f>VLOOKUP($F1092, codebooks_data_reordered!$A:$I, 7, FALSE)</f>
        <v>0</v>
      </c>
      <c r="M1092" t="str">
        <f>VLOOKUP($F1092, codebooks_data_reordered!$A:$I, 9, FALSE)</f>
        <v>1: More people will support; 2: Less people will support</v>
      </c>
      <c r="O1092" s="2" t="str">
        <f t="shared" si="17"/>
        <v>1: More people will support
 2: Less people will support</v>
      </c>
    </row>
    <row r="1093" spans="1:15" ht="331.2" hidden="1" x14ac:dyDescent="0.3">
      <c r="A1093" t="s">
        <v>8272</v>
      </c>
      <c r="B1093" t="s">
        <v>8372</v>
      </c>
      <c r="C1093" s="2" t="s">
        <v>8373</v>
      </c>
      <c r="D1093" t="s">
        <v>5843</v>
      </c>
      <c r="E1093" s="2" t="s">
        <v>8374</v>
      </c>
      <c r="F1093" t="s">
        <v>1801</v>
      </c>
      <c r="G1093" t="str">
        <f>VLOOKUP($F1093, codebooks_data_reordered!$A:$I, 2, FALSE)</f>
        <v>1999_1</v>
      </c>
      <c r="H1093" t="str">
        <f>VLOOKUP($F1093, codebooks_data_reordered!$A:$I, 3, FALSE)</f>
        <v>GENERAL POLITICAL ATTITUDE</v>
      </c>
      <c r="I1093" t="str">
        <f>VLOOKUP($F1093, codebooks_data_reordered!$A:$I, 4, FALSE)</f>
        <v>1</v>
      </c>
      <c r="J1093" t="str">
        <f>VLOOKUP($F1093, codebooks_data_reordered!$A:$I, 5, FALSE)</f>
        <v>28</v>
      </c>
      <c r="K1093" t="str">
        <f>VLOOKUP($F1093, codebooks_data_reordered!$A:$I, 6, FALSE)</f>
        <v>Should government encourage Arab emmigration from Israel?</v>
      </c>
      <c r="L1093">
        <f>VLOOKUP($F1093, codebooks_data_reordered!$A:$I, 7, FALSE)</f>
        <v>0</v>
      </c>
      <c r="M1093" t="str">
        <f>VLOOKUP($F1093, codebooks_data_reordered!$A:$I, 9, FALSE)</f>
        <v>1: Definitely yes; 2: Yes; 3: No; 4: Definitely not</v>
      </c>
      <c r="O1093" s="2" t="str">
        <f t="shared" si="17"/>
        <v>1: Definitely yes
 2: Yes
 3: No
 4: Definitely not</v>
      </c>
    </row>
    <row r="1094" spans="1:15" ht="115.2" hidden="1" x14ac:dyDescent="0.3">
      <c r="A1094" t="s">
        <v>8272</v>
      </c>
      <c r="B1094" t="s">
        <v>8375</v>
      </c>
      <c r="C1094" s="2" t="s">
        <v>8376</v>
      </c>
      <c r="D1094" t="s">
        <v>5843</v>
      </c>
      <c r="E1094" s="2" t="s">
        <v>8377</v>
      </c>
      <c r="F1094" t="s">
        <v>1803</v>
      </c>
      <c r="G1094" t="str">
        <f>VLOOKUP($F1094, codebooks_data_reordered!$A:$I, 2, FALSE)</f>
        <v>1999_1</v>
      </c>
      <c r="H1094" t="str">
        <f>VLOOKUP($F1094, codebooks_data_reordered!$A:$I, 3, FALSE)</f>
        <v>GENERAL POLITICAL ATTITUDE</v>
      </c>
      <c r="I1094" t="str">
        <f>VLOOKUP($F1094, codebooks_data_reordered!$A:$I, 4, FALSE)</f>
        <v>1</v>
      </c>
      <c r="J1094" t="str">
        <f>VLOOKUP($F1094, codebooks_data_reordered!$A:$I, 5, FALSE)</f>
        <v>29</v>
      </c>
      <c r="K1094" t="str">
        <f>VLOOKUP($F1094, codebooks_data_reordered!$A:$I, 6, FALSE)</f>
        <v>Evaluation of Arab aspirations</v>
      </c>
      <c r="L1094">
        <f>VLOOKUP($F1094, codebooks_data_reordered!$A:$I, 7, FALSE)</f>
        <v>0</v>
      </c>
      <c r="M1094" t="str">
        <f>VLOOKUP($F1094, codebooks_data_reordered!$A:$I, 9, FALSE)</f>
        <v>1: Getting back part of the territories they lost in 1967; 2: Getting back all the territories they lost in 1967; 3: Conquering Israel; 4: Conquering Israel and demolition of Jewish population</v>
      </c>
      <c r="O1094" s="2" t="str">
        <f t="shared" si="17"/>
        <v>1: Getting back part of the territories they lost in 1967
 2: Getting back all the territories they lost in 1967
 3: Conquering Israel
 4: Conquering Israel and demolition of Jewish population</v>
      </c>
    </row>
    <row r="1095" spans="1:15" ht="100.8" hidden="1" x14ac:dyDescent="0.3">
      <c r="A1095" t="s">
        <v>8272</v>
      </c>
      <c r="B1095" t="s">
        <v>8378</v>
      </c>
      <c r="C1095" s="2" t="s">
        <v>8379</v>
      </c>
      <c r="D1095" t="s">
        <v>5843</v>
      </c>
      <c r="E1095" s="2" t="s">
        <v>8380</v>
      </c>
      <c r="F1095" t="s">
        <v>1818</v>
      </c>
      <c r="G1095" t="str">
        <f>VLOOKUP($F1095, codebooks_data_reordered!$A:$I, 2, FALSE)</f>
        <v>1999_1</v>
      </c>
      <c r="H1095" t="str">
        <f>VLOOKUP($F1095, codebooks_data_reordered!$A:$I, 3, FALSE)</f>
        <v>GENERAL POLITICAL ATTITUDE</v>
      </c>
      <c r="I1095" t="str">
        <f>VLOOKUP($F1095, codebooks_data_reordered!$A:$I, 4, FALSE)</f>
        <v>1</v>
      </c>
      <c r="J1095" t="str">
        <f>VLOOKUP($F1095, codebooks_data_reordered!$A:$I, 5, FALSE)</f>
        <v>34</v>
      </c>
      <c r="K1095" t="str">
        <f>VLOOKUP($F1095, codebooks_data_reordered!$A:$I, 6, FALSE)</f>
        <v>Extend of faith in political parties</v>
      </c>
      <c r="L1095">
        <f>VLOOKUP($F1095, codebooks_data_reordered!$A:$I, 7, FALSE)</f>
        <v>0</v>
      </c>
      <c r="M1095" t="str">
        <f>VLOOKUP($F1095, codebooks_data_reordered!$A:$I, 9, FALSE)</f>
        <v>1: Not at all; 2: A little faith; 3: Some faith; 4: Strong faith</v>
      </c>
      <c r="O1095" s="2" t="str">
        <f t="shared" si="17"/>
        <v>1: Not at all
 2: A little faith
 3: Some faith
 4: Strong faith</v>
      </c>
    </row>
    <row r="1096" spans="1:15" ht="100.8" hidden="1" x14ac:dyDescent="0.3">
      <c r="A1096" t="s">
        <v>8272</v>
      </c>
      <c r="B1096" t="s">
        <v>8381</v>
      </c>
      <c r="C1096" s="2" t="s">
        <v>6333</v>
      </c>
      <c r="D1096" t="s">
        <v>5843</v>
      </c>
      <c r="E1096" s="2" t="s">
        <v>6334</v>
      </c>
      <c r="F1096" t="s">
        <v>1831</v>
      </c>
      <c r="G1096" t="str">
        <f>VLOOKUP($F1096, codebooks_data_reordered!$A:$I, 2, FALSE)</f>
        <v>1999_1</v>
      </c>
      <c r="H1096" t="str">
        <f>VLOOKUP($F1096, codebooks_data_reordered!$A:$I, 3, FALSE)</f>
        <v>VALUES AND TRUST</v>
      </c>
      <c r="I1096" t="str">
        <f>VLOOKUP($F1096, codebooks_data_reordered!$A:$I, 4, FALSE)</f>
        <v>1</v>
      </c>
      <c r="J1096" t="str">
        <f>VLOOKUP($F1096, codebooks_data_reordered!$A:$I, 5, FALSE)</f>
        <v>40</v>
      </c>
      <c r="K1096" t="str">
        <f>VLOOKUP($F1096, codebooks_data_reordered!$A:$I, 6, FALSE)</f>
        <v>Satisfaction with Israeli democracy</v>
      </c>
      <c r="L1096">
        <f>VLOOKUP($F1096, codebooks_data_reordered!$A:$I, 7, FALSE)</f>
        <v>0</v>
      </c>
      <c r="M1096" t="str">
        <f>VLOOKUP($F1096, codebooks_data_reordered!$A:$I, 9, FALSE)</f>
        <v>1: Very satisfied; 2: Quite satisfied; 3: Not so satisfied; 4: Not satisfied at all</v>
      </c>
      <c r="O1096" s="2" t="str">
        <f t="shared" si="17"/>
        <v>1: Very satisfied
 2: Quite satisfied
 3: Not so satisfied
 4: Not satisfied at all</v>
      </c>
    </row>
    <row r="1097" spans="1:15" ht="100.8" hidden="1" x14ac:dyDescent="0.3">
      <c r="A1097" t="s">
        <v>8272</v>
      </c>
      <c r="B1097" t="s">
        <v>8382</v>
      </c>
      <c r="C1097" s="2" t="s">
        <v>6333</v>
      </c>
      <c r="D1097" t="s">
        <v>5843</v>
      </c>
      <c r="E1097" s="2" t="s">
        <v>6334</v>
      </c>
      <c r="F1097" t="s">
        <v>1833</v>
      </c>
      <c r="G1097" t="str">
        <f>VLOOKUP($F1097, codebooks_data_reordered!$A:$I, 2, FALSE)</f>
        <v>1999_1</v>
      </c>
      <c r="H1097" t="str">
        <f>VLOOKUP($F1097, codebooks_data_reordered!$A:$I, 3, FALSE)</f>
        <v>VALUES AND TRUST</v>
      </c>
      <c r="I1097" t="str">
        <f>VLOOKUP($F1097, codebooks_data_reordered!$A:$I, 4, FALSE)</f>
        <v>1</v>
      </c>
      <c r="J1097" t="str">
        <f>VLOOKUP($F1097, codebooks_data_reordered!$A:$I, 5, FALSE)</f>
        <v>41</v>
      </c>
      <c r="K1097" t="str">
        <f>VLOOKUP($F1097, codebooks_data_reordered!$A:$I, 6, FALSE)</f>
        <v>Satisfaction with public discussion in Israel</v>
      </c>
      <c r="L1097">
        <f>VLOOKUP($F1097, codebooks_data_reordered!$A:$I, 7, FALSE)</f>
        <v>0</v>
      </c>
      <c r="M1097" t="str">
        <f>VLOOKUP($F1097, codebooks_data_reordered!$A:$I, 9, FALSE)</f>
        <v>1: Very satisfied; 2: Quite satisfied; 3: Not so satisfied; 4: Not satisfied at all</v>
      </c>
      <c r="O1097" s="2" t="str">
        <f t="shared" si="17"/>
        <v>1: Very satisfied
 2: Quite satisfied
 3: Not so satisfied
 4: Not satisfied at all</v>
      </c>
    </row>
    <row r="1098" spans="1:15" ht="100.8" hidden="1" x14ac:dyDescent="0.3">
      <c r="A1098" t="s">
        <v>8272</v>
      </c>
      <c r="B1098" t="s">
        <v>8383</v>
      </c>
      <c r="C1098" s="2" t="s">
        <v>8384</v>
      </c>
      <c r="D1098" t="s">
        <v>5843</v>
      </c>
      <c r="E1098" s="2" t="s">
        <v>8385</v>
      </c>
      <c r="F1098" t="s">
        <v>1838</v>
      </c>
      <c r="G1098" t="str">
        <f>VLOOKUP($F1098, codebooks_data_reordered!$A:$I, 2, FALSE)</f>
        <v>1999_1</v>
      </c>
      <c r="H1098" t="str">
        <f>VLOOKUP($F1098, codebooks_data_reordered!$A:$I, 3, FALSE)</f>
        <v>VALUES AND TRUST</v>
      </c>
      <c r="I1098" t="str">
        <f>VLOOKUP($F1098, codebooks_data_reordered!$A:$I, 4, FALSE)</f>
        <v>1</v>
      </c>
      <c r="J1098" t="str">
        <f>VLOOKUP($F1098, codebooks_data_reordered!$A:$I, 5, FALSE)</f>
        <v>43</v>
      </c>
      <c r="K1098" t="str">
        <f>VLOOKUP($F1098, codebooks_data_reordered!$A:$I, 6, FALSE)</f>
        <v>Greater Israel as a significant value</v>
      </c>
      <c r="L1098">
        <f>VLOOKUP($F1098, codebooks_data_reordered!$A:$I, 7, FALSE)</f>
        <v>0</v>
      </c>
      <c r="M1098" t="str">
        <f>VLOOKUP($F1098, codebooks_data_reordered!$A:$I, 9, FALSE)</f>
        <v>1: Most important value; 2: Second value; 3: Third value; 4: Fourth value</v>
      </c>
      <c r="O1098" s="2" t="str">
        <f t="shared" si="17"/>
        <v>1: Most important value
 2: Second value
 3: Third value
 4: Fourth value</v>
      </c>
    </row>
    <row r="1099" spans="1:15" ht="43.2" hidden="1" x14ac:dyDescent="0.3">
      <c r="A1099" t="s">
        <v>8272</v>
      </c>
      <c r="B1099" t="s">
        <v>6381</v>
      </c>
      <c r="C1099" s="2" t="s">
        <v>5947</v>
      </c>
      <c r="D1099" t="s">
        <v>5843</v>
      </c>
      <c r="E1099" s="2" t="s">
        <v>5948</v>
      </c>
      <c r="F1099" t="s">
        <v>1861</v>
      </c>
      <c r="G1099" t="str">
        <f>VLOOKUP($F1099, codebooks_data_reordered!$A:$I, 2, FALSE)</f>
        <v>1999_1</v>
      </c>
      <c r="H1099" t="str">
        <f>VLOOKUP($F1099, codebooks_data_reordered!$A:$I, 3, FALSE)</f>
        <v>ATTITUDES TOWARD CANDIDATES AND PARTIES</v>
      </c>
      <c r="I1099" t="str">
        <f>VLOOKUP($F1099, codebooks_data_reordered!$A:$I, 4, FALSE)</f>
        <v>1</v>
      </c>
      <c r="J1099" t="str">
        <f>VLOOKUP($F1099, codebooks_data_reordered!$A:$I, 5, FALSE)</f>
        <v>53</v>
      </c>
      <c r="K1099" t="str">
        <f>VLOOKUP($F1099, codebooks_data_reordered!$A:$I, 6, FALSE)</f>
        <v>Extend of support for Yasser Arafat</v>
      </c>
      <c r="L1099" t="str">
        <f>VLOOKUP($F1099, codebooks_data_reordered!$A:$I, 7, FALSE)</f>
        <v>Extent of support on 1-10 scale, 1=total rejection, 10=strong support</v>
      </c>
      <c r="M1099" t="str">
        <f>VLOOKUP($F1099, codebooks_data_reordered!$A:$I, 9, FALSE)</f>
        <v>1: Totally reject; 10: Strongly support</v>
      </c>
      <c r="O1099" s="2" t="str">
        <f t="shared" si="17"/>
        <v>1: Totally reject
 10: Strongly support</v>
      </c>
    </row>
    <row r="1100" spans="1:15" ht="115.2" hidden="1" x14ac:dyDescent="0.3">
      <c r="A1100" t="s">
        <v>8272</v>
      </c>
      <c r="B1100" t="s">
        <v>6384</v>
      </c>
      <c r="C1100" s="2" t="s">
        <v>8386</v>
      </c>
      <c r="D1100" t="s">
        <v>5843</v>
      </c>
      <c r="E1100" s="2" t="s">
        <v>8387</v>
      </c>
      <c r="F1100" t="s">
        <v>1863</v>
      </c>
      <c r="G1100" t="str">
        <f>VLOOKUP($F1100, codebooks_data_reordered!$A:$I, 2, FALSE)</f>
        <v>1999_1</v>
      </c>
      <c r="H1100" t="str">
        <f>VLOOKUP($F1100, codebooks_data_reordered!$A:$I, 3, FALSE)</f>
        <v>ATTITUDES TOWARD CANDIDATES AND PARTIES</v>
      </c>
      <c r="I1100" t="str">
        <f>VLOOKUP($F1100, codebooks_data_reordered!$A:$I, 4, FALSE)</f>
        <v>1</v>
      </c>
      <c r="J1100" t="str">
        <f>VLOOKUP($F1100, codebooks_data_reordered!$A:$I, 5, FALSE)</f>
        <v>54</v>
      </c>
      <c r="K1100" t="str">
        <f>VLOOKUP($F1100, codebooks_data_reordered!$A:$I, 6, FALSE)</f>
        <v>Extend of support for Ehud Barak</v>
      </c>
      <c r="L1100" t="str">
        <f>VLOOKUP($F1100, codebooks_data_reordered!$A:$I, 7, FALSE)</f>
        <v>Extent of support on 1-10 scale, 1=total rejection, 10=strong support</v>
      </c>
      <c r="M1100" t="str">
        <f>VLOOKUP($F1100, codebooks_data_reordered!$A:$I, 9, FALSE)</f>
        <v>1: Totally reject; 10: Strongly support</v>
      </c>
      <c r="O1100" s="2" t="str">
        <f t="shared" si="17"/>
        <v>1: Totally reject
 10: Strongly support</v>
      </c>
    </row>
    <row r="1101" spans="1:15" ht="57.6" hidden="1" x14ac:dyDescent="0.3">
      <c r="A1101" t="s">
        <v>8272</v>
      </c>
      <c r="B1101" t="s">
        <v>6841</v>
      </c>
      <c r="C1101" s="2" t="s">
        <v>8388</v>
      </c>
      <c r="D1101" t="s">
        <v>7439</v>
      </c>
      <c r="E1101" s="2" t="s">
        <v>8389</v>
      </c>
      <c r="F1101" t="s">
        <v>9344</v>
      </c>
      <c r="G1101" t="e">
        <f>VLOOKUP($F1101, codebooks_data_reordered!$A:$I, 2, FALSE)</f>
        <v>#N/A</v>
      </c>
      <c r="H1101" t="e">
        <f>VLOOKUP($F1101, codebooks_data_reordered!$A:$I, 3, FALSE)</f>
        <v>#N/A</v>
      </c>
      <c r="I1101" t="e">
        <f>VLOOKUP($F1101, codebooks_data_reordered!$A:$I, 4, FALSE)</f>
        <v>#N/A</v>
      </c>
      <c r="J1101" t="e">
        <f>VLOOKUP($F1101, codebooks_data_reordered!$A:$I, 5, FALSE)</f>
        <v>#N/A</v>
      </c>
      <c r="K1101" t="e">
        <f>VLOOKUP($F1101, codebooks_data_reordered!$A:$I, 6, FALSE)</f>
        <v>#N/A</v>
      </c>
      <c r="L1101" t="e">
        <f>VLOOKUP($F1101, codebooks_data_reordered!$A:$I, 7, FALSE)</f>
        <v>#N/A</v>
      </c>
      <c r="M1101" t="e">
        <f>VLOOKUP($F1101, codebooks_data_reordered!$A:$I, 9, FALSE)</f>
        <v>#N/A</v>
      </c>
      <c r="O1101" t="e">
        <f t="shared" si="17"/>
        <v>#N/A</v>
      </c>
    </row>
    <row r="1102" spans="1:15" ht="100.8" hidden="1" x14ac:dyDescent="0.3">
      <c r="A1102" t="s">
        <v>8272</v>
      </c>
      <c r="B1102" t="s">
        <v>6391</v>
      </c>
      <c r="C1102" s="2" t="s">
        <v>8384</v>
      </c>
      <c r="D1102" t="s">
        <v>5843</v>
      </c>
      <c r="E1102" s="2" t="s">
        <v>8385</v>
      </c>
      <c r="F1102" t="s">
        <v>1867</v>
      </c>
      <c r="G1102" t="str">
        <f>VLOOKUP($F1102, codebooks_data_reordered!$A:$I, 2, FALSE)</f>
        <v>1999_1</v>
      </c>
      <c r="H1102" t="str">
        <f>VLOOKUP($F1102, codebooks_data_reordered!$A:$I, 3, FALSE)</f>
        <v>ATTITUDES TOWARD CANDIDATES AND PARTIES</v>
      </c>
      <c r="I1102" t="str">
        <f>VLOOKUP($F1102, codebooks_data_reordered!$A:$I, 4, FALSE)</f>
        <v>1</v>
      </c>
      <c r="J1102" t="str">
        <f>VLOOKUP($F1102, codebooks_data_reordered!$A:$I, 5, FALSE)</f>
        <v>56</v>
      </c>
      <c r="K1102" t="str">
        <f>VLOOKUP($F1102, codebooks_data_reordered!$A:$I, 6, FALSE)</f>
        <v>Extend of support for Binyamin Netanyahu</v>
      </c>
      <c r="L1102" t="str">
        <f>VLOOKUP($F1102, codebooks_data_reordered!$A:$I, 7, FALSE)</f>
        <v>Extent of support on 1-10 scale, 1=total rejection, 10=strong support</v>
      </c>
      <c r="M1102" t="str">
        <f>VLOOKUP($F1102, codebooks_data_reordered!$A:$I, 9, FALSE)</f>
        <v>1: Totally reject; 10: Strongly support</v>
      </c>
      <c r="O1102" s="2" t="str">
        <f t="shared" si="17"/>
        <v>1: Totally reject
 10: Strongly support</v>
      </c>
    </row>
    <row r="1103" spans="1:15" ht="115.2" hidden="1" x14ac:dyDescent="0.3">
      <c r="A1103" t="s">
        <v>8272</v>
      </c>
      <c r="B1103" t="s">
        <v>6400</v>
      </c>
      <c r="C1103" s="2" t="s">
        <v>8390</v>
      </c>
      <c r="D1103" t="s">
        <v>5843</v>
      </c>
      <c r="E1103" s="2" t="s">
        <v>8391</v>
      </c>
      <c r="F1103" t="s">
        <v>1878</v>
      </c>
      <c r="G1103" t="str">
        <f>VLOOKUP($F1103, codebooks_data_reordered!$A:$I, 2, FALSE)</f>
        <v>1999_1</v>
      </c>
      <c r="H1103" t="str">
        <f>VLOOKUP($F1103, codebooks_data_reordered!$A:$I, 3, FALSE)</f>
        <v>ATTITUDES TOWARD CANDIDATES AND PARTIES</v>
      </c>
      <c r="I1103" t="str">
        <f>VLOOKUP($F1103, codebooks_data_reordered!$A:$I, 4, FALSE)</f>
        <v>1</v>
      </c>
      <c r="J1103" t="str">
        <f>VLOOKUP($F1103, codebooks_data_reordered!$A:$I, 5, FALSE)</f>
        <v>61</v>
      </c>
      <c r="K1103" t="str">
        <f>VLOOKUP($F1103, codebooks_data_reordered!$A:$I, 6, FALSE)</f>
        <v>Extend of support for arabs</v>
      </c>
      <c r="L1103" t="str">
        <f>VLOOKUP($F1103, codebooks_data_reordered!$A:$I, 7, FALSE)</f>
        <v>Extent of support on 1-10 scale, 1=total rejection, 10=strong support</v>
      </c>
      <c r="M1103" t="str">
        <f>VLOOKUP($F1103, codebooks_data_reordered!$A:$I, 9, FALSE)</f>
        <v>1: Totally reject; 10: Strongly support</v>
      </c>
      <c r="O1103" s="2" t="str">
        <f t="shared" si="17"/>
        <v>1: Totally reject
 10: Strongly support</v>
      </c>
    </row>
    <row r="1104" spans="1:15" ht="115.2" hidden="1" x14ac:dyDescent="0.3">
      <c r="A1104" t="s">
        <v>8272</v>
      </c>
      <c r="B1104" t="s">
        <v>8392</v>
      </c>
      <c r="C1104" s="2" t="s">
        <v>8393</v>
      </c>
      <c r="D1104" t="s">
        <v>5843</v>
      </c>
      <c r="E1104" s="2" t="s">
        <v>8394</v>
      </c>
      <c r="F1104" t="s">
        <v>1882</v>
      </c>
      <c r="G1104" t="str">
        <f>VLOOKUP($F1104, codebooks_data_reordered!$A:$I, 2, FALSE)</f>
        <v>1999_1</v>
      </c>
      <c r="H1104" t="str">
        <f>VLOOKUP($F1104, codebooks_data_reordered!$A:$I, 3, FALSE)</f>
        <v>MORE ATTITUDES TOWARD PARTIES AND CANDIDATES</v>
      </c>
      <c r="I1104" t="str">
        <f>VLOOKUP($F1104, codebooks_data_reordered!$A:$I, 4, FALSE)</f>
        <v>1</v>
      </c>
      <c r="J1104" t="str">
        <f>VLOOKUP($F1104, codebooks_data_reordered!$A:$I, 5, FALSE)</f>
        <v>62</v>
      </c>
      <c r="K1104" t="str">
        <f>VLOOKUP($F1104, codebooks_data_reordered!$A:$I, 6, FALSE)</f>
        <v>Capitalism or socialism for Israel's economy</v>
      </c>
      <c r="L1104" t="str">
        <f>VLOOKUP($F1104, codebooks_data_reordered!$A:$I, 7, FALSE)</f>
        <v>Extent of support on 1-10 scale, 1=total rejection, 10=strong support</v>
      </c>
      <c r="M1104" t="str">
        <f>VLOOKUP($F1104, codebooks_data_reordered!$A:$I, 9, FALSE)</f>
        <v>1: Definitely prefer capitalism; 2: More capitalist than socialist; 3: More socialist than capitalist; 4: Definitely prefer socialism</v>
      </c>
      <c r="O1104" s="2" t="str">
        <f t="shared" si="17"/>
        <v>1: Definitely prefer capitalism
 2: More capitalist than socialist
 3: More socialist than capitalist
 4: Definitely prefer socialism</v>
      </c>
    </row>
    <row r="1105" spans="1:15" ht="100.8" hidden="1" x14ac:dyDescent="0.3">
      <c r="A1105" t="s">
        <v>8272</v>
      </c>
      <c r="B1105" t="s">
        <v>8395</v>
      </c>
      <c r="C1105" s="2" t="s">
        <v>8396</v>
      </c>
      <c r="D1105" t="s">
        <v>5843</v>
      </c>
      <c r="E1105" s="2" t="s">
        <v>8397</v>
      </c>
      <c r="F1105" t="s">
        <v>1898</v>
      </c>
      <c r="G1105" t="str">
        <f>VLOOKUP($F1105, codebooks_data_reordered!$A:$I, 2, FALSE)</f>
        <v>1999_1</v>
      </c>
      <c r="H1105" t="str">
        <f>VLOOKUP($F1105, codebooks_data_reordered!$A:$I, 3, FALSE)</f>
        <v>MORE ATTITUDES TOWARD PARTIES AND CANDIDATES</v>
      </c>
      <c r="I1105" t="str">
        <f>VLOOKUP($F1105, codebooks_data_reordered!$A:$I, 4, FALSE)</f>
        <v>1</v>
      </c>
      <c r="J1105" t="str">
        <f>VLOOKUP($F1105, codebooks_data_reordered!$A:$I, 5, FALSE)</f>
        <v>67</v>
      </c>
      <c r="K1105" t="str">
        <f>VLOOKUP($F1105, codebooks_data_reordered!$A:$I, 6, FALSE)</f>
        <v>Who is expected to go on the second round in the election for PM ?(2)</v>
      </c>
      <c r="L1105">
        <f>VLOOKUP($F1105, codebooks_data_reordered!$A:$I, 7, FALSE)</f>
        <v>0</v>
      </c>
      <c r="M1105" t="str">
        <f>VLOOKUP($F1105, codebooks_data_reordered!$A:$I, 9, FALSE)</f>
        <v>1: Netanyahu; 2: Barak; 3: Mordechay; 4: Begin; 5: Bashara; 6: Raful</v>
      </c>
      <c r="O1105" s="2" t="str">
        <f t="shared" si="17"/>
        <v>1: Netanyahu
 2: Barak
 3: Mordechay
 4: Begin
 5: Bashara
 6: Raful</v>
      </c>
    </row>
    <row r="1106" spans="1:15" ht="158.4" hidden="1" x14ac:dyDescent="0.3">
      <c r="A1106" t="s">
        <v>8272</v>
      </c>
      <c r="B1106" t="s">
        <v>8398</v>
      </c>
      <c r="C1106" s="2" t="s">
        <v>8399</v>
      </c>
      <c r="D1106" t="s">
        <v>5843</v>
      </c>
      <c r="E1106" s="2" t="s">
        <v>8400</v>
      </c>
      <c r="F1106" t="s">
        <v>1917</v>
      </c>
      <c r="G1106" t="str">
        <f>VLOOKUP($F1106, codebooks_data_reordered!$A:$I, 2, FALSE)</f>
        <v>1999_1</v>
      </c>
      <c r="H1106" t="str">
        <f>VLOOKUP($F1106, codebooks_data_reordered!$A:$I, 3, FALSE)</f>
        <v>MORE ATTITUDES TOWARD PARTIES AND CANDIDATES</v>
      </c>
      <c r="I1106" t="str">
        <f>VLOOKUP($F1106, codebooks_data_reordered!$A:$I, 4, FALSE)</f>
        <v>1</v>
      </c>
      <c r="J1106" t="str">
        <f>VLOOKUP($F1106, codebooks_data_reordered!$A:$I, 5, FALSE)</f>
        <v>75</v>
      </c>
      <c r="K1106" t="str">
        <f>VLOOKUP($F1106, codebooks_data_reordered!$A:$I, 6, FALSE)</f>
        <v>Identification with Binyamin Netanyahu's peace and defense policies</v>
      </c>
      <c r="L1106" t="str">
        <f>VLOOKUP($F1106, codebooks_data_reordered!$A:$I, 7, FALSE)</f>
        <v>Identification with candidate on 1-10 scale: 1=Strong rejection, 10=Strong support</v>
      </c>
      <c r="M1106" t="str">
        <f>VLOOKUP($F1106, codebooks_data_reordered!$A:$I, 9, FALSE)</f>
        <v>1: Strong rejection; 10: Strong support</v>
      </c>
      <c r="O1106" s="2" t="str">
        <f t="shared" si="17"/>
        <v>1: Strong rejection
 10: Strong support</v>
      </c>
    </row>
    <row r="1107" spans="1:15" ht="72" hidden="1" x14ac:dyDescent="0.3">
      <c r="A1107" t="s">
        <v>8272</v>
      </c>
      <c r="B1107" t="s">
        <v>8401</v>
      </c>
      <c r="C1107" s="2" t="s">
        <v>8402</v>
      </c>
      <c r="D1107" t="s">
        <v>5843</v>
      </c>
      <c r="E1107" s="2" t="s">
        <v>8403</v>
      </c>
      <c r="F1107" t="s">
        <v>3061</v>
      </c>
      <c r="G1107" t="str">
        <f>VLOOKUP($F1107, codebooks_data_reordered!$A:$I, 2, FALSE)</f>
        <v>1988_Panel_N=416</v>
      </c>
      <c r="H1107" t="str">
        <f>VLOOKUP($F1107, codebooks_data_reordered!$A:$I, 3, FALSE)</f>
        <v>ISRAEL'S CAPABILITY OF COPING WITH VARIOUS SITUATIONS</v>
      </c>
      <c r="I1107" t="str">
        <f>VLOOKUP($F1107, codebooks_data_reordered!$A:$I, 4, FALSE)</f>
        <v>1</v>
      </c>
      <c r="J1107" t="str">
        <f>VLOOKUP($F1107, codebooks_data_reordered!$A:$I, 5, FALSE)</f>
        <v>85</v>
      </c>
      <c r="K1107" t="str">
        <f>VLOOKUP($F1107, codebooks_data_reordered!$A:$I, 6, FALSE)</f>
        <v>USSR will assist Arab states against us</v>
      </c>
      <c r="L1107">
        <f>VLOOKUP($F1107, codebooks_data_reordered!$A:$I, 7, FALSE)</f>
        <v>0</v>
      </c>
      <c r="M1107" t="str">
        <f>VLOOKUP($F1107, codebooks_data_reordered!$A:$I, 9, FALSE)</f>
        <v>1: Capable; 2: Incapable</v>
      </c>
      <c r="O1107" s="2" t="str">
        <f t="shared" si="17"/>
        <v>1: Capable
 2: Incapable</v>
      </c>
    </row>
    <row r="1108" spans="1:15" ht="172.8" hidden="1" x14ac:dyDescent="0.3">
      <c r="A1108" t="s">
        <v>8272</v>
      </c>
      <c r="B1108" t="s">
        <v>8404</v>
      </c>
      <c r="C1108" s="2" t="s">
        <v>8405</v>
      </c>
      <c r="D1108" t="s">
        <v>5843</v>
      </c>
      <c r="E1108" s="2" t="s">
        <v>8406</v>
      </c>
      <c r="F1108" t="s">
        <v>3064</v>
      </c>
      <c r="G1108" t="str">
        <f>VLOOKUP($F1108, codebooks_data_reordered!$A:$I, 2, FALSE)</f>
        <v>1988_Panel_N=416</v>
      </c>
      <c r="H1108" t="str">
        <f>VLOOKUP($F1108, codebooks_data_reordered!$A:$I, 3, FALSE)</f>
        <v>ISRAEL'S CAPABILITY OF COPING WITH VARIOUS SITUATIONS</v>
      </c>
      <c r="I1108" t="str">
        <f>VLOOKUP($F1108, codebooks_data_reordered!$A:$I, 4, FALSE)</f>
        <v>1</v>
      </c>
      <c r="J1108" t="str">
        <f>VLOOKUP($F1108, codebooks_data_reordered!$A:$I, 5, FALSE)</f>
        <v>86</v>
      </c>
      <c r="K1108" t="str">
        <f>VLOOKUP($F1108, codebooks_data_reordered!$A:$I, 6, FALSE)</f>
        <v>What probability does respondent attach to Israel's destruction</v>
      </c>
      <c r="L1108">
        <f>VLOOKUP($F1108, codebooks_data_reordered!$A:$I, 7, FALSE)</f>
        <v>0</v>
      </c>
      <c r="M1108" t="str">
        <f>VLOOKUP($F1108, codebooks_data_reordered!$A:$I, 9, FALSE)</f>
        <v>1: High; 2: Medium; 3: Low; 4: Non-existent</v>
      </c>
      <c r="O1108" s="2" t="str">
        <f t="shared" si="17"/>
        <v>1: High
 2: Medium
 3: Low
 4: Non-existent</v>
      </c>
    </row>
    <row r="1109" spans="1:15" ht="172.8" hidden="1" x14ac:dyDescent="0.3">
      <c r="A1109" t="s">
        <v>8272</v>
      </c>
      <c r="B1109" t="s">
        <v>8407</v>
      </c>
      <c r="C1109" s="2" t="s">
        <v>8405</v>
      </c>
      <c r="D1109" t="s">
        <v>5843</v>
      </c>
      <c r="E1109" s="2" t="s">
        <v>8406</v>
      </c>
      <c r="F1109" t="s">
        <v>3067</v>
      </c>
      <c r="G1109" t="str">
        <f>VLOOKUP($F1109, codebooks_data_reordered!$A:$I, 2, FALSE)</f>
        <v>1988_Panel_N=416</v>
      </c>
      <c r="H1109" t="str">
        <f>VLOOKUP($F1109, codebooks_data_reordered!$A:$I, 3, FALSE)</f>
        <v>ISRAEL'S CAPABILITY OF COPING WITH VARIOUS SITUATIONS</v>
      </c>
      <c r="I1109" t="str">
        <f>VLOOKUP($F1109, codebooks_data_reordered!$A:$I, 4, FALSE)</f>
        <v>1</v>
      </c>
      <c r="J1109" t="str">
        <f>VLOOKUP($F1109, codebooks_data_reordered!$A:$I, 5, FALSE)</f>
        <v>87</v>
      </c>
      <c r="K1109" t="str">
        <f>VLOOKUP($F1109, codebooks_data_reordered!$A:$I, 6, FALSE)</f>
        <v>Level of rationality of Israel's foreign and security policy</v>
      </c>
      <c r="L1109">
        <f>VLOOKUP($F1109, codebooks_data_reordered!$A:$I, 7, FALSE)</f>
        <v>0</v>
      </c>
      <c r="M1109" t="str">
        <f>VLOOKUP($F1109, codebooks_data_reordered!$A:$I, 9, FALSE)</f>
        <v>1: Always rational; 2: Usually rational; 3: Some times rational at others not; 4: Usually irrational; 5: Always irrational</v>
      </c>
      <c r="O1109" s="2" t="str">
        <f t="shared" si="17"/>
        <v>1: Always rational
 2: Usually rational
 3: Some times rational at others not
 4: Usually irrational
 5: Always irrational</v>
      </c>
    </row>
    <row r="1110" spans="1:15" ht="144" hidden="1" x14ac:dyDescent="0.3">
      <c r="A1110" t="s">
        <v>8272</v>
      </c>
      <c r="B1110" t="s">
        <v>8408</v>
      </c>
      <c r="C1110" s="2" t="s">
        <v>8409</v>
      </c>
      <c r="D1110" t="s">
        <v>5843</v>
      </c>
      <c r="E1110" s="2" t="s">
        <v>8410</v>
      </c>
      <c r="F1110" t="s">
        <v>3073</v>
      </c>
      <c r="G1110" t="str">
        <f>VLOOKUP($F1110, codebooks_data_reordered!$A:$I, 2, FALSE)</f>
        <v>1988_Panel_N=416</v>
      </c>
      <c r="H1110" t="str">
        <f>VLOOKUP($F1110, codebooks_data_reordered!$A:$I, 3, FALSE)</f>
        <v>ISRAEL'S CAPABILITY OF COPING WITH VARIOUS SITUATIONS</v>
      </c>
      <c r="I1110" t="str">
        <f>VLOOKUP($F1110, codebooks_data_reordered!$A:$I, 4, FALSE)</f>
        <v>1</v>
      </c>
      <c r="J1110" t="str">
        <f>VLOOKUP($F1110, codebooks_data_reordered!$A:$I, 5, FALSE)</f>
        <v>89</v>
      </c>
      <c r="K1110" t="str">
        <f>VLOOKUP($F1110, codebooks_data_reordered!$A:$I, 6, FALSE)</f>
        <v>Estimate of the Arabs' ultimate goal</v>
      </c>
      <c r="L1110">
        <f>VLOOKUP($F1110, codebooks_data_reordered!$A:$I, 7, FALSE)</f>
        <v>0</v>
      </c>
      <c r="M1110" t="str">
        <f>VLOOKUP($F1110, codebooks_data_reordered!$A:$I, 9, FALSE)</f>
        <v>1: To retrieve part of the territories seized during the 6 Day War; 2: To retrieve all of the territories seized during the 6 Day War; 3: To conquer Israel; 4: To conquer Israel and annihilate most of the Jewish population</v>
      </c>
      <c r="O1110" s="2" t="str">
        <f t="shared" si="17"/>
        <v>1: To retrieve part of the territories seized during the 6 Day War
 2: To retrieve all of the territories seized during the 6 Day War
 3: To conquer Israel
 4: To conquer Israel and annihilate most of the Jewish population</v>
      </c>
    </row>
    <row r="1111" spans="1:15" ht="43.2" hidden="1" x14ac:dyDescent="0.3">
      <c r="A1111" t="s">
        <v>8272</v>
      </c>
      <c r="B1111" t="s">
        <v>8411</v>
      </c>
      <c r="C1111" s="2" t="s">
        <v>8412</v>
      </c>
      <c r="D1111" t="s">
        <v>5843</v>
      </c>
      <c r="E1111" s="2" t="s">
        <v>8413</v>
      </c>
      <c r="F1111" t="s">
        <v>3095</v>
      </c>
      <c r="G1111" t="str">
        <f>VLOOKUP($F1111, codebooks_data_reordered!$A:$I, 2, FALSE)</f>
        <v>1988_Panel_N=416</v>
      </c>
      <c r="H1111" t="str">
        <f>VLOOKUP($F1111, codebooks_data_reordered!$A:$I, 3, FALSE)</f>
        <v>WHICH OF THE FOLLOWING WOULD YOU BE WILLING TO GIVE TO MAINTAIN/STRENGTHEN THE SECURITY</v>
      </c>
      <c r="I1111" t="str">
        <f>VLOOKUP($F1111, codebooks_data_reordered!$A:$I, 4, FALSE)</f>
        <v>1</v>
      </c>
      <c r="J1111" t="str">
        <f>VLOOKUP($F1111, codebooks_data_reordered!$A:$I, 5, FALSE)</f>
        <v>98</v>
      </c>
      <c r="K1111" t="str">
        <f>VLOOKUP($F1111, codebooks_data_reordered!$A:$I, 6, FALSE)</f>
        <v>Willingness to have taxes raised so that the respondent pays more to increase security budget</v>
      </c>
      <c r="L1111">
        <f>VLOOKUP($F1111, codebooks_data_reordered!$A:$I, 7, FALSE)</f>
        <v>0</v>
      </c>
      <c r="M1111" t="str">
        <f>VLOOKUP($F1111, codebooks_data_reordered!$A:$I, 9, FALSE)</f>
        <v>1: Is willing; 2: Is unwilling</v>
      </c>
      <c r="O1111" s="2" t="str">
        <f t="shared" si="17"/>
        <v>1: Is willing
 2: Is unwilling</v>
      </c>
    </row>
    <row r="1112" spans="1:15" ht="43.2" hidden="1" x14ac:dyDescent="0.3">
      <c r="A1112" t="s">
        <v>8272</v>
      </c>
      <c r="B1112" t="s">
        <v>8414</v>
      </c>
      <c r="C1112" s="2" t="s">
        <v>8412</v>
      </c>
      <c r="D1112" t="s">
        <v>5843</v>
      </c>
      <c r="E1112" s="2" t="s">
        <v>8413</v>
      </c>
      <c r="F1112" t="s">
        <v>3097</v>
      </c>
      <c r="G1112" t="str">
        <f>VLOOKUP($F1112, codebooks_data_reordered!$A:$I, 2, FALSE)</f>
        <v>1988_Panel_N=416</v>
      </c>
      <c r="H1112" t="str">
        <f>VLOOKUP($F1112, codebooks_data_reordered!$A:$I, 3, FALSE)</f>
        <v>WHICH OF THE FOLLOWING WOULD YOU BE WILLING TO GIVE TO MAINTAIN/STRENGTHEN THE SECURITY</v>
      </c>
      <c r="I1112" t="str">
        <f>VLOOKUP($F1112, codebooks_data_reordered!$A:$I, 4, FALSE)</f>
        <v>1</v>
      </c>
      <c r="J1112" t="str">
        <f>VLOOKUP($F1112, codebooks_data_reordered!$A:$I, 5, FALSE)</f>
        <v>99</v>
      </c>
      <c r="K1112" t="str">
        <f>VLOOKUP($F1112, codebooks_data_reordered!$A:$I, 6, FALSE)</f>
        <v>Willingness to serve more in the army</v>
      </c>
      <c r="L1112">
        <f>VLOOKUP($F1112, codebooks_data_reordered!$A:$I, 7, FALSE)</f>
        <v>0</v>
      </c>
      <c r="M1112" t="str">
        <f>VLOOKUP($F1112, codebooks_data_reordered!$A:$I, 9, FALSE)</f>
        <v>1: Is willing; 2: Is unwilling</v>
      </c>
      <c r="O1112" s="2" t="str">
        <f t="shared" si="17"/>
        <v>1: Is willing
 2: Is unwilling</v>
      </c>
    </row>
    <row r="1113" spans="1:15" ht="187.2" hidden="1" x14ac:dyDescent="0.3">
      <c r="A1113" t="s">
        <v>8272</v>
      </c>
      <c r="B1113" t="s">
        <v>8415</v>
      </c>
      <c r="C1113" s="2" t="s">
        <v>8416</v>
      </c>
      <c r="D1113" t="s">
        <v>5843</v>
      </c>
      <c r="E1113" s="2" t="s">
        <v>8417</v>
      </c>
      <c r="F1113" t="s">
        <v>3116</v>
      </c>
      <c r="G1113" t="str">
        <f>VLOOKUP($F1113, codebooks_data_reordered!$A:$I, 2, FALSE)</f>
        <v>1988_Panel_N=416</v>
      </c>
      <c r="H1113" t="str">
        <f>VLOOKUP($F1113, codebooks_data_reordered!$A:$I, 3, FALSE)</f>
        <v>WHICH OF THE FOLLOWING WOULD YOU BE WILLING TO GIVE TO MAINTAIN/STRENGTHEN THE SECURITY</v>
      </c>
      <c r="I1113" t="str">
        <f>VLOOKUP($F1113, codebooks_data_reordered!$A:$I, 4, FALSE)</f>
        <v>1</v>
      </c>
      <c r="J1113" t="str">
        <f>VLOOKUP($F1113, codebooks_data_reordered!$A:$I, 5, FALSE)</f>
        <v>106</v>
      </c>
      <c r="K1113" t="str">
        <f>VLOOKUP($F1113, codebooks_data_reordered!$A:$I, 6, FALSE)</f>
        <v>What do you think of cutting social services to increase defense budget</v>
      </c>
      <c r="L1113">
        <f>VLOOKUP($F1113, codebooks_data_reordered!$A:$I, 7, FALSE)</f>
        <v>0</v>
      </c>
      <c r="M1113" t="str">
        <f>VLOOKUP($F1113, codebooks_data_reordered!$A:$I, 9, FALSE)</f>
        <v>1: Definitely justified; 2: Justified; 3: Unjustified; 4: Totally unjustified</v>
      </c>
      <c r="O1113" s="2" t="str">
        <f t="shared" si="17"/>
        <v>1: Definitely justified
 2: Justified
 3: Unjustified
 4: Totally unjustified</v>
      </c>
    </row>
    <row r="1114" spans="1:15" ht="115.2" hidden="1" x14ac:dyDescent="0.3">
      <c r="A1114" t="s">
        <v>8272</v>
      </c>
      <c r="B1114" t="s">
        <v>8418</v>
      </c>
      <c r="C1114" s="2" t="s">
        <v>8419</v>
      </c>
      <c r="D1114" t="s">
        <v>5843</v>
      </c>
      <c r="E1114" s="2" t="s">
        <v>8420</v>
      </c>
      <c r="F1114" t="s">
        <v>3119</v>
      </c>
      <c r="G1114" t="str">
        <f>VLOOKUP($F1114, codebooks_data_reordered!$A:$I, 2, FALSE)</f>
        <v>1988_Panel_N=416</v>
      </c>
      <c r="H1114" t="str">
        <f>VLOOKUP($F1114, codebooks_data_reordered!$A:$I, 3, FALSE)</f>
        <v>WHICH OF THE FOLLOWING WOULD YOU BE WILLING TO GIVE TO MAINTAIN/STRENGTHEN THE SECURITY</v>
      </c>
      <c r="I1114" t="str">
        <f>VLOOKUP($F1114, codebooks_data_reordered!$A:$I, 4, FALSE)</f>
        <v>1</v>
      </c>
      <c r="J1114" t="str">
        <f>VLOOKUP($F1114, codebooks_data_reordered!$A:$I, 5, FALSE)</f>
        <v>107</v>
      </c>
      <c r="K1114" t="str">
        <f>VLOOKUP($F1114, codebooks_data_reordered!$A:$I, 6, FALSE)</f>
        <v>What do you think of IDF increasing/decreasing its power in last 5 years</v>
      </c>
      <c r="L1114">
        <f>VLOOKUP($F1114, codebooks_data_reordered!$A:$I, 7, FALSE)</f>
        <v>0</v>
      </c>
      <c r="M1114" t="str">
        <f>VLOOKUP($F1114, codebooks_data_reordered!$A:$I, 9, FALSE)</f>
        <v>1: Significant decrease; 2: Some decrease; 3: No change; 4: Some increase; 5: Significant increase</v>
      </c>
      <c r="O1114" s="2" t="str">
        <f t="shared" si="17"/>
        <v>1: Significant decrease
 2: Some decrease
 3: No change
 4: Some increase
 5: Significant increase</v>
      </c>
    </row>
    <row r="1115" spans="1:15" ht="100.8" hidden="1" x14ac:dyDescent="0.3">
      <c r="A1115" t="s">
        <v>8272</v>
      </c>
      <c r="B1115" t="s">
        <v>8421</v>
      </c>
      <c r="C1115" s="2" t="s">
        <v>8422</v>
      </c>
      <c r="D1115" t="s">
        <v>5843</v>
      </c>
      <c r="E1115" s="2" t="s">
        <v>8423</v>
      </c>
      <c r="F1115" t="s">
        <v>3122</v>
      </c>
      <c r="G1115" t="str">
        <f>VLOOKUP($F1115, codebooks_data_reordered!$A:$I, 2, FALSE)</f>
        <v>1988_Panel_N=416</v>
      </c>
      <c r="H1115" t="str">
        <f>VLOOKUP($F1115, codebooks_data_reordered!$A:$I, 3, FALSE)</f>
        <v>WHICH OF THE FOLLOWING WOULD YOU BE WILLING TO GIVE TO MAINTAIN/STRENGTHEN THE SECURITY</v>
      </c>
      <c r="I1115" t="str">
        <f>VLOOKUP($F1115, codebooks_data_reordered!$A:$I, 4, FALSE)</f>
        <v>1</v>
      </c>
      <c r="J1115" t="str">
        <f>VLOOKUP($F1115, codebooks_data_reordered!$A:$I, 5, FALSE)</f>
        <v>108</v>
      </c>
      <c r="K1115" t="str">
        <f>VLOOKUP($F1115, codebooks_data_reordered!$A:$I, 6, FALSE)</f>
        <v>Who should determine IDF's future weapon systems</v>
      </c>
      <c r="L1115">
        <f>VLOOKUP($F1115, codebooks_data_reordered!$A:$I, 7, FALSE)</f>
        <v>0</v>
      </c>
      <c r="M1115" t="str">
        <f>VLOOKUP($F1115, codebooks_data_reordered!$A:$I, 9, FALSE)</f>
        <v>1: The government; 2: The Knesset; 3: The army; 4: Military industry/Air force industry; 5: Other</v>
      </c>
      <c r="O1115" s="2" t="str">
        <f t="shared" si="17"/>
        <v>1: The government
 2: The Knesset
 3: The army
 4: Military industry/Air force industry
 5: Other</v>
      </c>
    </row>
    <row r="1116" spans="1:15" ht="86.4" hidden="1" x14ac:dyDescent="0.3">
      <c r="A1116" t="s">
        <v>8272</v>
      </c>
      <c r="B1116" t="s">
        <v>8424</v>
      </c>
      <c r="C1116" s="2" t="s">
        <v>8425</v>
      </c>
      <c r="D1116" t="s">
        <v>5843</v>
      </c>
      <c r="E1116" s="2" t="s">
        <v>8426</v>
      </c>
      <c r="F1116" t="s">
        <v>51</v>
      </c>
      <c r="G1116" t="str">
        <f>VLOOKUP($F1116, codebooks_data_reordered!$A:$I, 2, FALSE)</f>
        <v>2006</v>
      </c>
      <c r="H1116" t="str">
        <f>VLOOKUP($F1116, codebooks_data_reordered!$A:$I, 3, FALSE)</f>
        <v>Pre-Election Survey</v>
      </c>
      <c r="I1116" t="str">
        <f>VLOOKUP($F1116, codebooks_data_reordered!$A:$I, 4, FALSE)</f>
        <v>1</v>
      </c>
      <c r="J1116" t="str">
        <f>VLOOKUP($F1116, codebooks_data_reordered!$A:$I, 5, FALSE)</f>
        <v>15</v>
      </c>
      <c r="K1116" t="str">
        <f>VLOOKUP($F1116, codebooks_data_reordered!$A:$I, 6, FALSE)</f>
        <v>National security today</v>
      </c>
      <c r="L1116" t="str">
        <f>VLOOKUP($F1116,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116" t="str">
        <f>VLOOKUP($F1116, codebooks_data_reordered!$A:$I, 9, FALSE)</f>
        <v>1: Worst situation; 9: Best situation</v>
      </c>
      <c r="O1116" s="2" t="str">
        <f t="shared" si="17"/>
        <v>1: Worst situation
 9: Best situation</v>
      </c>
    </row>
    <row r="1117" spans="1:15" ht="115.2" hidden="1" x14ac:dyDescent="0.3">
      <c r="A1117" t="s">
        <v>8272</v>
      </c>
      <c r="B1117" t="s">
        <v>8427</v>
      </c>
      <c r="C1117" s="2" t="s">
        <v>8428</v>
      </c>
      <c r="D1117" t="s">
        <v>5843</v>
      </c>
      <c r="E1117" s="2" t="s">
        <v>8429</v>
      </c>
      <c r="F1117" t="s">
        <v>3125</v>
      </c>
      <c r="G1117" t="str">
        <f>VLOOKUP($F1117, codebooks_data_reordered!$A:$I, 2, FALSE)</f>
        <v>1988_Panel_N=416</v>
      </c>
      <c r="H1117" t="str">
        <f>VLOOKUP($F1117, codebooks_data_reordered!$A:$I, 3, FALSE)</f>
        <v>WHICH OF THE FOLLOWING WOULD YOU BE WILLING TO GIVE TO MAINTAIN/STRENGTHEN THE SECURITY</v>
      </c>
      <c r="I1117" t="str">
        <f>VLOOKUP($F1117, codebooks_data_reordered!$A:$I, 4, FALSE)</f>
        <v>1</v>
      </c>
      <c r="J1117" t="str">
        <f>VLOOKUP($F1117, codebooks_data_reordered!$A:$I, 5, FALSE)</f>
        <v>109</v>
      </c>
      <c r="K1117" t="str">
        <f>VLOOKUP($F1117, codebooks_data_reordered!$A:$I, 6, FALSE)</f>
        <v>What is your attitude towards the continuation of the Lavi project</v>
      </c>
      <c r="L1117">
        <f>VLOOKUP($F1117, codebooks_data_reordered!$A:$I, 7, FALSE)</f>
        <v>0</v>
      </c>
      <c r="M1117" t="str">
        <f>VLOOKUP($F1117, codebooks_data_reordered!$A:$I, 9, FALSE)</f>
        <v>1: Definitely supports its continuation; 2: Supports its continuation; 3: Opposes its continuation; 4: Definitely opposes its continuation</v>
      </c>
      <c r="O1117" s="2" t="str">
        <f t="shared" si="17"/>
        <v>1: Definitely supports its continuation
 2: Supports its continuation
 3: Opposes its continuation
 4: Definitely opposes its continuation</v>
      </c>
    </row>
    <row r="1118" spans="1:15" ht="216" hidden="1" x14ac:dyDescent="0.3">
      <c r="A1118" t="s">
        <v>8272</v>
      </c>
      <c r="B1118" t="s">
        <v>8430</v>
      </c>
      <c r="C1118" s="2" t="s">
        <v>8431</v>
      </c>
      <c r="D1118" t="s">
        <v>5843</v>
      </c>
      <c r="E1118" s="2" t="s">
        <v>8432</v>
      </c>
      <c r="F1118" t="s">
        <v>3128</v>
      </c>
      <c r="G1118" t="str">
        <f>VLOOKUP($F1118, codebooks_data_reordered!$A:$I, 2, FALSE)</f>
        <v>1988_Panel_N=416</v>
      </c>
      <c r="H1118" t="str">
        <f>VLOOKUP($F1118, codebooks_data_reordered!$A:$I, 3, FALSE)</f>
        <v>WHICH OF THE FOLLOWING WOULD YOU BE WILLING TO GIVE TO MAINTAIN/STRENGTHEN THE SECURITY</v>
      </c>
      <c r="I1118" t="str">
        <f>VLOOKUP($F1118, codebooks_data_reordered!$A:$I, 4, FALSE)</f>
        <v>1</v>
      </c>
      <c r="J1118" t="str">
        <f>VLOOKUP($F1118, codebooks_data_reordered!$A:$I, 5, FALSE)</f>
        <v>110</v>
      </c>
      <c r="K1118" t="str">
        <f>VLOOKUP($F1118, codebooks_data_reordered!$A:$I, 6, FALSE)</f>
        <v>Are decisions regarding military matters affected by objective considerations</v>
      </c>
      <c r="L1118">
        <f>VLOOKUP($F1118, codebooks_data_reordered!$A:$I, 7, FALSE)</f>
        <v>0</v>
      </c>
      <c r="M1118" t="str">
        <f>VLOOKUP($F1118, codebooks_data_reordered!$A:$I, 9, FALSE)</f>
        <v>1: Only objective considerations; 2: Also other considerations</v>
      </c>
      <c r="O1118" s="2" t="str">
        <f t="shared" si="17"/>
        <v>1: Only objective considerations
 2: Also other considerations</v>
      </c>
    </row>
    <row r="1119" spans="1:15" ht="158.4" hidden="1" x14ac:dyDescent="0.3">
      <c r="A1119" t="s">
        <v>8272</v>
      </c>
      <c r="B1119" t="s">
        <v>8433</v>
      </c>
      <c r="C1119" s="2" t="s">
        <v>8434</v>
      </c>
      <c r="D1119" t="s">
        <v>5843</v>
      </c>
      <c r="E1119" s="2" t="s">
        <v>8435</v>
      </c>
      <c r="F1119" t="s">
        <v>3131</v>
      </c>
      <c r="G1119" t="str">
        <f>VLOOKUP($F1119, codebooks_data_reordered!$A:$I, 2, FALSE)</f>
        <v>1988_Panel_N=416</v>
      </c>
      <c r="H1119" t="str">
        <f>VLOOKUP($F1119, codebooks_data_reordered!$A:$I, 3, FALSE)</f>
        <v>WHICH OF THE FOLLOWING WOULD YOU BE WILLING TO GIVE TO MAINTAIN/STRENGTHEN THE SECURITY</v>
      </c>
      <c r="I1119" t="str">
        <f>VLOOKUP($F1119, codebooks_data_reordered!$A:$I, 4, FALSE)</f>
        <v>1</v>
      </c>
      <c r="J1119" t="str">
        <f>VLOOKUP($F1119, codebooks_data_reordered!$A:$I, 5, FALSE)</f>
        <v>111</v>
      </c>
      <c r="K1119" t="str">
        <f>VLOOKUP($F1119, codebooks_data_reordered!$A:$I, 6, FALSE)</f>
        <v>Who determines Israel's defense policy for the most part</v>
      </c>
      <c r="L1119">
        <f>VLOOKUP($F1119, codebooks_data_reordered!$A:$I, 7, FALSE)</f>
        <v>0</v>
      </c>
      <c r="M1119" t="str">
        <f>VLOOKUP($F1119, codebooks_data_reordered!$A:$I, 9, FALSE)</f>
        <v>1: The prime minister; 2: The minister of defense; 3: The cabinet; 4: The government; 5: Foreign Affairs and Defense Committee; 6: IDF's general staff; 7: The media; 8: The U.S.; 9: The Israeli people; 10: Other</v>
      </c>
      <c r="O1119" s="2" t="str">
        <f t="shared" si="17"/>
        <v>1: The prime minister
 2: The minister of defense
 3: The cabinet
 4: The government
 5: Foreign Affairs and Defense Committee
 6: IDF's general staff
 7: The media
 8: The U.S.
 9: The Israeli people
 10: Other</v>
      </c>
    </row>
    <row r="1120" spans="1:15" ht="187.2" hidden="1" x14ac:dyDescent="0.3">
      <c r="A1120" t="s">
        <v>8272</v>
      </c>
      <c r="B1120" t="s">
        <v>8436</v>
      </c>
      <c r="C1120" s="2" t="s">
        <v>8437</v>
      </c>
      <c r="D1120" t="s">
        <v>5843</v>
      </c>
      <c r="E1120" s="2" t="s">
        <v>8438</v>
      </c>
      <c r="F1120" t="s">
        <v>67</v>
      </c>
      <c r="G1120" t="str">
        <f>VLOOKUP($F1120, codebooks_data_reordered!$A:$I, 2, FALSE)</f>
        <v>2006</v>
      </c>
      <c r="H1120" t="str">
        <f>VLOOKUP($F1120, codebooks_data_reordered!$A:$I, 3, FALSE)</f>
        <v>Pre-Election Survey</v>
      </c>
      <c r="I1120" t="str">
        <f>VLOOKUP($F1120, codebooks_data_reordered!$A:$I, 4, FALSE)</f>
        <v>1</v>
      </c>
      <c r="J1120" t="str">
        <f>VLOOKUP($F1120, codebooks_data_reordered!$A:$I, 5, FALSE)</f>
        <v>19</v>
      </c>
      <c r="K1120" t="str">
        <f>VLOOKUP($F1120, codebooks_data_reordered!$A:$I, 6, FALSE)</f>
        <v>Israel should decide on borders and unilaterally withdraw</v>
      </c>
      <c r="L1120" t="str">
        <f>VLOOKUP($F1120, codebooks_data_reordered!$A:$I, 7, FALSE)</f>
        <v>16. And if it would not be possible to achieve a peace agreement with the Palestinians in the next few years, should Israel undertake another unilateral separation?</v>
      </c>
      <c r="M1120" t="str">
        <f>VLOOKUP($F1120, codebooks_data_reordered!$A:$I, 9, FALSE)</f>
        <v>1: Yes definitely; 2: Yes; 3: No; 4: Definitely no</v>
      </c>
      <c r="O1120" s="2" t="str">
        <f t="shared" si="17"/>
        <v>1: Yes definitely
 2: Yes
 3: No
 4: Definitely no</v>
      </c>
    </row>
    <row r="1121" spans="1:15" ht="187.2" hidden="1" x14ac:dyDescent="0.3">
      <c r="A1121" t="s">
        <v>8272</v>
      </c>
      <c r="B1121" t="s">
        <v>8439</v>
      </c>
      <c r="C1121" s="2" t="s">
        <v>8437</v>
      </c>
      <c r="D1121" t="s">
        <v>5843</v>
      </c>
      <c r="E1121" s="2" t="s">
        <v>8438</v>
      </c>
      <c r="F1121" t="s">
        <v>54</v>
      </c>
      <c r="G1121" t="str">
        <f>VLOOKUP($F1121, codebooks_data_reordered!$A:$I, 2, FALSE)</f>
        <v>2006</v>
      </c>
      <c r="H1121" t="str">
        <f>VLOOKUP($F1121, codebooks_data_reordered!$A:$I, 3, FALSE)</f>
        <v>Pre-Election Survey</v>
      </c>
      <c r="I1121" t="str">
        <f>VLOOKUP($F1121, codebooks_data_reordered!$A:$I, 4, FALSE)</f>
        <v>1</v>
      </c>
      <c r="J1121" t="str">
        <f>VLOOKUP($F1121, codebooks_data_reordered!$A:$I, 5, FALSE)</f>
        <v>16</v>
      </c>
      <c r="K1121" t="str">
        <f>VLOOKUP($F1121, codebooks_data_reordered!$A:$I, 6, FALSE)</f>
        <v>National security in last 5 years</v>
      </c>
      <c r="L1121" t="str">
        <f>VLOOKUP($F1121,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121" t="str">
        <f>VLOOKUP($F1121, codebooks_data_reordered!$A:$I, 9, FALSE)</f>
        <v>1: Worst situation; 9: Best situation</v>
      </c>
      <c r="O1121" s="2" t="str">
        <f t="shared" si="17"/>
        <v>1: Worst situation
 9: Best situation</v>
      </c>
    </row>
    <row r="1122" spans="1:15" ht="115.2" hidden="1" x14ac:dyDescent="0.3">
      <c r="A1122" t="s">
        <v>8272</v>
      </c>
      <c r="B1122" t="s">
        <v>8440</v>
      </c>
      <c r="C1122" s="2" t="s">
        <v>8441</v>
      </c>
      <c r="D1122" t="s">
        <v>5843</v>
      </c>
      <c r="E1122" s="2" t="s">
        <v>8442</v>
      </c>
      <c r="F1122" t="s">
        <v>2671</v>
      </c>
      <c r="G1122" t="str">
        <f>VLOOKUP($F1122, codebooks_data_reordered!$A:$I, 2, FALSE)</f>
        <v>1992</v>
      </c>
      <c r="H1122">
        <f>VLOOKUP($F1122, codebooks_data_reordered!$A:$I, 3, FALSE)</f>
        <v>0</v>
      </c>
      <c r="I1122" t="str">
        <f>VLOOKUP($F1122, codebooks_data_reordered!$A:$I, 4, FALSE)</f>
        <v>1</v>
      </c>
      <c r="J1122" t="str">
        <f>VLOOKUP($F1122, codebooks_data_reordered!$A:$I, 5, FALSE)</f>
        <v>1-5</v>
      </c>
      <c r="K1122" t="str">
        <f>VLOOKUP($F1122, codebooks_data_reordered!$A:$I, 6, FALSE)</f>
        <v>Identification number</v>
      </c>
      <c r="L1122">
        <f>VLOOKUP($F1122, codebooks_data_reordered!$A:$I, 7, FALSE)</f>
        <v>0</v>
      </c>
      <c r="M1122">
        <f>VLOOKUP($F1122, codebooks_data_reordered!$A:$I, 9, FALSE)</f>
        <v>0</v>
      </c>
      <c r="O1122" s="2" t="str">
        <f t="shared" si="17"/>
        <v>0</v>
      </c>
    </row>
    <row r="1123" spans="1:15" ht="129.6" hidden="1" x14ac:dyDescent="0.3">
      <c r="A1123" t="s">
        <v>8272</v>
      </c>
      <c r="B1123" t="s">
        <v>7511</v>
      </c>
      <c r="C1123" s="2" t="s">
        <v>8443</v>
      </c>
      <c r="D1123" t="s">
        <v>5843</v>
      </c>
      <c r="E1123" s="2" t="s">
        <v>8444</v>
      </c>
      <c r="F1123" t="s">
        <v>2674</v>
      </c>
      <c r="G1123" t="str">
        <f>VLOOKUP($F1123, codebooks_data_reordered!$A:$I, 2, FALSE)</f>
        <v>1992</v>
      </c>
      <c r="H1123">
        <f>VLOOKUP($F1123, codebooks_data_reordered!$A:$I, 3, FALSE)</f>
        <v>0</v>
      </c>
      <c r="I1123" t="str">
        <f>VLOOKUP($F1123, codebooks_data_reordered!$A:$I, 4, FALSE)</f>
        <v>1</v>
      </c>
      <c r="J1123" t="str">
        <f>VLOOKUP($F1123, codebooks_data_reordered!$A:$I, 5, FALSE)</f>
        <v>6</v>
      </c>
      <c r="K1123" t="str">
        <f>VLOOKUP($F1123, codebooks_data_reordered!$A:$I, 6, FALSE)</f>
        <v>General situation in Israel today</v>
      </c>
      <c r="L1123">
        <f>VLOOKUP($F1123, codebooks_data_reordered!$A:$I, 7, FALSE)</f>
        <v>0</v>
      </c>
      <c r="M1123" t="str">
        <f>VLOOKUP($F1123, codebooks_data_reordered!$A:$I, 9, FALSE)</f>
        <v>1: Very good; 2: Good; 3: Not so good; 4: Not good; 5: Bad</v>
      </c>
      <c r="O1123" s="2" t="str">
        <f t="shared" si="17"/>
        <v>1: Very good
 2: Good
 3: Not so good
 4: Not good
 5: Bad</v>
      </c>
    </row>
    <row r="1124" spans="1:15" ht="43.2" hidden="1" x14ac:dyDescent="0.3">
      <c r="A1124" t="s">
        <v>8272</v>
      </c>
      <c r="B1124" t="s">
        <v>8445</v>
      </c>
      <c r="C1124" s="2" t="s">
        <v>8446</v>
      </c>
      <c r="D1124" t="s">
        <v>5843</v>
      </c>
      <c r="E1124" s="2" t="s">
        <v>8447</v>
      </c>
      <c r="F1124" t="s">
        <v>2679</v>
      </c>
      <c r="G1124" t="str">
        <f>VLOOKUP($F1124, codebooks_data_reordered!$A:$I, 2, FALSE)</f>
        <v>1992</v>
      </c>
      <c r="H1124">
        <f>VLOOKUP($F1124, codebooks_data_reordered!$A:$I, 3, FALSE)</f>
        <v>0</v>
      </c>
      <c r="I1124" t="str">
        <f>VLOOKUP($F1124, codebooks_data_reordered!$A:$I, 4, FALSE)</f>
        <v>1</v>
      </c>
      <c r="J1124" t="str">
        <f>VLOOKUP($F1124, codebooks_data_reordered!$A:$I, 5, FALSE)</f>
        <v>8</v>
      </c>
      <c r="K1124" t="str">
        <f>VLOOKUP($F1124, codebooks_data_reordered!$A:$I, 6, FALSE)</f>
        <v>Evaluation of Israel's present national security</v>
      </c>
      <c r="L1124">
        <f>VLOOKUP($F1124, codebooks_data_reordered!$A:$I, 7, FALSE)</f>
        <v>0</v>
      </c>
      <c r="M1124" t="str">
        <f>VLOOKUP($F1124, codebooks_data_reordered!$A:$I, 9, FALSE)</f>
        <v>1: Worst possible; 9: Best possible</v>
      </c>
      <c r="O1124" s="2" t="str">
        <f t="shared" si="17"/>
        <v>1: Worst possible
 9: Best possible</v>
      </c>
    </row>
    <row r="1125" spans="1:15" ht="144" hidden="1" x14ac:dyDescent="0.3">
      <c r="A1125" t="s">
        <v>8272</v>
      </c>
      <c r="B1125" t="s">
        <v>8448</v>
      </c>
      <c r="C1125" s="2" t="s">
        <v>8449</v>
      </c>
      <c r="D1125" t="s">
        <v>5843</v>
      </c>
      <c r="E1125" s="2" t="s">
        <v>8450</v>
      </c>
      <c r="F1125" t="s">
        <v>37</v>
      </c>
      <c r="G1125" t="str">
        <f>VLOOKUP($F1125, codebooks_data_reordered!$A:$I, 2, FALSE)</f>
        <v>2006</v>
      </c>
      <c r="H1125" t="str">
        <f>VLOOKUP($F1125, codebooks_data_reordered!$A:$I, 3, FALSE)</f>
        <v>Pre-Election Survey</v>
      </c>
      <c r="I1125" t="str">
        <f>VLOOKUP($F1125, codebooks_data_reordered!$A:$I, 4, FALSE)</f>
        <v>1</v>
      </c>
      <c r="J1125" t="str">
        <f>VLOOKUP($F1125, codebooks_data_reordered!$A:$I, 5, FALSE)</f>
        <v>11-12</v>
      </c>
      <c r="K1125" t="str">
        <f>VLOOKUP($F1125, codebooks_data_reordered!$A:$I, 6, FALSE)</f>
        <v>Most important problem for government</v>
      </c>
      <c r="L1125" t="str">
        <f>VLOOKUP($F1125, codebooks_data_reordered!$A:$I, 7, FALSE)</f>
        <v>8. What do you think is the most important problem the government must take care of?</v>
      </c>
      <c r="M1125">
        <f>VLOOKUP($F1125, codebooks_data_reordered!$A:$I, 9, FALSE)</f>
        <v>0</v>
      </c>
      <c r="O1125" s="2" t="str">
        <f t="shared" si="17"/>
        <v>0</v>
      </c>
    </row>
    <row r="1126" spans="1:15" ht="72" hidden="1" x14ac:dyDescent="0.3">
      <c r="A1126" t="s">
        <v>8272</v>
      </c>
      <c r="B1126" t="s">
        <v>8451</v>
      </c>
      <c r="C1126" s="2" t="s">
        <v>8452</v>
      </c>
      <c r="D1126" t="s">
        <v>5843</v>
      </c>
      <c r="E1126" s="2" t="s">
        <v>8453</v>
      </c>
      <c r="F1126" t="s">
        <v>42</v>
      </c>
      <c r="G1126" t="str">
        <f>VLOOKUP($F1126, codebooks_data_reordered!$A:$I, 2, FALSE)</f>
        <v>2006</v>
      </c>
      <c r="H1126" t="str">
        <f>VLOOKUP($F1126, codebooks_data_reordered!$A:$I, 3, FALSE)</f>
        <v>Pre-Election Survey</v>
      </c>
      <c r="I1126" t="str">
        <f>VLOOKUP($F1126, codebooks_data_reordered!$A:$I, 4, FALSE)</f>
        <v>1</v>
      </c>
      <c r="J1126" t="str">
        <f>VLOOKUP($F1126, codebooks_data_reordered!$A:$I, 5, FALSE)</f>
        <v>13</v>
      </c>
      <c r="K1126" t="str">
        <f>VLOOKUP($F1126, codebooks_data_reordered!$A:$I, 6, FALSE)</f>
        <v>Economic situation in past 3 years</v>
      </c>
      <c r="L1126" t="str">
        <f>VLOOKUP($F1126, codebooks_data_reordered!$A:$I, 7, FALSE)</f>
        <v>10. Do you think that the economic situation in the past 3 years has improved, didn't change, or got worse?</v>
      </c>
      <c r="M1126" t="str">
        <f>VLOOKUP($F1126, codebooks_data_reordered!$A:$I, 9, FALSE)</f>
        <v>1: Improved a lot; 2: Improved a bit; 3: Didn't change; 4: Got a bit worse; 5: Got much worse</v>
      </c>
      <c r="O1126" s="2" t="str">
        <f t="shared" si="17"/>
        <v>1: Improved a lot
 2: Improved a bit
 3: Didn't change
 4: Got a bit worse
 5: Got much worse</v>
      </c>
    </row>
    <row r="1127" spans="1:15" ht="100.8" hidden="1" x14ac:dyDescent="0.3">
      <c r="A1127" t="s">
        <v>8272</v>
      </c>
      <c r="B1127" t="s">
        <v>8454</v>
      </c>
      <c r="C1127" s="2" t="s">
        <v>8455</v>
      </c>
      <c r="D1127" t="s">
        <v>5843</v>
      </c>
      <c r="E1127" s="2" t="s">
        <v>8456</v>
      </c>
      <c r="F1127" t="s">
        <v>46</v>
      </c>
      <c r="G1127" t="str">
        <f>VLOOKUP($F1127, codebooks_data_reordered!$A:$I, 2, FALSE)</f>
        <v>2006</v>
      </c>
      <c r="H1127" t="str">
        <f>VLOOKUP($F1127, codebooks_data_reordered!$A:$I, 3, FALSE)</f>
        <v>Pre-Election Survey</v>
      </c>
      <c r="I1127" t="str">
        <f>VLOOKUP($F1127, codebooks_data_reordered!$A:$I, 4, FALSE)</f>
        <v>1</v>
      </c>
      <c r="J1127" t="str">
        <f>VLOOKUP($F1127, codebooks_data_reordered!$A:$I, 5, FALSE)</f>
        <v>14</v>
      </c>
      <c r="K1127" t="str">
        <f>VLOOKUP($F1127, codebooks_data_reordered!$A:$I, 6, FALSE)</f>
        <v>Personal economic situation in past year</v>
      </c>
      <c r="L1127" t="str">
        <f>VLOOKUP($F1127, codebooks_data_reordered!$A:$I, 7, FALSE)</f>
        <v>11. And what about your own personal economic status? Would you say that for the past year your personal status:</v>
      </c>
      <c r="M1127" t="str">
        <f>VLOOKUP($F1127, codebooks_data_reordered!$A:$I, 9, FALSE)</f>
        <v>1: Improved a lot; 2: Improved a bit; 3: Didn't change; 4: Got a bit worse; 5: Got much worse</v>
      </c>
      <c r="O1127" s="2" t="str">
        <f t="shared" si="17"/>
        <v>1: Improved a lot
 2: Improved a bit
 3: Didn't change
 4: Got a bit worse
 5: Got much worse</v>
      </c>
    </row>
    <row r="1128" spans="1:15" ht="115.2" hidden="1" x14ac:dyDescent="0.3">
      <c r="A1128" t="s">
        <v>8272</v>
      </c>
      <c r="B1128" t="s">
        <v>8457</v>
      </c>
      <c r="C1128" s="2" t="s">
        <v>8458</v>
      </c>
      <c r="D1128" t="s">
        <v>5843</v>
      </c>
      <c r="E1128" s="2" t="s">
        <v>8459</v>
      </c>
      <c r="F1128" t="s">
        <v>199</v>
      </c>
      <c r="G1128" t="str">
        <f>VLOOKUP($F1128, codebooks_data_reordered!$A:$I, 2, FALSE)</f>
        <v>2006</v>
      </c>
      <c r="H1128" t="str">
        <f>VLOOKUP($F1128, codebooks_data_reordered!$A:$I, 3, FALSE)</f>
        <v>Agree/Disagree with the Different Statements</v>
      </c>
      <c r="I1128" t="str">
        <f>VLOOKUP($F1128, codebooks_data_reordered!$A:$I, 4, FALSE)</f>
        <v>1</v>
      </c>
      <c r="J1128" t="str">
        <f>VLOOKUP($F1128, codebooks_data_reordered!$A:$I, 5, FALSE)</f>
        <v>51</v>
      </c>
      <c r="K1128" t="str">
        <f>VLOOKUP($F1128, codebooks_data_reordered!$A:$I, 6, FALSE)</f>
        <v>Democracy as a best system</v>
      </c>
      <c r="L1128" t="str">
        <f>VLOOKUP($F1128, codebooks_data_reordered!$A:$I, 7, FALSE)</f>
        <v>To what extent do you agree or disagree with the following statements? 46. Even if there are problems in democracy, it's still the best political system</v>
      </c>
      <c r="M1128" t="str">
        <f>VLOOKUP($F1128, codebooks_data_reordered!$A:$I, 9, FALSE)</f>
        <v>1: Definitely disagree; 2: Disagree; 3: Agree; 4: Definitely agree</v>
      </c>
      <c r="O1128" s="2" t="str">
        <f t="shared" si="17"/>
        <v>1: Definitely disagree
 2: Disagree
 3: Agree
 4: Definitely agree</v>
      </c>
    </row>
    <row r="1129" spans="1:15" ht="158.4" hidden="1" x14ac:dyDescent="0.3">
      <c r="A1129" t="s">
        <v>8272</v>
      </c>
      <c r="B1129" t="s">
        <v>7530</v>
      </c>
      <c r="C1129" s="2" t="s">
        <v>8460</v>
      </c>
      <c r="D1129" t="s">
        <v>5843</v>
      </c>
      <c r="E1129" s="2" t="s">
        <v>8461</v>
      </c>
      <c r="F1129" t="s">
        <v>203</v>
      </c>
      <c r="G1129" t="str">
        <f>VLOOKUP($F1129, codebooks_data_reordered!$A:$I, 2, FALSE)</f>
        <v>2006</v>
      </c>
      <c r="H1129" t="str">
        <f>VLOOKUP($F1129, codebooks_data_reordered!$A:$I, 3, FALSE)</f>
        <v>Agree/Disagree with the Different Statements</v>
      </c>
      <c r="I1129" t="str">
        <f>VLOOKUP($F1129, codebooks_data_reordered!$A:$I, 4, FALSE)</f>
        <v>1</v>
      </c>
      <c r="J1129" t="str">
        <f>VLOOKUP($F1129, codebooks_data_reordered!$A:$I, 5, FALSE)</f>
        <v>52</v>
      </c>
      <c r="K1129" t="str">
        <f>VLOOKUP($F1129, codebooks_data_reordered!$A:$I, 6, FALSE)</f>
        <v>Politicians tend not to consider the opinion of the citizen</v>
      </c>
      <c r="L1129" t="str">
        <f>VLOOKUP($F1129, codebooks_data_reordered!$A:$I, 7, FALSE)</f>
        <v>To what extent do you agree or disagree with the following statements? 47. A politician tends not to consider the opinion of the simple citizen</v>
      </c>
      <c r="M1129" t="str">
        <f>VLOOKUP($F1129, codebooks_data_reordered!$A:$I, 9, FALSE)</f>
        <v>1: Definitely disagree; 2: Disagree; 3: Agree; 4: Definitely agree</v>
      </c>
      <c r="O1129" s="2" t="str">
        <f t="shared" si="17"/>
        <v>1: Definitely disagree
 2: Disagree
 3: Agree
 4: Definitely agree</v>
      </c>
    </row>
    <row r="1130" spans="1:15" ht="100.8" hidden="1" x14ac:dyDescent="0.3">
      <c r="A1130" t="s">
        <v>8272</v>
      </c>
      <c r="B1130" t="s">
        <v>7533</v>
      </c>
      <c r="C1130" s="2" t="s">
        <v>8462</v>
      </c>
      <c r="D1130" t="s">
        <v>5843</v>
      </c>
      <c r="E1130" s="2" t="s">
        <v>8463</v>
      </c>
      <c r="F1130" t="s">
        <v>207</v>
      </c>
      <c r="G1130" t="str">
        <f>VLOOKUP($F1130, codebooks_data_reordered!$A:$I, 2, FALSE)</f>
        <v>2006</v>
      </c>
      <c r="H1130" t="str">
        <f>VLOOKUP($F1130, codebooks_data_reordered!$A:$I, 3, FALSE)</f>
        <v>Agree/Disagree with the Different Statements</v>
      </c>
      <c r="I1130" t="str">
        <f>VLOOKUP($F1130, codebooks_data_reordered!$A:$I, 4, FALSE)</f>
        <v>1</v>
      </c>
      <c r="J1130" t="str">
        <f>VLOOKUP($F1130, codebooks_data_reordered!$A:$I, 5, FALSE)</f>
        <v>53</v>
      </c>
      <c r="K1130" t="str">
        <f>VLOOKUP($F1130, codebooks_data_reordered!$A:$I, 6, FALSE)</f>
        <v>No matter who you vote for</v>
      </c>
      <c r="L1130" t="str">
        <f>VLOOKUP($F1130, codebooks_data_reordered!$A:$I, 7, FALSE)</f>
        <v>To what extent do you agree or disagree with the following statements? 48. No matter who you vote for, it wont change anything</v>
      </c>
      <c r="M1130" t="str">
        <f>VLOOKUP($F1130, codebooks_data_reordered!$A:$I, 9, FALSE)</f>
        <v>1: Definitely disagree; 2: Disagree; 3: Agree; 4: Definitely agree</v>
      </c>
      <c r="O1130" s="2" t="str">
        <f t="shared" si="17"/>
        <v>1: Definitely disagree
 2: Disagree
 3: Agree
 4: Definitely agree</v>
      </c>
    </row>
    <row r="1131" spans="1:15" ht="100.8" hidden="1" x14ac:dyDescent="0.3">
      <c r="A1131" t="s">
        <v>8272</v>
      </c>
      <c r="B1131" t="s">
        <v>7536</v>
      </c>
      <c r="C1131" s="2" t="s">
        <v>8462</v>
      </c>
      <c r="D1131" t="s">
        <v>5843</v>
      </c>
      <c r="E1131" s="2" t="s">
        <v>8463</v>
      </c>
      <c r="F1131" t="s">
        <v>211</v>
      </c>
      <c r="G1131" t="str">
        <f>VLOOKUP($F1131, codebooks_data_reordered!$A:$I, 2, FALSE)</f>
        <v>2006</v>
      </c>
      <c r="H1131" t="str">
        <f>VLOOKUP($F1131, codebooks_data_reordered!$A:$I, 3, FALSE)</f>
        <v>Agree/Disagree with the Different Statements</v>
      </c>
      <c r="I1131" t="str">
        <f>VLOOKUP($F1131, codebooks_data_reordered!$A:$I, 4, FALSE)</f>
        <v>1</v>
      </c>
      <c r="J1131" t="str">
        <f>VLOOKUP($F1131, codebooks_data_reordered!$A:$I, 5, FALSE)</f>
        <v>54</v>
      </c>
      <c r="K1131" t="str">
        <f>VLOOKUP($F1131, codebooks_data_reordered!$A:$I, 6, FALSE)</f>
        <v>Stop the peace process</v>
      </c>
      <c r="L1131" t="str">
        <f>VLOOKUP($F1131, codebooks_data_reordered!$A:$I, 7, FALSE)</f>
        <v>To what extent do you agree or disagree with the following statements? 49. The peace process must be stopped even at the a risk of another war</v>
      </c>
      <c r="M1131" t="str">
        <f>VLOOKUP($F1131, codebooks_data_reordered!$A:$I, 9, FALSE)</f>
        <v>1: Definitely disagree; 2: Disagree; 3: Agree; 4: Definitely agree</v>
      </c>
      <c r="O1131" s="2" t="str">
        <f t="shared" si="17"/>
        <v>1: Definitely disagree
 2: Disagree
 3: Agree
 4: Definitely agree</v>
      </c>
    </row>
    <row r="1132" spans="1:15" ht="115.2" hidden="1" x14ac:dyDescent="0.3">
      <c r="A1132" t="s">
        <v>8272</v>
      </c>
      <c r="B1132" t="s">
        <v>7539</v>
      </c>
      <c r="C1132" s="2" t="s">
        <v>8464</v>
      </c>
      <c r="D1132" t="s">
        <v>5843</v>
      </c>
      <c r="E1132" s="2" t="s">
        <v>8465</v>
      </c>
      <c r="F1132" t="s">
        <v>215</v>
      </c>
      <c r="G1132" t="str">
        <f>VLOOKUP($F1132, codebooks_data_reordered!$A:$I, 2, FALSE)</f>
        <v>2006</v>
      </c>
      <c r="H1132" t="str">
        <f>VLOOKUP($F1132, codebooks_data_reordered!$A:$I, 3, FALSE)</f>
        <v>Agree/Disagree with the Different Statements</v>
      </c>
      <c r="I1132" t="str">
        <f>VLOOKUP($F1132, codebooks_data_reordered!$A:$I, 4, FALSE)</f>
        <v>1</v>
      </c>
      <c r="J1132" t="str">
        <f>VLOOKUP($F1132, codebooks_data_reordered!$A:$I, 5, FALSE)</f>
        <v>55</v>
      </c>
      <c r="K1132" t="str">
        <f>VLOOKUP($F1132, codebooks_data_reordered!$A:$I, 6, FALSE)</f>
        <v>Return territories for peace</v>
      </c>
      <c r="L1132" t="str">
        <f>VLOOKUP($F1132, codebooks_data_reordered!$A:$I, 7, FALSE)</f>
        <v>To what extent do you agree or disagree with the following statements? 50. Territories should be returned in exchange for peace</v>
      </c>
      <c r="M1132" t="str">
        <f>VLOOKUP($F1132, codebooks_data_reordered!$A:$I, 9, FALSE)</f>
        <v>1: Definitely disagree; 2: Disagree; 3: Agree; 4: Definitely agree</v>
      </c>
      <c r="O1132" s="2" t="str">
        <f t="shared" si="17"/>
        <v>1: Definitely disagree
 2: Disagree
 3: Agree
 4: Definitely agree</v>
      </c>
    </row>
    <row r="1133" spans="1:15" ht="72" hidden="1" x14ac:dyDescent="0.3">
      <c r="A1133" t="s">
        <v>8272</v>
      </c>
      <c r="B1133" t="s">
        <v>7542</v>
      </c>
      <c r="C1133" s="2" t="s">
        <v>8466</v>
      </c>
      <c r="D1133" t="s">
        <v>5843</v>
      </c>
      <c r="E1133" s="2" t="s">
        <v>8467</v>
      </c>
      <c r="F1133" t="s">
        <v>2201</v>
      </c>
      <c r="G1133" t="str">
        <f>VLOOKUP($F1133, codebooks_data_reordered!$A:$I, 2, FALSE)</f>
        <v>1999_1</v>
      </c>
      <c r="H1133" t="str">
        <f>VLOOKUP($F1133, codebooks_data_reordered!$A:$I, 3, FALSE)</f>
        <v>RESPONDENT'S DEMOGRAPHIC DETAILS</v>
      </c>
      <c r="I1133" t="str">
        <f>VLOOKUP($F1133, codebooks_data_reordered!$A:$I, 4, FALSE)</f>
        <v>3</v>
      </c>
      <c r="J1133" t="str">
        <f>VLOOKUP($F1133, codebooks_data_reordered!$A:$I, 5, FALSE)</f>
        <v>43</v>
      </c>
      <c r="K1133" t="str">
        <f>VLOOKUP($F1133, codebooks_data_reordered!$A:$I, 6, FALSE)</f>
        <v>Number of rooms in apartment</v>
      </c>
      <c r="L1133">
        <f>VLOOKUP($F1133, codebooks_data_reordered!$A:$I, 7, FALSE)</f>
        <v>0</v>
      </c>
      <c r="M1133">
        <f>VLOOKUP($F1133, codebooks_data_reordered!$A:$I, 9, FALSE)</f>
        <v>0</v>
      </c>
      <c r="O1133" s="2" t="str">
        <f t="shared" si="17"/>
        <v>0</v>
      </c>
    </row>
    <row r="1134" spans="1:15" ht="115.2" hidden="1" x14ac:dyDescent="0.3">
      <c r="A1134" t="s">
        <v>8272</v>
      </c>
      <c r="B1134" t="s">
        <v>8468</v>
      </c>
      <c r="C1134" s="2" t="s">
        <v>8469</v>
      </c>
      <c r="D1134" t="s">
        <v>5843</v>
      </c>
      <c r="E1134" s="2" t="s">
        <v>8470</v>
      </c>
      <c r="F1134" t="s">
        <v>23</v>
      </c>
      <c r="G1134" t="str">
        <f>VLOOKUP($F1134, codebooks_data_reordered!$A:$I, 2, FALSE)</f>
        <v>2006</v>
      </c>
      <c r="H1134" t="str">
        <f>VLOOKUP($F1134, codebooks_data_reordered!$A:$I, 3, FALSE)</f>
        <v>Case Identification</v>
      </c>
      <c r="I1134" t="str">
        <f>VLOOKUP($F1134, codebooks_data_reordered!$A:$I, 4, FALSE)</f>
        <v>1</v>
      </c>
      <c r="J1134" t="str">
        <f>VLOOKUP($F1134, codebooks_data_reordered!$A:$I, 5, FALSE)</f>
        <v>5-8</v>
      </c>
      <c r="K1134" t="str">
        <f>VLOOKUP($F1134, codebooks_data_reordered!$A:$I, 6, FALSE)</f>
        <v>Respondent's ID in all consecutive surveys</v>
      </c>
      <c r="L1134">
        <f>VLOOKUP($F1134, codebooks_data_reordered!$A:$I, 7, FALSE)</f>
        <v>0</v>
      </c>
      <c r="M1134">
        <f>VLOOKUP($F1134, codebooks_data_reordered!$A:$I, 9, FALSE)</f>
        <v>0</v>
      </c>
      <c r="O1134" s="2" t="str">
        <f t="shared" si="17"/>
        <v>0</v>
      </c>
    </row>
    <row r="1135" spans="1:15" ht="158.4" hidden="1" x14ac:dyDescent="0.3">
      <c r="A1135" t="s">
        <v>8272</v>
      </c>
      <c r="B1135" t="s">
        <v>8471</v>
      </c>
      <c r="C1135" s="2" t="s">
        <v>8472</v>
      </c>
      <c r="D1135" t="s">
        <v>5843</v>
      </c>
      <c r="E1135" s="2" t="s">
        <v>8473</v>
      </c>
      <c r="F1135" t="s">
        <v>28</v>
      </c>
      <c r="G1135" t="str">
        <f>VLOOKUP($F1135, codebooks_data_reordered!$A:$I, 2, FALSE)</f>
        <v>2006</v>
      </c>
      <c r="H1135" t="str">
        <f>VLOOKUP($F1135, codebooks_data_reordered!$A:$I, 3, FALSE)</f>
        <v>Pre-Election Survey</v>
      </c>
      <c r="I1135" t="str">
        <f>VLOOKUP($F1135, codebooks_data_reordered!$A:$I, 4, FALSE)</f>
        <v>1</v>
      </c>
      <c r="J1135" t="str">
        <f>VLOOKUP($F1135, codebooks_data_reordered!$A:$I, 5, FALSE)</f>
        <v>9</v>
      </c>
      <c r="K1135" t="str">
        <f>VLOOKUP($F1135, codebooks_data_reordered!$A:$I, 6, FALSE)</f>
        <v>Israeli condition in general</v>
      </c>
      <c r="L1135" t="str">
        <f>VLOOKUP($F1135, codebooks_data_reordered!$A:$I, 7, FALSE)</f>
        <v>6. In your opinion, what is Israel's general situation?</v>
      </c>
      <c r="M1135" t="str">
        <f>VLOOKUP($F1135, codebooks_data_reordered!$A:$I, 9, FALSE)</f>
        <v>1: Very good; 2: Good; 3: So so; 4: Not good; 5: Bad</v>
      </c>
      <c r="O1135" s="2" t="str">
        <f t="shared" si="17"/>
        <v>1: Very good
 2: Good
 3: So so
 4: Not good
 5: Bad</v>
      </c>
    </row>
    <row r="1136" spans="1:15" ht="100.8" hidden="1" x14ac:dyDescent="0.3">
      <c r="A1136" t="s">
        <v>8272</v>
      </c>
      <c r="B1136" t="s">
        <v>8474</v>
      </c>
      <c r="C1136" s="2" t="s">
        <v>6727</v>
      </c>
      <c r="D1136" t="s">
        <v>5843</v>
      </c>
      <c r="E1136" s="2" t="s">
        <v>6728</v>
      </c>
      <c r="F1136" t="s">
        <v>3806</v>
      </c>
      <c r="G1136" t="str">
        <f>VLOOKUP($F1136, codebooks_data_reordered!$A:$I, 2, FALSE)</f>
        <v>1988_N=873</v>
      </c>
      <c r="H1136" t="str">
        <f>VLOOKUP($F1136, codebooks_data_reordered!$A:$I, 3, FALSE)</f>
        <v>FOR WHICH PARTIES WOULD YOU VOTE FOR IF NO LIMITATION IS POSED</v>
      </c>
      <c r="I1136" t="str">
        <f>VLOOKUP($F1136, codebooks_data_reordered!$A:$I, 4, FALSE)</f>
        <v>1</v>
      </c>
      <c r="J1136" t="str">
        <f>VLOOKUP($F1136, codebooks_data_reordered!$A:$I, 5, FALSE)</f>
        <v>162</v>
      </c>
      <c r="K1136" t="str">
        <f>VLOOKUP($F1136, codebooks_data_reordered!$A:$I, 6, FALSE)</f>
        <v>Israel's usage of nuclear weapons</v>
      </c>
      <c r="L1136">
        <f>VLOOKUP($F1136, codebooks_data_reordered!$A:$I, 7, FALSE)</f>
        <v>0</v>
      </c>
      <c r="M1136" t="str">
        <f>VLOOKUP($F1136, codebooks_data_reordered!$A:$I, 9, FALSE)</f>
        <v>1: There are conditions when usage is justified; 2: Under no conditions is usage justified</v>
      </c>
      <c r="O1136" s="2" t="str">
        <f t="shared" si="17"/>
        <v>1: There are conditions when usage is justified
 2: Under no conditions is usage justified</v>
      </c>
    </row>
    <row r="1137" spans="1:15" ht="115.2" hidden="1" x14ac:dyDescent="0.3">
      <c r="A1137" t="s">
        <v>8272</v>
      </c>
      <c r="B1137" t="s">
        <v>8475</v>
      </c>
      <c r="C1137" s="2" t="s">
        <v>8476</v>
      </c>
      <c r="D1137" t="s">
        <v>5843</v>
      </c>
      <c r="E1137" s="2" t="s">
        <v>8477</v>
      </c>
      <c r="F1137" t="s">
        <v>3637</v>
      </c>
      <c r="G1137" t="str">
        <f>VLOOKUP($F1137, codebooks_data_reordered!$A:$I, 2, FALSE)</f>
        <v>1988_N=873</v>
      </c>
      <c r="H1137">
        <f>VLOOKUP($F1137, codebooks_data_reordered!$A:$I, 3, FALSE)</f>
        <v>0</v>
      </c>
      <c r="I1137" t="str">
        <f>VLOOKUP($F1137, codebooks_data_reordered!$A:$I, 4, FALSE)</f>
        <v>1</v>
      </c>
      <c r="J1137" t="str">
        <f>VLOOKUP($F1137, codebooks_data_reordered!$A:$I, 5, FALSE)</f>
        <v>1</v>
      </c>
      <c r="K1137" t="str">
        <f>VLOOKUP($F1137, codebooks_data_reordered!$A:$I, 6, FALSE)</f>
        <v>General situation in Israel today</v>
      </c>
      <c r="L1137">
        <f>VLOOKUP($F1137, codebooks_data_reordered!$A:$I, 7, FALSE)</f>
        <v>0</v>
      </c>
      <c r="M1137" t="str">
        <f>VLOOKUP($F1137, codebooks_data_reordered!$A:$I, 9, FALSE)</f>
        <v>1: Very good; 2: Good; 3: Not so good; 4: Not good; 5: Bad</v>
      </c>
      <c r="O1137" s="2" t="str">
        <f t="shared" si="17"/>
        <v>1: Very good
 2: Good
 3: Not so good
 4: Not good
 5: Bad</v>
      </c>
    </row>
    <row r="1138" spans="1:15" ht="129.6" hidden="1" x14ac:dyDescent="0.3">
      <c r="A1138" t="s">
        <v>8272</v>
      </c>
      <c r="B1138" t="s">
        <v>8478</v>
      </c>
      <c r="C1138" s="2" t="s">
        <v>8479</v>
      </c>
      <c r="D1138" t="s">
        <v>5843</v>
      </c>
      <c r="E1138" s="2" t="s">
        <v>8480</v>
      </c>
      <c r="F1138" t="s">
        <v>3638</v>
      </c>
      <c r="G1138" t="str">
        <f>VLOOKUP($F1138, codebooks_data_reordered!$A:$I, 2, FALSE)</f>
        <v>1988_N=873</v>
      </c>
      <c r="H1138">
        <f>VLOOKUP($F1138, codebooks_data_reordered!$A:$I, 3, FALSE)</f>
        <v>0</v>
      </c>
      <c r="I1138" t="str">
        <f>VLOOKUP($F1138, codebooks_data_reordered!$A:$I, 4, FALSE)</f>
        <v>1</v>
      </c>
      <c r="J1138" t="str">
        <f>VLOOKUP($F1138, codebooks_data_reordered!$A:$I, 5, FALSE)</f>
        <v>2</v>
      </c>
      <c r="K1138" t="str">
        <f>VLOOKUP($F1138, codebooks_data_reordered!$A:$I, 6, FALSE)</f>
        <v>Way government handles nation's problems</v>
      </c>
      <c r="L1138">
        <f>VLOOKUP($F1138, codebooks_data_reordered!$A:$I, 7, FALSE)</f>
        <v>0</v>
      </c>
      <c r="M1138" t="str">
        <f>VLOOKUP($F1138, codebooks_data_reordered!$A:$I, 9, FALSE)</f>
        <v>1: Very well; 2: Well; 3: Not so well; 4: Not well at all</v>
      </c>
      <c r="O1138" s="2" t="str">
        <f t="shared" si="17"/>
        <v>1: Very well
 2: Well
 3: Not so well
 4: Not well at all</v>
      </c>
    </row>
    <row r="1139" spans="1:15" ht="115.2" hidden="1" x14ac:dyDescent="0.3">
      <c r="A1139" t="s">
        <v>8272</v>
      </c>
      <c r="B1139" t="s">
        <v>8481</v>
      </c>
      <c r="C1139" s="2" t="s">
        <v>8171</v>
      </c>
      <c r="D1139" t="s">
        <v>5843</v>
      </c>
      <c r="E1139" s="2" t="s">
        <v>8172</v>
      </c>
      <c r="F1139" t="s">
        <v>987</v>
      </c>
      <c r="G1139" t="str">
        <f>VLOOKUP($F1139, codebooks_data_reordered!$A:$I, 2, FALSE)</f>
        <v>2006</v>
      </c>
      <c r="H1139" t="str">
        <f>VLOOKUP($F1139, codebooks_data_reordered!$A:$I, 3, FALSE)</f>
        <v>Reason for not Vote</v>
      </c>
      <c r="I1139" t="str">
        <f>VLOOKUP($F1139, codebooks_data_reordered!$A:$I, 4, FALSE)</f>
        <v>1</v>
      </c>
      <c r="J1139" t="str">
        <f>VLOOKUP($F1139, codebooks_data_reordered!$A:$I, 5, FALSE)</f>
        <v>351-352</v>
      </c>
      <c r="K1139" t="str">
        <f>VLOOKUP($F1139, codebooks_data_reordered!$A:$I, 6, FALSE)</f>
        <v>Day of interview</v>
      </c>
      <c r="L1139">
        <f>VLOOKUP($F1139, codebooks_data_reordered!$A:$I, 7, FALSE)</f>
        <v>0</v>
      </c>
      <c r="M1139">
        <f>VLOOKUP($F1139, codebooks_data_reordered!$A:$I, 9, FALSE)</f>
        <v>0</v>
      </c>
      <c r="O1139" s="2" t="str">
        <f t="shared" si="17"/>
        <v>0</v>
      </c>
    </row>
    <row r="1140" spans="1:15" ht="86.4" hidden="1" x14ac:dyDescent="0.3">
      <c r="A1140" t="s">
        <v>8272</v>
      </c>
      <c r="B1140" t="s">
        <v>8482</v>
      </c>
      <c r="C1140" s="2" t="s">
        <v>8483</v>
      </c>
      <c r="D1140" t="s">
        <v>5843</v>
      </c>
      <c r="E1140" s="2" t="s">
        <v>8484</v>
      </c>
      <c r="F1140" t="s">
        <v>490</v>
      </c>
      <c r="G1140" t="str">
        <f>VLOOKUP($F1140, codebooks_data_reordered!$A:$I, 2, FALSE)</f>
        <v>2006</v>
      </c>
      <c r="H1140" t="str">
        <f>VLOOKUP($F1140, codebooks_data_reordered!$A:$I, 3, FALSE)</f>
        <v>Most/Less Suitable Characteristic of the Party</v>
      </c>
      <c r="I1140" t="str">
        <f>VLOOKUP($F1140, codebooks_data_reordered!$A:$I, 4, FALSE)</f>
        <v>1</v>
      </c>
      <c r="J1140" t="str">
        <f>VLOOKUP($F1140, codebooks_data_reordered!$A:$I, 5, FALSE)</f>
        <v>157</v>
      </c>
      <c r="K1140" t="str">
        <f>VLOOKUP($F1140, codebooks_data_reordered!$A:$I, 6, FALSE)</f>
        <v>Most suitable characteristic of the party: Involved in corruprion</v>
      </c>
      <c r="L1140" t="str">
        <f>VLOOKUP($F1140,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is involved in corruption</v>
      </c>
      <c r="M1140" t="str">
        <f>VLOOKUP($F1140, codebooks_data_reordered!$A:$I, 9, FALSE)</f>
        <v>1: Most suitable Kadima; 2: Most suitable Likud; 3: Most suitable Avoda; 4: Suits all the same; 5: Doesn't suit any of them</v>
      </c>
      <c r="O1140" s="2" t="str">
        <f t="shared" si="17"/>
        <v>1: Most suitable Kadima
 2: Most suitable Likud
 3: Most suitable Avoda
 4: Suits all the same
 5: Doesn't suit any of them</v>
      </c>
    </row>
    <row r="1141" spans="1:15" ht="86.4" hidden="1" x14ac:dyDescent="0.3">
      <c r="A1141" t="s">
        <v>8272</v>
      </c>
      <c r="B1141" t="s">
        <v>8485</v>
      </c>
      <c r="C1141" s="2" t="s">
        <v>8483</v>
      </c>
      <c r="D1141" t="s">
        <v>5843</v>
      </c>
      <c r="E1141" s="2" t="s">
        <v>8484</v>
      </c>
      <c r="F1141" t="s">
        <v>493</v>
      </c>
      <c r="G1141" t="str">
        <f>VLOOKUP($F1141, codebooks_data_reordered!$A:$I, 2, FALSE)</f>
        <v>2006</v>
      </c>
      <c r="H1141" t="str">
        <f>VLOOKUP($F1141, codebooks_data_reordered!$A:$I, 3, FALSE)</f>
        <v>Most/Less Suitable Characteristic of the Party</v>
      </c>
      <c r="I1141" t="str">
        <f>VLOOKUP($F1141, codebooks_data_reordered!$A:$I, 4, FALSE)</f>
        <v>1</v>
      </c>
      <c r="J1141" t="str">
        <f>VLOOKUP($F1141, codebooks_data_reordered!$A:$I, 5, FALSE)</f>
        <v>158</v>
      </c>
      <c r="K1141" t="str">
        <f>VLOOKUP($F1141, codebooks_data_reordered!$A:$I, 6, FALSE)</f>
        <v>Least suitable characteristic of the party: Involved in corruprion</v>
      </c>
      <c r="L1141" t="str">
        <f>VLOOKUP($F1141,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is involved in corruption</v>
      </c>
      <c r="M1141" t="str">
        <f>VLOOKUP($F1141, codebooks_data_reordered!$A:$I, 9, FALSE)</f>
        <v>1: Least suitable Kadima; 2: Least suitable Likud; 3: Least suitable Avoda; 4: Suits all the same; 5: Doesn't suit any of them</v>
      </c>
      <c r="O1141" s="2" t="str">
        <f t="shared" si="17"/>
        <v>1: Least suitable Kadima
 2: Least suitable Likud
 3: Least suitable Avoda
 4: Suits all the same
 5: Doesn't suit any of them</v>
      </c>
    </row>
    <row r="1142" spans="1:15" ht="86.4" hidden="1" x14ac:dyDescent="0.3">
      <c r="A1142" t="s">
        <v>8272</v>
      </c>
      <c r="B1142" t="s">
        <v>8486</v>
      </c>
      <c r="C1142" s="2" t="s">
        <v>8487</v>
      </c>
      <c r="D1142" t="s">
        <v>5843</v>
      </c>
      <c r="E1142" s="2" t="s">
        <v>8488</v>
      </c>
      <c r="F1142" t="s">
        <v>500</v>
      </c>
      <c r="G1142" t="str">
        <f>VLOOKUP($F1142, codebooks_data_reordered!$A:$I, 2, FALSE)</f>
        <v>2006</v>
      </c>
      <c r="H1142" t="str">
        <f>VLOOKUP($F1142, codebooks_data_reordered!$A:$I, 3, FALSE)</f>
        <v>Most/Less Suitable Characteristic of the Party</v>
      </c>
      <c r="I1142" t="str">
        <f>VLOOKUP($F1142, codebooks_data_reordered!$A:$I, 4, FALSE)</f>
        <v>1</v>
      </c>
      <c r="J1142" t="str">
        <f>VLOOKUP($F1142, codebooks_data_reordered!$A:$I, 5, FALSE)</f>
        <v>160</v>
      </c>
      <c r="K1142" t="str">
        <f>VLOOKUP($F1142, codebooks_data_reordered!$A:$I, 6, FALSE)</f>
        <v>Least suitable characteristic of the party: Will decrease social gaps</v>
      </c>
      <c r="L1142" t="str">
        <f>VLOOKUP($F1142,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decrease social gaps</v>
      </c>
      <c r="M1142" t="str">
        <f>VLOOKUP($F1142, codebooks_data_reordered!$A:$I, 9, FALSE)</f>
        <v>1: Least suitable Kadima; 2: Least suitable Likud; 3: Least suitable Avoda; 4: Suits all the same; 5: Doesn't suit any of them</v>
      </c>
      <c r="O1142" s="2" t="str">
        <f t="shared" si="17"/>
        <v>1: Least suitable Kadima
 2: Least suitable Likud
 3: Least suitable Avoda
 4: Suits all the same
 5: Doesn't suit any of them</v>
      </c>
    </row>
    <row r="1143" spans="1:15" ht="72" hidden="1" x14ac:dyDescent="0.3">
      <c r="A1143" t="s">
        <v>8272</v>
      </c>
      <c r="B1143" t="s">
        <v>8489</v>
      </c>
      <c r="C1143" s="2" t="s">
        <v>8490</v>
      </c>
      <c r="D1143" t="s">
        <v>5843</v>
      </c>
      <c r="E1143" s="2" t="s">
        <v>8491</v>
      </c>
      <c r="F1143" t="s">
        <v>505</v>
      </c>
      <c r="G1143" t="str">
        <f>VLOOKUP($F1143, codebooks_data_reordered!$A:$I, 2, FALSE)</f>
        <v>2006</v>
      </c>
      <c r="H1143" t="str">
        <f>VLOOKUP($F1143, codebooks_data_reordered!$A:$I, 3, FALSE)</f>
        <v>Most/Less Suitable Characteristic of the Party</v>
      </c>
      <c r="I1143" t="str">
        <f>VLOOKUP($F1143, codebooks_data_reordered!$A:$I, 4, FALSE)</f>
        <v>1</v>
      </c>
      <c r="J1143" t="str">
        <f>VLOOKUP($F1143, codebooks_data_reordered!$A:$I, 5, FALSE)</f>
        <v>161</v>
      </c>
      <c r="K1143" t="str">
        <f>VLOOKUP($F1143, codebooks_data_reordered!$A:$I, 6, FALSE)</f>
        <v>Most suitable characteristic of the party: Leadership abilites</v>
      </c>
      <c r="L1143" t="str">
        <f>VLOOKUP($F1143,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Leadership abilities</v>
      </c>
      <c r="M1143" t="str">
        <f>VLOOKUP($F1143, codebooks_data_reordered!$A:$I, 9, FALSE)</f>
        <v>1: Olmert; 2: Netanyahu; 3: Peretz; 4: All; 5: None</v>
      </c>
      <c r="O1143" s="2" t="str">
        <f t="shared" si="17"/>
        <v>1: Olmert
 2: Netanyahu
 3: Peretz
 4: All
 5: None</v>
      </c>
    </row>
    <row r="1144" spans="1:15" ht="100.8" hidden="1" x14ac:dyDescent="0.3">
      <c r="A1144" t="s">
        <v>8272</v>
      </c>
      <c r="B1144" t="s">
        <v>6877</v>
      </c>
      <c r="C1144" s="2" t="s">
        <v>8492</v>
      </c>
      <c r="D1144" t="s">
        <v>5843</v>
      </c>
      <c r="E1144" s="2" t="s">
        <v>8493</v>
      </c>
      <c r="F1144" t="s">
        <v>512</v>
      </c>
      <c r="G1144" t="str">
        <f>VLOOKUP($F1144, codebooks_data_reordered!$A:$I, 2, FALSE)</f>
        <v>2006</v>
      </c>
      <c r="H1144" t="str">
        <f>VLOOKUP($F1144, codebooks_data_reordered!$A:$I, 3, FALSE)</f>
        <v>Most/Less Suitable Characteristic of the Party</v>
      </c>
      <c r="I1144" t="str">
        <f>VLOOKUP($F1144, codebooks_data_reordered!$A:$I, 4, FALSE)</f>
        <v>1</v>
      </c>
      <c r="J1144" t="str">
        <f>VLOOKUP($F1144, codebooks_data_reordered!$A:$I, 5, FALSE)</f>
        <v>163</v>
      </c>
      <c r="K1144" t="str">
        <f>VLOOKUP($F1144, codebooks_data_reordered!$A:$I, 6, FALSE)</f>
        <v>Most suitable characteristic of the party: Reliable</v>
      </c>
      <c r="L1144" t="str">
        <f>VLOOKUP($F1144, codebooks_data_reordered!$A:$I, 7, FALSE)</f>
        <v>Below is a list of characteristics of leaders. Please tell which politician suits the characteristic best: Ehud Ulmert, Binyamin Netanyahu or Amir Peretz? Do not read 4 and 5. To those who said 1, 2 or 3, ask to whom this characteristic suits the least. Reliable</v>
      </c>
      <c r="M1144" t="str">
        <f>VLOOKUP($F1144, codebooks_data_reordered!$A:$I, 9, FALSE)</f>
        <v>1: Olmert; 2: Netanyahu; 3: Peretz; 4: All; 5: None</v>
      </c>
      <c r="O1144" s="2" t="str">
        <f t="shared" si="17"/>
        <v>1: Olmert
 2: Netanyahu
 3: Peretz
 4: All
 5: None</v>
      </c>
    </row>
    <row r="1145" spans="1:15" ht="100.8" hidden="1" x14ac:dyDescent="0.3">
      <c r="A1145" t="s">
        <v>8272</v>
      </c>
      <c r="B1145" t="s">
        <v>8494</v>
      </c>
      <c r="C1145" s="2" t="s">
        <v>8270</v>
      </c>
      <c r="D1145" t="s">
        <v>5843</v>
      </c>
      <c r="E1145" s="2" t="s">
        <v>8271</v>
      </c>
      <c r="F1145" t="s">
        <v>639</v>
      </c>
      <c r="G1145" t="str">
        <f>VLOOKUP($F1145, codebooks_data_reordered!$A:$I, 2, FALSE)</f>
        <v>2006</v>
      </c>
      <c r="H1145" t="str">
        <f>VLOOKUP($F1145, codebooks_data_reordered!$A:$I, 3, FALSE)</f>
        <v>Different Coalitions after the Elections</v>
      </c>
      <c r="I1145" t="str">
        <f>VLOOKUP($F1145, codebooks_data_reordered!$A:$I, 4, FALSE)</f>
        <v>1</v>
      </c>
      <c r="J1145" t="str">
        <f>VLOOKUP($F1145, codebooks_data_reordered!$A:$I, 5, FALSE)</f>
        <v>216-218</v>
      </c>
      <c r="K1145" t="str">
        <f>VLOOKUP($F1145, codebooks_data_reordered!$A:$I, 6, FALSE)</f>
        <v>Chances for Kadima-Likud-Haredim coalition</v>
      </c>
      <c r="L1145" t="str">
        <f>VLOOKUP($F1145,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145">
        <f>VLOOKUP($F1145, codebooks_data_reordered!$A:$I, 9, FALSE)</f>
        <v>0</v>
      </c>
      <c r="O1145" s="2" t="str">
        <f t="shared" si="17"/>
        <v>0</v>
      </c>
    </row>
    <row r="1146" spans="1:15" ht="43.2" hidden="1" x14ac:dyDescent="0.3">
      <c r="A1146" t="s">
        <v>8495</v>
      </c>
      <c r="B1146" t="s">
        <v>8212</v>
      </c>
      <c r="C1146" s="2" t="s">
        <v>8496</v>
      </c>
      <c r="D1146" t="s">
        <v>5906</v>
      </c>
      <c r="E1146" s="2" t="s">
        <v>8497</v>
      </c>
      <c r="F1146" t="s">
        <v>9345</v>
      </c>
      <c r="G1146" t="e">
        <f>VLOOKUP($F1146, codebooks_data_reordered!$A:$I, 2, FALSE)</f>
        <v>#N/A</v>
      </c>
      <c r="H1146" t="e">
        <f>VLOOKUP($F1146, codebooks_data_reordered!$A:$I, 3, FALSE)</f>
        <v>#N/A</v>
      </c>
      <c r="I1146" t="e">
        <f>VLOOKUP($F1146, codebooks_data_reordered!$A:$I, 4, FALSE)</f>
        <v>#N/A</v>
      </c>
      <c r="J1146" t="e">
        <f>VLOOKUP($F1146, codebooks_data_reordered!$A:$I, 5, FALSE)</f>
        <v>#N/A</v>
      </c>
      <c r="K1146" t="e">
        <f>VLOOKUP($F1146, codebooks_data_reordered!$A:$I, 6, FALSE)</f>
        <v>#N/A</v>
      </c>
      <c r="L1146" t="e">
        <f>VLOOKUP($F1146, codebooks_data_reordered!$A:$I, 7, FALSE)</f>
        <v>#N/A</v>
      </c>
      <c r="M1146" t="e">
        <f>VLOOKUP($F1146, codebooks_data_reordered!$A:$I, 9, FALSE)</f>
        <v>#N/A</v>
      </c>
      <c r="N1146" t="s">
        <v>9395</v>
      </c>
      <c r="O1146" t="e">
        <f t="shared" si="17"/>
        <v>#N/A</v>
      </c>
    </row>
    <row r="1147" spans="1:15" ht="144" hidden="1" x14ac:dyDescent="0.3">
      <c r="A1147" t="s">
        <v>8495</v>
      </c>
      <c r="B1147" t="s">
        <v>7869</v>
      </c>
      <c r="C1147" s="2" t="s">
        <v>8498</v>
      </c>
      <c r="D1147" t="s">
        <v>5843</v>
      </c>
      <c r="E1147" s="2" t="s">
        <v>8499</v>
      </c>
      <c r="F1147" t="s">
        <v>1771</v>
      </c>
      <c r="G1147" t="str">
        <f>VLOOKUP($F1147, codebooks_data_reordered!$A:$I, 2, FALSE)</f>
        <v>1999_1</v>
      </c>
      <c r="H1147" t="str">
        <f>VLOOKUP($F1147, codebooks_data_reordered!$A:$I, 3, FALSE)</f>
        <v>GENERAL POLITICAL ATTITUDE</v>
      </c>
      <c r="I1147" t="str">
        <f>VLOOKUP($F1147, codebooks_data_reordered!$A:$I, 4, FALSE)</f>
        <v>1</v>
      </c>
      <c r="J1147" t="str">
        <f>VLOOKUP($F1147, codebooks_data_reordered!$A:$I, 5, FALSE)</f>
        <v>16</v>
      </c>
      <c r="K1147" t="str">
        <f>VLOOKUP($F1147, codebooks_data_reordered!$A:$I, 6, FALSE)</f>
        <v>Danger of conflict with Arab world during Netanyahu's government</v>
      </c>
      <c r="L1147" t="str">
        <f>VLOOKUP($F1147, codebooks_data_reordered!$A:$I, 7, FALSE)</f>
        <v>Compared to Rabin and Peres' post-Oslo government</v>
      </c>
      <c r="M1147" t="str">
        <f>VLOOKUP($F1147, codebooks_data_reordered!$A:$I, 9, FALSE)</f>
        <v>1: Greatly increased; 2: Increased; 3: Decreased; 4: Greatly decreased</v>
      </c>
      <c r="O1147" s="2" t="str">
        <f t="shared" si="17"/>
        <v>1: Greatly increased
 2: Increased
 3: Decreased
 4: Greatly decreased</v>
      </c>
    </row>
    <row r="1148" spans="1:15" ht="172.8" hidden="1" x14ac:dyDescent="0.3">
      <c r="A1148" t="s">
        <v>8495</v>
      </c>
      <c r="B1148" t="s">
        <v>6206</v>
      </c>
      <c r="C1148" s="2" t="s">
        <v>8500</v>
      </c>
      <c r="D1148" t="s">
        <v>5843</v>
      </c>
      <c r="E1148" s="2" t="s">
        <v>8501</v>
      </c>
      <c r="F1148" t="s">
        <v>1771</v>
      </c>
      <c r="G1148" t="str">
        <f>VLOOKUP($F1148, codebooks_data_reordered!$A:$I, 2, FALSE)</f>
        <v>1999_1</v>
      </c>
      <c r="H1148" t="str">
        <f>VLOOKUP($F1148, codebooks_data_reordered!$A:$I, 3, FALSE)</f>
        <v>GENERAL POLITICAL ATTITUDE</v>
      </c>
      <c r="I1148" t="str">
        <f>VLOOKUP($F1148, codebooks_data_reordered!$A:$I, 4, FALSE)</f>
        <v>1</v>
      </c>
      <c r="J1148" t="str">
        <f>VLOOKUP($F1148, codebooks_data_reordered!$A:$I, 5, FALSE)</f>
        <v>16</v>
      </c>
      <c r="K1148" t="str">
        <f>VLOOKUP($F1148, codebooks_data_reordered!$A:$I, 6, FALSE)</f>
        <v>Danger of conflict with Arab world during Netanyahu's government</v>
      </c>
      <c r="L1148" t="str">
        <f>VLOOKUP($F1148, codebooks_data_reordered!$A:$I, 7, FALSE)</f>
        <v>Compared to Rabin and Peres' post-Oslo government</v>
      </c>
      <c r="M1148" t="str">
        <f>VLOOKUP($F1148, codebooks_data_reordered!$A:$I, 9, FALSE)</f>
        <v>1: Greatly increased; 2: Increased; 3: Decreased; 4: Greatly decreased</v>
      </c>
      <c r="O1148" s="2" t="str">
        <f t="shared" si="17"/>
        <v>1: Greatly increased
 2: Increased
 3: Decreased
 4: Greatly decreased</v>
      </c>
    </row>
    <row r="1149" spans="1:15" ht="100.8" hidden="1" x14ac:dyDescent="0.3">
      <c r="A1149" t="s">
        <v>8495</v>
      </c>
      <c r="B1149" t="s">
        <v>6758</v>
      </c>
      <c r="C1149" s="2" t="s">
        <v>6727</v>
      </c>
      <c r="D1149" t="s">
        <v>5843</v>
      </c>
      <c r="E1149" s="2" t="s">
        <v>6728</v>
      </c>
      <c r="F1149" t="s">
        <v>1775</v>
      </c>
      <c r="G1149" t="str">
        <f>VLOOKUP($F1149, codebooks_data_reordered!$A:$I, 2, FALSE)</f>
        <v>1999_1</v>
      </c>
      <c r="H1149" t="str">
        <f>VLOOKUP($F1149, codebooks_data_reordered!$A:$I, 3, FALSE)</f>
        <v>GENERAL POLITICAL ATTITUDE</v>
      </c>
      <c r="I1149" t="str">
        <f>VLOOKUP($F1149, codebooks_data_reordered!$A:$I, 4, FALSE)</f>
        <v>1</v>
      </c>
      <c r="J1149" t="str">
        <f>VLOOKUP($F1149, codebooks_data_reordered!$A:$I, 5, FALSE)</f>
        <v>17</v>
      </c>
      <c r="K1149" t="str">
        <f>VLOOKUP($F1149, codebooks_data_reordered!$A:$I, 6, FALSE)</f>
        <v>Territories should be returned for peace</v>
      </c>
      <c r="L1149" t="str">
        <f>VLOOKUP($F1149, codebooks_data_reordered!$A:$I, 7, FALSE)</f>
        <v>Agreement with statement on 1-7 scale</v>
      </c>
      <c r="M1149" t="str">
        <f>VLOOKUP($F1149, codebooks_data_reordered!$A:$I, 9, FALSE)</f>
        <v>1: Strongly disagree; 7: Strongly agree</v>
      </c>
      <c r="O1149" s="2" t="str">
        <f t="shared" si="17"/>
        <v>1: Strongly disagree
 7: Strongly agree</v>
      </c>
    </row>
    <row r="1150" spans="1:15" ht="72" hidden="1" x14ac:dyDescent="0.3">
      <c r="A1150" t="s">
        <v>8495</v>
      </c>
      <c r="B1150" t="s">
        <v>8502</v>
      </c>
      <c r="C1150" s="2" t="s">
        <v>8503</v>
      </c>
      <c r="D1150" t="s">
        <v>5843</v>
      </c>
      <c r="E1150" s="2" t="s">
        <v>8504</v>
      </c>
      <c r="F1150" t="s">
        <v>2353</v>
      </c>
      <c r="G1150" t="str">
        <f>VLOOKUP($F1150, codebooks_data_reordered!$A:$I, 2, FALSE)</f>
        <v>1996_Jews</v>
      </c>
      <c r="H1150" t="str">
        <f>VLOOKUP($F1150, codebooks_data_reordered!$A:$I, 3, FALSE)</f>
        <v>EFFECT OF FOLLOWING ISSUES ON VOTE FOR KNESSET</v>
      </c>
      <c r="I1150" t="str">
        <f>VLOOKUP($F1150, codebooks_data_reordered!$A:$I, 4, FALSE)</f>
        <v>1</v>
      </c>
      <c r="J1150" t="str">
        <f>VLOOKUP($F1150, codebooks_data_reordered!$A:$I, 5, FALSE)</f>
        <v>95</v>
      </c>
      <c r="K1150" t="str">
        <f>VLOOKUP($F1150, codebooks_data_reordered!$A:$I, 6, FALSE)</f>
        <v>Effect on vote for Knesset: 'Grapes of wrath' operation</v>
      </c>
      <c r="L1150">
        <f>VLOOKUP($F1150, codebooks_data_reordered!$A:$I, 7, FALSE)</f>
        <v>0</v>
      </c>
      <c r="M1150" t="str">
        <f>VLOOKUP($F1150, codebooks_data_reordered!$A:$I, 9, FALSE)</f>
        <v>1: Strong effect; 2: Medial effect; 3: Light effect; 4: No effect</v>
      </c>
      <c r="O1150" s="2" t="str">
        <f t="shared" si="17"/>
        <v>1: Strong effect
 2: Medial effect
 3: Light effect
 4: No effect</v>
      </c>
    </row>
    <row r="1151" spans="1:15" ht="86.4" hidden="1" x14ac:dyDescent="0.3">
      <c r="A1151" t="s">
        <v>8495</v>
      </c>
      <c r="B1151" t="s">
        <v>6770</v>
      </c>
      <c r="C1151" s="2" t="s">
        <v>8505</v>
      </c>
      <c r="D1151" t="s">
        <v>5843</v>
      </c>
      <c r="E1151" s="2" t="s">
        <v>8506</v>
      </c>
      <c r="F1151" t="s">
        <v>1775</v>
      </c>
      <c r="G1151" t="str">
        <f>VLOOKUP($F1151, codebooks_data_reordered!$A:$I, 2, FALSE)</f>
        <v>1999_1</v>
      </c>
      <c r="H1151" t="str">
        <f>VLOOKUP($F1151, codebooks_data_reordered!$A:$I, 3, FALSE)</f>
        <v>GENERAL POLITICAL ATTITUDE</v>
      </c>
      <c r="I1151" t="str">
        <f>VLOOKUP($F1151, codebooks_data_reordered!$A:$I, 4, FALSE)</f>
        <v>1</v>
      </c>
      <c r="J1151" t="str">
        <f>VLOOKUP($F1151, codebooks_data_reordered!$A:$I, 5, FALSE)</f>
        <v>17</v>
      </c>
      <c r="K1151" t="str">
        <f>VLOOKUP($F1151, codebooks_data_reordered!$A:$I, 6, FALSE)</f>
        <v>Territories should be returned for peace</v>
      </c>
      <c r="L1151" t="str">
        <f>VLOOKUP($F1151, codebooks_data_reordered!$A:$I, 7, FALSE)</f>
        <v>Agreement with statement on 1-7 scale</v>
      </c>
      <c r="M1151" t="str">
        <f>VLOOKUP($F1151, codebooks_data_reordered!$A:$I, 9, FALSE)</f>
        <v>1: Strongly disagree; 7: Strongly agree</v>
      </c>
      <c r="O1151" s="2" t="str">
        <f t="shared" si="17"/>
        <v>1: Strongly disagree
 7: Strongly agree</v>
      </c>
    </row>
    <row r="1152" spans="1:15" ht="158.4" hidden="1" x14ac:dyDescent="0.3">
      <c r="A1152" t="s">
        <v>8495</v>
      </c>
      <c r="B1152" t="s">
        <v>8507</v>
      </c>
      <c r="C1152" s="2" t="s">
        <v>8508</v>
      </c>
      <c r="D1152" t="s">
        <v>5843</v>
      </c>
      <c r="E1152" s="2" t="s">
        <v>8509</v>
      </c>
      <c r="F1152" t="s">
        <v>9346</v>
      </c>
      <c r="G1152" t="e">
        <f>VLOOKUP($F1152, codebooks_data_reordered!$A:$I, 2, FALSE)</f>
        <v>#N/A</v>
      </c>
      <c r="H1152" t="e">
        <f>VLOOKUP($F1152, codebooks_data_reordered!$A:$I, 3, FALSE)</f>
        <v>#N/A</v>
      </c>
      <c r="I1152" t="e">
        <f>VLOOKUP($F1152, codebooks_data_reordered!$A:$I, 4, FALSE)</f>
        <v>#N/A</v>
      </c>
      <c r="J1152" t="e">
        <f>VLOOKUP($F1152, codebooks_data_reordered!$A:$I, 5, FALSE)</f>
        <v>#N/A</v>
      </c>
      <c r="K1152" t="e">
        <f>VLOOKUP($F1152, codebooks_data_reordered!$A:$I, 6, FALSE)</f>
        <v>#N/A</v>
      </c>
      <c r="L1152" t="e">
        <f>VLOOKUP($F1152, codebooks_data_reordered!$A:$I, 7, FALSE)</f>
        <v>#N/A</v>
      </c>
      <c r="M1152" t="e">
        <f>VLOOKUP($F1152, codebooks_data_reordered!$A:$I, 9, FALSE)</f>
        <v>#N/A</v>
      </c>
      <c r="O1152" t="e">
        <f t="shared" si="17"/>
        <v>#N/A</v>
      </c>
    </row>
    <row r="1153" spans="1:15" ht="187.2" hidden="1" x14ac:dyDescent="0.3">
      <c r="A1153" t="s">
        <v>8495</v>
      </c>
      <c r="B1153" t="s">
        <v>8510</v>
      </c>
      <c r="C1153" s="2" t="s">
        <v>8511</v>
      </c>
      <c r="D1153" t="s">
        <v>5843</v>
      </c>
      <c r="E1153" s="2" t="s">
        <v>8512</v>
      </c>
      <c r="F1153" t="s">
        <v>1789</v>
      </c>
      <c r="G1153" t="str">
        <f>VLOOKUP($F1153, codebooks_data_reordered!$A:$I, 2, FALSE)</f>
        <v>1999_1</v>
      </c>
      <c r="H1153" t="str">
        <f>VLOOKUP($F1153, codebooks_data_reordered!$A:$I, 3, FALSE)</f>
        <v>GENERAL POLITICAL ATTITUDE</v>
      </c>
      <c r="I1153" t="str">
        <f>VLOOKUP($F1153, codebooks_data_reordered!$A:$I, 4, FALSE)</f>
        <v>1</v>
      </c>
      <c r="J1153" t="str">
        <f>VLOOKUP($F1153, codebooks_data_reordered!$A:$I, 5, FALSE)</f>
        <v>23</v>
      </c>
      <c r="K1153" t="str">
        <f>VLOOKUP($F1153, codebooks_data_reordered!$A:$I, 6, FALSE)</f>
        <v>Personal security of Israelis during Netanyahu's government</v>
      </c>
      <c r="L1153" t="str">
        <f>VLOOKUP($F1153, codebooks_data_reordered!$A:$I, 7, FALSE)</f>
        <v>Compared to Rabin and Peres' post-Oslo government</v>
      </c>
      <c r="M1153" t="str">
        <f>VLOOKUP($F1153, codebooks_data_reordered!$A:$I, 9, FALSE)</f>
        <v>1: Much better; 2: Better; 3: Worse; 4: Much worse</v>
      </c>
      <c r="O1153" s="2" t="str">
        <f t="shared" si="17"/>
        <v>1: Much better
 2: Better
 3: Worse
 4: Much worse</v>
      </c>
    </row>
    <row r="1154" spans="1:15" ht="72" hidden="1" x14ac:dyDescent="0.3">
      <c r="A1154" t="s">
        <v>8495</v>
      </c>
      <c r="B1154" t="s">
        <v>6929</v>
      </c>
      <c r="C1154" s="2" t="s">
        <v>8513</v>
      </c>
      <c r="D1154" t="s">
        <v>5843</v>
      </c>
      <c r="E1154" s="2" t="s">
        <v>8514</v>
      </c>
      <c r="F1154" t="s">
        <v>46</v>
      </c>
      <c r="G1154" t="str">
        <f>VLOOKUP($F1154, codebooks_data_reordered!$A:$I, 2, FALSE)</f>
        <v>2006</v>
      </c>
      <c r="H1154" t="str">
        <f>VLOOKUP($F1154, codebooks_data_reordered!$A:$I, 3, FALSE)</f>
        <v>Pre-Election Survey</v>
      </c>
      <c r="I1154" t="str">
        <f>VLOOKUP($F1154, codebooks_data_reordered!$A:$I, 4, FALSE)</f>
        <v>1</v>
      </c>
      <c r="J1154" t="str">
        <f>VLOOKUP($F1154, codebooks_data_reordered!$A:$I, 5, FALSE)</f>
        <v>14</v>
      </c>
      <c r="K1154" t="str">
        <f>VLOOKUP($F1154, codebooks_data_reordered!$A:$I, 6, FALSE)</f>
        <v>Personal economic situation in past year</v>
      </c>
      <c r="L1154" t="str">
        <f>VLOOKUP($F1154, codebooks_data_reordered!$A:$I, 7, FALSE)</f>
        <v>11. And what about your own personal economic status? Would you say that for the past year your personal status:</v>
      </c>
      <c r="M1154" t="str">
        <f>VLOOKUP($F1154, codebooks_data_reordered!$A:$I, 9, FALSE)</f>
        <v>1: Improved a lot; 2: Improved a bit; 3: Didn't change; 4: Got a bit worse; 5: Got much worse</v>
      </c>
      <c r="O1154" s="2" t="str">
        <f t="shared" ref="O1154:O1217" si="18">SUBSTITUTE(M1154, ";", CHAR(10))</f>
        <v>1: Improved a lot
 2: Improved a bit
 3: Didn't change
 4: Got a bit worse
 5: Got much worse</v>
      </c>
    </row>
    <row r="1155" spans="1:15" ht="43.2" hidden="1" x14ac:dyDescent="0.3">
      <c r="A1155" t="s">
        <v>8495</v>
      </c>
      <c r="B1155" t="s">
        <v>8515</v>
      </c>
      <c r="C1155" s="2" t="s">
        <v>8516</v>
      </c>
      <c r="D1155" t="s">
        <v>5843</v>
      </c>
      <c r="E1155" s="2" t="s">
        <v>8517</v>
      </c>
      <c r="F1155" t="s">
        <v>9347</v>
      </c>
      <c r="G1155" t="e">
        <f>VLOOKUP($F1155, codebooks_data_reordered!$A:$I, 2, FALSE)</f>
        <v>#N/A</v>
      </c>
      <c r="H1155" t="e">
        <f>VLOOKUP($F1155, codebooks_data_reordered!$A:$I, 3, FALSE)</f>
        <v>#N/A</v>
      </c>
      <c r="I1155" t="e">
        <f>VLOOKUP($F1155, codebooks_data_reordered!$A:$I, 4, FALSE)</f>
        <v>#N/A</v>
      </c>
      <c r="J1155" t="e">
        <f>VLOOKUP($F1155, codebooks_data_reordered!$A:$I, 5, FALSE)</f>
        <v>#N/A</v>
      </c>
      <c r="K1155" t="e">
        <f>VLOOKUP($F1155, codebooks_data_reordered!$A:$I, 6, FALSE)</f>
        <v>#N/A</v>
      </c>
      <c r="L1155" t="e">
        <f>VLOOKUP($F1155, codebooks_data_reordered!$A:$I, 7, FALSE)</f>
        <v>#N/A</v>
      </c>
      <c r="M1155" t="e">
        <f>VLOOKUP($F1155, codebooks_data_reordered!$A:$I, 9, FALSE)</f>
        <v>#N/A</v>
      </c>
      <c r="O1155" t="e">
        <f t="shared" si="18"/>
        <v>#N/A</v>
      </c>
    </row>
    <row r="1156" spans="1:15" ht="331.2" hidden="1" x14ac:dyDescent="0.3">
      <c r="A1156" t="s">
        <v>8495</v>
      </c>
      <c r="B1156" t="s">
        <v>8222</v>
      </c>
      <c r="C1156" s="2" t="s">
        <v>8518</v>
      </c>
      <c r="D1156" t="s">
        <v>5843</v>
      </c>
      <c r="E1156" s="2" t="s">
        <v>8519</v>
      </c>
      <c r="F1156" t="s">
        <v>1771</v>
      </c>
      <c r="G1156" t="str">
        <f>VLOOKUP($F1156, codebooks_data_reordered!$A:$I, 2, FALSE)</f>
        <v>1999_1</v>
      </c>
      <c r="H1156" t="str">
        <f>VLOOKUP($F1156, codebooks_data_reordered!$A:$I, 3, FALSE)</f>
        <v>GENERAL POLITICAL ATTITUDE</v>
      </c>
      <c r="I1156" t="str">
        <f>VLOOKUP($F1156, codebooks_data_reordered!$A:$I, 4, FALSE)</f>
        <v>1</v>
      </c>
      <c r="J1156" t="str">
        <f>VLOOKUP($F1156, codebooks_data_reordered!$A:$I, 5, FALSE)</f>
        <v>16</v>
      </c>
      <c r="K1156" t="str">
        <f>VLOOKUP($F1156, codebooks_data_reordered!$A:$I, 6, FALSE)</f>
        <v>Danger of conflict with Arab world during Netanyahu's government</v>
      </c>
      <c r="L1156" t="str">
        <f>VLOOKUP($F1156, codebooks_data_reordered!$A:$I, 7, FALSE)</f>
        <v>Compared to Rabin and Peres' post-Oslo government</v>
      </c>
      <c r="M1156" t="str">
        <f>VLOOKUP($F1156, codebooks_data_reordered!$A:$I, 9, FALSE)</f>
        <v>1: Greatly increased; 2: Increased; 3: Decreased; 4: Greatly decreased</v>
      </c>
      <c r="O1156" s="2" t="str">
        <f t="shared" si="18"/>
        <v>1: Greatly increased
 2: Increased
 3: Decreased
 4: Greatly decreased</v>
      </c>
    </row>
    <row r="1157" spans="1:15" ht="28.8" hidden="1" x14ac:dyDescent="0.3">
      <c r="A1157" t="s">
        <v>8495</v>
      </c>
      <c r="B1157" t="s">
        <v>6779</v>
      </c>
      <c r="C1157" s="2" t="s">
        <v>5905</v>
      </c>
      <c r="D1157" t="s">
        <v>5906</v>
      </c>
      <c r="E1157" s="2" t="s">
        <v>5907</v>
      </c>
      <c r="F1157" t="s">
        <v>9348</v>
      </c>
      <c r="G1157" t="e">
        <f>VLOOKUP($F1157, codebooks_data_reordered!$A:$I, 2, FALSE)</f>
        <v>#N/A</v>
      </c>
      <c r="H1157" t="e">
        <f>VLOOKUP($F1157, codebooks_data_reordered!$A:$I, 3, FALSE)</f>
        <v>#N/A</v>
      </c>
      <c r="I1157" t="e">
        <f>VLOOKUP($F1157, codebooks_data_reordered!$A:$I, 4, FALSE)</f>
        <v>#N/A</v>
      </c>
      <c r="J1157" t="e">
        <f>VLOOKUP($F1157, codebooks_data_reordered!$A:$I, 5, FALSE)</f>
        <v>#N/A</v>
      </c>
      <c r="K1157" t="e">
        <f>VLOOKUP($F1157, codebooks_data_reordered!$A:$I, 6, FALSE)</f>
        <v>#N/A</v>
      </c>
      <c r="L1157" t="e">
        <f>VLOOKUP($F1157, codebooks_data_reordered!$A:$I, 7, FALSE)</f>
        <v>#N/A</v>
      </c>
      <c r="M1157" t="e">
        <f>VLOOKUP($F1157, codebooks_data_reordered!$A:$I, 9, FALSE)</f>
        <v>#N/A</v>
      </c>
      <c r="O1157" t="e">
        <f t="shared" si="18"/>
        <v>#N/A</v>
      </c>
    </row>
    <row r="1158" spans="1:15" ht="172.8" hidden="1" x14ac:dyDescent="0.3">
      <c r="A1158" t="s">
        <v>8495</v>
      </c>
      <c r="B1158" t="s">
        <v>8234</v>
      </c>
      <c r="C1158" s="2" t="s">
        <v>8520</v>
      </c>
      <c r="D1158" t="s">
        <v>5843</v>
      </c>
      <c r="E1158" s="2" t="s">
        <v>8521</v>
      </c>
      <c r="F1158" t="s">
        <v>1777</v>
      </c>
      <c r="G1158" t="str">
        <f>VLOOKUP($F1158, codebooks_data_reordered!$A:$I, 2, FALSE)</f>
        <v>1999_1</v>
      </c>
      <c r="H1158" t="str">
        <f>VLOOKUP($F1158, codebooks_data_reordered!$A:$I, 3, FALSE)</f>
        <v>GENERAL POLITICAL ATTITUDE</v>
      </c>
      <c r="I1158" t="str">
        <f>VLOOKUP($F1158, codebooks_data_reordered!$A:$I, 4, FALSE)</f>
        <v>1</v>
      </c>
      <c r="J1158" t="str">
        <f>VLOOKUP($F1158, codebooks_data_reordered!$A:$I, 5, FALSE)</f>
        <v>18</v>
      </c>
      <c r="K1158" t="str">
        <f>VLOOKUP($F1158, codebooks_data_reordered!$A:$I, 6, FALSE)</f>
        <v>Religion should be separated from State</v>
      </c>
      <c r="L1158" t="str">
        <f>VLOOKUP($F1158, codebooks_data_reordered!$A:$I, 7, FALSE)</f>
        <v>Agreement with statement on 1-7 scale</v>
      </c>
      <c r="M1158" t="str">
        <f>VLOOKUP($F1158, codebooks_data_reordered!$A:$I, 9, FALSE)</f>
        <v>1: Strongly disagree; 7: Strongly agree</v>
      </c>
      <c r="O1158" s="2" t="str">
        <f t="shared" si="18"/>
        <v>1: Strongly disagree
 7: Strongly agree</v>
      </c>
    </row>
    <row r="1159" spans="1:15" ht="129.6" hidden="1" x14ac:dyDescent="0.3">
      <c r="A1159" t="s">
        <v>8495</v>
      </c>
      <c r="B1159" t="s">
        <v>8522</v>
      </c>
      <c r="C1159" s="2" t="s">
        <v>8523</v>
      </c>
      <c r="D1159" t="s">
        <v>5843</v>
      </c>
      <c r="E1159" s="2" t="s">
        <v>8524</v>
      </c>
      <c r="F1159" t="s">
        <v>1806</v>
      </c>
      <c r="G1159" t="str">
        <f>VLOOKUP($F1159, codebooks_data_reordered!$A:$I, 2, FALSE)</f>
        <v>1999_1</v>
      </c>
      <c r="H1159" t="str">
        <f>VLOOKUP($F1159, codebooks_data_reordered!$A:$I, 3, FALSE)</f>
        <v>GENERAL POLITICAL ATTITUDE</v>
      </c>
      <c r="I1159" t="str">
        <f>VLOOKUP($F1159, codebooks_data_reordered!$A:$I, 4, FALSE)</f>
        <v>1</v>
      </c>
      <c r="J1159" t="str">
        <f>VLOOKUP($F1159, codebooks_data_reordered!$A:$I, 5, FALSE)</f>
        <v>30</v>
      </c>
      <c r="K1159" t="str">
        <f>VLOOKUP($F1159, codebooks_data_reordered!$A:$I, 6, FALSE)</f>
        <v>What should be emphasized to prevent war between Israel and the Arab world?</v>
      </c>
      <c r="L1159">
        <f>VLOOKUP($F1159, codebooks_data_reordered!$A:$I, 7, FALSE)</f>
        <v>0</v>
      </c>
      <c r="M1159" t="str">
        <f>VLOOKUP($F1159, codebooks_data_reordered!$A:$I, 9, FALSE)</f>
        <v>1: Focus on Peace talks; 2: Increase military power</v>
      </c>
      <c r="O1159" s="2" t="str">
        <f t="shared" si="18"/>
        <v>1: Focus on Peace talks
 2: Increase military power</v>
      </c>
    </row>
    <row r="1160" spans="1:15" ht="115.2" hidden="1" x14ac:dyDescent="0.3">
      <c r="A1160" t="s">
        <v>8495</v>
      </c>
      <c r="B1160" t="s">
        <v>8525</v>
      </c>
      <c r="C1160" s="2" t="s">
        <v>8526</v>
      </c>
      <c r="D1160" t="s">
        <v>5843</v>
      </c>
      <c r="E1160" s="2" t="s">
        <v>8527</v>
      </c>
      <c r="F1160" t="s">
        <v>1818</v>
      </c>
      <c r="G1160" t="str">
        <f>VLOOKUP($F1160, codebooks_data_reordered!$A:$I, 2, FALSE)</f>
        <v>1999_1</v>
      </c>
      <c r="H1160" t="str">
        <f>VLOOKUP($F1160, codebooks_data_reordered!$A:$I, 3, FALSE)</f>
        <v>GENERAL POLITICAL ATTITUDE</v>
      </c>
      <c r="I1160" t="str">
        <f>VLOOKUP($F1160, codebooks_data_reordered!$A:$I, 4, FALSE)</f>
        <v>1</v>
      </c>
      <c r="J1160" t="str">
        <f>VLOOKUP($F1160, codebooks_data_reordered!$A:$I, 5, FALSE)</f>
        <v>34</v>
      </c>
      <c r="K1160" t="str">
        <f>VLOOKUP($F1160, codebooks_data_reordered!$A:$I, 6, FALSE)</f>
        <v>Extend of faith in political parties</v>
      </c>
      <c r="L1160">
        <f>VLOOKUP($F1160, codebooks_data_reordered!$A:$I, 7, FALSE)</f>
        <v>0</v>
      </c>
      <c r="M1160" t="str">
        <f>VLOOKUP($F1160, codebooks_data_reordered!$A:$I, 9, FALSE)</f>
        <v>1: Not at all; 2: A little faith; 3: Some faith; 4: Strong faith</v>
      </c>
      <c r="O1160" s="2" t="str">
        <f t="shared" si="18"/>
        <v>1: Not at all
 2: A little faith
 3: Some faith
 4: Strong faith</v>
      </c>
    </row>
    <row r="1161" spans="1:15" ht="86.4" hidden="1" x14ac:dyDescent="0.3">
      <c r="A1161" t="s">
        <v>8495</v>
      </c>
      <c r="B1161" t="s">
        <v>8528</v>
      </c>
      <c r="C1161" s="2" t="s">
        <v>8529</v>
      </c>
      <c r="D1161" t="s">
        <v>5843</v>
      </c>
      <c r="E1161" s="2" t="s">
        <v>8530</v>
      </c>
      <c r="F1161" t="s">
        <v>1811</v>
      </c>
      <c r="G1161" t="str">
        <f>VLOOKUP($F1161, codebooks_data_reordered!$A:$I, 2, FALSE)</f>
        <v>1999_1</v>
      </c>
      <c r="H1161" t="str">
        <f>VLOOKUP($F1161, codebooks_data_reordered!$A:$I, 3, FALSE)</f>
        <v>GENERAL POLITICAL ATTITUDE</v>
      </c>
      <c r="I1161" t="str">
        <f>VLOOKUP($F1161, codebooks_data_reordered!$A:$I, 4, FALSE)</f>
        <v>1</v>
      </c>
      <c r="J1161" t="str">
        <f>VLOOKUP($F1161, codebooks_data_reordered!$A:$I, 5, FALSE)</f>
        <v>32</v>
      </c>
      <c r="K1161" t="str">
        <f>VLOOKUP($F1161, codebooks_data_reordered!$A:$I, 6, FALSE)</f>
        <v>Forecast of establishment of a Palestinian state within next 10 years</v>
      </c>
      <c r="L1161">
        <f>VLOOKUP($F1161, codebooks_data_reordered!$A:$I, 7, FALSE)</f>
        <v>0</v>
      </c>
      <c r="M1161" t="str">
        <f>VLOOKUP($F1161, codebooks_data_reordered!$A:$I, 9, FALSE)</f>
        <v>1: Palestinian state will be established; 2: Palestinian state will not be established</v>
      </c>
      <c r="O1161" s="2" t="str">
        <f t="shared" si="18"/>
        <v>1: Palestinian state will be established
 2: Palestinian state will not be established</v>
      </c>
    </row>
    <row r="1162" spans="1:15" ht="115.2" hidden="1" x14ac:dyDescent="0.3">
      <c r="A1162" t="s">
        <v>8495</v>
      </c>
      <c r="B1162" t="s">
        <v>8531</v>
      </c>
      <c r="C1162" s="2" t="s">
        <v>6327</v>
      </c>
      <c r="D1162" t="s">
        <v>5843</v>
      </c>
      <c r="E1162" s="2" t="s">
        <v>6328</v>
      </c>
      <c r="F1162" t="s">
        <v>1964</v>
      </c>
      <c r="G1162" t="str">
        <f>VLOOKUP($F1162, codebooks_data_reordered!$A:$I, 2, FALSE)</f>
        <v>1999_1</v>
      </c>
      <c r="H1162" t="str">
        <f>VLOOKUP($F1162, codebooks_data_reordered!$A:$I, 3, FALSE)</f>
        <v>ATTITUDES TOWARD CANDIDATES FOR PM</v>
      </c>
      <c r="I1162" t="str">
        <f>VLOOKUP($F1162, codebooks_data_reordered!$A:$I, 4, FALSE)</f>
        <v>2</v>
      </c>
      <c r="J1162" t="str">
        <f>VLOOKUP($F1162, codebooks_data_reordered!$A:$I, 5, FALSE)</f>
        <v>18</v>
      </c>
      <c r="K1162" t="str">
        <f>VLOOKUP($F1162, codebooks_data_reordered!$A:$I, 6, FALSE)</f>
        <v>Mordechai's character or actions makes me feel angry</v>
      </c>
      <c r="L1162">
        <f>VLOOKUP($F1162, codebooks_data_reordered!$A:$I, 7, FALSE)</f>
        <v>0</v>
      </c>
      <c r="M1162" t="str">
        <f>VLOOKUP($F1162, codebooks_data_reordered!$A:$I, 9, FALSE)</f>
        <v>1: Yes; 2: No</v>
      </c>
      <c r="O1162" s="2" t="str">
        <f t="shared" si="18"/>
        <v>1: Yes
 2: No</v>
      </c>
    </row>
    <row r="1163" spans="1:15" ht="100.8" hidden="1" x14ac:dyDescent="0.3">
      <c r="A1163" t="s">
        <v>8495</v>
      </c>
      <c r="B1163" t="s">
        <v>6279</v>
      </c>
      <c r="C1163" s="2" t="s">
        <v>8312</v>
      </c>
      <c r="D1163" t="s">
        <v>5843</v>
      </c>
      <c r="E1163" s="2" t="s">
        <v>8313</v>
      </c>
      <c r="F1163" t="s">
        <v>1843</v>
      </c>
      <c r="G1163" t="str">
        <f>VLOOKUP($F1163, codebooks_data_reordered!$A:$I, 2, FALSE)</f>
        <v>1999_1</v>
      </c>
      <c r="H1163" t="str">
        <f>VLOOKUP($F1163, codebooks_data_reordered!$A:$I, 3, FALSE)</f>
        <v>VALUES AND TRUST</v>
      </c>
      <c r="I1163" t="str">
        <f>VLOOKUP($F1163, codebooks_data_reordered!$A:$I, 4, FALSE)</f>
        <v>1</v>
      </c>
      <c r="J1163" t="str">
        <f>VLOOKUP($F1163, codebooks_data_reordered!$A:$I, 5, FALSE)</f>
        <v>45</v>
      </c>
      <c r="K1163" t="str">
        <f>VLOOKUP($F1163, codebooks_data_reordered!$A:$I, 6, FALSE)</f>
        <v>Peace as a significant value</v>
      </c>
      <c r="L1163">
        <f>VLOOKUP($F1163, codebooks_data_reordered!$A:$I, 7, FALSE)</f>
        <v>0</v>
      </c>
      <c r="M1163" t="str">
        <f>VLOOKUP($F1163, codebooks_data_reordered!$A:$I, 9, FALSE)</f>
        <v>1: Most important value; 2: Second value; 3: Third value; 4: Fourth value</v>
      </c>
      <c r="O1163" s="2" t="str">
        <f t="shared" si="18"/>
        <v>1: Most important value
 2: Second value
 3: Third value
 4: Fourth value</v>
      </c>
    </row>
    <row r="1164" spans="1:15" ht="129.6" hidden="1" x14ac:dyDescent="0.3">
      <c r="A1164" t="s">
        <v>8495</v>
      </c>
      <c r="B1164" t="s">
        <v>8532</v>
      </c>
      <c r="C1164" s="2" t="s">
        <v>8533</v>
      </c>
      <c r="D1164" t="s">
        <v>5843</v>
      </c>
      <c r="E1164" s="2" t="s">
        <v>8534</v>
      </c>
      <c r="F1164" t="s">
        <v>1777</v>
      </c>
      <c r="G1164" t="str">
        <f>VLOOKUP($F1164, codebooks_data_reordered!$A:$I, 2, FALSE)</f>
        <v>1999_1</v>
      </c>
      <c r="H1164" t="str">
        <f>VLOOKUP($F1164, codebooks_data_reordered!$A:$I, 3, FALSE)</f>
        <v>GENERAL POLITICAL ATTITUDE</v>
      </c>
      <c r="I1164" t="str">
        <f>VLOOKUP($F1164, codebooks_data_reordered!$A:$I, 4, FALSE)</f>
        <v>1</v>
      </c>
      <c r="J1164" t="str">
        <f>VLOOKUP($F1164, codebooks_data_reordered!$A:$I, 5, FALSE)</f>
        <v>18</v>
      </c>
      <c r="K1164" t="str">
        <f>VLOOKUP($F1164, codebooks_data_reordered!$A:$I, 6, FALSE)</f>
        <v>Religion should be separated from State</v>
      </c>
      <c r="L1164" t="str">
        <f>VLOOKUP($F1164, codebooks_data_reordered!$A:$I, 7, FALSE)</f>
        <v>Agreement with statement on 1-7 scale</v>
      </c>
      <c r="M1164" t="str">
        <f>VLOOKUP($F1164, codebooks_data_reordered!$A:$I, 9, FALSE)</f>
        <v>1: Strongly disagree; 7: Strongly agree</v>
      </c>
      <c r="O1164" s="2" t="str">
        <f t="shared" si="18"/>
        <v>1: Strongly disagree
 7: Strongly agree</v>
      </c>
    </row>
    <row r="1165" spans="1:15" ht="129.6" hidden="1" x14ac:dyDescent="0.3">
      <c r="A1165" t="s">
        <v>8495</v>
      </c>
      <c r="B1165" t="s">
        <v>8316</v>
      </c>
      <c r="C1165" s="2" t="s">
        <v>8533</v>
      </c>
      <c r="D1165" t="s">
        <v>5843</v>
      </c>
      <c r="E1165" s="2" t="s">
        <v>8534</v>
      </c>
      <c r="F1165" t="s">
        <v>1779</v>
      </c>
      <c r="G1165" t="str">
        <f>VLOOKUP($F1165, codebooks_data_reordered!$A:$I, 2, FALSE)</f>
        <v>1999_1</v>
      </c>
      <c r="H1165" t="str">
        <f>VLOOKUP($F1165, codebooks_data_reordered!$A:$I, 3, FALSE)</f>
        <v>GENERAL POLITICAL ATTITUDE</v>
      </c>
      <c r="I1165" t="str">
        <f>VLOOKUP($F1165, codebooks_data_reordered!$A:$I, 4, FALSE)</f>
        <v>1</v>
      </c>
      <c r="J1165" t="str">
        <f>VLOOKUP($F1165, codebooks_data_reordered!$A:$I, 5, FALSE)</f>
        <v>19</v>
      </c>
      <c r="K1165" t="str">
        <f>VLOOKUP($F1165, codebooks_data_reordered!$A:$I, 6, FALSE)</f>
        <v>Peace process should be stopped even at risk of war</v>
      </c>
      <c r="L1165" t="str">
        <f>VLOOKUP($F1165, codebooks_data_reordered!$A:$I, 7, FALSE)</f>
        <v>Agreement with statement on 1-7 scale</v>
      </c>
      <c r="M1165" t="str">
        <f>VLOOKUP($F1165, codebooks_data_reordered!$A:$I, 9, FALSE)</f>
        <v>1: Strongly disagree; 7: Strongly agree</v>
      </c>
      <c r="O1165" s="2" t="str">
        <f t="shared" si="18"/>
        <v>1: Strongly disagree
 7: Strongly agree</v>
      </c>
    </row>
    <row r="1166" spans="1:15" ht="129.6" hidden="1" x14ac:dyDescent="0.3">
      <c r="A1166" t="s">
        <v>8495</v>
      </c>
      <c r="B1166" t="s">
        <v>7234</v>
      </c>
      <c r="C1166" s="2" t="s">
        <v>8535</v>
      </c>
      <c r="D1166" t="s">
        <v>5843</v>
      </c>
      <c r="E1166" s="2" t="s">
        <v>8536</v>
      </c>
      <c r="F1166" t="s">
        <v>1789</v>
      </c>
      <c r="G1166" t="str">
        <f>VLOOKUP($F1166, codebooks_data_reordered!$A:$I, 2, FALSE)</f>
        <v>1999_1</v>
      </c>
      <c r="H1166" t="str">
        <f>VLOOKUP($F1166, codebooks_data_reordered!$A:$I, 3, FALSE)</f>
        <v>GENERAL POLITICAL ATTITUDE</v>
      </c>
      <c r="I1166" t="str">
        <f>VLOOKUP($F1166, codebooks_data_reordered!$A:$I, 4, FALSE)</f>
        <v>1</v>
      </c>
      <c r="J1166" t="str">
        <f>VLOOKUP($F1166, codebooks_data_reordered!$A:$I, 5, FALSE)</f>
        <v>23</v>
      </c>
      <c r="K1166" t="str">
        <f>VLOOKUP($F1166, codebooks_data_reordered!$A:$I, 6, FALSE)</f>
        <v>Personal security of Israelis during Netanyahu's government</v>
      </c>
      <c r="L1166" t="str">
        <f>VLOOKUP($F1166, codebooks_data_reordered!$A:$I, 7, FALSE)</f>
        <v>Compared to Rabin and Peres' post-Oslo government</v>
      </c>
      <c r="M1166" t="str">
        <f>VLOOKUP($F1166, codebooks_data_reordered!$A:$I, 9, FALSE)</f>
        <v>1: Much better; 2: Better; 3: Worse; 4: Much worse</v>
      </c>
      <c r="O1166" s="2" t="str">
        <f t="shared" si="18"/>
        <v>1: Much better
 2: Better
 3: Worse
 4: Much worse</v>
      </c>
    </row>
    <row r="1167" spans="1:15" ht="129.6" hidden="1" x14ac:dyDescent="0.3">
      <c r="A1167" t="s">
        <v>8495</v>
      </c>
      <c r="B1167" t="s">
        <v>6684</v>
      </c>
      <c r="C1167" s="2" t="s">
        <v>8537</v>
      </c>
      <c r="D1167" t="s">
        <v>5843</v>
      </c>
      <c r="E1167" s="2" t="s">
        <v>8538</v>
      </c>
      <c r="F1167" t="s">
        <v>67</v>
      </c>
      <c r="G1167" t="str">
        <f>VLOOKUP($F1167, codebooks_data_reordered!$A:$I, 2, FALSE)</f>
        <v>2006</v>
      </c>
      <c r="H1167" t="str">
        <f>VLOOKUP($F1167, codebooks_data_reordered!$A:$I, 3, FALSE)</f>
        <v>Pre-Election Survey</v>
      </c>
      <c r="I1167" t="str">
        <f>VLOOKUP($F1167, codebooks_data_reordered!$A:$I, 4, FALSE)</f>
        <v>1</v>
      </c>
      <c r="J1167" t="str">
        <f>VLOOKUP($F1167, codebooks_data_reordered!$A:$I, 5, FALSE)</f>
        <v>19</v>
      </c>
      <c r="K1167" t="str">
        <f>VLOOKUP($F1167, codebooks_data_reordered!$A:$I, 6, FALSE)</f>
        <v>Israel should decide on borders and unilaterally withdraw</v>
      </c>
      <c r="L1167" t="str">
        <f>VLOOKUP($F1167, codebooks_data_reordered!$A:$I, 7, FALSE)</f>
        <v>16. And if it would not be possible to achieve a peace agreement with the Palestinians in the next few years, should Israel undertake another unilateral separation?</v>
      </c>
      <c r="M1167" t="str">
        <f>VLOOKUP($F1167, codebooks_data_reordered!$A:$I, 9, FALSE)</f>
        <v>1: Yes definitely; 2: Yes; 3: No; 4: Definitely no</v>
      </c>
      <c r="O1167" s="2" t="str">
        <f t="shared" si="18"/>
        <v>1: Yes definitely
 2: Yes
 3: No
 4: Definitely no</v>
      </c>
    </row>
    <row r="1168" spans="1:15" ht="129.6" hidden="1" x14ac:dyDescent="0.3">
      <c r="A1168" t="s">
        <v>8495</v>
      </c>
      <c r="B1168" t="s">
        <v>5937</v>
      </c>
      <c r="C1168" s="2" t="s">
        <v>8535</v>
      </c>
      <c r="D1168" t="s">
        <v>5843</v>
      </c>
      <c r="E1168" s="2" t="s">
        <v>8536</v>
      </c>
      <c r="F1168" t="s">
        <v>674</v>
      </c>
      <c r="G1168" t="str">
        <f>VLOOKUP($F1168, codebooks_data_reordered!$A:$I, 2, FALSE)</f>
        <v>2006</v>
      </c>
      <c r="H1168" t="str">
        <f>VLOOKUP($F1168, codebooks_data_reordered!$A:$I, 3, FALSE)</f>
        <v>Different Coalitions after the Elections</v>
      </c>
      <c r="I1168" t="str">
        <f>VLOOKUP($F1168, codebooks_data_reordered!$A:$I, 4, FALSE)</f>
        <v>1</v>
      </c>
      <c r="J1168" t="str">
        <f>VLOOKUP($F1168, codebooks_data_reordered!$A:$I, 5, FALSE)</f>
        <v>246-248</v>
      </c>
      <c r="K1168" t="str">
        <f>VLOOKUP($F1168, codebooks_data_reordered!$A:$I, 6, FALSE)</f>
        <v>Will support Kadima-Labor-Likud-Right parties and Haredim coalition</v>
      </c>
      <c r="L1168" t="str">
        <f>VLOOKUP($F1168,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168" t="str">
        <f>VLOOKUP($F1168, codebooks_data_reordered!$A:$I, 9, FALSE)</f>
        <v>1: Reject; 10: Support</v>
      </c>
      <c r="O1168" s="2" t="str">
        <f t="shared" si="18"/>
        <v>1: Reject
 10: Support</v>
      </c>
    </row>
    <row r="1169" spans="1:15" ht="259.2" hidden="1" x14ac:dyDescent="0.3">
      <c r="A1169" t="s">
        <v>8495</v>
      </c>
      <c r="B1169" t="s">
        <v>6286</v>
      </c>
      <c r="C1169" s="2" t="s">
        <v>8539</v>
      </c>
      <c r="D1169" t="s">
        <v>5843</v>
      </c>
      <c r="E1169" s="2" t="s">
        <v>8540</v>
      </c>
      <c r="F1169" t="s">
        <v>1838</v>
      </c>
      <c r="G1169" t="str">
        <f>VLOOKUP($F1169, codebooks_data_reordered!$A:$I, 2, FALSE)</f>
        <v>1999_1</v>
      </c>
      <c r="H1169" t="str">
        <f>VLOOKUP($F1169, codebooks_data_reordered!$A:$I, 3, FALSE)</f>
        <v>VALUES AND TRUST</v>
      </c>
      <c r="I1169" t="str">
        <f>VLOOKUP($F1169, codebooks_data_reordered!$A:$I, 4, FALSE)</f>
        <v>1</v>
      </c>
      <c r="J1169" t="str">
        <f>VLOOKUP($F1169, codebooks_data_reordered!$A:$I, 5, FALSE)</f>
        <v>43</v>
      </c>
      <c r="K1169" t="str">
        <f>VLOOKUP($F1169, codebooks_data_reordered!$A:$I, 6, FALSE)</f>
        <v>Greater Israel as a significant value</v>
      </c>
      <c r="L1169">
        <f>VLOOKUP($F1169, codebooks_data_reordered!$A:$I, 7, FALSE)</f>
        <v>0</v>
      </c>
      <c r="M1169" t="str">
        <f>VLOOKUP($F1169, codebooks_data_reordered!$A:$I, 9, FALSE)</f>
        <v>1: Most important value; 2: Second value; 3: Third value; 4: Fourth value</v>
      </c>
      <c r="O1169" s="2" t="str">
        <f t="shared" si="18"/>
        <v>1: Most important value
 2: Second value
 3: Third value
 4: Fourth value</v>
      </c>
    </row>
    <row r="1170" spans="1:15" ht="72" hidden="1" x14ac:dyDescent="0.3">
      <c r="A1170" t="s">
        <v>8495</v>
      </c>
      <c r="B1170" t="s">
        <v>6937</v>
      </c>
      <c r="C1170" s="2" t="s">
        <v>8541</v>
      </c>
      <c r="D1170" t="s">
        <v>5843</v>
      </c>
      <c r="E1170" s="2" t="s">
        <v>8542</v>
      </c>
      <c r="F1170" t="s">
        <v>42</v>
      </c>
      <c r="G1170" t="str">
        <f>VLOOKUP($F1170, codebooks_data_reordered!$A:$I, 2, FALSE)</f>
        <v>2006</v>
      </c>
      <c r="H1170" t="str">
        <f>VLOOKUP($F1170, codebooks_data_reordered!$A:$I, 3, FALSE)</f>
        <v>Pre-Election Survey</v>
      </c>
      <c r="I1170" t="str">
        <f>VLOOKUP($F1170, codebooks_data_reordered!$A:$I, 4, FALSE)</f>
        <v>1</v>
      </c>
      <c r="J1170" t="str">
        <f>VLOOKUP($F1170, codebooks_data_reordered!$A:$I, 5, FALSE)</f>
        <v>13</v>
      </c>
      <c r="K1170" t="str">
        <f>VLOOKUP($F1170, codebooks_data_reordered!$A:$I, 6, FALSE)</f>
        <v>Economic situation in past 3 years</v>
      </c>
      <c r="L1170" t="str">
        <f>VLOOKUP($F1170, codebooks_data_reordered!$A:$I, 7, FALSE)</f>
        <v>10. Do you think that the economic situation in the past 3 years has improved, didn't change, or got worse?</v>
      </c>
      <c r="M1170" t="str">
        <f>VLOOKUP($F1170, codebooks_data_reordered!$A:$I, 9, FALSE)</f>
        <v>1: Improved a lot; 2: Improved a bit; 3: Didn't change; 4: Got a bit worse; 5: Got much worse</v>
      </c>
      <c r="O1170" s="2" t="str">
        <f t="shared" si="18"/>
        <v>1: Improved a lot
 2: Improved a bit
 3: Didn't change
 4: Got a bit worse
 5: Got much worse</v>
      </c>
    </row>
    <row r="1171" spans="1:15" ht="57.6" hidden="1" x14ac:dyDescent="0.3">
      <c r="A1171" t="s">
        <v>8495</v>
      </c>
      <c r="B1171" t="s">
        <v>8543</v>
      </c>
      <c r="C1171" s="2" t="s">
        <v>8544</v>
      </c>
      <c r="D1171" t="s">
        <v>5843</v>
      </c>
      <c r="E1171" s="2" t="s">
        <v>8545</v>
      </c>
      <c r="F1171" t="s">
        <v>716</v>
      </c>
      <c r="G1171" t="str">
        <f>VLOOKUP($F1171, codebooks_data_reordered!$A:$I, 2, FALSE)</f>
        <v>2006</v>
      </c>
      <c r="H1171" t="str">
        <f>VLOOKUP($F1171, codebooks_data_reordered!$A:$I, 3, FALSE)</f>
        <v>Self-identity</v>
      </c>
      <c r="I1171" t="str">
        <f>VLOOKUP($F1171, codebooks_data_reordered!$A:$I, 4, FALSE)</f>
        <v>1</v>
      </c>
      <c r="J1171" t="str">
        <f>VLOOKUP($F1171, codebooks_data_reordered!$A:$I, 5, FALSE)</f>
        <v>261</v>
      </c>
      <c r="K1171" t="str">
        <f>VLOOKUP($F1171, codebooks_data_reordered!$A:$I, 6, FALSE)</f>
        <v>Self-identity for Jews (fourth)</v>
      </c>
      <c r="L1171" t="str">
        <f>VLOOKUP($F1171, codebooks_data_reordered!$A:$I, 7, FALSE)</f>
        <v>(for Jews) Which of the following concepts best defines your identity? (read) and the second? And the third? And the fourth?</v>
      </c>
      <c r="M1171" t="str">
        <f>VLOOKUP($F1171, codebooks_data_reordered!$A:$I, 9, FALSE)</f>
        <v>1: Israeli; 2: Jewish; 3: Ashkenazi/Sfaradi; 4: Religious/Secular</v>
      </c>
      <c r="O1171" s="2" t="str">
        <f t="shared" si="18"/>
        <v>1: Israeli
 2: Jewish
 3: Ashkenazi/Sfaradi
 4: Religious/Secular</v>
      </c>
    </row>
    <row r="1172" spans="1:15" ht="100.8" hidden="1" x14ac:dyDescent="0.3">
      <c r="A1172" t="s">
        <v>8495</v>
      </c>
      <c r="B1172" t="s">
        <v>7259</v>
      </c>
      <c r="C1172" s="2" t="s">
        <v>8546</v>
      </c>
      <c r="D1172" t="s">
        <v>5843</v>
      </c>
      <c r="E1172" s="2" t="s">
        <v>8547</v>
      </c>
      <c r="F1172" t="s">
        <v>1855</v>
      </c>
      <c r="G1172" t="str">
        <f>VLOOKUP($F1172, codebooks_data_reordered!$A:$I, 2, FALSE)</f>
        <v>1999_1</v>
      </c>
      <c r="H1172" t="str">
        <f>VLOOKUP($F1172, codebooks_data_reordered!$A:$I, 3, FALSE)</f>
        <v>ATTITUDES TOWARD CANDIDATES AND PARTIES</v>
      </c>
      <c r="I1172" t="str">
        <f>VLOOKUP($F1172, codebooks_data_reordered!$A:$I, 4, FALSE)</f>
        <v>1</v>
      </c>
      <c r="J1172" t="str">
        <f>VLOOKUP($F1172, codebooks_data_reordered!$A:$I, 5, FALSE)</f>
        <v>50</v>
      </c>
      <c r="K1172" t="str">
        <f>VLOOKUP($F1172, codebooks_data_reordered!$A:$I, 6, FALSE)</f>
        <v>Extend of support for Meretz</v>
      </c>
      <c r="L1172" t="str">
        <f>VLOOKUP($F1172, codebooks_data_reordered!$A:$I, 7, FALSE)</f>
        <v>Extent of support on 1-10 scale, 1=total rejection, 10=strong support</v>
      </c>
      <c r="M1172" t="str">
        <f>VLOOKUP($F1172, codebooks_data_reordered!$A:$I, 9, FALSE)</f>
        <v>1: Totally reject; 10: Strongly support</v>
      </c>
      <c r="O1172" s="2" t="str">
        <f t="shared" si="18"/>
        <v>1: Totally reject
 10: Strongly support</v>
      </c>
    </row>
    <row r="1173" spans="1:15" ht="86.4" hidden="1" x14ac:dyDescent="0.3">
      <c r="A1173" t="s">
        <v>8495</v>
      </c>
      <c r="B1173" t="s">
        <v>7268</v>
      </c>
      <c r="C1173" s="2" t="s">
        <v>8548</v>
      </c>
      <c r="D1173" t="s">
        <v>5843</v>
      </c>
      <c r="E1173" s="2" t="s">
        <v>8549</v>
      </c>
      <c r="F1173" t="s">
        <v>1777</v>
      </c>
      <c r="G1173" t="str">
        <f>VLOOKUP($F1173, codebooks_data_reordered!$A:$I, 2, FALSE)</f>
        <v>1999_1</v>
      </c>
      <c r="H1173" t="str">
        <f>VLOOKUP($F1173, codebooks_data_reordered!$A:$I, 3, FALSE)</f>
        <v>GENERAL POLITICAL ATTITUDE</v>
      </c>
      <c r="I1173" t="str">
        <f>VLOOKUP($F1173, codebooks_data_reordered!$A:$I, 4, FALSE)</f>
        <v>1</v>
      </c>
      <c r="J1173" t="str">
        <f>VLOOKUP($F1173, codebooks_data_reordered!$A:$I, 5, FALSE)</f>
        <v>18</v>
      </c>
      <c r="K1173" t="str">
        <f>VLOOKUP($F1173, codebooks_data_reordered!$A:$I, 6, FALSE)</f>
        <v>Religion should be separated from State</v>
      </c>
      <c r="L1173" t="str">
        <f>VLOOKUP($F1173, codebooks_data_reordered!$A:$I, 7, FALSE)</f>
        <v>Agreement with statement on 1-7 scale</v>
      </c>
      <c r="M1173" t="str">
        <f>VLOOKUP($F1173, codebooks_data_reordered!$A:$I, 9, FALSE)</f>
        <v>1: Strongly disagree; 7: Strongly agree</v>
      </c>
      <c r="O1173" s="2" t="str">
        <f t="shared" si="18"/>
        <v>1: Strongly disagree
 7: Strongly agree</v>
      </c>
    </row>
    <row r="1174" spans="1:15" ht="100.8" hidden="1" x14ac:dyDescent="0.3">
      <c r="A1174" t="s">
        <v>8495</v>
      </c>
      <c r="B1174" t="s">
        <v>7271</v>
      </c>
      <c r="C1174" s="2" t="s">
        <v>8229</v>
      </c>
      <c r="D1174" t="s">
        <v>5843</v>
      </c>
      <c r="E1174" s="2" t="s">
        <v>8230</v>
      </c>
      <c r="F1174" t="s">
        <v>2176</v>
      </c>
      <c r="G1174" t="str">
        <f>VLOOKUP($F1174, codebooks_data_reordered!$A:$I, 2, FALSE)</f>
        <v>1999_1</v>
      </c>
      <c r="H1174" t="str">
        <f>VLOOKUP($F1174, codebooks_data_reordered!$A:$I, 3, FALSE)</f>
        <v>VOTING PATTERNS</v>
      </c>
      <c r="I1174" t="str">
        <f>VLOOKUP($F1174, codebooks_data_reordered!$A:$I, 4, FALSE)</f>
        <v>3</v>
      </c>
      <c r="J1174" t="str">
        <f>VLOOKUP($F1174, codebooks_data_reordered!$A:$I, 5, FALSE)</f>
        <v>24</v>
      </c>
      <c r="K1174" t="str">
        <f>VLOOKUP($F1174, codebooks_data_reordered!$A:$I, 6, FALSE)</f>
        <v>Political identification</v>
      </c>
      <c r="L1174">
        <f>VLOOKUP($F1174, codebooks_data_reordered!$A:$I, 7, FALSE)</f>
        <v>0</v>
      </c>
      <c r="M1174" t="str">
        <f>VLOOKUP($F1174, codebooks_data_reordered!$A:$I, 9, FALSE)</f>
        <v>1: Left; 2: Moderate left; 3: Center; 4: Moderate right; 5: Right; 6: Religious; 7: None</v>
      </c>
      <c r="O1174" s="2" t="str">
        <f t="shared" si="18"/>
        <v>1: Left
 2: Moderate left
 3: Center
 4: Moderate right
 5: Right
 6: Religious
 7: None</v>
      </c>
    </row>
    <row r="1175" spans="1:15" ht="100.8" hidden="1" x14ac:dyDescent="0.3">
      <c r="A1175" t="s">
        <v>8495</v>
      </c>
      <c r="B1175" t="s">
        <v>8550</v>
      </c>
      <c r="C1175" s="2" t="s">
        <v>8396</v>
      </c>
      <c r="D1175" t="s">
        <v>5843</v>
      </c>
      <c r="E1175" s="2" t="s">
        <v>8397</v>
      </c>
      <c r="F1175" t="s">
        <v>42</v>
      </c>
      <c r="G1175" t="str">
        <f>VLOOKUP($F1175, codebooks_data_reordered!$A:$I, 2, FALSE)</f>
        <v>2006</v>
      </c>
      <c r="H1175" t="str">
        <f>VLOOKUP($F1175, codebooks_data_reordered!$A:$I, 3, FALSE)</f>
        <v>Pre-Election Survey</v>
      </c>
      <c r="I1175" t="str">
        <f>VLOOKUP($F1175, codebooks_data_reordered!$A:$I, 4, FALSE)</f>
        <v>1</v>
      </c>
      <c r="J1175" t="str">
        <f>VLOOKUP($F1175, codebooks_data_reordered!$A:$I, 5, FALSE)</f>
        <v>13</v>
      </c>
      <c r="K1175" t="str">
        <f>VLOOKUP($F1175, codebooks_data_reordered!$A:$I, 6, FALSE)</f>
        <v>Economic situation in past 3 years</v>
      </c>
      <c r="L1175" t="str">
        <f>VLOOKUP($F1175, codebooks_data_reordered!$A:$I, 7, FALSE)</f>
        <v>10. Do you think that the economic situation in the past 3 years has improved, didn't change, or got worse?</v>
      </c>
      <c r="M1175" t="str">
        <f>VLOOKUP($F1175, codebooks_data_reordered!$A:$I, 9, FALSE)</f>
        <v>1: Improved a lot; 2: Improved a bit; 3: Didn't change; 4: Got a bit worse; 5: Got much worse</v>
      </c>
      <c r="O1175" s="2" t="str">
        <f t="shared" si="18"/>
        <v>1: Improved a lot
 2: Improved a bit
 3: Didn't change
 4: Got a bit worse
 5: Got much worse</v>
      </c>
    </row>
    <row r="1176" spans="1:15" ht="86.4" hidden="1" x14ac:dyDescent="0.3">
      <c r="A1176" t="s">
        <v>8495</v>
      </c>
      <c r="B1176" t="s">
        <v>7306</v>
      </c>
      <c r="C1176" s="2" t="s">
        <v>8548</v>
      </c>
      <c r="D1176" t="s">
        <v>5843</v>
      </c>
      <c r="E1176" s="2" t="s">
        <v>8549</v>
      </c>
      <c r="F1176" t="s">
        <v>1771</v>
      </c>
      <c r="G1176" t="str">
        <f>VLOOKUP($F1176, codebooks_data_reordered!$A:$I, 2, FALSE)</f>
        <v>1999_1</v>
      </c>
      <c r="H1176" t="str">
        <f>VLOOKUP($F1176, codebooks_data_reordered!$A:$I, 3, FALSE)</f>
        <v>GENERAL POLITICAL ATTITUDE</v>
      </c>
      <c r="I1176" t="str">
        <f>VLOOKUP($F1176, codebooks_data_reordered!$A:$I, 4, FALSE)</f>
        <v>1</v>
      </c>
      <c r="J1176" t="str">
        <f>VLOOKUP($F1176, codebooks_data_reordered!$A:$I, 5, FALSE)</f>
        <v>16</v>
      </c>
      <c r="K1176" t="str">
        <f>VLOOKUP($F1176, codebooks_data_reordered!$A:$I, 6, FALSE)</f>
        <v>Danger of conflict with Arab world during Netanyahu's government</v>
      </c>
      <c r="L1176" t="str">
        <f>VLOOKUP($F1176, codebooks_data_reordered!$A:$I, 7, FALSE)</f>
        <v>Compared to Rabin and Peres' post-Oslo government</v>
      </c>
      <c r="M1176" t="str">
        <f>VLOOKUP($F1176, codebooks_data_reordered!$A:$I, 9, FALSE)</f>
        <v>1: Greatly increased; 2: Increased; 3: Decreased; 4: Greatly decreased</v>
      </c>
      <c r="O1176" s="2" t="str">
        <f t="shared" si="18"/>
        <v>1: Greatly increased
 2: Increased
 3: Decreased
 4: Greatly decreased</v>
      </c>
    </row>
    <row r="1177" spans="1:15" ht="86.4" hidden="1" x14ac:dyDescent="0.3">
      <c r="A1177" t="s">
        <v>8495</v>
      </c>
      <c r="B1177" t="s">
        <v>7309</v>
      </c>
      <c r="C1177" s="2" t="s">
        <v>8229</v>
      </c>
      <c r="D1177" t="s">
        <v>5843</v>
      </c>
      <c r="E1177" s="2" t="s">
        <v>8230</v>
      </c>
      <c r="F1177" t="s">
        <v>642</v>
      </c>
      <c r="G1177" t="str">
        <f>VLOOKUP($F1177, codebooks_data_reordered!$A:$I, 2, FALSE)</f>
        <v>2006</v>
      </c>
      <c r="H1177" t="str">
        <f>VLOOKUP($F1177, codebooks_data_reordered!$A:$I, 3, FALSE)</f>
        <v>Different Coalitions after the Elections</v>
      </c>
      <c r="I1177" t="str">
        <f>VLOOKUP($F1177, codebooks_data_reordered!$A:$I, 4, FALSE)</f>
        <v>1</v>
      </c>
      <c r="J1177" t="str">
        <f>VLOOKUP($F1177, codebooks_data_reordered!$A:$I, 5, FALSE)</f>
        <v>219-221</v>
      </c>
      <c r="K1177" t="str">
        <f>VLOOKUP($F1177, codebooks_data_reordered!$A:$I, 6, FALSE)</f>
        <v>Chances for Kadima-Labor-Haredim coalition</v>
      </c>
      <c r="L1177" t="str">
        <f>VLOOKUP($F1177,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177">
        <f>VLOOKUP($F1177, codebooks_data_reordered!$A:$I, 9, FALSE)</f>
        <v>0</v>
      </c>
      <c r="O1177" s="2" t="str">
        <f t="shared" si="18"/>
        <v>0</v>
      </c>
    </row>
    <row r="1178" spans="1:15" ht="28.8" hidden="1" x14ac:dyDescent="0.3">
      <c r="A1178" t="s">
        <v>8495</v>
      </c>
      <c r="B1178" t="s">
        <v>6814</v>
      </c>
      <c r="C1178" s="2" t="s">
        <v>6831</v>
      </c>
      <c r="D1178" t="s">
        <v>5906</v>
      </c>
      <c r="E1178" s="2" t="s">
        <v>6832</v>
      </c>
      <c r="F1178" t="s">
        <v>9349</v>
      </c>
      <c r="G1178" t="e">
        <f>VLOOKUP($F1178, codebooks_data_reordered!$A:$I, 2, FALSE)</f>
        <v>#N/A</v>
      </c>
      <c r="H1178" t="e">
        <f>VLOOKUP($F1178, codebooks_data_reordered!$A:$I, 3, FALSE)</f>
        <v>#N/A</v>
      </c>
      <c r="I1178" t="e">
        <f>VLOOKUP($F1178, codebooks_data_reordered!$A:$I, 4, FALSE)</f>
        <v>#N/A</v>
      </c>
      <c r="J1178" t="e">
        <f>VLOOKUP($F1178, codebooks_data_reordered!$A:$I, 5, FALSE)</f>
        <v>#N/A</v>
      </c>
      <c r="K1178" t="e">
        <f>VLOOKUP($F1178, codebooks_data_reordered!$A:$I, 6, FALSE)</f>
        <v>#N/A</v>
      </c>
      <c r="L1178" t="e">
        <f>VLOOKUP($F1178, codebooks_data_reordered!$A:$I, 7, FALSE)</f>
        <v>#N/A</v>
      </c>
      <c r="M1178" t="e">
        <f>VLOOKUP($F1178, codebooks_data_reordered!$A:$I, 9, FALSE)</f>
        <v>#N/A</v>
      </c>
      <c r="O1178" t="e">
        <f t="shared" si="18"/>
        <v>#N/A</v>
      </c>
    </row>
    <row r="1179" spans="1:15" ht="100.8" hidden="1" x14ac:dyDescent="0.3">
      <c r="A1179" t="s">
        <v>8495</v>
      </c>
      <c r="B1179" t="s">
        <v>6302</v>
      </c>
      <c r="C1179" s="2" t="s">
        <v>8551</v>
      </c>
      <c r="D1179" t="s">
        <v>5843</v>
      </c>
      <c r="E1179" s="2" t="s">
        <v>8552</v>
      </c>
      <c r="F1179" t="s">
        <v>86</v>
      </c>
      <c r="G1179" t="str">
        <f>VLOOKUP($F1179, codebooks_data_reordered!$A:$I, 2, FALSE)</f>
        <v>2006</v>
      </c>
      <c r="H1179" t="str">
        <f>VLOOKUP($F1179, codebooks_data_reordered!$A:$I, 3, FALSE)</f>
        <v>Pre-Election Survey</v>
      </c>
      <c r="I1179" t="str">
        <f>VLOOKUP($F1179, codebooks_data_reordered!$A:$I, 4, FALSE)</f>
        <v>1</v>
      </c>
      <c r="J1179" t="str">
        <f>VLOOKUP($F1179, codebooks_data_reordered!$A:$I, 5, FALSE)</f>
        <v>25</v>
      </c>
      <c r="K1179" t="str">
        <f>VLOOKUP($F1179, codebooks_data_reordered!$A:$I, 6, FALSE)</f>
        <v>Chances of peace agreement</v>
      </c>
      <c r="L1179" t="str">
        <f>VLOOKUP($F1179, codebooks_data_reordered!$A:$I, 7, FALSE)</f>
        <v>20. Do you think it is possible to achieve a peace agreement with the Palestinians?</v>
      </c>
      <c r="M1179" t="str">
        <f>VLOOKUP($F1179, codebooks_data_reordered!$A:$I, 9, FALSE)</f>
        <v>1: Yes definitely; 2: I think so; 3: I dont think so; 4: Definitely no</v>
      </c>
      <c r="O1179" s="2" t="str">
        <f t="shared" si="18"/>
        <v>1: Yes definitely
 2: I think so
 3: I dont think so
 4: Definitely no</v>
      </c>
    </row>
    <row r="1180" spans="1:15" ht="100.8" hidden="1" x14ac:dyDescent="0.3">
      <c r="A1180" t="s">
        <v>8495</v>
      </c>
      <c r="B1180" t="s">
        <v>6305</v>
      </c>
      <c r="C1180" s="2" t="s">
        <v>8396</v>
      </c>
      <c r="D1180" t="s">
        <v>5843</v>
      </c>
      <c r="E1180" s="2" t="s">
        <v>8397</v>
      </c>
      <c r="F1180" t="s">
        <v>1798</v>
      </c>
      <c r="G1180" t="str">
        <f>VLOOKUP($F1180, codebooks_data_reordered!$A:$I, 2, FALSE)</f>
        <v>1999_1</v>
      </c>
      <c r="H1180" t="str">
        <f>VLOOKUP($F1180, codebooks_data_reordered!$A:$I, 3, FALSE)</f>
        <v>GENERAL POLITICAL ATTITUDE</v>
      </c>
      <c r="I1180" t="str">
        <f>VLOOKUP($F1180, codebooks_data_reordered!$A:$I, 4, FALSE)</f>
        <v>1</v>
      </c>
      <c r="J1180" t="str">
        <f>VLOOKUP($F1180, codebooks_data_reordered!$A:$I, 5, FALSE)</f>
        <v>27</v>
      </c>
      <c r="K1180" t="str">
        <f>VLOOKUP($F1180, codebooks_data_reordered!$A:$I, 6, FALSE)</f>
        <v>Forecast future public support for a Palestinian State</v>
      </c>
      <c r="L1180">
        <f>VLOOKUP($F1180, codebooks_data_reordered!$A:$I, 7, FALSE)</f>
        <v>0</v>
      </c>
      <c r="M1180" t="str">
        <f>VLOOKUP($F1180, codebooks_data_reordered!$A:$I, 9, FALSE)</f>
        <v>1: More people will support; 2: Less people will support</v>
      </c>
      <c r="O1180" s="2" t="str">
        <f t="shared" si="18"/>
        <v>1: More people will support
 2: Less people will support</v>
      </c>
    </row>
    <row r="1181" spans="1:15" ht="100.8" hidden="1" x14ac:dyDescent="0.3">
      <c r="A1181" t="s">
        <v>8495</v>
      </c>
      <c r="B1181" t="s">
        <v>8553</v>
      </c>
      <c r="C1181" s="2" t="s">
        <v>8396</v>
      </c>
      <c r="D1181" t="s">
        <v>5843</v>
      </c>
      <c r="E1181" s="2" t="s">
        <v>8397</v>
      </c>
      <c r="F1181" t="s">
        <v>51</v>
      </c>
      <c r="G1181" t="str">
        <f>VLOOKUP($F1181, codebooks_data_reordered!$A:$I, 2, FALSE)</f>
        <v>2006</v>
      </c>
      <c r="H1181" t="str">
        <f>VLOOKUP($F1181, codebooks_data_reordered!$A:$I, 3, FALSE)</f>
        <v>Pre-Election Survey</v>
      </c>
      <c r="I1181" t="str">
        <f>VLOOKUP($F1181, codebooks_data_reordered!$A:$I, 4, FALSE)</f>
        <v>1</v>
      </c>
      <c r="J1181" t="str">
        <f>VLOOKUP($F1181, codebooks_data_reordered!$A:$I, 5, FALSE)</f>
        <v>15</v>
      </c>
      <c r="K1181" t="str">
        <f>VLOOKUP($F1181, codebooks_data_reordered!$A:$I, 6, FALSE)</f>
        <v>National security today</v>
      </c>
      <c r="L1181" t="str">
        <f>VLOOKUP($F1181,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181" t="str">
        <f>VLOOKUP($F1181, codebooks_data_reordered!$A:$I, 9, FALSE)</f>
        <v>1: Worst situation; 9: Best situation</v>
      </c>
      <c r="O1181" s="2" t="str">
        <f t="shared" si="18"/>
        <v>1: Worst situation
 9: Best situation</v>
      </c>
    </row>
    <row r="1182" spans="1:15" ht="28.8" hidden="1" x14ac:dyDescent="0.3">
      <c r="A1182" t="s">
        <v>8495</v>
      </c>
      <c r="B1182" t="s">
        <v>8554</v>
      </c>
      <c r="C1182" s="2" t="s">
        <v>6831</v>
      </c>
      <c r="D1182" t="s">
        <v>5906</v>
      </c>
      <c r="E1182" s="2" t="s">
        <v>6832</v>
      </c>
      <c r="F1182" t="s">
        <v>9350</v>
      </c>
      <c r="G1182" t="e">
        <f>VLOOKUP($F1182, codebooks_data_reordered!$A:$I, 2, FALSE)</f>
        <v>#N/A</v>
      </c>
      <c r="H1182" t="e">
        <f>VLOOKUP($F1182, codebooks_data_reordered!$A:$I, 3, FALSE)</f>
        <v>#N/A</v>
      </c>
      <c r="I1182" t="e">
        <f>VLOOKUP($F1182, codebooks_data_reordered!$A:$I, 4, FALSE)</f>
        <v>#N/A</v>
      </c>
      <c r="J1182" t="e">
        <f>VLOOKUP($F1182, codebooks_data_reordered!$A:$I, 5, FALSE)</f>
        <v>#N/A</v>
      </c>
      <c r="K1182" t="e">
        <f>VLOOKUP($F1182, codebooks_data_reordered!$A:$I, 6, FALSE)</f>
        <v>#N/A</v>
      </c>
      <c r="L1182" t="e">
        <f>VLOOKUP($F1182, codebooks_data_reordered!$A:$I, 7, FALSE)</f>
        <v>#N/A</v>
      </c>
      <c r="M1182" t="e">
        <f>VLOOKUP($F1182, codebooks_data_reordered!$A:$I, 9, FALSE)</f>
        <v>#N/A</v>
      </c>
      <c r="O1182" t="e">
        <f t="shared" si="18"/>
        <v>#N/A</v>
      </c>
    </row>
    <row r="1183" spans="1:15" ht="28.8" hidden="1" x14ac:dyDescent="0.3">
      <c r="A1183" t="s">
        <v>8495</v>
      </c>
      <c r="B1183" t="s">
        <v>8555</v>
      </c>
      <c r="C1183" s="2" t="s">
        <v>6831</v>
      </c>
      <c r="D1183" t="s">
        <v>5906</v>
      </c>
      <c r="E1183" s="2" t="s">
        <v>6832</v>
      </c>
      <c r="F1183" t="s">
        <v>9351</v>
      </c>
      <c r="G1183" t="e">
        <f>VLOOKUP($F1183, codebooks_data_reordered!$A:$I, 2, FALSE)</f>
        <v>#N/A</v>
      </c>
      <c r="H1183" t="e">
        <f>VLOOKUP($F1183, codebooks_data_reordered!$A:$I, 3, FALSE)</f>
        <v>#N/A</v>
      </c>
      <c r="I1183" t="e">
        <f>VLOOKUP($F1183, codebooks_data_reordered!$A:$I, 4, FALSE)</f>
        <v>#N/A</v>
      </c>
      <c r="J1183" t="e">
        <f>VLOOKUP($F1183, codebooks_data_reordered!$A:$I, 5, FALSE)</f>
        <v>#N/A</v>
      </c>
      <c r="K1183" t="e">
        <f>VLOOKUP($F1183, codebooks_data_reordered!$A:$I, 6, FALSE)</f>
        <v>#N/A</v>
      </c>
      <c r="L1183" t="e">
        <f>VLOOKUP($F1183, codebooks_data_reordered!$A:$I, 7, FALSE)</f>
        <v>#N/A</v>
      </c>
      <c r="M1183" t="e">
        <f>VLOOKUP($F1183, codebooks_data_reordered!$A:$I, 9, FALSE)</f>
        <v>#N/A</v>
      </c>
      <c r="O1183" t="e">
        <f t="shared" si="18"/>
        <v>#N/A</v>
      </c>
    </row>
    <row r="1184" spans="1:15" ht="100.8" hidden="1" x14ac:dyDescent="0.3">
      <c r="A1184" t="s">
        <v>8495</v>
      </c>
      <c r="B1184" t="s">
        <v>8556</v>
      </c>
      <c r="C1184" s="2" t="s">
        <v>8396</v>
      </c>
      <c r="D1184" t="s">
        <v>5843</v>
      </c>
      <c r="E1184" s="2" t="s">
        <v>8397</v>
      </c>
      <c r="F1184" t="s">
        <v>1896</v>
      </c>
      <c r="G1184" t="str">
        <f>VLOOKUP($F1184, codebooks_data_reordered!$A:$I, 2, FALSE)</f>
        <v>1999_1</v>
      </c>
      <c r="H1184" t="str">
        <f>VLOOKUP($F1184, codebooks_data_reordered!$A:$I, 3, FALSE)</f>
        <v>MORE ATTITUDES TOWARD PARTIES AND CANDIDATES</v>
      </c>
      <c r="I1184" t="str">
        <f>VLOOKUP($F1184, codebooks_data_reordered!$A:$I, 4, FALSE)</f>
        <v>1</v>
      </c>
      <c r="J1184" t="str">
        <f>VLOOKUP($F1184, codebooks_data_reordered!$A:$I, 5, FALSE)</f>
        <v>66</v>
      </c>
      <c r="K1184" t="str">
        <f>VLOOKUP($F1184, codebooks_data_reordered!$A:$I, 6, FALSE)</f>
        <v>Who is expected to go on the second round in the election for PM ?(1)</v>
      </c>
      <c r="L1184">
        <f>VLOOKUP($F1184, codebooks_data_reordered!$A:$I, 7, FALSE)</f>
        <v>0</v>
      </c>
      <c r="M1184" t="str">
        <f>VLOOKUP($F1184, codebooks_data_reordered!$A:$I, 9, FALSE)</f>
        <v>1: Netanyahu; 2: Barak; 3: Mordechay; 4: Begin; 5: Bashara; 6: Raful</v>
      </c>
      <c r="O1184" s="2" t="str">
        <f t="shared" si="18"/>
        <v>1: Netanyahu
 2: Barak
 3: Mordechay
 4: Begin
 5: Bashara
 6: Raful</v>
      </c>
    </row>
    <row r="1185" spans="1:15" ht="144" hidden="1" x14ac:dyDescent="0.3">
      <c r="A1185" t="s">
        <v>8495</v>
      </c>
      <c r="B1185" t="s">
        <v>6003</v>
      </c>
      <c r="C1185" s="2" t="s">
        <v>8557</v>
      </c>
      <c r="D1185" t="s">
        <v>5843</v>
      </c>
      <c r="E1185" s="2" t="s">
        <v>8558</v>
      </c>
      <c r="F1185" t="s">
        <v>9352</v>
      </c>
      <c r="G1185" t="e">
        <f>VLOOKUP($F1185, codebooks_data_reordered!$A:$I, 2, FALSE)</f>
        <v>#N/A</v>
      </c>
      <c r="H1185" t="e">
        <f>VLOOKUP($F1185, codebooks_data_reordered!$A:$I, 3, FALSE)</f>
        <v>#N/A</v>
      </c>
      <c r="I1185" t="e">
        <f>VLOOKUP($F1185, codebooks_data_reordered!$A:$I, 4, FALSE)</f>
        <v>#N/A</v>
      </c>
      <c r="J1185" t="e">
        <f>VLOOKUP($F1185, codebooks_data_reordered!$A:$I, 5, FALSE)</f>
        <v>#N/A</v>
      </c>
      <c r="K1185" t="e">
        <f>VLOOKUP($F1185, codebooks_data_reordered!$A:$I, 6, FALSE)</f>
        <v>#N/A</v>
      </c>
      <c r="L1185" t="e">
        <f>VLOOKUP($F1185, codebooks_data_reordered!$A:$I, 7, FALSE)</f>
        <v>#N/A</v>
      </c>
      <c r="M1185" t="e">
        <f>VLOOKUP($F1185, codebooks_data_reordered!$A:$I, 9, FALSE)</f>
        <v>#N/A</v>
      </c>
      <c r="O1185" t="e">
        <f t="shared" si="18"/>
        <v>#N/A</v>
      </c>
    </row>
    <row r="1186" spans="1:15" ht="187.2" hidden="1" x14ac:dyDescent="0.3">
      <c r="A1186" t="s">
        <v>8495</v>
      </c>
      <c r="B1186" t="s">
        <v>6717</v>
      </c>
      <c r="C1186" s="2" t="s">
        <v>8559</v>
      </c>
      <c r="D1186" t="s">
        <v>5843</v>
      </c>
      <c r="E1186" s="2" t="s">
        <v>8560</v>
      </c>
      <c r="F1186" t="s">
        <v>57</v>
      </c>
      <c r="G1186" t="str">
        <f>VLOOKUP($F1186, codebooks_data_reordered!$A:$I, 2, FALSE)</f>
        <v>2006</v>
      </c>
      <c r="H1186" t="str">
        <f>VLOOKUP($F1186, codebooks_data_reordered!$A:$I, 3, FALSE)</f>
        <v>Pre-Election Survey</v>
      </c>
      <c r="I1186" t="str">
        <f>VLOOKUP($F1186, codebooks_data_reordered!$A:$I, 4, FALSE)</f>
        <v>1</v>
      </c>
      <c r="J1186" t="str">
        <f>VLOOKUP($F1186, codebooks_data_reordered!$A:$I, 5, FALSE)</f>
        <v>17</v>
      </c>
      <c r="K1186" t="str">
        <f>VLOOKUP($F1186, codebooks_data_reordered!$A:$I, 6, FALSE)</f>
        <v>National security in next 5 years</v>
      </c>
      <c r="L1186" t="str">
        <f>VLOOKUP($F1186,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186" t="str">
        <f>VLOOKUP($F1186, codebooks_data_reordered!$A:$I, 9, FALSE)</f>
        <v>1: Worst situation; 9: Best situation</v>
      </c>
      <c r="O1186" s="2" t="str">
        <f t="shared" si="18"/>
        <v>1: Worst situation
 9: Best situation</v>
      </c>
    </row>
    <row r="1187" spans="1:15" ht="100.8" hidden="1" x14ac:dyDescent="0.3">
      <c r="A1187" t="s">
        <v>8495</v>
      </c>
      <c r="B1187" t="s">
        <v>8561</v>
      </c>
      <c r="C1187" s="2" t="s">
        <v>6727</v>
      </c>
      <c r="D1187" t="s">
        <v>5843</v>
      </c>
      <c r="E1187" s="2" t="s">
        <v>6728</v>
      </c>
      <c r="F1187" t="s">
        <v>62</v>
      </c>
      <c r="G1187" t="str">
        <f>VLOOKUP($F1187, codebooks_data_reordered!$A:$I, 2, FALSE)</f>
        <v>2006</v>
      </c>
      <c r="H1187" t="str">
        <f>VLOOKUP($F1187, codebooks_data_reordered!$A:$I, 3, FALSE)</f>
        <v>Pre-Election Survey</v>
      </c>
      <c r="I1187" t="str">
        <f>VLOOKUP($F1187, codebooks_data_reordered!$A:$I, 4, FALSE)</f>
        <v>1</v>
      </c>
      <c r="J1187" t="str">
        <f>VLOOKUP($F1187, codebooks_data_reordered!$A:$I, 5, FALSE)</f>
        <v>18</v>
      </c>
      <c r="K1187" t="str">
        <f>VLOOKUP($F1187, codebooks_data_reordered!$A:$I, 6, FALSE)</f>
        <v>Territories should be exchanged for peace</v>
      </c>
      <c r="L1187" t="str">
        <f>VLOOKUP($F1187, codebooks_data_reordered!$A:$I, 7, FALSE)</f>
        <v>15. In a peace agreement with the Palestinians, should Israel agree or disagree to a territorial compromise and to the evacuation of settlements in Judea and Samaria?</v>
      </c>
      <c r="M1187" t="str">
        <f>VLOOKUP($F1187, codebooks_data_reordered!$A:$I, 9, FALSE)</f>
        <v>1: Should definitely agree; 2: Should agree; 3: Should disagree; 4: Should definitely disagree</v>
      </c>
      <c r="O1187" s="2" t="str">
        <f t="shared" si="18"/>
        <v>1: Should definitely agree
 2: Should agree
 3: Should disagree
 4: Should definitely disagree</v>
      </c>
    </row>
    <row r="1188" spans="1:15" ht="115.2" hidden="1" x14ac:dyDescent="0.3">
      <c r="A1188" t="s">
        <v>8495</v>
      </c>
      <c r="B1188" t="s">
        <v>8562</v>
      </c>
      <c r="C1188" s="2" t="s">
        <v>8563</v>
      </c>
      <c r="D1188" t="s">
        <v>5843</v>
      </c>
      <c r="E1188" s="2" t="s">
        <v>8564</v>
      </c>
      <c r="F1188" t="s">
        <v>67</v>
      </c>
      <c r="G1188" t="str">
        <f>VLOOKUP($F1188, codebooks_data_reordered!$A:$I, 2, FALSE)</f>
        <v>2006</v>
      </c>
      <c r="H1188" t="str">
        <f>VLOOKUP($F1188, codebooks_data_reordered!$A:$I, 3, FALSE)</f>
        <v>Pre-Election Survey</v>
      </c>
      <c r="I1188" t="str">
        <f>VLOOKUP($F1188, codebooks_data_reordered!$A:$I, 4, FALSE)</f>
        <v>1</v>
      </c>
      <c r="J1188" t="str">
        <f>VLOOKUP($F1188, codebooks_data_reordered!$A:$I, 5, FALSE)</f>
        <v>19</v>
      </c>
      <c r="K1188" t="str">
        <f>VLOOKUP($F1188, codebooks_data_reordered!$A:$I, 6, FALSE)</f>
        <v>Israel should decide on borders and unilaterally withdraw</v>
      </c>
      <c r="L1188" t="str">
        <f>VLOOKUP($F1188, codebooks_data_reordered!$A:$I, 7, FALSE)</f>
        <v>16. And if it would not be possible to achieve a peace agreement with the Palestinians in the next few years, should Israel undertake another unilateral separation?</v>
      </c>
      <c r="M1188" t="str">
        <f>VLOOKUP($F1188, codebooks_data_reordered!$A:$I, 9, FALSE)</f>
        <v>1: Yes definitely; 2: Yes; 3: No; 4: Definitely no</v>
      </c>
      <c r="O1188" s="2" t="str">
        <f t="shared" si="18"/>
        <v>1: Yes definitely
 2: Yes
 3: No
 4: Definitely no</v>
      </c>
    </row>
    <row r="1189" spans="1:15" ht="100.8" hidden="1" x14ac:dyDescent="0.3">
      <c r="A1189" t="s">
        <v>8495</v>
      </c>
      <c r="B1189" t="s">
        <v>8565</v>
      </c>
      <c r="C1189" s="2" t="s">
        <v>8566</v>
      </c>
      <c r="D1189" t="s">
        <v>5843</v>
      </c>
      <c r="E1189" s="2" t="s">
        <v>8567</v>
      </c>
      <c r="F1189" t="s">
        <v>42</v>
      </c>
      <c r="G1189" t="str">
        <f>VLOOKUP($F1189, codebooks_data_reordered!$A:$I, 2, FALSE)</f>
        <v>2006</v>
      </c>
      <c r="H1189" t="str">
        <f>VLOOKUP($F1189, codebooks_data_reordered!$A:$I, 3, FALSE)</f>
        <v>Pre-Election Survey</v>
      </c>
      <c r="I1189" t="str">
        <f>VLOOKUP($F1189, codebooks_data_reordered!$A:$I, 4, FALSE)</f>
        <v>1</v>
      </c>
      <c r="J1189" t="str">
        <f>VLOOKUP($F1189, codebooks_data_reordered!$A:$I, 5, FALSE)</f>
        <v>13</v>
      </c>
      <c r="K1189" t="str">
        <f>VLOOKUP($F1189, codebooks_data_reordered!$A:$I, 6, FALSE)</f>
        <v>Economic situation in past 3 years</v>
      </c>
      <c r="L1189" t="str">
        <f>VLOOKUP($F1189, codebooks_data_reordered!$A:$I, 7, FALSE)</f>
        <v>10. Do you think that the economic situation in the past 3 years has improved, didn't change, or got worse?</v>
      </c>
      <c r="M1189" t="str">
        <f>VLOOKUP($F1189, codebooks_data_reordered!$A:$I, 9, FALSE)</f>
        <v>1: Improved a lot; 2: Improved a bit; 3: Didn't change; 4: Got a bit worse; 5: Got much worse</v>
      </c>
      <c r="O1189" s="2" t="str">
        <f t="shared" si="18"/>
        <v>1: Improved a lot
 2: Improved a bit
 3: Didn't change
 4: Got a bit worse
 5: Got much worse</v>
      </c>
    </row>
    <row r="1190" spans="1:15" ht="115.2" hidden="1" x14ac:dyDescent="0.3">
      <c r="A1190" t="s">
        <v>8495</v>
      </c>
      <c r="B1190" t="s">
        <v>8568</v>
      </c>
      <c r="C1190" s="2" t="s">
        <v>8569</v>
      </c>
      <c r="D1190" t="s">
        <v>5843</v>
      </c>
      <c r="E1190" s="2" t="s">
        <v>8570</v>
      </c>
      <c r="F1190" t="s">
        <v>62</v>
      </c>
      <c r="G1190" t="str">
        <f>VLOOKUP($F1190, codebooks_data_reordered!$A:$I, 2, FALSE)</f>
        <v>2006</v>
      </c>
      <c r="H1190" t="str">
        <f>VLOOKUP($F1190, codebooks_data_reordered!$A:$I, 3, FALSE)</f>
        <v>Pre-Election Survey</v>
      </c>
      <c r="I1190" t="str">
        <f>VLOOKUP($F1190, codebooks_data_reordered!$A:$I, 4, FALSE)</f>
        <v>1</v>
      </c>
      <c r="J1190" t="str">
        <f>VLOOKUP($F1190, codebooks_data_reordered!$A:$I, 5, FALSE)</f>
        <v>18</v>
      </c>
      <c r="K1190" t="str">
        <f>VLOOKUP($F1190, codebooks_data_reordered!$A:$I, 6, FALSE)</f>
        <v>Territories should be exchanged for peace</v>
      </c>
      <c r="L1190" t="str">
        <f>VLOOKUP($F1190, codebooks_data_reordered!$A:$I, 7, FALSE)</f>
        <v>15. In a peace agreement with the Palestinians, should Israel agree or disagree to a territorial compromise and to the evacuation of settlements in Judea and Samaria?</v>
      </c>
      <c r="M1190" t="str">
        <f>VLOOKUP($F1190, codebooks_data_reordered!$A:$I, 9, FALSE)</f>
        <v>1: Should definitely agree; 2: Should agree; 3: Should disagree; 4: Should definitely disagree</v>
      </c>
      <c r="O1190" s="2" t="str">
        <f t="shared" si="18"/>
        <v>1: Should definitely agree
 2: Should agree
 3: Should disagree
 4: Should definitely disagree</v>
      </c>
    </row>
    <row r="1191" spans="1:15" ht="158.4" hidden="1" x14ac:dyDescent="0.3">
      <c r="A1191" t="s">
        <v>8495</v>
      </c>
      <c r="B1191" t="s">
        <v>6074</v>
      </c>
      <c r="C1191" s="2" t="s">
        <v>8571</v>
      </c>
      <c r="D1191" t="s">
        <v>5843</v>
      </c>
      <c r="E1191" s="2" t="s">
        <v>8572</v>
      </c>
      <c r="F1191" t="s">
        <v>3102</v>
      </c>
      <c r="G1191" t="str">
        <f>VLOOKUP($F1191, codebooks_data_reordered!$A:$I, 2, FALSE)</f>
        <v>1988_Panel_N=416</v>
      </c>
      <c r="H1191" t="str">
        <f>VLOOKUP($F1191, codebooks_data_reordered!$A:$I, 3, FALSE)</f>
        <v>WHICH OF THE FOLLOWING WOULD YOU BE WILLING TO GIVE TO MAINTAIN/STRENGTHEN THE SECURITY</v>
      </c>
      <c r="I1191" t="str">
        <f>VLOOKUP($F1191, codebooks_data_reordered!$A:$I, 4, FALSE)</f>
        <v>1</v>
      </c>
      <c r="J1191" t="str">
        <f>VLOOKUP($F1191, codebooks_data_reordered!$A:$I, 5, FALSE)</f>
        <v>101</v>
      </c>
      <c r="K1191" t="str">
        <f>VLOOKUP($F1191, codebooks_data_reordered!$A:$I, 6, FALSE)</f>
        <v>Is the burden of the military service divided up justly</v>
      </c>
      <c r="L1191">
        <f>VLOOKUP($F1191, codebooks_data_reordered!$A:$I, 7, FALSE)</f>
        <v>0</v>
      </c>
      <c r="M1191" t="str">
        <f>VLOOKUP($F1191, codebooks_data_reordered!$A:$I, 9, FALSE)</f>
        <v>1: Just; 2: Unjust</v>
      </c>
      <c r="O1191" s="2" t="str">
        <f t="shared" si="18"/>
        <v>1: Just
 2: Unjust</v>
      </c>
    </row>
    <row r="1192" spans="1:15" ht="57.6" hidden="1" x14ac:dyDescent="0.3">
      <c r="A1192" t="s">
        <v>8495</v>
      </c>
      <c r="B1192" t="s">
        <v>8573</v>
      </c>
      <c r="C1192" s="2" t="s">
        <v>8574</v>
      </c>
      <c r="D1192" t="s">
        <v>5843</v>
      </c>
      <c r="E1192" s="2" t="s">
        <v>8575</v>
      </c>
      <c r="F1192" t="s">
        <v>72</v>
      </c>
      <c r="G1192" t="str">
        <f>VLOOKUP($F1192, codebooks_data_reordered!$A:$I, 2, FALSE)</f>
        <v>2006</v>
      </c>
      <c r="H1192" t="str">
        <f>VLOOKUP($F1192, codebooks_data_reordered!$A:$I, 3, FALSE)</f>
        <v>Pre-Election Survey</v>
      </c>
      <c r="I1192" t="str">
        <f>VLOOKUP($F1192, codebooks_data_reordered!$A:$I, 4, FALSE)</f>
        <v>1</v>
      </c>
      <c r="J1192" t="str">
        <f>VLOOKUP($F1192, codebooks_data_reordered!$A:$I, 5, FALSE)</f>
        <v>20-21</v>
      </c>
      <c r="K1192" t="str">
        <f>VLOOKUP($F1192, codebooks_data_reordered!$A:$I, 6, FALSE)</f>
        <v>Chances of Olmert's disengagement</v>
      </c>
      <c r="L1192" t="str">
        <f>VLOOKUP($F1192, codebooks_data_reordered!$A:$I, 7, FALSE)</f>
        <v>17. If Ehud Olmert will be elected prime minister, what are the chances odds that he would undertake unilateral separation in Judea and Samaria?</v>
      </c>
      <c r="M1192" t="str">
        <f>VLOOKUP($F1192, codebooks_data_reordered!$A:$I, 9, FALSE)</f>
        <v>1: Great odds; 2: Medium odds; 3: Low odds; 4: No chance</v>
      </c>
      <c r="O1192" s="2" t="str">
        <f t="shared" si="18"/>
        <v>1: Great odds
 2: Medium odds
 3: Low odds
 4: No chance</v>
      </c>
    </row>
    <row r="1193" spans="1:15" ht="115.2" hidden="1" x14ac:dyDescent="0.3">
      <c r="A1193" t="s">
        <v>8495</v>
      </c>
      <c r="B1193" t="s">
        <v>8576</v>
      </c>
      <c r="C1193" s="2" t="s">
        <v>8577</v>
      </c>
      <c r="D1193" t="s">
        <v>5843</v>
      </c>
      <c r="E1193" s="2" t="s">
        <v>8578</v>
      </c>
      <c r="F1193" t="s">
        <v>645</v>
      </c>
      <c r="G1193" t="str">
        <f>VLOOKUP($F1193, codebooks_data_reordered!$A:$I, 2, FALSE)</f>
        <v>2006</v>
      </c>
      <c r="H1193" t="str">
        <f>VLOOKUP($F1193, codebooks_data_reordered!$A:$I, 3, FALSE)</f>
        <v>Different Coalitions after the Elections</v>
      </c>
      <c r="I1193" t="str">
        <f>VLOOKUP($F1193, codebooks_data_reordered!$A:$I, 4, FALSE)</f>
        <v>1</v>
      </c>
      <c r="J1193" t="str">
        <f>VLOOKUP($F1193, codebooks_data_reordered!$A:$I, 5, FALSE)</f>
        <v>222-224</v>
      </c>
      <c r="K1193" t="str">
        <f>VLOOKUP($F1193, codebooks_data_reordered!$A:$I, 6, FALSE)</f>
        <v>Chances for Kadima-Likud-Right coalition</v>
      </c>
      <c r="L1193" t="str">
        <f>VLOOKUP($F1193,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193">
        <f>VLOOKUP($F1193, codebooks_data_reordered!$A:$I, 9, FALSE)</f>
        <v>0</v>
      </c>
      <c r="O1193" s="2" t="str">
        <f t="shared" si="18"/>
        <v>0</v>
      </c>
    </row>
    <row r="1194" spans="1:15" ht="115.2" hidden="1" x14ac:dyDescent="0.3">
      <c r="A1194" t="s">
        <v>8495</v>
      </c>
      <c r="B1194" t="s">
        <v>8579</v>
      </c>
      <c r="C1194" s="2" t="s">
        <v>8580</v>
      </c>
      <c r="D1194" t="s">
        <v>5843</v>
      </c>
      <c r="E1194" s="2" t="s">
        <v>8581</v>
      </c>
      <c r="F1194" t="s">
        <v>81</v>
      </c>
      <c r="G1194" t="str">
        <f>VLOOKUP($F1194, codebooks_data_reordered!$A:$I, 2, FALSE)</f>
        <v>2006</v>
      </c>
      <c r="H1194" t="str">
        <f>VLOOKUP($F1194, codebooks_data_reordered!$A:$I, 3, FALSE)</f>
        <v>Pre-Election Survey</v>
      </c>
      <c r="I1194" t="str">
        <f>VLOOKUP($F1194, codebooks_data_reordered!$A:$I, 4, FALSE)</f>
        <v>1</v>
      </c>
      <c r="J1194" t="str">
        <f>VLOOKUP($F1194, codebooks_data_reordered!$A:$I, 5, FALSE)</f>
        <v>23-24</v>
      </c>
      <c r="K1194" t="str">
        <f>VLOOKUP($F1194, codebooks_data_reordered!$A:$I, 6, FALSE)</f>
        <v>Chances of war in next 3 years</v>
      </c>
      <c r="L1194" t="str">
        <f>VLOOKUP($F1194, codebooks_data_reordered!$A:$I, 7, FALSE)</f>
        <v>19. And what are the odds for a war to break out between Israel and an Arab state in the next 3 years?</v>
      </c>
      <c r="M1194" t="str">
        <f>VLOOKUP($F1194, codebooks_data_reordered!$A:$I, 9, FALSE)</f>
        <v>1: Great odds; 2: Medium odds; 3: Low odds; 4: Very low odds</v>
      </c>
      <c r="O1194" s="2" t="str">
        <f t="shared" si="18"/>
        <v>1: Great odds
 2: Medium odds
 3: Low odds
 4: Very low odds</v>
      </c>
    </row>
    <row r="1195" spans="1:15" ht="100.8" hidden="1" x14ac:dyDescent="0.3">
      <c r="A1195" t="s">
        <v>8495</v>
      </c>
      <c r="B1195" t="s">
        <v>6605</v>
      </c>
      <c r="C1195" s="2" t="s">
        <v>8582</v>
      </c>
      <c r="D1195" t="s">
        <v>5843</v>
      </c>
      <c r="E1195" s="2" t="s">
        <v>8583</v>
      </c>
      <c r="F1195" t="s">
        <v>2181</v>
      </c>
      <c r="G1195" t="str">
        <f>VLOOKUP($F1195, codebooks_data_reordered!$A:$I, 2, FALSE)</f>
        <v>1999_1</v>
      </c>
      <c r="H1195" t="str">
        <f>VLOOKUP($F1195, codebooks_data_reordered!$A:$I, 3, FALSE)</f>
        <v>RESPONDENT'S DEMOGRAPHIC DETAILS</v>
      </c>
      <c r="I1195" t="str">
        <f>VLOOKUP($F1195, codebooks_data_reordered!$A:$I, 4, FALSE)</f>
        <v>3</v>
      </c>
      <c r="J1195" t="str">
        <f>VLOOKUP($F1195, codebooks_data_reordered!$A:$I, 5, FALSE)</f>
        <v>28</v>
      </c>
      <c r="K1195" t="str">
        <f>VLOOKUP($F1195, codebooks_data_reordered!$A:$I, 6, FALSE)</f>
        <v>First label to define identity</v>
      </c>
      <c r="L1195">
        <f>VLOOKUP($F1195, codebooks_data_reordered!$A:$I, 7, FALSE)</f>
        <v>0</v>
      </c>
      <c r="M1195" t="str">
        <f>VLOOKUP($F1195, codebooks_data_reordered!$A:$I, 9, FALSE)</f>
        <v>1: Israeli; 2: Jewish; 3: Ethnic group(Ashkenazi/Sefaradi); 4: Religious/Secular</v>
      </c>
      <c r="O1195" s="2" t="str">
        <f t="shared" si="18"/>
        <v>1: Israeli
 2: Jewish
 3: Ethnic group(Ashkenazi/Sefaradi)
 4: Religious/Secular</v>
      </c>
    </row>
    <row r="1196" spans="1:15" ht="100.8" hidden="1" x14ac:dyDescent="0.3">
      <c r="A1196" t="s">
        <v>8495</v>
      </c>
      <c r="B1196" t="s">
        <v>8584</v>
      </c>
      <c r="C1196" s="2" t="s">
        <v>8585</v>
      </c>
      <c r="D1196" t="s">
        <v>5843</v>
      </c>
      <c r="E1196" s="2" t="s">
        <v>8586</v>
      </c>
      <c r="F1196" t="s">
        <v>645</v>
      </c>
      <c r="G1196" t="str">
        <f>VLOOKUP($F1196, codebooks_data_reordered!$A:$I, 2, FALSE)</f>
        <v>2006</v>
      </c>
      <c r="H1196" t="str">
        <f>VLOOKUP($F1196, codebooks_data_reordered!$A:$I, 3, FALSE)</f>
        <v>Different Coalitions after the Elections</v>
      </c>
      <c r="I1196" t="str">
        <f>VLOOKUP($F1196, codebooks_data_reordered!$A:$I, 4, FALSE)</f>
        <v>1</v>
      </c>
      <c r="J1196" t="str">
        <f>VLOOKUP($F1196, codebooks_data_reordered!$A:$I, 5, FALSE)</f>
        <v>222-224</v>
      </c>
      <c r="K1196" t="str">
        <f>VLOOKUP($F1196, codebooks_data_reordered!$A:$I, 6, FALSE)</f>
        <v>Chances for Kadima-Likud-Right coalition</v>
      </c>
      <c r="L1196" t="str">
        <f>VLOOKUP($F1196,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196">
        <f>VLOOKUP($F1196, codebooks_data_reordered!$A:$I, 9, FALSE)</f>
        <v>0</v>
      </c>
      <c r="O1196" s="2" t="str">
        <f t="shared" si="18"/>
        <v>0</v>
      </c>
    </row>
    <row r="1197" spans="1:15" ht="158.4" hidden="1" x14ac:dyDescent="0.3">
      <c r="A1197" t="s">
        <v>8495</v>
      </c>
      <c r="B1197" t="s">
        <v>7403</v>
      </c>
      <c r="C1197" s="2" t="s">
        <v>8580</v>
      </c>
      <c r="D1197" t="s">
        <v>5843</v>
      </c>
      <c r="E1197" s="2" t="s">
        <v>8581</v>
      </c>
      <c r="F1197" t="s">
        <v>960</v>
      </c>
      <c r="G1197" t="str">
        <f>VLOOKUP($F1197, codebooks_data_reordered!$A:$I, 2, FALSE)</f>
        <v>2006</v>
      </c>
      <c r="H1197" t="str">
        <f>VLOOKUP($F1197, codebooks_data_reordered!$A:$I, 3, FALSE)</f>
        <v>Reason for not Vote</v>
      </c>
      <c r="I1197" t="str">
        <f>VLOOKUP($F1197, codebooks_data_reordered!$A:$I, 4, FALSE)</f>
        <v>1</v>
      </c>
      <c r="J1197" t="str">
        <f>VLOOKUP($F1197, codebooks_data_reordered!$A:$I, 5, FALSE)</f>
        <v>341</v>
      </c>
      <c r="K1197" t="str">
        <f>VLOOKUP($F1197, codebooks_data_reordered!$A:$I, 6, FALSE)</f>
        <v>Main opinions on what the elections were about</v>
      </c>
      <c r="L1197" t="str">
        <f>VLOOKUP($F1197, codebooks_data_reordered!$A:$I, 7, FALSE)</f>
        <v>28. In sum, what were these elections about in your opinion (only one response) (Interviewer: Review answers 23-27 in a varying order)</v>
      </c>
      <c r="M1197" t="str">
        <f>VLOOKUP($F1197, codebooks_data_reordered!$A:$I, 9, FALSE)</f>
        <v>1: Political topic (Disengagement, negotiations with the Palestinians); 2: The security topic; 3: The economic-social topic; 4: Corruption; 7: Other; 8: All the topics; 9: None</v>
      </c>
      <c r="O1197" s="2" t="str">
        <f t="shared" si="18"/>
        <v>1: Political topic (Disengagement, negotiations with the Palestinians)
 2: The security topic
 3: The economic-social topic
 4: Corruption
 7: Other
 8: All the topics
 9: None</v>
      </c>
    </row>
    <row r="1198" spans="1:15" ht="129.6" hidden="1" x14ac:dyDescent="0.3">
      <c r="A1198" t="s">
        <v>8495</v>
      </c>
      <c r="B1198" t="s">
        <v>8587</v>
      </c>
      <c r="C1198" s="2" t="s">
        <v>8588</v>
      </c>
      <c r="D1198" t="s">
        <v>5843</v>
      </c>
      <c r="E1198" s="2" t="s">
        <v>8589</v>
      </c>
      <c r="F1198" t="s">
        <v>107</v>
      </c>
      <c r="G1198" t="str">
        <f>VLOOKUP($F1198, codebooks_data_reordered!$A:$I, 2, FALSE)</f>
        <v>2006</v>
      </c>
      <c r="H1198" t="str">
        <f>VLOOKUP($F1198, codebooks_data_reordered!$A:$I, 3, FALSE)</f>
        <v>Pre-Election Survey</v>
      </c>
      <c r="I1198" t="str">
        <f>VLOOKUP($F1198, codebooks_data_reordered!$A:$I, 4, FALSE)</f>
        <v>1</v>
      </c>
      <c r="J1198" t="str">
        <f>VLOOKUP($F1198, codebooks_data_reordered!$A:$I, 5, FALSE)</f>
        <v>29</v>
      </c>
      <c r="K1198" t="str">
        <f>VLOOKUP($F1198, codebooks_data_reordered!$A:$I, 6, FALSE)</f>
        <v>Are you worried about being injured by Arabs</v>
      </c>
      <c r="L1198" t="str">
        <f>VLOOKUP($F1198, codebooks_data_reordered!$A:$I, 7, FALSE)</f>
        <v>24. To what extent are you worried or not worried that you or a member of your family could be injured in your daily life?</v>
      </c>
      <c r="M1198" t="str">
        <f>VLOOKUP($F1198, codebooks_data_reordered!$A:$I, 9, FALSE)</f>
        <v>1: Very worried; 2: Worried; 3: Not worried; 4: Not worried at all</v>
      </c>
      <c r="O1198" s="2" t="str">
        <f t="shared" si="18"/>
        <v>1: Very worried
 2: Worried
 3: Not worried
 4: Not worried at all</v>
      </c>
    </row>
    <row r="1199" spans="1:15" ht="57.6" hidden="1" x14ac:dyDescent="0.3">
      <c r="A1199" t="s">
        <v>8495</v>
      </c>
      <c r="B1199" t="s">
        <v>8590</v>
      </c>
      <c r="C1199" s="2" t="s">
        <v>8591</v>
      </c>
      <c r="D1199" t="s">
        <v>5843</v>
      </c>
      <c r="E1199" s="2" t="s">
        <v>8592</v>
      </c>
      <c r="F1199" t="s">
        <v>127</v>
      </c>
      <c r="G1199" t="str">
        <f>VLOOKUP($F1199, codebooks_data_reordered!$A:$I, 2, FALSE)</f>
        <v>2006</v>
      </c>
      <c r="H1199" t="str">
        <f>VLOOKUP($F1199, codebooks_data_reordered!$A:$I, 3, FALSE)</f>
        <v>Threat of Different Issues</v>
      </c>
      <c r="I1199" t="str">
        <f>VLOOKUP($F1199, codebooks_data_reordered!$A:$I, 4, FALSE)</f>
        <v>1</v>
      </c>
      <c r="J1199" t="str">
        <f>VLOOKUP($F1199, codebooks_data_reordered!$A:$I, 5, FALSE)</f>
        <v>34</v>
      </c>
      <c r="K1199" t="str">
        <f>VLOOKUP($F1199, codebooks_data_reordered!$A:$I, 6, FALSE)</f>
        <v>Threat of returning territories for peace</v>
      </c>
      <c r="L1199" t="str">
        <f>VLOOKUP($F1199, codebooks_data_reordered!$A:$I, 7, FALSE)</f>
        <v>To what extent do you consider each of the following situations as a threat?</v>
      </c>
      <c r="M1199" t="str">
        <f>VLOOKUP($F1199, codebooks_data_reordered!$A:$I, 9, FALSE)</f>
        <v>1: Not at all threatening; 7: Very threatening</v>
      </c>
      <c r="O1199" s="2" t="str">
        <f t="shared" si="18"/>
        <v>1: Not at all threatening
 7: Very threatening</v>
      </c>
    </row>
    <row r="1200" spans="1:15" ht="57.6" hidden="1" x14ac:dyDescent="0.3">
      <c r="A1200" t="s">
        <v>8495</v>
      </c>
      <c r="B1200" t="s">
        <v>8593</v>
      </c>
      <c r="C1200" s="2" t="s">
        <v>8594</v>
      </c>
      <c r="D1200" t="s">
        <v>5843</v>
      </c>
      <c r="E1200" s="2" t="s">
        <v>8595</v>
      </c>
      <c r="F1200" t="s">
        <v>148</v>
      </c>
      <c r="G1200" t="str">
        <f>VLOOKUP($F1200, codebooks_data_reordered!$A:$I, 2, FALSE)</f>
        <v>2006</v>
      </c>
      <c r="H1200" t="str">
        <f>VLOOKUP($F1200, codebooks_data_reordered!$A:$I, 3, FALSE)</f>
        <v>Threat of Different Issues</v>
      </c>
      <c r="I1200" t="str">
        <f>VLOOKUP($F1200, codebooks_data_reordered!$A:$I, 4, FALSE)</f>
        <v>1</v>
      </c>
      <c r="J1200" t="str">
        <f>VLOOKUP($F1200, codebooks_data_reordered!$A:$I, 5, FALSE)</f>
        <v>41</v>
      </c>
      <c r="K1200" t="str">
        <f>VLOOKUP($F1200, codebooks_data_reordered!$A:$I, 6, FALSE)</f>
        <v>Threat of war with Syria</v>
      </c>
      <c r="L1200" t="str">
        <f>VLOOKUP($F1200, codebooks_data_reordered!$A:$I, 7, FALSE)</f>
        <v>To what extent do you consider each of the following situations as a threat?</v>
      </c>
      <c r="M1200" t="str">
        <f>VLOOKUP($F1200, codebooks_data_reordered!$A:$I, 9, FALSE)</f>
        <v>1: Not at all threatening; 7: Very threatening</v>
      </c>
      <c r="O1200" s="2" t="str">
        <f t="shared" si="18"/>
        <v>1: Not at all threatening
 7: Very threatening</v>
      </c>
    </row>
    <row r="1201" spans="1:15" ht="86.4" hidden="1" x14ac:dyDescent="0.3">
      <c r="A1201" t="s">
        <v>8495</v>
      </c>
      <c r="B1201" t="s">
        <v>8596</v>
      </c>
      <c r="C1201" s="2" t="s">
        <v>8597</v>
      </c>
      <c r="D1201" t="s">
        <v>5843</v>
      </c>
      <c r="E1201" s="2" t="s">
        <v>8598</v>
      </c>
      <c r="F1201" t="s">
        <v>1781</v>
      </c>
      <c r="G1201" t="str">
        <f>VLOOKUP($F1201, codebooks_data_reordered!$A:$I, 2, FALSE)</f>
        <v>1999_1</v>
      </c>
      <c r="H1201" t="str">
        <f>VLOOKUP($F1201, codebooks_data_reordered!$A:$I, 3, FALSE)</f>
        <v>GENERAL POLITICAL ATTITUDE</v>
      </c>
      <c r="I1201" t="str">
        <f>VLOOKUP($F1201, codebooks_data_reordered!$A:$I, 4, FALSE)</f>
        <v>1</v>
      </c>
      <c r="J1201" t="str">
        <f>VLOOKUP($F1201, codebooks_data_reordered!$A:$I, 5, FALSE)</f>
        <v>20</v>
      </c>
      <c r="K1201" t="str">
        <f>VLOOKUP($F1201, codebooks_data_reordered!$A:$I, 6, FALSE)</f>
        <v>Jewish religious law should take precedence over democracy</v>
      </c>
      <c r="L1201" t="str">
        <f>VLOOKUP($F1201, codebooks_data_reordered!$A:$I, 7, FALSE)</f>
        <v>Agreement with statement on 1-7 scale</v>
      </c>
      <c r="M1201" t="str">
        <f>VLOOKUP($F1201, codebooks_data_reordered!$A:$I, 9, FALSE)</f>
        <v>1: Strongly disagree; 7: Strongly agree</v>
      </c>
      <c r="O1201" s="2" t="str">
        <f t="shared" si="18"/>
        <v>1: Strongly disagree
 7: Strongly agree</v>
      </c>
    </row>
    <row r="1202" spans="1:15" ht="57.6" hidden="1" x14ac:dyDescent="0.3">
      <c r="A1202" t="s">
        <v>8495</v>
      </c>
      <c r="B1202" t="s">
        <v>8599</v>
      </c>
      <c r="C1202" s="2" t="s">
        <v>8600</v>
      </c>
      <c r="D1202" t="s">
        <v>5843</v>
      </c>
      <c r="E1202" s="2" t="s">
        <v>8601</v>
      </c>
      <c r="F1202" t="s">
        <v>1808</v>
      </c>
      <c r="G1202" t="str">
        <f>VLOOKUP($F1202, codebooks_data_reordered!$A:$I, 2, FALSE)</f>
        <v>1999_1</v>
      </c>
      <c r="H1202" t="str">
        <f>VLOOKUP($F1202, codebooks_data_reordered!$A:$I, 3, FALSE)</f>
        <v>GENERAL POLITICAL ATTITUDE</v>
      </c>
      <c r="I1202" t="str">
        <f>VLOOKUP($F1202, codebooks_data_reordered!$A:$I, 4, FALSE)</f>
        <v>1</v>
      </c>
      <c r="J1202" t="str">
        <f>VLOOKUP($F1202, codebooks_data_reordered!$A:$I, 5, FALSE)</f>
        <v>31</v>
      </c>
      <c r="K1202" t="str">
        <f>VLOOKUP($F1202, codebooks_data_reordered!$A:$I, 6, FALSE)</f>
        <v>Are you or your family worried about being injured by Arabs in daily life?</v>
      </c>
      <c r="L1202">
        <f>VLOOKUP($F1202, codebooks_data_reordered!$A:$I, 7, FALSE)</f>
        <v>0</v>
      </c>
      <c r="M1202" t="str">
        <f>VLOOKUP($F1202, codebooks_data_reordered!$A:$I, 9, FALSE)</f>
        <v>1: Very worried; 2: Worried; 3: Not worried; 4: Not worried at all</v>
      </c>
      <c r="O1202" s="2" t="str">
        <f t="shared" si="18"/>
        <v>1: Very worried
 2: Worried
 3: Not worried
 4: Not worried at all</v>
      </c>
    </row>
    <row r="1203" spans="1:15" ht="57.6" hidden="1" x14ac:dyDescent="0.3">
      <c r="A1203" t="s">
        <v>8495</v>
      </c>
      <c r="B1203" t="s">
        <v>8602</v>
      </c>
      <c r="C1203" s="2" t="s">
        <v>6330</v>
      </c>
      <c r="D1203" t="s">
        <v>5843</v>
      </c>
      <c r="E1203" s="2" t="s">
        <v>6331</v>
      </c>
      <c r="F1203" t="s">
        <v>1989</v>
      </c>
      <c r="G1203" t="str">
        <f>VLOOKUP($F1203, codebooks_data_reordered!$A:$I, 2, FALSE)</f>
        <v>1999_1</v>
      </c>
      <c r="H1203" t="str">
        <f>VLOOKUP($F1203, codebooks_data_reordered!$A:$I, 3, FALSE)</f>
        <v>POLITICAL SELF-DEFINITION</v>
      </c>
      <c r="I1203" t="str">
        <f>VLOOKUP($F1203, codebooks_data_reordered!$A:$I, 4, FALSE)</f>
        <v>2</v>
      </c>
      <c r="J1203" t="str">
        <f>VLOOKUP($F1203, codebooks_data_reordered!$A:$I, 5, FALSE)</f>
        <v>27</v>
      </c>
      <c r="K1203" t="str">
        <f>VLOOKUP($F1203, codebooks_data_reordered!$A:$I, 6, FALSE)</f>
        <v>Economy issue's effect on vote for Knesset</v>
      </c>
      <c r="L1203">
        <f>VLOOKUP($F1203, codebooks_data_reordered!$A:$I, 7, FALSE)</f>
        <v>0</v>
      </c>
      <c r="M1203" t="str">
        <f>VLOOKUP($F1203, codebooks_data_reordered!$A:$I, 9, FALSE)</f>
        <v>1: Not at all; 2: A small effect; 3: Some effect; 4: A great effect</v>
      </c>
      <c r="O1203" s="2" t="str">
        <f t="shared" si="18"/>
        <v>1: Not at all
 2: A small effect
 3: Some effect
 4: A great effect</v>
      </c>
    </row>
    <row r="1204" spans="1:15" ht="201.6" hidden="1" x14ac:dyDescent="0.3">
      <c r="A1204" t="s">
        <v>8495</v>
      </c>
      <c r="B1204" t="s">
        <v>8603</v>
      </c>
      <c r="C1204" s="2" t="s">
        <v>8604</v>
      </c>
      <c r="D1204" t="s">
        <v>5843</v>
      </c>
      <c r="E1204" s="2" t="s">
        <v>8605</v>
      </c>
      <c r="F1204" t="s">
        <v>965</v>
      </c>
      <c r="G1204" t="str">
        <f>VLOOKUP($F1204, codebooks_data_reordered!$A:$I, 2, FALSE)</f>
        <v>2006</v>
      </c>
      <c r="H1204" t="str">
        <f>VLOOKUP($F1204, codebooks_data_reordered!$A:$I, 3, FALSE)</f>
        <v>Reason for not Vote</v>
      </c>
      <c r="I1204" t="str">
        <f>VLOOKUP($F1204, codebooks_data_reordered!$A:$I, 4, FALSE)</f>
        <v>1</v>
      </c>
      <c r="J1204" t="str">
        <f>VLOOKUP($F1204, codebooks_data_reordered!$A:$I, 5, FALSE)</f>
        <v>342</v>
      </c>
      <c r="K1204" t="str">
        <f>VLOOKUP($F1204, codebooks_data_reordered!$A:$I, 6, FALSE)</f>
        <v>Election as referendum on Olmert's plan</v>
      </c>
      <c r="L1204" t="str">
        <f>VLOOKUP($F1204, codebooks_data_reordered!$A:$I, 7, FALSE)</f>
        <v>29. In your opinion, should these elections be seen or should they not be seen as a referendum on Olmert's plan for another disengagement in Judea and Samaria that will determine the border with the Palestinians?</v>
      </c>
      <c r="M1204" t="str">
        <f>VLOOKUP($F1204, codebooks_data_reordered!$A:$I, 9, FALSE)</f>
        <v>1: The elections should definitely be seen as a referendum on these matters; 2: The elections can be seen as a referendum on these matters; 3: The elections cannot be seen as a referendum on these matters; 4: Tefinitely the elections should not be seen as a referendum on these matters</v>
      </c>
      <c r="O1204" s="2" t="str">
        <f t="shared" si="18"/>
        <v>1: The elections should definitely be seen as a referendum on these matters
 2: The elections can be seen as a referendum on these matters
 3: The elections cannot be seen as a referendum on these matters
 4: Tefinitely the elections should not be seen as a referendum on these matters</v>
      </c>
    </row>
    <row r="1205" spans="1:15" ht="158.4" hidden="1" x14ac:dyDescent="0.3">
      <c r="A1205" t="s">
        <v>8495</v>
      </c>
      <c r="B1205" t="s">
        <v>8606</v>
      </c>
      <c r="C1205" s="2" t="s">
        <v>8607</v>
      </c>
      <c r="D1205" t="s">
        <v>5843</v>
      </c>
      <c r="E1205" s="2" t="s">
        <v>8608</v>
      </c>
      <c r="F1205" t="s">
        <v>2182</v>
      </c>
      <c r="G1205" t="str">
        <f>VLOOKUP($F1205, codebooks_data_reordered!$A:$I, 2, FALSE)</f>
        <v>1999_1</v>
      </c>
      <c r="H1205" t="str">
        <f>VLOOKUP($F1205, codebooks_data_reordered!$A:$I, 3, FALSE)</f>
        <v>RESPONDENT'S DEMOGRAPHIC DETAILS</v>
      </c>
      <c r="I1205" t="str">
        <f>VLOOKUP($F1205, codebooks_data_reordered!$A:$I, 4, FALSE)</f>
        <v>3</v>
      </c>
      <c r="J1205" t="str">
        <f>VLOOKUP($F1205, codebooks_data_reordered!$A:$I, 5, FALSE)</f>
        <v>30</v>
      </c>
      <c r="K1205" t="str">
        <f>VLOOKUP($F1205, codebooks_data_reordered!$A:$I, 6, FALSE)</f>
        <v>Third label to define identity</v>
      </c>
      <c r="L1205">
        <f>VLOOKUP($F1205, codebooks_data_reordered!$A:$I, 7, FALSE)</f>
        <v>0</v>
      </c>
      <c r="M1205" t="str">
        <f>VLOOKUP($F1205, codebooks_data_reordered!$A:$I, 9, FALSE)</f>
        <v>1: Israeli; 2: Jewish; 3: Ethnic group(Ashkenazi/Sefaradi); 4: Religious/Secular</v>
      </c>
      <c r="O1205" s="2" t="str">
        <f t="shared" si="18"/>
        <v>1: Israeli
 2: Jewish
 3: Ethnic group(Ashkenazi/Sefaradi)
 4: Religious/Secular</v>
      </c>
    </row>
    <row r="1206" spans="1:15" ht="100.8" hidden="1" x14ac:dyDescent="0.3">
      <c r="A1206" t="s">
        <v>8495</v>
      </c>
      <c r="B1206" t="s">
        <v>8609</v>
      </c>
      <c r="C1206" s="2" t="s">
        <v>8610</v>
      </c>
      <c r="D1206" t="s">
        <v>5843</v>
      </c>
      <c r="E1206" s="2" t="s">
        <v>8611</v>
      </c>
      <c r="F1206" t="s">
        <v>2184</v>
      </c>
      <c r="G1206" t="str">
        <f>VLOOKUP($F1206, codebooks_data_reordered!$A:$I, 2, FALSE)</f>
        <v>1999_1</v>
      </c>
      <c r="H1206" t="str">
        <f>VLOOKUP($F1206, codebooks_data_reordered!$A:$I, 3, FALSE)</f>
        <v>RESPONDENT'S DEMOGRAPHIC DETAILS</v>
      </c>
      <c r="I1206" t="str">
        <f>VLOOKUP($F1206, codebooks_data_reordered!$A:$I, 4, FALSE)</f>
        <v>3</v>
      </c>
      <c r="J1206" t="str">
        <f>VLOOKUP($F1206, codebooks_data_reordered!$A:$I, 5, FALSE)</f>
        <v>31</v>
      </c>
      <c r="K1206" t="str">
        <f>VLOOKUP($F1206, codebooks_data_reordered!$A:$I, 6, FALSE)</f>
        <v>Fourth label to define identity</v>
      </c>
      <c r="L1206">
        <f>VLOOKUP($F1206, codebooks_data_reordered!$A:$I, 7, FALSE)</f>
        <v>0</v>
      </c>
      <c r="M1206" t="str">
        <f>VLOOKUP($F1206, codebooks_data_reordered!$A:$I, 9, FALSE)</f>
        <v>1: Israeli; 2: Jewish; 3: Ethnic group(Ashkenazi/Sefaradi); 4: Religious/Secular</v>
      </c>
      <c r="O1206" s="2" t="str">
        <f t="shared" si="18"/>
        <v>1: Israeli
 2: Jewish
 3: Ethnic group(Ashkenazi/Sefaradi)
 4: Religious/Secular</v>
      </c>
    </row>
    <row r="1207" spans="1:15" ht="158.4" hidden="1" x14ac:dyDescent="0.3">
      <c r="A1207" t="s">
        <v>8495</v>
      </c>
      <c r="B1207" t="s">
        <v>8612</v>
      </c>
      <c r="C1207" s="2" t="s">
        <v>8613</v>
      </c>
      <c r="D1207" t="s">
        <v>5843</v>
      </c>
      <c r="E1207" s="2" t="s">
        <v>8614</v>
      </c>
      <c r="F1207" t="s">
        <v>662</v>
      </c>
      <c r="G1207" t="str">
        <f>VLOOKUP($F1207, codebooks_data_reordered!$A:$I, 2, FALSE)</f>
        <v>2006</v>
      </c>
      <c r="H1207" t="str">
        <f>VLOOKUP($F1207, codebooks_data_reordered!$A:$I, 3, FALSE)</f>
        <v>Different Coalitions after the Elections</v>
      </c>
      <c r="I1207" t="str">
        <f>VLOOKUP($F1207, codebooks_data_reordered!$A:$I, 4, FALSE)</f>
        <v>1</v>
      </c>
      <c r="J1207" t="str">
        <f>VLOOKUP($F1207, codebooks_data_reordered!$A:$I, 5, FALSE)</f>
        <v>235-237</v>
      </c>
      <c r="K1207" t="str">
        <f>VLOOKUP($F1207, codebooks_data_reordered!$A:$I, 6, FALSE)</f>
        <v>Will support Kadima-Likud-Haredim coalition</v>
      </c>
      <c r="L1207" t="str">
        <f>VLOOKUP($F1207,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207" t="str">
        <f>VLOOKUP($F1207, codebooks_data_reordered!$A:$I, 9, FALSE)</f>
        <v>1: Reject; 10: Support</v>
      </c>
      <c r="O1207" s="2" t="str">
        <f t="shared" si="18"/>
        <v>1: Reject
 10: Support</v>
      </c>
    </row>
    <row r="1208" spans="1:15" ht="72" hidden="1" x14ac:dyDescent="0.3">
      <c r="A1208" t="s">
        <v>8495</v>
      </c>
      <c r="B1208" t="s">
        <v>8615</v>
      </c>
      <c r="C1208" s="2" t="s">
        <v>8616</v>
      </c>
      <c r="D1208" t="s">
        <v>5843</v>
      </c>
      <c r="E1208" s="2" t="s">
        <v>8617</v>
      </c>
      <c r="F1208" t="s">
        <v>51</v>
      </c>
      <c r="G1208" t="str">
        <f>VLOOKUP($F1208, codebooks_data_reordered!$A:$I, 2, FALSE)</f>
        <v>2006</v>
      </c>
      <c r="H1208" t="str">
        <f>VLOOKUP($F1208, codebooks_data_reordered!$A:$I, 3, FALSE)</f>
        <v>Pre-Election Survey</v>
      </c>
      <c r="I1208" t="str">
        <f>VLOOKUP($F1208, codebooks_data_reordered!$A:$I, 4, FALSE)</f>
        <v>1</v>
      </c>
      <c r="J1208" t="str">
        <f>VLOOKUP($F1208, codebooks_data_reordered!$A:$I, 5, FALSE)</f>
        <v>15</v>
      </c>
      <c r="K1208" t="str">
        <f>VLOOKUP($F1208, codebooks_data_reordered!$A:$I, 6, FALSE)</f>
        <v>National security today</v>
      </c>
      <c r="L1208" t="str">
        <f>VLOOKUP($F1208,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208" t="str">
        <f>VLOOKUP($F1208, codebooks_data_reordered!$A:$I, 9, FALSE)</f>
        <v>1: Worst situation; 9: Best situation</v>
      </c>
      <c r="O1208" s="2" t="str">
        <f t="shared" si="18"/>
        <v>1: Worst situation
 9: Best situation</v>
      </c>
    </row>
    <row r="1209" spans="1:15" ht="72" hidden="1" x14ac:dyDescent="0.3">
      <c r="A1209" t="s">
        <v>8495</v>
      </c>
      <c r="B1209" t="s">
        <v>8618</v>
      </c>
      <c r="C1209" s="2" t="s">
        <v>8619</v>
      </c>
      <c r="D1209" t="s">
        <v>5843</v>
      </c>
      <c r="E1209" s="2" t="s">
        <v>8620</v>
      </c>
      <c r="F1209" t="s">
        <v>54</v>
      </c>
      <c r="G1209" t="str">
        <f>VLOOKUP($F1209, codebooks_data_reordered!$A:$I, 2, FALSE)</f>
        <v>2006</v>
      </c>
      <c r="H1209" t="str">
        <f>VLOOKUP($F1209, codebooks_data_reordered!$A:$I, 3, FALSE)</f>
        <v>Pre-Election Survey</v>
      </c>
      <c r="I1209" t="str">
        <f>VLOOKUP($F1209, codebooks_data_reordered!$A:$I, 4, FALSE)</f>
        <v>1</v>
      </c>
      <c r="J1209" t="str">
        <f>VLOOKUP($F1209, codebooks_data_reordered!$A:$I, 5, FALSE)</f>
        <v>16</v>
      </c>
      <c r="K1209" t="str">
        <f>VLOOKUP($F1209, codebooks_data_reordered!$A:$I, 6, FALSE)</f>
        <v>National security in last 5 years</v>
      </c>
      <c r="L1209" t="str">
        <f>VLOOKUP($F1209,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209" t="str">
        <f>VLOOKUP($F1209, codebooks_data_reordered!$A:$I, 9, FALSE)</f>
        <v>1: Worst situation; 9: Best situation</v>
      </c>
      <c r="O1209" s="2" t="str">
        <f t="shared" si="18"/>
        <v>1: Worst situation
 9: Best situation</v>
      </c>
    </row>
    <row r="1210" spans="1:15" ht="100.8" hidden="1" x14ac:dyDescent="0.3">
      <c r="A1210" t="s">
        <v>8495</v>
      </c>
      <c r="B1210" t="s">
        <v>8621</v>
      </c>
      <c r="C1210" s="2" t="s">
        <v>8622</v>
      </c>
      <c r="D1210" t="s">
        <v>5843</v>
      </c>
      <c r="E1210" s="2" t="s">
        <v>8623</v>
      </c>
      <c r="F1210" t="s">
        <v>668</v>
      </c>
      <c r="G1210" t="str">
        <f>VLOOKUP($F1210, codebooks_data_reordered!$A:$I, 2, FALSE)</f>
        <v>2006</v>
      </c>
      <c r="H1210" t="str">
        <f>VLOOKUP($F1210, codebooks_data_reordered!$A:$I, 3, FALSE)</f>
        <v>Different Coalitions after the Elections</v>
      </c>
      <c r="I1210" t="str">
        <f>VLOOKUP($F1210, codebooks_data_reordered!$A:$I, 4, FALSE)</f>
        <v>1</v>
      </c>
      <c r="J1210" t="str">
        <f>VLOOKUP($F1210, codebooks_data_reordered!$A:$I, 5, FALSE)</f>
        <v>241-243</v>
      </c>
      <c r="K1210" t="str">
        <f>VLOOKUP($F1210, codebooks_data_reordered!$A:$I, 6, FALSE)</f>
        <v>Will support Kadima-Likud-Right coalition</v>
      </c>
      <c r="L1210" t="str">
        <f>VLOOKUP($F1210,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210" t="str">
        <f>VLOOKUP($F1210, codebooks_data_reordered!$A:$I, 9, FALSE)</f>
        <v>1: Reject; 10: Support</v>
      </c>
      <c r="O1210" s="2" t="str">
        <f t="shared" si="18"/>
        <v>1: Reject
 10: Support</v>
      </c>
    </row>
    <row r="1211" spans="1:15" ht="409.6" hidden="1" x14ac:dyDescent="0.3">
      <c r="A1211" t="s">
        <v>8495</v>
      </c>
      <c r="B1211" t="s">
        <v>8624</v>
      </c>
      <c r="C1211" s="2" t="s">
        <v>8625</v>
      </c>
      <c r="D1211" t="s">
        <v>5843</v>
      </c>
      <c r="E1211" s="2" t="s">
        <v>8626</v>
      </c>
      <c r="F1211" t="s">
        <v>706</v>
      </c>
      <c r="G1211" t="str">
        <f>VLOOKUP($F1211, codebooks_data_reordered!$A:$I, 2, FALSE)</f>
        <v>2006</v>
      </c>
      <c r="H1211" t="str">
        <f>VLOOKUP($F1211, codebooks_data_reordered!$A:$I, 3, FALSE)</f>
        <v>Self-identity</v>
      </c>
      <c r="I1211" t="str">
        <f>VLOOKUP($F1211, codebooks_data_reordered!$A:$I, 4, FALSE)</f>
        <v>1</v>
      </c>
      <c r="J1211" t="str">
        <f>VLOOKUP($F1211, codebooks_data_reordered!$A:$I, 5, FALSE)</f>
        <v>258</v>
      </c>
      <c r="K1211" t="str">
        <f>VLOOKUP($F1211, codebooks_data_reordered!$A:$I, 6, FALSE)</f>
        <v>Self-identity for Jews (first)</v>
      </c>
      <c r="L1211" t="str">
        <f>VLOOKUP($F1211, codebooks_data_reordered!$A:$I, 7, FALSE)</f>
        <v>(for Jews) Which of the following concepts best defines your identity? (read) and the second? And the third? And the fourth?</v>
      </c>
      <c r="M1211" t="str">
        <f>VLOOKUP($F1211, codebooks_data_reordered!$A:$I, 9, FALSE)</f>
        <v>1: Israeli; 2: Jewish; 3: Ashkenazi/Sfaradi; 4: Religious/Secular; 5: Russian</v>
      </c>
      <c r="O1211" s="2" t="str">
        <f t="shared" si="18"/>
        <v>1: Israeli
 2: Jewish
 3: Ashkenazi/Sfaradi
 4: Religious/Secular
 5: Russian</v>
      </c>
    </row>
    <row r="1212" spans="1:15" ht="409.6" hidden="1" x14ac:dyDescent="0.3">
      <c r="A1212" t="s">
        <v>8495</v>
      </c>
      <c r="B1212" t="s">
        <v>8627</v>
      </c>
      <c r="C1212" s="2" t="s">
        <v>8628</v>
      </c>
      <c r="D1212" t="s">
        <v>5843</v>
      </c>
      <c r="E1212" s="2" t="s">
        <v>8629</v>
      </c>
      <c r="F1212" t="s">
        <v>709</v>
      </c>
      <c r="G1212" t="str">
        <f>VLOOKUP($F1212, codebooks_data_reordered!$A:$I, 2, FALSE)</f>
        <v>2006</v>
      </c>
      <c r="H1212" t="str">
        <f>VLOOKUP($F1212, codebooks_data_reordered!$A:$I, 3, FALSE)</f>
        <v>Self-identity</v>
      </c>
      <c r="I1212" t="str">
        <f>VLOOKUP($F1212, codebooks_data_reordered!$A:$I, 4, FALSE)</f>
        <v>1</v>
      </c>
      <c r="J1212" t="str">
        <f>VLOOKUP($F1212, codebooks_data_reordered!$A:$I, 5, FALSE)</f>
        <v>259</v>
      </c>
      <c r="K1212" t="str">
        <f>VLOOKUP($F1212, codebooks_data_reordered!$A:$I, 6, FALSE)</f>
        <v>Self-identity for Jews (second)</v>
      </c>
      <c r="L1212" t="str">
        <f>VLOOKUP($F1212, codebooks_data_reordered!$A:$I, 7, FALSE)</f>
        <v>(for Jews) Which of the following concepts best defines your identity? (read) and the second? And the third? And the fourth?</v>
      </c>
      <c r="M1212" t="str">
        <f>VLOOKUP($F1212, codebooks_data_reordered!$A:$I, 9, FALSE)</f>
        <v>1: Israeli; 2: Jewish; 3: Ashkenazi/Sfaradi; 4: Religious/Secular; 5: Russian</v>
      </c>
      <c r="O1212" s="2" t="str">
        <f t="shared" si="18"/>
        <v>1: Israeli
 2: Jewish
 3: Ashkenazi/Sfaradi
 4: Religious/Secular
 5: Russian</v>
      </c>
    </row>
    <row r="1213" spans="1:15" ht="259.2" hidden="1" x14ac:dyDescent="0.3">
      <c r="A1213" t="s">
        <v>8495</v>
      </c>
      <c r="B1213" t="s">
        <v>8630</v>
      </c>
      <c r="C1213" s="2" t="s">
        <v>8631</v>
      </c>
      <c r="D1213" t="s">
        <v>7587</v>
      </c>
      <c r="E1213" s="2" t="s">
        <v>8632</v>
      </c>
      <c r="F1213" t="s">
        <v>2744</v>
      </c>
      <c r="G1213" t="str">
        <f>VLOOKUP($F1213, codebooks_data_reordered!$A:$I, 2, FALSE)</f>
        <v>1992</v>
      </c>
      <c r="H1213">
        <f>VLOOKUP($F1213, codebooks_data_reordered!$A:$I, 3, FALSE)</f>
        <v>0</v>
      </c>
      <c r="I1213" t="str">
        <f>VLOOKUP($F1213, codebooks_data_reordered!$A:$I, 4, FALSE)</f>
        <v>1</v>
      </c>
      <c r="J1213" t="str">
        <f>VLOOKUP($F1213, codebooks_data_reordered!$A:$I, 5, FALSE)</f>
        <v>50</v>
      </c>
      <c r="K1213" t="str">
        <f>VLOOKUP($F1213, codebooks_data_reordered!$A:$I, 6, FALSE)</f>
        <v>Personal Preference for solutions to Arab-Israeli conflict</v>
      </c>
      <c r="L1213">
        <f>VLOOKUP($F1213, codebooks_data_reordered!$A:$I, 7, FALSE)</f>
        <v>0</v>
      </c>
      <c r="M1213" t="str">
        <f>VLOOKUP($F1213, codebooks_data_reordered!$A:$I, 9, FALSE)</f>
        <v>1: Establishment of Palestinian state in territories; 2: Jordanian-Palestinian federation in territories; 3: Alon program (return territories- Israeli occupying strategic areas); 4: Palestinian autonomy in territories; 5: Territories annexation-full civil rights to arabs; 6: Annexation of territories w\o voting rights for arabs; 7: Annexation and transfer of Palestinian population</v>
      </c>
      <c r="O1213" s="2" t="str">
        <f t="shared" si="18"/>
        <v>1: Establishment of Palestinian state in territories
 2: Jordanian-Palestinian federation in territories
 3: Alon program (return territories- Israeli occupying strategic areas)
 4: Palestinian autonomy in territories
 5: Territories annexation-full civil rights to arabs
 6: Annexation of territories w\o voting rights for arabs
 7: Annexation and transfer of Palestinian population</v>
      </c>
    </row>
    <row r="1214" spans="1:15" ht="302.39999999999998" hidden="1" x14ac:dyDescent="0.3">
      <c r="A1214" t="s">
        <v>8495</v>
      </c>
      <c r="B1214" t="s">
        <v>8633</v>
      </c>
      <c r="C1214" s="2" t="s">
        <v>8634</v>
      </c>
      <c r="D1214" t="s">
        <v>5843</v>
      </c>
      <c r="E1214" s="2" t="s">
        <v>8635</v>
      </c>
      <c r="F1214" t="s">
        <v>2687</v>
      </c>
      <c r="G1214" t="str">
        <f>VLOOKUP($F1214, codebooks_data_reordered!$A:$I, 2, FALSE)</f>
        <v>1992</v>
      </c>
      <c r="H1214">
        <f>VLOOKUP($F1214, codebooks_data_reordered!$A:$I, 3, FALSE)</f>
        <v>0</v>
      </c>
      <c r="I1214" t="str">
        <f>VLOOKUP($F1214, codebooks_data_reordered!$A:$I, 4, FALSE)</f>
        <v>1</v>
      </c>
      <c r="J1214" t="str">
        <f>VLOOKUP($F1214, codebooks_data_reordered!$A:$I, 5, FALSE)</f>
        <v>13-14</v>
      </c>
      <c r="K1214" t="str">
        <f>VLOOKUP($F1214, codebooks_data_reordered!$A:$I, 6, FALSE)</f>
        <v>Party most capable of handling above issue</v>
      </c>
      <c r="L1214">
        <f>VLOOKUP($F1214, codebooks_data_reordered!$A:$I, 7, FALSE)</f>
        <v>0</v>
      </c>
      <c r="M1214" t="str">
        <f>VLOOKUP($F1214, codebooks_data_reordered!$A:$I, 9, FALSE)</f>
        <v>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v>
      </c>
      <c r="O1214" s="2" t="str">
        <f t="shared" si="18"/>
        <v>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v>
      </c>
    </row>
    <row r="1215" spans="1:15" ht="72" hidden="1" x14ac:dyDescent="0.3">
      <c r="A1215" t="s">
        <v>8495</v>
      </c>
      <c r="B1215" t="s">
        <v>8636</v>
      </c>
      <c r="C1215" s="2" t="s">
        <v>8637</v>
      </c>
      <c r="D1215" t="s">
        <v>5843</v>
      </c>
      <c r="E1215" s="2" t="s">
        <v>8638</v>
      </c>
      <c r="F1215" t="s">
        <v>37</v>
      </c>
      <c r="G1215" t="str">
        <f>VLOOKUP($F1215, codebooks_data_reordered!$A:$I, 2, FALSE)</f>
        <v>2006</v>
      </c>
      <c r="H1215" t="str">
        <f>VLOOKUP($F1215, codebooks_data_reordered!$A:$I, 3, FALSE)</f>
        <v>Pre-Election Survey</v>
      </c>
      <c r="I1215" t="str">
        <f>VLOOKUP($F1215, codebooks_data_reordered!$A:$I, 4, FALSE)</f>
        <v>1</v>
      </c>
      <c r="J1215" t="str">
        <f>VLOOKUP($F1215, codebooks_data_reordered!$A:$I, 5, FALSE)</f>
        <v>11-12</v>
      </c>
      <c r="K1215" t="str">
        <f>VLOOKUP($F1215, codebooks_data_reordered!$A:$I, 6, FALSE)</f>
        <v>Most important problem for government</v>
      </c>
      <c r="L1215" t="str">
        <f>VLOOKUP($F1215, codebooks_data_reordered!$A:$I, 7, FALSE)</f>
        <v>8. What do you think is the most important problem the government must take care of?</v>
      </c>
      <c r="M1215">
        <f>VLOOKUP($F1215, codebooks_data_reordered!$A:$I, 9, FALSE)</f>
        <v>0</v>
      </c>
      <c r="O1215" s="2" t="str">
        <f t="shared" si="18"/>
        <v>0</v>
      </c>
    </row>
    <row r="1216" spans="1:15" ht="57.6" hidden="1" x14ac:dyDescent="0.3">
      <c r="A1216" t="s">
        <v>8495</v>
      </c>
      <c r="B1216" t="s">
        <v>8639</v>
      </c>
      <c r="C1216" s="2" t="s">
        <v>8640</v>
      </c>
      <c r="D1216" t="s">
        <v>5843</v>
      </c>
      <c r="E1216" s="2" t="s">
        <v>8641</v>
      </c>
      <c r="F1216" t="s">
        <v>2498</v>
      </c>
      <c r="G1216" t="str">
        <f>VLOOKUP($F1216, codebooks_data_reordered!$A:$I, 2, FALSE)</f>
        <v>1996_Jews</v>
      </c>
      <c r="H1216" t="str">
        <f>VLOOKUP($F1216, codebooks_data_reordered!$A:$I, 3, FALSE)</f>
        <v>WHICH PM CANDID. BEST SUITS EACH DESCRIPTION?</v>
      </c>
      <c r="I1216" t="str">
        <f>VLOOKUP($F1216, codebooks_data_reordered!$A:$I, 4, FALSE)</f>
        <v>1</v>
      </c>
      <c r="J1216" t="str">
        <f>VLOOKUP($F1216, codebooks_data_reordered!$A:$I, 5, FALSE)</f>
        <v>159</v>
      </c>
      <c r="K1216" t="str">
        <f>VLOOKUP($F1216, codebooks_data_reordered!$A:$I, 6, FALSE)</f>
        <v>Will election ads influence your vote?</v>
      </c>
      <c r="L1216">
        <f>VLOOKUP($F1216, codebooks_data_reordered!$A:$I, 7, FALSE)</f>
        <v>0</v>
      </c>
      <c r="M1216" t="str">
        <f>VLOOKUP($F1216, codebooks_data_reordered!$A:$I, 9, FALSE)</f>
        <v>1: To a large extent; 2: To some extent; 3: Hardly; 4: Not at all</v>
      </c>
      <c r="O1216" s="2" t="str">
        <f t="shared" si="18"/>
        <v>1: To a large extent
 2: To some extent
 3: Hardly
 4: Not at all</v>
      </c>
    </row>
    <row r="1217" spans="1:15" ht="129.6" hidden="1" x14ac:dyDescent="0.3">
      <c r="A1217" t="s">
        <v>8495</v>
      </c>
      <c r="B1217" t="s">
        <v>8642</v>
      </c>
      <c r="C1217" s="2" t="s">
        <v>8643</v>
      </c>
      <c r="D1217" t="s">
        <v>5843</v>
      </c>
      <c r="E1217" s="2" t="s">
        <v>8644</v>
      </c>
      <c r="F1217" t="s">
        <v>2504</v>
      </c>
      <c r="G1217" t="str">
        <f>VLOOKUP($F1217, codebooks_data_reordered!$A:$I, 2, FALSE)</f>
        <v>1996_Jews</v>
      </c>
      <c r="H1217" t="str">
        <f>VLOOKUP($F1217, codebooks_data_reordered!$A:$I, 3, FALSE)</f>
        <v>WHICH PM CANDID. BEST SUITS EACH DESCRIPTION?</v>
      </c>
      <c r="I1217" t="str">
        <f>VLOOKUP($F1217, codebooks_data_reordered!$A:$I, 4, FALSE)</f>
        <v>1</v>
      </c>
      <c r="J1217" t="str">
        <f>VLOOKUP($F1217, codebooks_data_reordered!$A:$I, 5, FALSE)</f>
        <v>161-162</v>
      </c>
      <c r="K1217" t="str">
        <f>VLOOKUP($F1217, codebooks_data_reordered!$A:$I, 6, FALSE)</f>
        <v>% of Israelis agreeing to return the Golan H.</v>
      </c>
      <c r="L1217">
        <f>VLOOKUP($F1217, codebooks_data_reordered!$A:$I, 7, FALSE)</f>
        <v>0</v>
      </c>
      <c r="M1217">
        <f>VLOOKUP($F1217, codebooks_data_reordered!$A:$I, 9, FALSE)</f>
        <v>0</v>
      </c>
      <c r="O1217" s="2" t="str">
        <f t="shared" si="18"/>
        <v>0</v>
      </c>
    </row>
    <row r="1218" spans="1:15" ht="129.6" hidden="1" x14ac:dyDescent="0.3">
      <c r="A1218" t="s">
        <v>8495</v>
      </c>
      <c r="B1218" t="s">
        <v>8645</v>
      </c>
      <c r="C1218" s="2" t="s">
        <v>8646</v>
      </c>
      <c r="D1218" t="s">
        <v>5843</v>
      </c>
      <c r="E1218" s="2" t="s">
        <v>8647</v>
      </c>
      <c r="F1218" t="s">
        <v>81</v>
      </c>
      <c r="G1218" t="str">
        <f>VLOOKUP($F1218, codebooks_data_reordered!$A:$I, 2, FALSE)</f>
        <v>2006</v>
      </c>
      <c r="H1218" t="str">
        <f>VLOOKUP($F1218, codebooks_data_reordered!$A:$I, 3, FALSE)</f>
        <v>Pre-Election Survey</v>
      </c>
      <c r="I1218" t="str">
        <f>VLOOKUP($F1218, codebooks_data_reordered!$A:$I, 4, FALSE)</f>
        <v>1</v>
      </c>
      <c r="J1218" t="str">
        <f>VLOOKUP($F1218, codebooks_data_reordered!$A:$I, 5, FALSE)</f>
        <v>23-24</v>
      </c>
      <c r="K1218" t="str">
        <f>VLOOKUP($F1218, codebooks_data_reordered!$A:$I, 6, FALSE)</f>
        <v>Chances of war in next 3 years</v>
      </c>
      <c r="L1218" t="str">
        <f>VLOOKUP($F1218, codebooks_data_reordered!$A:$I, 7, FALSE)</f>
        <v>19. And what are the odds for a war to break out between Israel and an Arab state in the next 3 years?</v>
      </c>
      <c r="M1218" t="str">
        <f>VLOOKUP($F1218, codebooks_data_reordered!$A:$I, 9, FALSE)</f>
        <v>1: Great odds; 2: Medium odds; 3: Low odds; 4: Very low odds</v>
      </c>
      <c r="O1218" s="2" t="str">
        <f t="shared" ref="O1218:O1281" si="19">SUBSTITUTE(M1218, ";", CHAR(10))</f>
        <v>1: Great odds
 2: Medium odds
 3: Low odds
 4: Very low odds</v>
      </c>
    </row>
    <row r="1219" spans="1:15" ht="129.6" hidden="1" x14ac:dyDescent="0.3">
      <c r="A1219" t="s">
        <v>8495</v>
      </c>
      <c r="B1219" t="s">
        <v>8648</v>
      </c>
      <c r="C1219" s="2" t="s">
        <v>8649</v>
      </c>
      <c r="D1219" t="s">
        <v>5843</v>
      </c>
      <c r="E1219" s="2" t="s">
        <v>8650</v>
      </c>
      <c r="F1219" t="s">
        <v>86</v>
      </c>
      <c r="G1219" t="str">
        <f>VLOOKUP($F1219, codebooks_data_reordered!$A:$I, 2, FALSE)</f>
        <v>2006</v>
      </c>
      <c r="H1219" t="str">
        <f>VLOOKUP($F1219, codebooks_data_reordered!$A:$I, 3, FALSE)</f>
        <v>Pre-Election Survey</v>
      </c>
      <c r="I1219" t="str">
        <f>VLOOKUP($F1219, codebooks_data_reordered!$A:$I, 4, FALSE)</f>
        <v>1</v>
      </c>
      <c r="J1219" t="str">
        <f>VLOOKUP($F1219, codebooks_data_reordered!$A:$I, 5, FALSE)</f>
        <v>25</v>
      </c>
      <c r="K1219" t="str">
        <f>VLOOKUP($F1219, codebooks_data_reordered!$A:$I, 6, FALSE)</f>
        <v>Chances of peace agreement</v>
      </c>
      <c r="L1219" t="str">
        <f>VLOOKUP($F1219, codebooks_data_reordered!$A:$I, 7, FALSE)</f>
        <v>20. Do you think it is possible to achieve a peace agreement with the Palestinians?</v>
      </c>
      <c r="M1219" t="str">
        <f>VLOOKUP($F1219, codebooks_data_reordered!$A:$I, 9, FALSE)</f>
        <v>1: Yes definitely; 2: I think so; 3: I dont think so; 4: Definitely no</v>
      </c>
      <c r="O1219" s="2" t="str">
        <f t="shared" si="19"/>
        <v>1: Yes definitely
 2: I think so
 3: I dont think so
 4: Definitely no</v>
      </c>
    </row>
    <row r="1220" spans="1:15" ht="172.8" hidden="1" x14ac:dyDescent="0.3">
      <c r="A1220" t="s">
        <v>8495</v>
      </c>
      <c r="B1220" t="s">
        <v>8651</v>
      </c>
      <c r="C1220" s="2" t="s">
        <v>8652</v>
      </c>
      <c r="D1220" t="s">
        <v>5843</v>
      </c>
      <c r="E1220" s="2" t="s">
        <v>8653</v>
      </c>
      <c r="F1220" t="s">
        <v>91</v>
      </c>
      <c r="G1220" t="str">
        <f>VLOOKUP($F1220, codebooks_data_reordered!$A:$I, 2, FALSE)</f>
        <v>2006</v>
      </c>
      <c r="H1220" t="str">
        <f>VLOOKUP($F1220, codebooks_data_reordered!$A:$I, 3, FALSE)</f>
        <v>Pre-Election Survey</v>
      </c>
      <c r="I1220" t="str">
        <f>VLOOKUP($F1220, codebooks_data_reordered!$A:$I, 4, FALSE)</f>
        <v>1</v>
      </c>
      <c r="J1220" t="str">
        <f>VLOOKUP($F1220, codebooks_data_reordered!$A:$I, 5, FALSE)</f>
        <v>26</v>
      </c>
      <c r="K1220" t="str">
        <f>VLOOKUP($F1220, codebooks_data_reordered!$A:$I, 6, FALSE)</f>
        <v>Evaluation of Arab aspirations</v>
      </c>
      <c r="L1220" t="str">
        <f>VLOOKUP($F1220, codebooks_data_reordered!$A:$I, 7, FALSE)</f>
        <v>21. What do you think are the aspirations of the in the long run?</v>
      </c>
      <c r="M1220" t="str">
        <f>VLOOKUP($F1220, codebooks_data_reordered!$A:$I, 9, FALSE)</f>
        <v>1: Return part of territories occupied in the six days war; 2: Return all the territories occupied in the six days war; 3: To conquer the state of Israel; 4: Conquer the state of Israel and to destroy a significant part of the Jewish population in Israel</v>
      </c>
      <c r="O1220" s="2" t="str">
        <f t="shared" si="19"/>
        <v>1: Return part of territories occupied in the six days war
 2: Return all the territories occupied in the six days war
 3: To conquer the state of Israel
 4: Conquer the state of Israel and to destroy a significant part of the Jewish population in Israel</v>
      </c>
    </row>
    <row r="1221" spans="1:15" ht="172.8" hidden="1" x14ac:dyDescent="0.3">
      <c r="A1221" t="s">
        <v>8495</v>
      </c>
      <c r="B1221" t="s">
        <v>6186</v>
      </c>
      <c r="C1221" s="2" t="s">
        <v>8654</v>
      </c>
      <c r="D1221" t="s">
        <v>5843</v>
      </c>
      <c r="E1221" s="2" t="s">
        <v>8655</v>
      </c>
      <c r="F1221" t="s">
        <v>130</v>
      </c>
      <c r="G1221" t="str">
        <f>VLOOKUP($F1221, codebooks_data_reordered!$A:$I, 2, FALSE)</f>
        <v>2006</v>
      </c>
      <c r="H1221" t="str">
        <f>VLOOKUP($F1221, codebooks_data_reordered!$A:$I, 3, FALSE)</f>
        <v>Threat of Different Issues</v>
      </c>
      <c r="I1221" t="str">
        <f>VLOOKUP($F1221, codebooks_data_reordered!$A:$I, 4, FALSE)</f>
        <v>1</v>
      </c>
      <c r="J1221" t="str">
        <f>VLOOKUP($F1221, codebooks_data_reordered!$A:$I, 5, FALSE)</f>
        <v>35</v>
      </c>
      <c r="K1221" t="str">
        <f>VLOOKUP($F1221, codebooks_data_reordered!$A:$I, 6, FALSE)</f>
        <v>Threat of enemies having biological weapons</v>
      </c>
      <c r="L1221" t="str">
        <f>VLOOKUP($F1221, codebooks_data_reordered!$A:$I, 7, FALSE)</f>
        <v>To what extent do you consider each of the following situations as a threat?</v>
      </c>
      <c r="M1221" t="str">
        <f>VLOOKUP($F1221, codebooks_data_reordered!$A:$I, 9, FALSE)</f>
        <v>1: Not at all threatening; 7: Very threatening</v>
      </c>
      <c r="O1221" s="2" t="str">
        <f t="shared" si="19"/>
        <v>1: Not at all threatening
 7: Very threatening</v>
      </c>
    </row>
    <row r="1222" spans="1:15" ht="129.6" hidden="1" x14ac:dyDescent="0.3">
      <c r="A1222" t="s">
        <v>8495</v>
      </c>
      <c r="B1222" t="s">
        <v>8656</v>
      </c>
      <c r="C1222" s="2" t="s">
        <v>8379</v>
      </c>
      <c r="D1222" t="s">
        <v>5843</v>
      </c>
      <c r="E1222" s="2" t="s">
        <v>8380</v>
      </c>
      <c r="F1222" t="s">
        <v>183</v>
      </c>
      <c r="G1222" t="str">
        <f>VLOOKUP($F1222, codebooks_data_reordered!$A:$I, 2, FALSE)</f>
        <v>2006</v>
      </c>
      <c r="H1222" t="str">
        <f>VLOOKUP($F1222, codebooks_data_reordered!$A:$I, 3, FALSE)</f>
        <v>Threat of Different Issues</v>
      </c>
      <c r="I1222" t="str">
        <f>VLOOKUP($F1222, codebooks_data_reordered!$A:$I, 4, FALSE)</f>
        <v>1</v>
      </c>
      <c r="J1222" t="str">
        <f>VLOOKUP($F1222, codebooks_data_reordered!$A:$I, 5, FALSE)</f>
        <v>48</v>
      </c>
      <c r="K1222" t="str">
        <f>VLOOKUP($F1222, codebooks_data_reordered!$A:$I, 6, FALSE)</f>
        <v>Evacuating in judea and Samaria</v>
      </c>
      <c r="L1222" t="str">
        <f>VLOOKUP($F1222, codebooks_data_reordered!$A:$I, 7, FALSE)</f>
        <v>43. And what is your opinion regarding the evacuation of Jewish settlements in Judea, Samaria, and Gaza as part of a permanent agreement?</v>
      </c>
      <c r="M1222" t="str">
        <f>VLOOKUP($F1222, codebooks_data_reordered!$A:$I, 9, FALSE)</f>
        <v>1: Nothing should be evacuated; 2: I am prepared to evacuate small and isolated settlements; 3: I am willing to evacuate all the settlements including the large blocs of settlements</v>
      </c>
      <c r="O1222" s="2" t="str">
        <f t="shared" si="19"/>
        <v>1: Nothing should be evacuated
 2: I am prepared to evacuate small and isolated settlements
 3: I am willing to evacuate all the settlements including the large blocs of settlements</v>
      </c>
    </row>
    <row r="1223" spans="1:15" ht="144" hidden="1" x14ac:dyDescent="0.3">
      <c r="A1223" t="s">
        <v>8495</v>
      </c>
      <c r="B1223" t="s">
        <v>8657</v>
      </c>
      <c r="C1223" s="2" t="s">
        <v>8658</v>
      </c>
      <c r="D1223" t="s">
        <v>5843</v>
      </c>
      <c r="E1223" s="2" t="s">
        <v>8659</v>
      </c>
      <c r="F1223" t="s">
        <v>188</v>
      </c>
      <c r="G1223" t="str">
        <f>VLOOKUP($F1223, codebooks_data_reordered!$A:$I, 2, FALSE)</f>
        <v>2006</v>
      </c>
      <c r="H1223" t="str">
        <f>VLOOKUP($F1223, codebooks_data_reordered!$A:$I, 3, FALSE)</f>
        <v>Threat of Different Issues</v>
      </c>
      <c r="I1223" t="str">
        <f>VLOOKUP($F1223, codebooks_data_reordered!$A:$I, 4, FALSE)</f>
        <v>1</v>
      </c>
      <c r="J1223" t="str">
        <f>VLOOKUP($F1223, codebooks_data_reordered!$A:$I, 5, FALSE)</f>
        <v>49</v>
      </c>
      <c r="K1223" t="str">
        <f>VLOOKUP($F1223, codebooks_data_reordered!$A:$I, 6, FALSE)</f>
        <v>Public life according to Halacha</v>
      </c>
      <c r="L1223" t="str">
        <f>VLOOKUP($F1223, codebooks_data_reordered!$A:$I, 7, FALSE)</f>
        <v>44. (not asked of Arabs): Do you think the Israeli government should or should not see to it that public life in Israel be conducted according to Jewish religious tradition?</v>
      </c>
      <c r="M1223" t="str">
        <f>VLOOKUP($F1223, codebooks_data_reordered!$A:$I, 9, FALSE)</f>
        <v>1: Should definitely see to it; 2: Maybe should see to it; 3: I do not think the government should see to it; 4: The government should definitely not see to it</v>
      </c>
      <c r="O1223" s="2" t="str">
        <f t="shared" si="19"/>
        <v>1: Should definitely see to it
 2: Maybe should see to it
 3: I do not think the government should see to it
 4: The government should definitely not see to it</v>
      </c>
    </row>
    <row r="1224" spans="1:15" ht="57.6" hidden="1" x14ac:dyDescent="0.3">
      <c r="A1224" t="s">
        <v>8495</v>
      </c>
      <c r="B1224" t="s">
        <v>8660</v>
      </c>
      <c r="C1224" s="2" t="s">
        <v>8661</v>
      </c>
      <c r="D1224" t="s">
        <v>5843</v>
      </c>
      <c r="E1224" s="2" t="s">
        <v>8662</v>
      </c>
      <c r="F1224" t="s">
        <v>2851</v>
      </c>
      <c r="G1224" t="str">
        <f>VLOOKUP($F1224, codebooks_data_reordered!$A:$I, 2, FALSE)</f>
        <v>1992</v>
      </c>
      <c r="H1224">
        <f>VLOOKUP($F1224, codebooks_data_reordered!$A:$I, 3, FALSE)</f>
        <v>0</v>
      </c>
      <c r="I1224" t="str">
        <f>VLOOKUP($F1224, codebooks_data_reordered!$A:$I, 4, FALSE)</f>
        <v>1</v>
      </c>
      <c r="J1224" t="str">
        <f>VLOOKUP($F1224, codebooks_data_reordered!$A:$I, 5, FALSE)</f>
        <v>121</v>
      </c>
      <c r="K1224" t="str">
        <f>VLOOKUP($F1224, codebooks_data_reordered!$A:$I, 6, FALSE)</f>
        <v>Can stand up under pressure</v>
      </c>
      <c r="L1224">
        <f>VLOOKUP($F1224, codebooks_data_reordered!$A:$I, 7, FALSE)</f>
        <v>0</v>
      </c>
      <c r="M1224" t="str">
        <f>VLOOKUP($F1224, codebooks_data_reordered!$A:$I, 9, FALSE)</f>
        <v>1: Suits Yitzhak Shamir; 2: Suits Yitzhak Rabin; 3: Both leaders; 4: Neither</v>
      </c>
      <c r="O1224" s="2" t="str">
        <f t="shared" si="19"/>
        <v>1: Suits Yitzhak Shamir
 2: Suits Yitzhak Rabin
 3: Both leaders
 4: Neither</v>
      </c>
    </row>
    <row r="1225" spans="1:15" ht="57.6" hidden="1" x14ac:dyDescent="0.3">
      <c r="A1225" t="s">
        <v>8495</v>
      </c>
      <c r="B1225" t="s">
        <v>8663</v>
      </c>
      <c r="C1225" s="2" t="s">
        <v>6330</v>
      </c>
      <c r="D1225" t="s">
        <v>5843</v>
      </c>
      <c r="E1225" s="2" t="s">
        <v>6331</v>
      </c>
      <c r="F1225" t="s">
        <v>1995</v>
      </c>
      <c r="G1225" t="str">
        <f>VLOOKUP($F1225, codebooks_data_reordered!$A:$I, 2, FALSE)</f>
        <v>1999_1</v>
      </c>
      <c r="H1225" t="str">
        <f>VLOOKUP($F1225, codebooks_data_reordered!$A:$I, 3, FALSE)</f>
        <v>POLITICAL SELF-DEFINITION</v>
      </c>
      <c r="I1225" t="str">
        <f>VLOOKUP($F1225, codebooks_data_reordered!$A:$I, 4, FALSE)</f>
        <v>2</v>
      </c>
      <c r="J1225" t="str">
        <f>VLOOKUP($F1225, codebooks_data_reordered!$A:$I, 5, FALSE)</f>
        <v>30</v>
      </c>
      <c r="K1225" t="str">
        <f>VLOOKUP($F1225, codebooks_data_reordered!$A:$I, 6, FALSE)</f>
        <v>Religion and State issues effect on vote for Knesset</v>
      </c>
      <c r="L1225">
        <f>VLOOKUP($F1225, codebooks_data_reordered!$A:$I, 7, FALSE)</f>
        <v>0</v>
      </c>
      <c r="M1225" t="str">
        <f>VLOOKUP($F1225, codebooks_data_reordered!$A:$I, 9, FALSE)</f>
        <v>1: Not at all; 2: A small effect; 3: Some effect; 4: A great effect</v>
      </c>
      <c r="O1225" s="2" t="str">
        <f t="shared" si="19"/>
        <v>1: Not at all
 2: A small effect
 3: Some effect
 4: A great effect</v>
      </c>
    </row>
    <row r="1226" spans="1:15" ht="409.6" hidden="1" x14ac:dyDescent="0.3">
      <c r="A1226" t="s">
        <v>8495</v>
      </c>
      <c r="B1226" t="s">
        <v>8392</v>
      </c>
      <c r="C1226" s="2" t="s">
        <v>8664</v>
      </c>
      <c r="D1226" t="s">
        <v>5843</v>
      </c>
      <c r="E1226" s="2" t="s">
        <v>8665</v>
      </c>
      <c r="F1226" t="s">
        <v>1760</v>
      </c>
      <c r="G1226" t="str">
        <f>VLOOKUP($F1226, codebooks_data_reordered!$A:$I, 2, FALSE)</f>
        <v>1999_1</v>
      </c>
      <c r="H1226" t="str">
        <f>VLOOKUP($F1226, codebooks_data_reordered!$A:$I, 3, FALSE)</f>
        <v>GENERAL POLITICAL ATTITUDE</v>
      </c>
      <c r="I1226" t="str">
        <f>VLOOKUP($F1226, codebooks_data_reordered!$A:$I, 4, FALSE)</f>
        <v>1</v>
      </c>
      <c r="J1226" t="str">
        <f>VLOOKUP($F1226, codebooks_data_reordered!$A:$I, 5, FALSE)</f>
        <v>11-12</v>
      </c>
      <c r="K1226" t="str">
        <f>VLOOKUP($F1226, codebooks_data_reordered!$A:$I, 6, FALSE)</f>
        <v>Party most capable to handle problems</v>
      </c>
      <c r="L1226">
        <f>VLOOKUP($F1226, codebooks_data_reordered!$A:$I, 7, FALSE)</f>
        <v>0</v>
      </c>
      <c r="M1226" t="str">
        <f>VLOOKUP($F1226, codebooks_data_reordered!$A:$I, 9, FALSE)</f>
        <v>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v>
      </c>
      <c r="O1226" s="2" t="str">
        <f t="shared" si="19"/>
        <v>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v>
      </c>
    </row>
    <row r="1227" spans="1:15" ht="100.8" hidden="1" x14ac:dyDescent="0.3">
      <c r="A1227" t="s">
        <v>8495</v>
      </c>
      <c r="B1227" t="s">
        <v>8398</v>
      </c>
      <c r="C1227" s="2" t="s">
        <v>8666</v>
      </c>
      <c r="D1227" t="s">
        <v>5843</v>
      </c>
      <c r="E1227" s="2" t="s">
        <v>8667</v>
      </c>
      <c r="F1227" t="s">
        <v>1787</v>
      </c>
      <c r="G1227" t="str">
        <f>VLOOKUP($F1227, codebooks_data_reordered!$A:$I, 2, FALSE)</f>
        <v>1999_1</v>
      </c>
      <c r="H1227" t="str">
        <f>VLOOKUP($F1227, codebooks_data_reordered!$A:$I, 3, FALSE)</f>
        <v>GENERAL POLITICAL ATTITUDE</v>
      </c>
      <c r="I1227" t="str">
        <f>VLOOKUP($F1227, codebooks_data_reordered!$A:$I, 4, FALSE)</f>
        <v>1</v>
      </c>
      <c r="J1227" t="str">
        <f>VLOOKUP($F1227, codebooks_data_reordered!$A:$I, 5, FALSE)</f>
        <v>22</v>
      </c>
      <c r="K1227" t="str">
        <f>VLOOKUP($F1227, codebooks_data_reordered!$A:$I, 6, FALSE)</f>
        <v>Personal Security of Israeli citizens since Peace process began</v>
      </c>
      <c r="L1227">
        <f>VLOOKUP($F1227, codebooks_data_reordered!$A:$I, 7, FALSE)</f>
        <v>0</v>
      </c>
      <c r="M1227" t="str">
        <f>VLOOKUP($F1227, codebooks_data_reordered!$A:$I, 9, FALSE)</f>
        <v>1: Much better; 2: Better; 3: Worse; 4: Much worse</v>
      </c>
      <c r="O1227" s="2" t="str">
        <f t="shared" si="19"/>
        <v>1: Much better
 2: Better
 3: Worse
 4: Much worse</v>
      </c>
    </row>
    <row r="1228" spans="1:15" ht="43.2" hidden="1" x14ac:dyDescent="0.3">
      <c r="A1228" t="s">
        <v>8495</v>
      </c>
      <c r="B1228" t="s">
        <v>8668</v>
      </c>
      <c r="C1228" s="2" t="s">
        <v>8669</v>
      </c>
      <c r="D1228" t="s">
        <v>5843</v>
      </c>
      <c r="E1228" s="2" t="s">
        <v>8670</v>
      </c>
      <c r="F1228" t="s">
        <v>1919</v>
      </c>
      <c r="G1228" t="str">
        <f>VLOOKUP($F1228, codebooks_data_reordered!$A:$I, 2, FALSE)</f>
        <v>1999_1</v>
      </c>
      <c r="H1228" t="str">
        <f>VLOOKUP($F1228, codebooks_data_reordered!$A:$I, 3, FALSE)</f>
        <v>MORE ATTITUDES TOWARD PARTIES AND CANDIDATES</v>
      </c>
      <c r="I1228" t="str">
        <f>VLOOKUP($F1228, codebooks_data_reordered!$A:$I, 4, FALSE)</f>
        <v>1</v>
      </c>
      <c r="J1228" t="str">
        <f>VLOOKUP($F1228, codebooks_data_reordered!$A:$I, 5, FALSE)</f>
        <v>76</v>
      </c>
      <c r="K1228" t="str">
        <f>VLOOKUP($F1228, codebooks_data_reordered!$A:$I, 6, FALSE)</f>
        <v>Identification with Ehud Barak's peace and defense policies</v>
      </c>
      <c r="L1228" t="str">
        <f>VLOOKUP($F1228, codebooks_data_reordered!$A:$I, 7, FALSE)</f>
        <v>Identification with candidate on 1-10 scale: 1=Strong rejection, 10=Strong support</v>
      </c>
      <c r="M1228" t="str">
        <f>VLOOKUP($F1228, codebooks_data_reordered!$A:$I, 9, FALSE)</f>
        <v>1: Strong rejection; 10: Strong support</v>
      </c>
      <c r="O1228" s="2" t="str">
        <f t="shared" si="19"/>
        <v>1: Strong rejection
 10: Strong support</v>
      </c>
    </row>
    <row r="1229" spans="1:15" ht="43.2" hidden="1" x14ac:dyDescent="0.3">
      <c r="A1229" t="s">
        <v>8495</v>
      </c>
      <c r="B1229" t="s">
        <v>8401</v>
      </c>
      <c r="C1229" s="2" t="s">
        <v>8640</v>
      </c>
      <c r="D1229" t="s">
        <v>5843</v>
      </c>
      <c r="E1229" s="2" t="s">
        <v>8641</v>
      </c>
      <c r="F1229" t="s">
        <v>1921</v>
      </c>
      <c r="G1229" t="str">
        <f>VLOOKUP($F1229, codebooks_data_reordered!$A:$I, 2, FALSE)</f>
        <v>1999_1</v>
      </c>
      <c r="H1229" t="str">
        <f>VLOOKUP($F1229, codebooks_data_reordered!$A:$I, 3, FALSE)</f>
        <v>MORE ATTITUDES TOWARD PARTIES AND CANDIDATES</v>
      </c>
      <c r="I1229" t="str">
        <f>VLOOKUP($F1229, codebooks_data_reordered!$A:$I, 4, FALSE)</f>
        <v>1</v>
      </c>
      <c r="J1229" t="str">
        <f>VLOOKUP($F1229, codebooks_data_reordered!$A:$I, 5, FALSE)</f>
        <v>77</v>
      </c>
      <c r="K1229" t="str">
        <f>VLOOKUP($F1229, codebooks_data_reordered!$A:$I, 6, FALSE)</f>
        <v>Identification with Itzhak Mordechai's peace and defense policies</v>
      </c>
      <c r="L1229" t="str">
        <f>VLOOKUP($F1229, codebooks_data_reordered!$A:$I, 7, FALSE)</f>
        <v>Identification with candidate on 1-10 scale: 1=Strong rejection, 10=Strong support</v>
      </c>
      <c r="M1229" t="str">
        <f>VLOOKUP($F1229, codebooks_data_reordered!$A:$I, 9, FALSE)</f>
        <v>1: Strong rejection; 10: Strong support</v>
      </c>
      <c r="O1229" s="2" t="str">
        <f t="shared" si="19"/>
        <v>1: Strong rejection
 10: Strong support</v>
      </c>
    </row>
    <row r="1230" spans="1:15" ht="86.4" hidden="1" x14ac:dyDescent="0.3">
      <c r="A1230" t="s">
        <v>8495</v>
      </c>
      <c r="B1230" t="s">
        <v>6854</v>
      </c>
      <c r="C1230" s="2" t="s">
        <v>8671</v>
      </c>
      <c r="D1230" t="s">
        <v>5843</v>
      </c>
      <c r="E1230" s="2" t="s">
        <v>8672</v>
      </c>
      <c r="F1230" t="s">
        <v>486</v>
      </c>
      <c r="G1230" t="str">
        <f>VLOOKUP($F1230, codebooks_data_reordered!$A:$I, 2, FALSE)</f>
        <v>2006</v>
      </c>
      <c r="H1230" t="str">
        <f>VLOOKUP($F1230, codebooks_data_reordered!$A:$I, 3, FALSE)</f>
        <v>Most/Less Suitable Characteristic of the Party</v>
      </c>
      <c r="I1230" t="str">
        <f>VLOOKUP($F1230, codebooks_data_reordered!$A:$I, 4, FALSE)</f>
        <v>1</v>
      </c>
      <c r="J1230" t="str">
        <f>VLOOKUP($F1230, codebooks_data_reordered!$A:$I, 5, FALSE)</f>
        <v>156</v>
      </c>
      <c r="K1230" t="str">
        <f>VLOOKUP($F1230, codebooks_data_reordered!$A:$I, 6, FALSE)</f>
        <v>Least suitable characteristic of the party: Ensure a jewish majority</v>
      </c>
      <c r="L1230" t="str">
        <f>VLOOKUP($F1230,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v>
      </c>
      <c r="M1230" t="str">
        <f>VLOOKUP($F1230, codebooks_data_reordered!$A:$I, 9, FALSE)</f>
        <v>1: Least suitable Kadima; 2: Least suitable Likud; 3: Least suitable Avoda; 4: Suits all the same; 5: Doesn't suit any of them</v>
      </c>
      <c r="O1230" s="2" t="str">
        <f t="shared" si="19"/>
        <v>1: Least suitable Kadima
 2: Least suitable Likud
 3: Least suitable Avoda
 4: Suits all the same
 5: Doesn't suit any of them</v>
      </c>
    </row>
    <row r="1231" spans="1:15" ht="72" hidden="1" x14ac:dyDescent="0.3">
      <c r="A1231" t="s">
        <v>8495</v>
      </c>
      <c r="B1231" t="s">
        <v>8404</v>
      </c>
      <c r="C1231" s="2" t="s">
        <v>8673</v>
      </c>
      <c r="D1231" t="s">
        <v>5843</v>
      </c>
      <c r="E1231" s="2" t="s">
        <v>8674</v>
      </c>
      <c r="F1231" t="s">
        <v>345</v>
      </c>
      <c r="G1231" t="str">
        <f>VLOOKUP($F1231, codebooks_data_reordered!$A:$I, 2, FALSE)</f>
        <v>2006</v>
      </c>
      <c r="H1231" t="str">
        <f>VLOOKUP($F1231, codebooks_data_reordered!$A:$I, 3, FALSE)</f>
        <v>Party Differences</v>
      </c>
      <c r="I1231" t="str">
        <f>VLOOKUP($F1231, codebooks_data_reordered!$A:$I, 4, FALSE)</f>
        <v>1</v>
      </c>
      <c r="J1231" t="str">
        <f>VLOOKUP($F1231, codebooks_data_reordered!$A:$I, 5, FALSE)</f>
        <v>109</v>
      </c>
      <c r="K1231" t="str">
        <f>VLOOKUP($F1231, codebooks_data_reordered!$A:$I, 6, FALSE)</f>
        <v>Party differences on the following issue:'Peace and Territories</v>
      </c>
      <c r="L1231" t="str">
        <f>VLOOKUP($F1231, codebooks_data_reordered!$A:$I, 7, FALSE)</f>
        <v>Do you think there are or are not differences among the parties on the following issues?</v>
      </c>
      <c r="M1231" t="str">
        <f>VLOOKUP($F1231, codebooks_data_reordered!$A:$I, 9, FALSE)</f>
        <v>1: Great differences; 5: Almost no differences</v>
      </c>
      <c r="O1231" s="2" t="str">
        <f t="shared" si="19"/>
        <v>1: Great differences
 5: Almost no differences</v>
      </c>
    </row>
    <row r="1232" spans="1:15" ht="201.6" hidden="1" x14ac:dyDescent="0.3">
      <c r="A1232" t="s">
        <v>8495</v>
      </c>
      <c r="B1232" t="s">
        <v>8407</v>
      </c>
      <c r="C1232" s="2" t="s">
        <v>8675</v>
      </c>
      <c r="D1232" t="s">
        <v>5843</v>
      </c>
      <c r="E1232" s="2" t="s">
        <v>8676</v>
      </c>
      <c r="F1232" t="s">
        <v>354</v>
      </c>
      <c r="G1232" t="str">
        <f>VLOOKUP($F1232, codebooks_data_reordered!$A:$I, 2, FALSE)</f>
        <v>2006</v>
      </c>
      <c r="H1232" t="str">
        <f>VLOOKUP($F1232, codebooks_data_reordered!$A:$I, 3, FALSE)</f>
        <v>Party Differences</v>
      </c>
      <c r="I1232" t="str">
        <f>VLOOKUP($F1232, codebooks_data_reordered!$A:$I, 4, FALSE)</f>
        <v>1</v>
      </c>
      <c r="J1232" t="str">
        <f>VLOOKUP($F1232, codebooks_data_reordered!$A:$I, 5, FALSE)</f>
        <v>111</v>
      </c>
      <c r="K1232" t="str">
        <f>VLOOKUP($F1232, codebooks_data_reordered!$A:$I, 6, FALSE)</f>
        <v>The most important reason to vote for a party</v>
      </c>
      <c r="L1232" t="str">
        <f>VLOOKUP($F1232, codebooks_data_reordered!$A:$I, 7, FALSE)</f>
        <v>90. There are different factors that bring people to vote for a certain party for the Knesset. Among the 4 following factors, which is the main factor that influences your vote for a certain party?</v>
      </c>
      <c r="M1232" t="str">
        <f>VLOOKUP($F1232, codebooks_data_reordered!$A:$I, 9, FALSE)</f>
        <v>1: Identifying with the party; 2: The party's candidates for the Knesset; 3: The party's stand on certain issues; 4: The political status of the party in the coalition or in the opposition; 5: Family voting; 6: Rabbi will say; 7: Party leader; 8: None of them; 9: All</v>
      </c>
      <c r="O1232" s="2" t="str">
        <f t="shared" si="19"/>
        <v>1: Identifying with the party
 2: The party's candidates for the Knesset
 3: The party's stand on certain issues
 4: The political status of the party in the coalition or in the opposition
 5: Family voting
 6: Rabbi will say
 7: Party leader
 8: None of them
 9: All</v>
      </c>
    </row>
    <row r="1233" spans="1:15" ht="201.6" hidden="1" x14ac:dyDescent="0.3">
      <c r="A1233" t="s">
        <v>8495</v>
      </c>
      <c r="B1233" t="s">
        <v>7499</v>
      </c>
      <c r="C1233" s="2" t="s">
        <v>8677</v>
      </c>
      <c r="D1233" t="s">
        <v>5843</v>
      </c>
      <c r="E1233" s="2" t="s">
        <v>8678</v>
      </c>
      <c r="F1233" t="s">
        <v>1647</v>
      </c>
      <c r="G1233" t="str">
        <f>VLOOKUP($F1233, codebooks_data_reordered!$A:$I, 2, FALSE)</f>
        <v>2001</v>
      </c>
      <c r="H1233" t="str">
        <f>VLOOKUP($F1233, codebooks_data_reordered!$A:$I, 3, FALSE)</f>
        <v>General political attitudes and behavior</v>
      </c>
      <c r="I1233" t="str">
        <f>VLOOKUP($F1233, codebooks_data_reordered!$A:$I, 4, FALSE)</f>
        <v>1</v>
      </c>
      <c r="J1233" t="str">
        <f>VLOOKUP($F1233, codebooks_data_reordered!$A:$I, 5, FALSE)</f>
        <v>103</v>
      </c>
      <c r="K1233" t="str">
        <f>VLOOKUP($F1233, codebooks_data_reordered!$A:$I, 6, FALSE)</f>
        <v>Will election ads influence your vote decision?</v>
      </c>
      <c r="L1233">
        <f>VLOOKUP($F1233, codebooks_data_reordered!$A:$I, 7, FALSE)</f>
        <v>0</v>
      </c>
      <c r="M1233" t="str">
        <f>VLOOKUP($F1233, codebooks_data_reordered!$A:$I, 9, FALSE)</f>
        <v>0: Do not see; 1: Not at all; 2: Small extent; 3: Certain extent; 4: Great extent</v>
      </c>
      <c r="O1233" s="2" t="str">
        <f t="shared" si="19"/>
        <v>0: Do not see
 1: Not at all
 2: Small extent
 3: Certain extent
 4: Great extent</v>
      </c>
    </row>
    <row r="1234" spans="1:15" ht="187.2" hidden="1" x14ac:dyDescent="0.3">
      <c r="A1234" t="s">
        <v>8495</v>
      </c>
      <c r="B1234" t="s">
        <v>8679</v>
      </c>
      <c r="C1234" s="2" t="s">
        <v>8680</v>
      </c>
      <c r="D1234" t="s">
        <v>5843</v>
      </c>
      <c r="E1234" s="2" t="s">
        <v>8681</v>
      </c>
      <c r="F1234" t="s">
        <v>2144</v>
      </c>
      <c r="G1234" t="str">
        <f>VLOOKUP($F1234, codebooks_data_reordered!$A:$I, 2, FALSE)</f>
        <v>1999_1</v>
      </c>
      <c r="H1234" t="str">
        <f>VLOOKUP($F1234, codebooks_data_reordered!$A:$I, 3, FALSE)</f>
        <v>IMPACT OF MEDIA</v>
      </c>
      <c r="I1234" t="str">
        <f>VLOOKUP($F1234, codebooks_data_reordered!$A:$I, 4, FALSE)</f>
        <v>3</v>
      </c>
      <c r="J1234" t="str">
        <f>VLOOKUP($F1234, codebooks_data_reordered!$A:$I, 5, FALSE)</f>
        <v>9</v>
      </c>
      <c r="K1234" t="str">
        <f>VLOOKUP($F1234, codebooks_data_reordered!$A:$I, 6, FALSE)</f>
        <v>Belief that election polls influence voting</v>
      </c>
      <c r="L1234">
        <f>VLOOKUP($F1234, codebooks_data_reordered!$A:$I, 7, FALSE)</f>
        <v>0</v>
      </c>
      <c r="M1234" t="str">
        <f>VLOOKUP($F1234, codebooks_data_reordered!$A:$I, 9, FALSE)</f>
        <v>1: Very much; 2: To some extent; 3: A little; 4: Not at all</v>
      </c>
      <c r="O1234" s="2" t="str">
        <f t="shared" si="19"/>
        <v>1: Very much
 2: To some extent
 3: A little
 4: Not at all</v>
      </c>
    </row>
    <row r="1235" spans="1:15" ht="129.6" hidden="1" x14ac:dyDescent="0.3">
      <c r="A1235" t="s">
        <v>8495</v>
      </c>
      <c r="B1235" t="s">
        <v>8682</v>
      </c>
      <c r="C1235" s="2" t="s">
        <v>8683</v>
      </c>
      <c r="D1235" t="s">
        <v>5843</v>
      </c>
      <c r="E1235" s="2" t="s">
        <v>8684</v>
      </c>
      <c r="F1235" t="s">
        <v>483</v>
      </c>
      <c r="G1235" t="str">
        <f>VLOOKUP($F1235, codebooks_data_reordered!$A:$I, 2, FALSE)</f>
        <v>2006</v>
      </c>
      <c r="H1235" t="str">
        <f>VLOOKUP($F1235, codebooks_data_reordered!$A:$I, 3, FALSE)</f>
        <v>Most/Less Suitable Characteristic of the Party</v>
      </c>
      <c r="I1235" t="str">
        <f>VLOOKUP($F1235, codebooks_data_reordered!$A:$I, 4, FALSE)</f>
        <v>1</v>
      </c>
      <c r="J1235" t="str">
        <f>VLOOKUP($F1235, codebooks_data_reordered!$A:$I, 5, FALSE)</f>
        <v>155</v>
      </c>
      <c r="K1235" t="str">
        <f>VLOOKUP($F1235, codebooks_data_reordered!$A:$I, 6, FALSE)</f>
        <v>Most suitable characteristic of the party: Ensure a jewish majority</v>
      </c>
      <c r="L1235" t="str">
        <f>VLOOKUP($F1235,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v>
      </c>
      <c r="M1235" t="str">
        <f>VLOOKUP($F1235, codebooks_data_reordered!$A:$I, 9, FALSE)</f>
        <v>1: Most suitable Kadima; 2: Most suitable Likud; 3: Most suitable Avoda; 4: Suits all the same; 5: Doesn't suit any of them</v>
      </c>
      <c r="O1235" s="2" t="str">
        <f t="shared" si="19"/>
        <v>1: Most suitable Kadima
 2: Most suitable Likud
 3: Most suitable Avoda
 4: Suits all the same
 5: Doesn't suit any of them</v>
      </c>
    </row>
    <row r="1236" spans="1:15" ht="43.2" hidden="1" x14ac:dyDescent="0.3">
      <c r="A1236" t="s">
        <v>8495</v>
      </c>
      <c r="B1236" t="s">
        <v>8685</v>
      </c>
      <c r="C1236" s="2" t="s">
        <v>5947</v>
      </c>
      <c r="D1236" t="s">
        <v>5843</v>
      </c>
      <c r="E1236" s="2" t="s">
        <v>5948</v>
      </c>
      <c r="F1236" t="s">
        <v>750</v>
      </c>
      <c r="G1236" t="str">
        <f>VLOOKUP($F1236, codebooks_data_reordered!$A:$I, 2, FALSE)</f>
        <v>2006</v>
      </c>
      <c r="H1236" t="str">
        <f>VLOOKUP($F1236, codebooks_data_reordered!$A:$I, 3, FALSE)</f>
        <v>Rersonal and Household Details</v>
      </c>
      <c r="I1236" t="str">
        <f>VLOOKUP($F1236, codebooks_data_reordered!$A:$I, 4, FALSE)</f>
        <v>1</v>
      </c>
      <c r="J1236" t="str">
        <f>VLOOKUP($F1236, codebooks_data_reordered!$A:$I, 5, FALSE)</f>
        <v>269-270</v>
      </c>
      <c r="K1236" t="str">
        <f>VLOOKUP($F1236, codebooks_data_reordered!$A:$I, 6, FALSE)</f>
        <v>Age</v>
      </c>
      <c r="L1236" t="str">
        <f>VLOOKUP($F1236, codebooks_data_reordered!$A:$I, 7, FALSE)</f>
        <v>54. How old are you?</v>
      </c>
      <c r="M1236">
        <f>VLOOKUP($F1236, codebooks_data_reordered!$A:$I, 9, FALSE)</f>
        <v>0</v>
      </c>
      <c r="O1236" s="2" t="str">
        <f t="shared" si="19"/>
        <v>0</v>
      </c>
    </row>
    <row r="1237" spans="1:15" ht="100.8" hidden="1" x14ac:dyDescent="0.3">
      <c r="A1237" t="s">
        <v>8495</v>
      </c>
      <c r="B1237" t="s">
        <v>8686</v>
      </c>
      <c r="C1237" s="2" t="s">
        <v>8687</v>
      </c>
      <c r="D1237" t="s">
        <v>5843</v>
      </c>
      <c r="E1237" s="2" t="s">
        <v>8688</v>
      </c>
      <c r="F1237" t="s">
        <v>1638</v>
      </c>
      <c r="G1237" t="str">
        <f>VLOOKUP($F1237, codebooks_data_reordered!$A:$I, 2, FALSE)</f>
        <v>2001</v>
      </c>
      <c r="H1237" t="str">
        <f>VLOOKUP($F1237, codebooks_data_reordered!$A:$I, 3, FALSE)</f>
        <v>General political attitudes and behavior</v>
      </c>
      <c r="I1237" t="str">
        <f>VLOOKUP($F1237, codebooks_data_reordered!$A:$I, 4, FALSE)</f>
        <v>1</v>
      </c>
      <c r="J1237" t="str">
        <f>VLOOKUP($F1237, codebooks_data_reordered!$A:$I, 5, FALSE)</f>
        <v>99</v>
      </c>
      <c r="K1237" t="str">
        <f>VLOOKUP($F1237, codebooks_data_reordered!$A:$I, 6, FALSE)</f>
        <v>Frequency of reading daily newspaper</v>
      </c>
      <c r="L1237">
        <f>VLOOKUP($F1237, codebooks_data_reordered!$A:$I, 7, FALSE)</f>
        <v>0</v>
      </c>
      <c r="M1237" t="str">
        <f>VLOOKUP($F1237, codebooks_data_reordered!$A:$I, 9, FALSE)</f>
        <v>1: Never; 2: Rarely; 3: Once a week; 4: Two or three a week; 5: Almost every day; 6: More than one every day</v>
      </c>
      <c r="O1237" s="2" t="str">
        <f t="shared" si="19"/>
        <v>1: Never
 2: Rarely
 3: Once a week
 4: Two or three a week
 5: Almost every day
 6: More than one every day</v>
      </c>
    </row>
    <row r="1238" spans="1:15" ht="100.8" hidden="1" x14ac:dyDescent="0.3">
      <c r="A1238" t="s">
        <v>8495</v>
      </c>
      <c r="B1238" t="s">
        <v>8689</v>
      </c>
      <c r="C1238" s="2" t="s">
        <v>8690</v>
      </c>
      <c r="D1238" t="s">
        <v>5843</v>
      </c>
      <c r="E1238" s="2" t="s">
        <v>8691</v>
      </c>
      <c r="F1238" t="s">
        <v>1640</v>
      </c>
      <c r="G1238" t="str">
        <f>VLOOKUP($F1238, codebooks_data_reordered!$A:$I, 2, FALSE)</f>
        <v>2001</v>
      </c>
      <c r="H1238" t="str">
        <f>VLOOKUP($F1238, codebooks_data_reordered!$A:$I, 3, FALSE)</f>
        <v>General political attitudes and behavior</v>
      </c>
      <c r="I1238" t="str">
        <f>VLOOKUP($F1238, codebooks_data_reordered!$A:$I, 4, FALSE)</f>
        <v>1</v>
      </c>
      <c r="J1238" t="str">
        <f>VLOOKUP($F1238, codebooks_data_reordered!$A:$I, 5, FALSE)</f>
        <v>100</v>
      </c>
      <c r="K1238" t="str">
        <f>VLOOKUP($F1238, codebooks_data_reordered!$A:$I, 6, FALSE)</f>
        <v>Frequency of watching TV news</v>
      </c>
      <c r="L1238">
        <f>VLOOKUP($F1238, codebooks_data_reordered!$A:$I, 7, FALSE)</f>
        <v>0</v>
      </c>
      <c r="M1238" t="str">
        <f>VLOOKUP($F1238, codebooks_data_reordered!$A:$I, 9, FALSE)</f>
        <v>1: Never; 2: Rarely; 3: Once a week; 4: Two or three a week; 5: Almost every day; 6: More than one every day</v>
      </c>
      <c r="O1238" s="2" t="str">
        <f t="shared" si="19"/>
        <v>1: Never
 2: Rarely
 3: Once a week
 4: Two or three a week
 5: Almost every day
 6: More than one every day</v>
      </c>
    </row>
    <row r="1239" spans="1:15" ht="172.8" hidden="1" x14ac:dyDescent="0.3">
      <c r="A1239" t="s">
        <v>8495</v>
      </c>
      <c r="B1239" t="s">
        <v>8692</v>
      </c>
      <c r="C1239" s="2" t="s">
        <v>8693</v>
      </c>
      <c r="D1239" t="s">
        <v>5843</v>
      </c>
      <c r="E1239" s="2" t="s">
        <v>8694</v>
      </c>
      <c r="F1239" t="s">
        <v>2297</v>
      </c>
      <c r="G1239" t="str">
        <f>VLOOKUP($F1239, codebooks_data_reordered!$A:$I, 2, FALSE)</f>
        <v>1996_Jews</v>
      </c>
      <c r="H1239">
        <f>VLOOKUP($F1239, codebooks_data_reordered!$A:$I, 3, FALSE)</f>
        <v>0</v>
      </c>
      <c r="I1239" t="str">
        <f>VLOOKUP($F1239, codebooks_data_reordered!$A:$I, 4, FALSE)</f>
        <v>1</v>
      </c>
      <c r="J1239" t="str">
        <f>VLOOKUP($F1239, codebooks_data_reordered!$A:$I, 5, FALSE)</f>
        <v>57-58</v>
      </c>
      <c r="K1239" t="str">
        <f>VLOOKUP($F1239, codebooks_data_reordered!$A:$I, 6, FALSE)</f>
        <v>Sympathy for the Judea, Samaria Gaza council</v>
      </c>
      <c r="L1239">
        <f>VLOOKUP($F1239, codebooks_data_reordered!$A:$I, 7, FALSE)</f>
        <v>0</v>
      </c>
      <c r="M1239" t="str">
        <f>VLOOKUP($F1239, codebooks_data_reordered!$A:$I, 9, FALSE)</f>
        <v>1: Strong repulsion; 10: Strong sympathy</v>
      </c>
      <c r="O1239" s="2" t="str">
        <f t="shared" si="19"/>
        <v>1: Strong repulsion
 10: Strong sympathy</v>
      </c>
    </row>
    <row r="1240" spans="1:15" ht="158.4" hidden="1" x14ac:dyDescent="0.3">
      <c r="A1240" t="s">
        <v>8495</v>
      </c>
      <c r="B1240" t="s">
        <v>8695</v>
      </c>
      <c r="C1240" s="2" t="s">
        <v>8696</v>
      </c>
      <c r="D1240" t="s">
        <v>5843</v>
      </c>
      <c r="E1240" s="2" t="s">
        <v>8697</v>
      </c>
      <c r="F1240" t="s">
        <v>1863</v>
      </c>
      <c r="G1240" t="str">
        <f>VLOOKUP($F1240, codebooks_data_reordered!$A:$I, 2, FALSE)</f>
        <v>1999_1</v>
      </c>
      <c r="H1240" t="str">
        <f>VLOOKUP($F1240, codebooks_data_reordered!$A:$I, 3, FALSE)</f>
        <v>ATTITUDES TOWARD CANDIDATES AND PARTIES</v>
      </c>
      <c r="I1240" t="str">
        <f>VLOOKUP($F1240, codebooks_data_reordered!$A:$I, 4, FALSE)</f>
        <v>1</v>
      </c>
      <c r="J1240" t="str">
        <f>VLOOKUP($F1240, codebooks_data_reordered!$A:$I, 5, FALSE)</f>
        <v>54</v>
      </c>
      <c r="K1240" t="str">
        <f>VLOOKUP($F1240, codebooks_data_reordered!$A:$I, 6, FALSE)</f>
        <v>Extend of support for Ehud Barak</v>
      </c>
      <c r="L1240" t="str">
        <f>VLOOKUP($F1240, codebooks_data_reordered!$A:$I, 7, FALSE)</f>
        <v>Extent of support on 1-10 scale, 1=total rejection, 10=strong support</v>
      </c>
      <c r="M1240" t="str">
        <f>VLOOKUP($F1240, codebooks_data_reordered!$A:$I, 9, FALSE)</f>
        <v>1: Totally reject; 10: Strongly support</v>
      </c>
      <c r="O1240" s="2" t="str">
        <f t="shared" si="19"/>
        <v>1: Totally reject
 10: Strongly support</v>
      </c>
    </row>
    <row r="1241" spans="1:15" ht="187.2" hidden="1" x14ac:dyDescent="0.3">
      <c r="A1241" t="s">
        <v>8495</v>
      </c>
      <c r="B1241" t="s">
        <v>7031</v>
      </c>
      <c r="C1241" s="2" t="s">
        <v>8698</v>
      </c>
      <c r="D1241" t="s">
        <v>5843</v>
      </c>
      <c r="E1241" s="2" t="s">
        <v>8699</v>
      </c>
      <c r="F1241" t="s">
        <v>1643</v>
      </c>
      <c r="G1241" t="str">
        <f>VLOOKUP($F1241, codebooks_data_reordered!$A:$I, 2, FALSE)</f>
        <v>2003</v>
      </c>
      <c r="H1241" t="str">
        <f>VLOOKUP($F1241, codebooks_data_reordered!$A:$I, 3, FALSE)</f>
        <v>Likelihood for parties to be in the coalition</v>
      </c>
      <c r="I1241" t="str">
        <f>VLOOKUP($F1241, codebooks_data_reordered!$A:$I, 4, FALSE)</f>
        <v>1</v>
      </c>
      <c r="J1241" t="str">
        <f>VLOOKUP($F1241, codebooks_data_reordered!$A:$I, 5, FALSE)</f>
        <v>116-118</v>
      </c>
      <c r="K1241" t="str">
        <f>VLOOKUP($F1241, codebooks_data_reordered!$A:$I, 6, FALSE)</f>
        <v>Likelihood for the Likud to be in the coalition (%)</v>
      </c>
      <c r="L1241" t="str">
        <f>VLOOKUP($F1241, codebooks_data_reordered!$A:$I, 7, FALSE)</f>
        <v>On a scale from 0 -100, how likely is it that the Likud will be in the governing coalition? Asked only in first survey</v>
      </c>
      <c r="M1241">
        <f>VLOOKUP($F1241, codebooks_data_reordered!$A:$I, 9, FALSE)</f>
        <v>0</v>
      </c>
      <c r="O1241" s="2" t="str">
        <f t="shared" si="19"/>
        <v>0</v>
      </c>
    </row>
    <row r="1242" spans="1:15" ht="86.4" hidden="1" x14ac:dyDescent="0.3">
      <c r="A1242" t="s">
        <v>8495</v>
      </c>
      <c r="B1242" t="s">
        <v>8700</v>
      </c>
      <c r="C1242" s="2" t="s">
        <v>8117</v>
      </c>
      <c r="D1242" t="s">
        <v>5843</v>
      </c>
      <c r="E1242" s="2" t="s">
        <v>8118</v>
      </c>
      <c r="F1242" t="s">
        <v>153</v>
      </c>
      <c r="G1242" t="str">
        <f>VLOOKUP($F1242, codebooks_data_reordered!$A:$I, 2, FALSE)</f>
        <v>2006</v>
      </c>
      <c r="H1242" t="str">
        <f>VLOOKUP($F1242, codebooks_data_reordered!$A:$I, 3, FALSE)</f>
        <v>Threat of Different Issues</v>
      </c>
      <c r="I1242" t="str">
        <f>VLOOKUP($F1242, codebooks_data_reordered!$A:$I, 4, FALSE)</f>
        <v>1</v>
      </c>
      <c r="J1242" t="str">
        <f>VLOOKUP($F1242, codebooks_data_reordered!$A:$I, 5, FALSE)</f>
        <v>42</v>
      </c>
      <c r="K1242" t="str">
        <f>VLOOKUP($F1242, codebooks_data_reordered!$A:$I, 6, FALSE)</f>
        <v>Democracy or Halacha (not asked of Arabs)</v>
      </c>
      <c r="L1242" t="str">
        <f>VLOOKUP($F1242, codebooks_data_reordered!$A:$I, 7, FALSE)</f>
        <v>37. (not asked of Arabs): There are situations in which there is a contradiction between democracy and halacha (Jewish religious law). In the case of such a contradiction, should the principles of democracy be favored, or should the commandments of Jewish halacha be followed?</v>
      </c>
      <c r="M1242" t="str">
        <f>VLOOKUP($F1242, codebooks_data_reordered!$A:$I, 9, FALSE)</f>
        <v>1: The principles of democracy should always be followed; 2: It depends; 3: Halacha should always be followed</v>
      </c>
      <c r="O1242" s="2" t="str">
        <f t="shared" si="19"/>
        <v>1: The principles of democracy should always be followed
 2: It depends
 3: Halacha should always be followed</v>
      </c>
    </row>
    <row r="1243" spans="1:15" ht="86.4" hidden="1" x14ac:dyDescent="0.3">
      <c r="A1243" t="s">
        <v>8495</v>
      </c>
      <c r="B1243" t="s">
        <v>8701</v>
      </c>
      <c r="C1243" s="2" t="s">
        <v>8117</v>
      </c>
      <c r="D1243" t="s">
        <v>5843</v>
      </c>
      <c r="E1243" s="2" t="s">
        <v>8118</v>
      </c>
      <c r="F1243" t="s">
        <v>1914</v>
      </c>
      <c r="G1243" t="str">
        <f>VLOOKUP($F1243, codebooks_data_reordered!$A:$I, 2, FALSE)</f>
        <v>1999_1</v>
      </c>
      <c r="H1243" t="str">
        <f>VLOOKUP($F1243, codebooks_data_reordered!$A:$I, 3, FALSE)</f>
        <v>MORE ATTITUDES TOWARD PARTIES AND CANDIDATES</v>
      </c>
      <c r="I1243" t="str">
        <f>VLOOKUP($F1243, codebooks_data_reordered!$A:$I, 4, FALSE)</f>
        <v>1</v>
      </c>
      <c r="J1243" t="str">
        <f>VLOOKUP($F1243, codebooks_data_reordered!$A:$I, 5, FALSE)</f>
        <v>74</v>
      </c>
      <c r="K1243" t="str">
        <f>VLOOKUP($F1243, codebooks_data_reordered!$A:$I, 6, FALSE)</f>
        <v>Effect of Terrorism's effect on vote for PM</v>
      </c>
      <c r="L1243">
        <f>VLOOKUP($F1243, codebooks_data_reordered!$A:$I, 7, FALSE)</f>
        <v>0</v>
      </c>
      <c r="M1243" t="str">
        <f>VLOOKUP($F1243, codebooks_data_reordered!$A:$I, 9, FALSE)</f>
        <v>1: Strong rejection; 10: Strong support</v>
      </c>
      <c r="O1243" s="2" t="str">
        <f t="shared" si="19"/>
        <v>1: Strong rejection
 10: Strong support</v>
      </c>
    </row>
    <row r="1244" spans="1:15" ht="144" hidden="1" x14ac:dyDescent="0.3">
      <c r="A1244" t="s">
        <v>8495</v>
      </c>
      <c r="B1244" t="s">
        <v>8702</v>
      </c>
      <c r="C1244" s="2" t="s">
        <v>8703</v>
      </c>
      <c r="D1244" t="s">
        <v>5843</v>
      </c>
      <c r="E1244" s="2" t="s">
        <v>8704</v>
      </c>
      <c r="F1244" t="s">
        <v>2679</v>
      </c>
      <c r="G1244" t="str">
        <f>VLOOKUP($F1244, codebooks_data_reordered!$A:$I, 2, FALSE)</f>
        <v>1992</v>
      </c>
      <c r="H1244">
        <f>VLOOKUP($F1244, codebooks_data_reordered!$A:$I, 3, FALSE)</f>
        <v>0</v>
      </c>
      <c r="I1244" t="str">
        <f>VLOOKUP($F1244, codebooks_data_reordered!$A:$I, 4, FALSE)</f>
        <v>1</v>
      </c>
      <c r="J1244" t="str">
        <f>VLOOKUP($F1244, codebooks_data_reordered!$A:$I, 5, FALSE)</f>
        <v>8</v>
      </c>
      <c r="K1244" t="str">
        <f>VLOOKUP($F1244, codebooks_data_reordered!$A:$I, 6, FALSE)</f>
        <v>Evaluation of Israel's present national security</v>
      </c>
      <c r="L1244">
        <f>VLOOKUP($F1244, codebooks_data_reordered!$A:$I, 7, FALSE)</f>
        <v>0</v>
      </c>
      <c r="M1244" t="str">
        <f>VLOOKUP($F1244, codebooks_data_reordered!$A:$I, 9, FALSE)</f>
        <v>1: Worst possible; 9: Best possible</v>
      </c>
      <c r="O1244" s="2" t="str">
        <f t="shared" si="19"/>
        <v>1: Worst possible
 9: Best possible</v>
      </c>
    </row>
    <row r="1245" spans="1:15" ht="187.2" hidden="1" x14ac:dyDescent="0.3">
      <c r="A1245" t="s">
        <v>8495</v>
      </c>
      <c r="B1245" t="s">
        <v>8705</v>
      </c>
      <c r="C1245" s="2" t="s">
        <v>8706</v>
      </c>
      <c r="D1245" t="s">
        <v>5843</v>
      </c>
      <c r="E1245" s="2" t="s">
        <v>8707</v>
      </c>
      <c r="F1245" t="s">
        <v>1757</v>
      </c>
      <c r="G1245" t="str">
        <f>VLOOKUP($F1245, codebooks_data_reordered!$A:$I, 2, FALSE)</f>
        <v>1999_1</v>
      </c>
      <c r="H1245" t="str">
        <f>VLOOKUP($F1245, codebooks_data_reordered!$A:$I, 3, FALSE)</f>
        <v>GENERAL POLITICAL ATTITUDE</v>
      </c>
      <c r="I1245" t="str">
        <f>VLOOKUP($F1245, codebooks_data_reordered!$A:$I, 4, FALSE)</f>
        <v>1</v>
      </c>
      <c r="J1245" t="str">
        <f>VLOOKUP($F1245, codebooks_data_reordered!$A:$I, 5, FALSE)</f>
        <v>10</v>
      </c>
      <c r="K1245" t="str">
        <f>VLOOKUP($F1245, codebooks_data_reordered!$A:$I, 6, FALSE)</f>
        <v>Candidate most capable to deal with problems</v>
      </c>
      <c r="L1245">
        <f>VLOOKUP($F1245, codebooks_data_reordered!$A:$I, 7, FALSE)</f>
        <v>0</v>
      </c>
      <c r="M1245" t="str">
        <f>VLOOKUP($F1245, codebooks_data_reordered!$A:$I, 9, FALSE)</f>
        <v>1: Netanyahu; 2: Barak; 3: Mordechai; 4: Begin; 5: Bashara; 6: Raful; 7: None of them; 8: Equally capable</v>
      </c>
      <c r="O1245" s="2" t="str">
        <f t="shared" si="19"/>
        <v>1: Netanyahu
 2: Barak
 3: Mordechai
 4: Begin
 5: Bashara
 6: Raful
 7: None of them
 8: Equally capable</v>
      </c>
    </row>
    <row r="1246" spans="1:15" ht="115.2" hidden="1" x14ac:dyDescent="0.3">
      <c r="A1246" t="s">
        <v>8495</v>
      </c>
      <c r="B1246" t="s">
        <v>8708</v>
      </c>
      <c r="C1246" s="2" t="s">
        <v>6518</v>
      </c>
      <c r="D1246" t="s">
        <v>5843</v>
      </c>
      <c r="E1246" s="2" t="s">
        <v>6519</v>
      </c>
      <c r="F1246" t="s">
        <v>1765</v>
      </c>
      <c r="G1246" t="str">
        <f>VLOOKUP($F1246, codebooks_data_reordered!$A:$I, 2, FALSE)</f>
        <v>1999_1</v>
      </c>
      <c r="H1246" t="str">
        <f>VLOOKUP($F1246, codebooks_data_reordered!$A:$I, 3, FALSE)</f>
        <v>GENERAL POLITICAL ATTITUDE</v>
      </c>
      <c r="I1246" t="str">
        <f>VLOOKUP($F1246, codebooks_data_reordered!$A:$I, 4, FALSE)</f>
        <v>1</v>
      </c>
      <c r="J1246" t="str">
        <f>VLOOKUP($F1246, codebooks_data_reordered!$A:$I, 5, FALSE)</f>
        <v>14</v>
      </c>
      <c r="K1246" t="str">
        <f>VLOOKUP($F1246, codebooks_data_reordered!$A:$I, 6, FALSE)</f>
        <v>Personal economic situation in last 3 years</v>
      </c>
      <c r="L1246">
        <f>VLOOKUP($F1246, codebooks_data_reordered!$A:$I, 7, FALSE)</f>
        <v>0</v>
      </c>
      <c r="M1246" t="str">
        <f>VLOOKUP($F1246, codebooks_data_reordered!$A:$I, 9, FALSE)</f>
        <v>1: Greatly improved; 2: Slightly improved; 3: Hasn't changed; 4: Worsened slightly; 5: Worsened greatly</v>
      </c>
      <c r="O1246" s="2" t="str">
        <f t="shared" si="19"/>
        <v>1: Greatly improved
 2: Slightly improved
 3: Hasn't changed
 4: Worsened slightly
 5: Worsened greatly</v>
      </c>
    </row>
    <row r="1247" spans="1:15" ht="187.2" hidden="1" x14ac:dyDescent="0.3">
      <c r="A1247" t="s">
        <v>8495</v>
      </c>
      <c r="B1247" t="s">
        <v>8709</v>
      </c>
      <c r="C1247" s="2" t="s">
        <v>8710</v>
      </c>
      <c r="D1247" t="s">
        <v>5843</v>
      </c>
      <c r="E1247" s="2" t="s">
        <v>8711</v>
      </c>
      <c r="F1247" t="s">
        <v>629</v>
      </c>
      <c r="G1247" t="str">
        <f>VLOOKUP($F1247, codebooks_data_reordered!$A:$I, 2, FALSE)</f>
        <v>2006</v>
      </c>
      <c r="H1247" t="str">
        <f>VLOOKUP($F1247, codebooks_data_reordered!$A:$I, 3, FALSE)</f>
        <v>Chance the Party to be in the Next Government</v>
      </c>
      <c r="I1247" t="str">
        <f>VLOOKUP($F1247, codebooks_data_reordered!$A:$I, 4, FALSE)</f>
        <v>1</v>
      </c>
      <c r="J1247" t="str">
        <f>VLOOKUP($F1247, codebooks_data_reordered!$A:$I, 5, FALSE)</f>
        <v>207-209</v>
      </c>
      <c r="K1247" t="str">
        <f>VLOOKUP($F1247, codebooks_data_reordered!$A:$I, 6, FALSE)</f>
        <v>Number of seats you think the party you vote will win</v>
      </c>
      <c r="L1247" t="str">
        <f>VLOOKUP($F1247, codebooks_data_reordered!$A:$I, 7, FALSE)</f>
        <v>And what about the number of MKs these parties will have in the next Knesset? How many MKs willhave? And (the party he said he will vote for in the previous question)</v>
      </c>
      <c r="M1247">
        <f>VLOOKUP($F1247, codebooks_data_reordered!$A:$I, 9, FALSE)</f>
        <v>0</v>
      </c>
      <c r="O1247" s="2" t="str">
        <f t="shared" si="19"/>
        <v>0</v>
      </c>
    </row>
    <row r="1248" spans="1:15" ht="216" hidden="1" x14ac:dyDescent="0.3">
      <c r="A1248" t="s">
        <v>8495</v>
      </c>
      <c r="B1248" t="s">
        <v>8712</v>
      </c>
      <c r="C1248" s="2" t="s">
        <v>8713</v>
      </c>
      <c r="D1248" t="s">
        <v>5843</v>
      </c>
      <c r="E1248" s="2" t="s">
        <v>8714</v>
      </c>
      <c r="F1248" t="s">
        <v>3361</v>
      </c>
      <c r="G1248" t="str">
        <f>VLOOKUP($F1248, codebooks_data_reordered!$A:$I, 2, FALSE)</f>
        <v>1988_Panel_N=416</v>
      </c>
      <c r="H1248" t="str">
        <f>VLOOKUP($F1248, codebooks_data_reordered!$A:$I, 3, FALSE)</f>
        <v>DO YOU HAVE CHILDREN IN EACH OF THE FOLLOWING AGE GROUPS</v>
      </c>
      <c r="I1248" t="str">
        <f>VLOOKUP($F1248, codebooks_data_reordered!$A:$I, 4, FALSE)</f>
        <v>3</v>
      </c>
      <c r="J1248" t="str">
        <f>VLOOKUP($F1248, codebooks_data_reordered!$A:$I, 5, FALSE)</f>
        <v>6</v>
      </c>
      <c r="K1248" t="str">
        <f>VLOOKUP($F1248, codebooks_data_reordered!$A:$I, 6, FALSE)</f>
        <v>General situation in Israel today</v>
      </c>
      <c r="L1248">
        <f>VLOOKUP($F1248, codebooks_data_reordered!$A:$I, 7, FALSE)</f>
        <v>0</v>
      </c>
      <c r="M1248" t="str">
        <f>VLOOKUP($F1248, codebooks_data_reordered!$A:$I, 9, FALSE)</f>
        <v>1: Very good; 2: Good; 3: Not so good; 4: Not good; 5: Bad</v>
      </c>
      <c r="O1248" s="2" t="str">
        <f t="shared" si="19"/>
        <v>1: Very good
 2: Good
 3: Not so good
 4: Not good
 5: Bad</v>
      </c>
    </row>
    <row r="1249" spans="1:15" ht="244.8" hidden="1" x14ac:dyDescent="0.3">
      <c r="A1249" t="s">
        <v>8495</v>
      </c>
      <c r="B1249" t="s">
        <v>8715</v>
      </c>
      <c r="C1249" s="2" t="s">
        <v>8716</v>
      </c>
      <c r="D1249" t="s">
        <v>5843</v>
      </c>
      <c r="E1249" s="2" t="s">
        <v>8717</v>
      </c>
      <c r="F1249" t="s">
        <v>5360</v>
      </c>
      <c r="G1249" t="str">
        <f>VLOOKUP($F1249, codebooks_data_reordered!$A:$I, 2, FALSE)</f>
        <v>1973_5</v>
      </c>
      <c r="H1249" t="str">
        <f>VLOOKUP($F1249, codebooks_data_reordered!$A:$I, 3, FALSE)</f>
        <v>POLITICAL LEADERS AND HOW INTERVIEWEE RELATES TO THEM, HOW IMPORTANT THIS FACTOR WAS TO INTERVIEWEE'S VOTE</v>
      </c>
      <c r="I1249" t="str">
        <f>VLOOKUP($F1249, codebooks_data_reordered!$A:$I, 4, FALSE)</f>
        <v>1</v>
      </c>
      <c r="J1249" t="str">
        <f>VLOOKUP($F1249, codebooks_data_reordered!$A:$I, 5, FALSE)</f>
        <v>32</v>
      </c>
      <c r="K1249" t="str">
        <f>VLOOKUP($F1249, codebooks_data_reordered!$A:$I, 6, FALSE)</f>
        <v>Main reason why interviewee votes</v>
      </c>
      <c r="L1249">
        <f>VLOOKUP($F1249, codebooks_data_reordered!$A:$I, 7, FALSE)</f>
        <v>0</v>
      </c>
      <c r="M1249" t="str">
        <f>VLOOKUP($F1249, codebooks_data_reordered!$A:$I, 9, FALSE)</f>
        <v>1: To identify with political personalities; 2: To behave like friends; 3: To identify with supported party; 4: To influence which party to be in govt.; 5: To feel a part of the country/the people; 6: To express opinion on political matters; 7: Enjoys participating in the happy event; 8: To fulfill obligation towards country; 9: To protest against the government</v>
      </c>
      <c r="O1249" s="2" t="str">
        <f t="shared" si="19"/>
        <v>1: To identify with political personalities
 2: To behave like friends
 3: To identify with supported party
 4: To influence which party to be in govt.
 5: To feel a part of the country/the people
 6: To express opinion on political matters
 7: Enjoys participating in the happy event
 8: To fulfill obligation towards country
 9: To protest against the government</v>
      </c>
    </row>
    <row r="1250" spans="1:15" ht="129.6" hidden="1" x14ac:dyDescent="0.3">
      <c r="A1250" t="s">
        <v>8495</v>
      </c>
      <c r="B1250" t="s">
        <v>8718</v>
      </c>
      <c r="C1250" s="2" t="s">
        <v>8716</v>
      </c>
      <c r="D1250" t="s">
        <v>5843</v>
      </c>
      <c r="E1250" s="2" t="s">
        <v>8717</v>
      </c>
      <c r="F1250" t="s">
        <v>5366</v>
      </c>
      <c r="G1250" t="str">
        <f>VLOOKUP($F1250, codebooks_data_reordered!$A:$I, 2, FALSE)</f>
        <v>1973_5</v>
      </c>
      <c r="H1250" t="str">
        <f>VLOOKUP($F1250, codebooks_data_reordered!$A:$I, 3, FALSE)</f>
        <v>POLITICAL LEADERS AND HOW INTERVIEWEE RELATES TO THEM, HOW IMPORTANT THIS FACTOR WAS TO INTERVIEWEE'S VOTE</v>
      </c>
      <c r="I1250" t="str">
        <f>VLOOKUP($F1250, codebooks_data_reordered!$A:$I, 4, FALSE)</f>
        <v>1</v>
      </c>
      <c r="J1250" t="str">
        <f>VLOOKUP($F1250, codebooks_data_reordered!$A:$I, 5, FALSE)</f>
        <v>34</v>
      </c>
      <c r="K1250" t="str">
        <f>VLOOKUP($F1250, codebooks_data_reordered!$A:$I, 6, FALSE)</f>
        <v>Interviewee's postion if the government is against such an agreement</v>
      </c>
      <c r="L1250">
        <f>VLOOKUP($F1250, codebooks_data_reordered!$A:$I, 7, FALSE)</f>
        <v>0</v>
      </c>
      <c r="M1250" t="str">
        <f>VLOOKUP($F1250, codebooks_data_reordered!$A:$I, 9, FALSE)</f>
        <v>1: Certainly would support government; 2: Thinks would support government; 3: Thinks would be against government; 4: Certainly would be against government; 5: No opinion</v>
      </c>
      <c r="O1250" s="2" t="str">
        <f t="shared" si="19"/>
        <v>1: Certainly would support government
 2: Thinks would support government
 3: Thinks would be against government
 4: Certainly would be against government
 5: No opinion</v>
      </c>
    </row>
    <row r="1251" spans="1:15" ht="129.6" hidden="1" x14ac:dyDescent="0.3">
      <c r="A1251" t="s">
        <v>8495</v>
      </c>
      <c r="B1251" t="s">
        <v>8719</v>
      </c>
      <c r="C1251" s="2" t="s">
        <v>8720</v>
      </c>
      <c r="D1251" t="s">
        <v>5843</v>
      </c>
      <c r="E1251" s="2" t="s">
        <v>8721</v>
      </c>
      <c r="F1251" t="s">
        <v>5372</v>
      </c>
      <c r="G1251" t="str">
        <f>VLOOKUP($F1251, codebooks_data_reordered!$A:$I, 2, FALSE)</f>
        <v>1973_5</v>
      </c>
      <c r="H1251" t="str">
        <f>VLOOKUP($F1251, codebooks_data_reordered!$A:$I, 3, FALSE)</f>
        <v>POLITICAL LEADERS AND HOW INTERVIEWEE RELATES TO THEM, HOW IMPORTANT THIS FACTOR WAS TO INTERVIEWEE'S VOTE</v>
      </c>
      <c r="I1251" t="str">
        <f>VLOOKUP($F1251, codebooks_data_reordered!$A:$I, 4, FALSE)</f>
        <v>1</v>
      </c>
      <c r="J1251" t="str">
        <f>VLOOKUP($F1251, codebooks_data_reordered!$A:$I, 5, FALSE)</f>
        <v>36</v>
      </c>
      <c r="K1251" t="str">
        <f>VLOOKUP($F1251, codebooks_data_reordered!$A:$I, 6, FALSE)</f>
        <v>Interviewee would support holding on to most of the territories even if it eliminates the chance for a peace agreement</v>
      </c>
      <c r="L1251">
        <f>VLOOKUP($F1251, codebooks_data_reordered!$A:$I, 7, FALSE)</f>
        <v>0</v>
      </c>
      <c r="M1251" t="str">
        <f>VLOOKUP($F1251, codebooks_data_reordered!$A:$I, 9, FALSE)</f>
        <v>1: Certainly would support this; 2: Thinks would support this; 3: Thinks would be against this; 4: Certainly would be against this; 5: No opinion</v>
      </c>
      <c r="O1251" s="2" t="str">
        <f t="shared" si="19"/>
        <v>1: Certainly would support this
 2: Thinks would support this
 3: Thinks would be against this
 4: Certainly would be against this
 5: No opinion</v>
      </c>
    </row>
    <row r="1252" spans="1:15" ht="100.8" hidden="1" x14ac:dyDescent="0.3">
      <c r="A1252" t="s">
        <v>8495</v>
      </c>
      <c r="B1252" t="s">
        <v>8722</v>
      </c>
      <c r="C1252" s="2" t="s">
        <v>6333</v>
      </c>
      <c r="D1252" t="s">
        <v>5843</v>
      </c>
      <c r="E1252" s="2" t="s">
        <v>6334</v>
      </c>
      <c r="F1252" t="s">
        <v>5264</v>
      </c>
      <c r="G1252" t="str">
        <f>VLOOKUP($F1252, codebooks_data_reordered!$A:$I, 2, FALSE)</f>
        <v>1973_4</v>
      </c>
      <c r="H1252" t="str">
        <f>VLOOKUP($F1252, codebooks_data_reordered!$A:$I, 3, FALSE)</f>
        <v>December 1973</v>
      </c>
      <c r="I1252" t="str">
        <f>VLOOKUP($F1252, codebooks_data_reordered!$A:$I, 4, FALSE)</f>
        <v>1</v>
      </c>
      <c r="J1252" t="str">
        <f>VLOOKUP($F1252, codebooks_data_reordered!$A:$I, 5, FALSE)</f>
        <v>50</v>
      </c>
      <c r="K1252" t="str">
        <f>VLOOKUP($F1252, codebooks_data_reordered!$A:$I, 6, FALSE)</f>
        <v>The act of voting is more important or the choosing of a party is more important</v>
      </c>
      <c r="L1252">
        <f>VLOOKUP($F1252, codebooks_data_reordered!$A:$I, 7, FALSE)</f>
        <v>0</v>
      </c>
      <c r="M1252" t="str">
        <f>VLOOKUP($F1252, codebooks_data_reordered!$A:$I, 9, FALSE)</f>
        <v>1: The act of voting is more important; 2: Choosing a party is more important</v>
      </c>
      <c r="O1252" s="2" t="str">
        <f t="shared" si="19"/>
        <v>1: The act of voting is more important
 2: Choosing a party is more important</v>
      </c>
    </row>
    <row r="1253" spans="1:15" ht="100.8" hidden="1" x14ac:dyDescent="0.3">
      <c r="A1253" t="s">
        <v>8495</v>
      </c>
      <c r="B1253" t="s">
        <v>8723</v>
      </c>
      <c r="C1253" s="2" t="s">
        <v>6333</v>
      </c>
      <c r="D1253" t="s">
        <v>5843</v>
      </c>
      <c r="E1253" s="2" t="s">
        <v>6334</v>
      </c>
      <c r="F1253" t="s">
        <v>3804</v>
      </c>
      <c r="G1253" t="str">
        <f>VLOOKUP($F1253, codebooks_data_reordered!$A:$I, 2, FALSE)</f>
        <v>1988_N=873</v>
      </c>
      <c r="H1253" t="str">
        <f>VLOOKUP($F1253, codebooks_data_reordered!$A:$I, 3, FALSE)</f>
        <v>FOR WHICH PARTIES WOULD YOU VOTE FOR IF NO LIMITATION IS POSED</v>
      </c>
      <c r="I1253" t="str">
        <f>VLOOKUP($F1253, codebooks_data_reordered!$A:$I, 4, FALSE)</f>
        <v>1</v>
      </c>
      <c r="J1253" t="str">
        <f>VLOOKUP($F1253, codebooks_data_reordered!$A:$I, 5, FALSE)</f>
        <v>160-161</v>
      </c>
      <c r="K1253" t="str">
        <f>VLOOKUP($F1253, codebooks_data_reordered!$A:$I, 6, FALSE)</f>
        <v>Basis for above estimate</v>
      </c>
      <c r="L1253">
        <f>VLOOKUP($F1253, codebooks_data_reordered!$A:$I, 7, FALSE)</f>
        <v>0</v>
      </c>
      <c r="M1253">
        <f>VLOOKUP($F1253, codebooks_data_reordered!$A:$I, 9, FALSE)</f>
        <v>0</v>
      </c>
      <c r="O1253" s="2" t="str">
        <f t="shared" si="19"/>
        <v>0</v>
      </c>
    </row>
    <row r="1254" spans="1:15" ht="129.6" hidden="1" x14ac:dyDescent="0.3">
      <c r="A1254" t="s">
        <v>8495</v>
      </c>
      <c r="B1254" t="s">
        <v>7526</v>
      </c>
      <c r="C1254" s="2" t="s">
        <v>8724</v>
      </c>
      <c r="D1254" t="s">
        <v>5843</v>
      </c>
      <c r="E1254" s="2" t="s">
        <v>8725</v>
      </c>
      <c r="F1254" t="s">
        <v>2203</v>
      </c>
      <c r="G1254" t="str">
        <f>VLOOKUP($F1254, codebooks_data_reordered!$A:$I, 2, FALSE)</f>
        <v>1999_1</v>
      </c>
      <c r="H1254" t="str">
        <f>VLOOKUP($F1254, codebooks_data_reordered!$A:$I, 3, FALSE)</f>
        <v>RESPONDENT'S DEMOGRAPHIC DETAILS</v>
      </c>
      <c r="I1254" t="str">
        <f>VLOOKUP($F1254, codebooks_data_reordered!$A:$I, 4, FALSE)</f>
        <v>3</v>
      </c>
      <c r="J1254" t="str">
        <f>VLOOKUP($F1254, codebooks_data_reordered!$A:$I, 5, FALSE)</f>
        <v>46</v>
      </c>
      <c r="K1254" t="str">
        <f>VLOOKUP($F1254, codebooks_data_reordered!$A:$I, 6, FALSE)</f>
        <v>Respondent's military service in territories</v>
      </c>
      <c r="L1254">
        <f>VLOOKUP($F1254, codebooks_data_reordered!$A:$I, 7, FALSE)</f>
        <v>0</v>
      </c>
      <c r="M1254" t="str">
        <f>VLOOKUP($F1254, codebooks_data_reordered!$A:$I, 9, FALSE)</f>
        <v>1: Yes; 2: No; 3: Never served in the IDF</v>
      </c>
      <c r="O1254" s="2" t="str">
        <f t="shared" si="19"/>
        <v>1: Yes
 2: No
 3: Never served in the IDF</v>
      </c>
    </row>
    <row r="1255" spans="1:15" ht="144" hidden="1" x14ac:dyDescent="0.3">
      <c r="A1255" t="s">
        <v>8495</v>
      </c>
      <c r="B1255" t="s">
        <v>8726</v>
      </c>
      <c r="C1255" s="2" t="s">
        <v>8727</v>
      </c>
      <c r="D1255" t="s">
        <v>5843</v>
      </c>
      <c r="E1255" s="2" t="s">
        <v>8728</v>
      </c>
      <c r="F1255" t="s">
        <v>1647</v>
      </c>
      <c r="G1255" t="str">
        <f>VLOOKUP($F1255, codebooks_data_reordered!$A:$I, 2, FALSE)</f>
        <v>2001</v>
      </c>
      <c r="H1255" t="str">
        <f>VLOOKUP($F1255, codebooks_data_reordered!$A:$I, 3, FALSE)</f>
        <v>General political attitudes and behavior</v>
      </c>
      <c r="I1255" t="str">
        <f>VLOOKUP($F1255, codebooks_data_reordered!$A:$I, 4, FALSE)</f>
        <v>1</v>
      </c>
      <c r="J1255" t="str">
        <f>VLOOKUP($F1255, codebooks_data_reordered!$A:$I, 5, FALSE)</f>
        <v>103</v>
      </c>
      <c r="K1255" t="str">
        <f>VLOOKUP($F1255, codebooks_data_reordered!$A:$I, 6, FALSE)</f>
        <v>Will election ads influence your vote decision?</v>
      </c>
      <c r="L1255">
        <f>VLOOKUP($F1255, codebooks_data_reordered!$A:$I, 7, FALSE)</f>
        <v>0</v>
      </c>
      <c r="M1255" t="str">
        <f>VLOOKUP($F1255, codebooks_data_reordered!$A:$I, 9, FALSE)</f>
        <v>0: Do not see; 1: Not at all; 2: Small extent; 3: Certain extent; 4: Great extent</v>
      </c>
      <c r="O1255" s="2" t="str">
        <f t="shared" si="19"/>
        <v>0: Do not see
 1: Not at all
 2: Small extent
 3: Certain extent
 4: Great extent</v>
      </c>
    </row>
    <row r="1256" spans="1:15" ht="115.2" hidden="1" x14ac:dyDescent="0.3">
      <c r="A1256" t="s">
        <v>8495</v>
      </c>
      <c r="B1256" t="s">
        <v>8729</v>
      </c>
      <c r="C1256" s="2" t="s">
        <v>8204</v>
      </c>
      <c r="D1256" t="s">
        <v>5843</v>
      </c>
      <c r="E1256" s="2" t="s">
        <v>8205</v>
      </c>
      <c r="F1256" t="s">
        <v>671</v>
      </c>
      <c r="G1256" t="str">
        <f>VLOOKUP($F1256, codebooks_data_reordered!$A:$I, 2, FALSE)</f>
        <v>2006</v>
      </c>
      <c r="H1256" t="str">
        <f>VLOOKUP($F1256, codebooks_data_reordered!$A:$I, 3, FALSE)</f>
        <v>Different Coalitions after the Elections</v>
      </c>
      <c r="I1256" t="str">
        <f>VLOOKUP($F1256, codebooks_data_reordered!$A:$I, 4, FALSE)</f>
        <v>1</v>
      </c>
      <c r="J1256" t="str">
        <f>VLOOKUP($F1256, codebooks_data_reordered!$A:$I, 5, FALSE)</f>
        <v>244-245</v>
      </c>
      <c r="K1256" t="str">
        <f>VLOOKUP($F1256, codebooks_data_reordered!$A:$I, 6, FALSE)</f>
        <v>Will support Kadima-Labor-Meretz coalition</v>
      </c>
      <c r="L1256" t="str">
        <f>VLOOKUP($F1256,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256" t="str">
        <f>VLOOKUP($F1256, codebooks_data_reordered!$A:$I, 9, FALSE)</f>
        <v>1: Reject; 10: Support</v>
      </c>
      <c r="O1256" s="2" t="str">
        <f t="shared" si="19"/>
        <v>1: Reject
 10: Support</v>
      </c>
    </row>
    <row r="1257" spans="1:15" ht="115.2" hidden="1" x14ac:dyDescent="0.3">
      <c r="A1257" t="s">
        <v>8495</v>
      </c>
      <c r="B1257" t="s">
        <v>6468</v>
      </c>
      <c r="C1257" s="2" t="s">
        <v>8204</v>
      </c>
      <c r="D1257" t="s">
        <v>5843</v>
      </c>
      <c r="E1257" s="2" t="s">
        <v>8205</v>
      </c>
      <c r="F1257" t="s">
        <v>2201</v>
      </c>
      <c r="G1257" t="str">
        <f>VLOOKUP($F1257, codebooks_data_reordered!$A:$I, 2, FALSE)</f>
        <v>1999_1</v>
      </c>
      <c r="H1257" t="str">
        <f>VLOOKUP($F1257, codebooks_data_reordered!$A:$I, 3, FALSE)</f>
        <v>RESPONDENT'S DEMOGRAPHIC DETAILS</v>
      </c>
      <c r="I1257" t="str">
        <f>VLOOKUP($F1257, codebooks_data_reordered!$A:$I, 4, FALSE)</f>
        <v>3</v>
      </c>
      <c r="J1257" t="str">
        <f>VLOOKUP($F1257, codebooks_data_reordered!$A:$I, 5, FALSE)</f>
        <v>43</v>
      </c>
      <c r="K1257" t="str">
        <f>VLOOKUP($F1257, codebooks_data_reordered!$A:$I, 6, FALSE)</f>
        <v>Number of rooms in apartment</v>
      </c>
      <c r="L1257">
        <f>VLOOKUP($F1257, codebooks_data_reordered!$A:$I, 7, FALSE)</f>
        <v>0</v>
      </c>
      <c r="M1257">
        <f>VLOOKUP($F1257, codebooks_data_reordered!$A:$I, 9, FALSE)</f>
        <v>0</v>
      </c>
      <c r="O1257" s="2" t="str">
        <f t="shared" si="19"/>
        <v>0</v>
      </c>
    </row>
    <row r="1258" spans="1:15" ht="316.8" hidden="1" x14ac:dyDescent="0.3">
      <c r="A1258" t="s">
        <v>8495</v>
      </c>
      <c r="B1258" t="s">
        <v>8730</v>
      </c>
      <c r="C1258" s="2" t="s">
        <v>8731</v>
      </c>
      <c r="D1258" t="s">
        <v>5843</v>
      </c>
      <c r="E1258" s="2" t="s">
        <v>8732</v>
      </c>
      <c r="F1258" t="s">
        <v>680</v>
      </c>
      <c r="G1258" t="str">
        <f>VLOOKUP($F1258, codebooks_data_reordered!$A:$I, 2, FALSE)</f>
        <v>2006</v>
      </c>
      <c r="H1258" t="str">
        <f>VLOOKUP($F1258, codebooks_data_reordered!$A:$I, 3, FALSE)</f>
        <v>Different Coalitions after the Elections</v>
      </c>
      <c r="I1258" t="str">
        <f>VLOOKUP($F1258, codebooks_data_reordered!$A:$I, 4, FALSE)</f>
        <v>1</v>
      </c>
      <c r="J1258" t="str">
        <f>VLOOKUP($F1258, codebooks_data_reordered!$A:$I, 5, FALSE)</f>
        <v>249-250</v>
      </c>
      <c r="K1258" t="str">
        <f>VLOOKUP($F1258, codebooks_data_reordered!$A:$I, 6, FALSE)</f>
        <v>Preferable coalition</v>
      </c>
      <c r="L1258" t="str">
        <f>VLOOKUP($F1258, codebooks_data_reordered!$A:$I, 7, FALSE)</f>
        <v>34. And in the final analysis, among these possibilities, which would you prefer?</v>
      </c>
      <c r="M1258" t="str">
        <f>VLOOKUP($F1258, codebooks_data_reordered!$A:$I, 9, FALSE)</f>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c r="O1258" s="2" t="str">
        <f t="shared" si="19"/>
        <v>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v>
      </c>
    </row>
    <row r="1259" spans="1:15" ht="409.6" hidden="1" x14ac:dyDescent="0.3">
      <c r="A1259" t="s">
        <v>8495</v>
      </c>
      <c r="B1259" t="s">
        <v>8733</v>
      </c>
      <c r="C1259" s="2" t="s">
        <v>8734</v>
      </c>
      <c r="D1259" t="s">
        <v>5843</v>
      </c>
      <c r="E1259" s="2" t="s">
        <v>8735</v>
      </c>
      <c r="F1259" t="s">
        <v>685</v>
      </c>
      <c r="G1259" t="str">
        <f>VLOOKUP($F1259, codebooks_data_reordered!$A:$I, 2, FALSE)</f>
        <v>2006</v>
      </c>
      <c r="H1259" t="str">
        <f>VLOOKUP($F1259, codebooks_data_reordered!$A:$I, 3, FALSE)</f>
        <v>Previous Elections</v>
      </c>
      <c r="I1259" t="str">
        <f>VLOOKUP($F1259, codebooks_data_reordered!$A:$I, 4, FALSE)</f>
        <v>1</v>
      </c>
      <c r="J1259" t="str">
        <f>VLOOKUP($F1259, codebooks_data_reordered!$A:$I, 5, FALSE)</f>
        <v>251-252</v>
      </c>
      <c r="K1259" t="str">
        <f>VLOOKUP($F1259, codebooks_data_reordered!$A:$I, 6, FALSE)</f>
        <v>Respondent vote for PM if elections for PM were held</v>
      </c>
      <c r="L1259" t="str">
        <f>VLOOKUP($F1259, codebooks_data_reordered!$A:$I, 7, FALSE)</f>
        <v>36. And if there were two ballots in the coming elections, one for Prime Minister and one for the Knesset, for whom would you vote for Prime Minister?</v>
      </c>
      <c r="M1259" t="str">
        <f>VLOOKUP($F1259, codebooks_data_reordered!$A:$I, 9, FALSE)</f>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c r="O1259" s="2" t="str">
        <f t="shared" si="19"/>
        <v>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v>
      </c>
    </row>
    <row r="1260" spans="1:15" ht="273.60000000000002" hidden="1" x14ac:dyDescent="0.3">
      <c r="A1260" t="s">
        <v>8495</v>
      </c>
      <c r="B1260" t="s">
        <v>8736</v>
      </c>
      <c r="C1260" s="2" t="s">
        <v>8737</v>
      </c>
      <c r="D1260" t="s">
        <v>5843</v>
      </c>
      <c r="E1260" s="2" t="s">
        <v>8738</v>
      </c>
      <c r="F1260" t="s">
        <v>2208</v>
      </c>
      <c r="G1260" t="str">
        <f>VLOOKUP($F1260, codebooks_data_reordered!$A:$I, 2, FALSE)</f>
        <v>1999_1</v>
      </c>
      <c r="H1260" t="str">
        <f>VLOOKUP($F1260, codebooks_data_reordered!$A:$I, 3, FALSE)</f>
        <v>RESPONDENT'S DEMOGRAPHIC DETAILS</v>
      </c>
      <c r="I1260" t="str">
        <f>VLOOKUP($F1260, codebooks_data_reordered!$A:$I, 4, FALSE)</f>
        <v>3</v>
      </c>
      <c r="J1260" t="str">
        <f>VLOOKUP($F1260, codebooks_data_reordered!$A:$I, 5, FALSE)</f>
        <v>48</v>
      </c>
      <c r="K1260" t="str">
        <f>VLOOKUP($F1260, codebooks_data_reordered!$A:$I, 6, FALSE)</f>
        <v>Self-definition of religious identity</v>
      </c>
      <c r="L1260">
        <f>VLOOKUP($F1260, codebooks_data_reordered!$A:$I, 7, FALSE)</f>
        <v>0</v>
      </c>
      <c r="M1260" t="str">
        <f>VLOOKUP($F1260, codebooks_data_reordered!$A:$I, 9, FALSE)</f>
        <v>1: Secular; 2: Traditional; 3: Orthodox; 4: Ultra orthodox</v>
      </c>
      <c r="O1260" s="2" t="str">
        <f t="shared" si="19"/>
        <v>1: Secular
 2: Traditional
 3: Orthodox
 4: Ultra orthodox</v>
      </c>
    </row>
    <row r="1261" spans="1:15" ht="388.8" hidden="1" x14ac:dyDescent="0.3">
      <c r="A1261" t="s">
        <v>8495</v>
      </c>
      <c r="B1261" t="s">
        <v>8739</v>
      </c>
      <c r="C1261" s="2" t="s">
        <v>8740</v>
      </c>
      <c r="D1261" t="s">
        <v>5843</v>
      </c>
      <c r="E1261" s="2" t="s">
        <v>8741</v>
      </c>
      <c r="F1261" t="s">
        <v>695</v>
      </c>
      <c r="G1261" t="str">
        <f>VLOOKUP($F1261, codebooks_data_reordered!$A:$I, 2, FALSE)</f>
        <v>2006</v>
      </c>
      <c r="H1261" t="str">
        <f>VLOOKUP($F1261, codebooks_data_reordered!$A:$I, 3, FALSE)</f>
        <v>Previous Elections</v>
      </c>
      <c r="I1261" t="str">
        <f>VLOOKUP($F1261, codebooks_data_reordered!$A:$I, 4, FALSE)</f>
        <v>1</v>
      </c>
      <c r="J1261" t="str">
        <f>VLOOKUP($F1261, codebooks_data_reordered!$A:$I, 5, FALSE)</f>
        <v>255-256</v>
      </c>
      <c r="K1261" t="str">
        <f>VLOOKUP($F1261, codebooks_data_reordered!$A:$I, 6, FALSE)</f>
        <v>Vote in 2003 elections</v>
      </c>
      <c r="L1261" t="str">
        <f>VLOOKUP($F1261, codebooks_data_reordered!$A:$I, 7, FALSE)</f>
        <v>40. For which party did you vote in the previous elections in 2003? (do not read the answers)</v>
      </c>
      <c r="M1261" t="str">
        <f>VLOOKUP($F1261, codebooks_data_reordered!$A:$I, 9, FALSE)</f>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c r="O1261" s="2" t="str">
        <f t="shared" si="19"/>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row>
    <row r="1262" spans="1:15" ht="259.2" hidden="1" x14ac:dyDescent="0.3">
      <c r="A1262" t="s">
        <v>8495</v>
      </c>
      <c r="B1262" t="s">
        <v>8742</v>
      </c>
      <c r="C1262" s="2" t="s">
        <v>8743</v>
      </c>
      <c r="D1262" t="s">
        <v>5843</v>
      </c>
      <c r="E1262" s="2" t="s">
        <v>8744</v>
      </c>
      <c r="F1262" t="s">
        <v>3032</v>
      </c>
      <c r="G1262" t="str">
        <f>VLOOKUP($F1262, codebooks_data_reordered!$A:$I, 2, FALSE)</f>
        <v>1988_Panel_N=416</v>
      </c>
      <c r="H1262" t="str">
        <f>VLOOKUP($F1262, codebooks_data_reordered!$A:$I, 3, FALSE)</f>
        <v>SHOULD ISRAEL USE ATOMIC WEAPON IN EACH OF THE FOLLOWING</v>
      </c>
      <c r="I1262" t="str">
        <f>VLOOKUP($F1262, codebooks_data_reordered!$A:$I, 4, FALSE)</f>
        <v>1</v>
      </c>
      <c r="J1262" t="str">
        <f>VLOOKUP($F1262, codebooks_data_reordered!$A:$I, 5, FALSE)</f>
        <v>69</v>
      </c>
      <c r="K1262" t="str">
        <f>VLOOKUP($F1262, codebooks_data_reordered!$A:$I, 6, FALSE)</f>
        <v>Most dangerous enemies of Israel</v>
      </c>
      <c r="L1262">
        <f>VLOOKUP($F1262, codebooks_data_reordered!$A:$I, 7, FALSE)</f>
        <v>0</v>
      </c>
      <c r="M1262" t="str">
        <f>VLOOKUP($F1262, codebooks_data_reordered!$A:$I, 9, FALSE)</f>
        <v>1: Syria; 2: P.L.O; 3: Jordan; 4: The Shiites in Lebanon; 5: Libya; 6: Egypt; 7: Iraq; 8: Humeini's Iran; 9: Saudi-Arabia</v>
      </c>
      <c r="O1262" s="2" t="str">
        <f t="shared" si="19"/>
        <v>1: Syria
 2: P.L.O
 3: Jordan
 4: The Shiites in Lebanon
 5: Libya
 6: Egypt
 7: Iraq
 8: Humeini's Iran
 9: Saudi-Arabia</v>
      </c>
    </row>
    <row r="1263" spans="1:15" ht="158.4" hidden="1" x14ac:dyDescent="0.3">
      <c r="A1263" t="s">
        <v>8745</v>
      </c>
      <c r="B1263" t="s">
        <v>6206</v>
      </c>
      <c r="C1263" s="2" t="s">
        <v>8746</v>
      </c>
      <c r="D1263" t="s">
        <v>5843</v>
      </c>
      <c r="E1263" s="2" t="s">
        <v>8747</v>
      </c>
      <c r="F1263" t="s">
        <v>3131</v>
      </c>
      <c r="G1263" t="str">
        <f>VLOOKUP($F1263, codebooks_data_reordered!$A:$I, 2, FALSE)</f>
        <v>1988_Panel_N=416</v>
      </c>
      <c r="H1263" t="str">
        <f>VLOOKUP($F1263, codebooks_data_reordered!$A:$I, 3, FALSE)</f>
        <v>WHICH OF THE FOLLOWING WOULD YOU BE WILLING TO GIVE TO MAINTAIN/STRENGTHEN THE SECURITY</v>
      </c>
      <c r="I1263" t="str">
        <f>VLOOKUP($F1263, codebooks_data_reordered!$A:$I, 4, FALSE)</f>
        <v>1</v>
      </c>
      <c r="J1263" t="str">
        <f>VLOOKUP($F1263, codebooks_data_reordered!$A:$I, 5, FALSE)</f>
        <v>111</v>
      </c>
      <c r="K1263" t="str">
        <f>VLOOKUP($F1263, codebooks_data_reordered!$A:$I, 6, FALSE)</f>
        <v>Who determines Israel's defense policy for the most part</v>
      </c>
      <c r="L1263">
        <f>VLOOKUP($F1263, codebooks_data_reordered!$A:$I, 7, FALSE)</f>
        <v>0</v>
      </c>
      <c r="M1263" t="str">
        <f>VLOOKUP($F1263, codebooks_data_reordered!$A:$I, 9, FALSE)</f>
        <v>1: The prime minister; 2: The minister of defense; 3: The cabinet; 4: The government; 5: Foreign Affairs and Defense Committee; 6: IDF's general staff; 7: The media; 8: The U.S.; 9: The Israeli people; 10: Other</v>
      </c>
      <c r="O1263" s="2" t="str">
        <f t="shared" si="19"/>
        <v>1: The prime minister
 2: The minister of defense
 3: The cabinet
 4: The government
 5: Foreign Affairs and Defense Committee
 6: IDF's general staff
 7: The media
 8: The U.S.
 9: The Israeli people
 10: Other</v>
      </c>
    </row>
    <row r="1264" spans="1:15" ht="158.4" hidden="1" x14ac:dyDescent="0.3">
      <c r="A1264" t="s">
        <v>8745</v>
      </c>
      <c r="B1264" t="s">
        <v>6923</v>
      </c>
      <c r="C1264" s="2" t="s">
        <v>8748</v>
      </c>
      <c r="D1264" t="s">
        <v>5843</v>
      </c>
      <c r="E1264" s="2" t="s">
        <v>8749</v>
      </c>
      <c r="F1264" t="s">
        <v>9353</v>
      </c>
      <c r="G1264" t="e">
        <f>VLOOKUP($F1264, codebooks_data_reordered!$A:$I, 2, FALSE)</f>
        <v>#N/A</v>
      </c>
      <c r="H1264" t="e">
        <f>VLOOKUP($F1264, codebooks_data_reordered!$A:$I, 3, FALSE)</f>
        <v>#N/A</v>
      </c>
      <c r="I1264" t="e">
        <f>VLOOKUP($F1264, codebooks_data_reordered!$A:$I, 4, FALSE)</f>
        <v>#N/A</v>
      </c>
      <c r="J1264" t="e">
        <f>VLOOKUP($F1264, codebooks_data_reordered!$A:$I, 5, FALSE)</f>
        <v>#N/A</v>
      </c>
      <c r="K1264" t="e">
        <f>VLOOKUP($F1264, codebooks_data_reordered!$A:$I, 6, FALSE)</f>
        <v>#N/A</v>
      </c>
      <c r="L1264" t="e">
        <f>VLOOKUP($F1264, codebooks_data_reordered!$A:$I, 7, FALSE)</f>
        <v>#N/A</v>
      </c>
      <c r="M1264" t="e">
        <f>VLOOKUP($F1264, codebooks_data_reordered!$A:$I, 9, FALSE)</f>
        <v>#N/A</v>
      </c>
      <c r="N1264" t="s">
        <v>9400</v>
      </c>
      <c r="O1264" t="e">
        <f t="shared" si="19"/>
        <v>#N/A</v>
      </c>
    </row>
    <row r="1265" spans="1:15" ht="115.2" hidden="1" x14ac:dyDescent="0.3">
      <c r="A1265" t="s">
        <v>8745</v>
      </c>
      <c r="B1265" t="s">
        <v>6513</v>
      </c>
      <c r="C1265" s="2" t="s">
        <v>6859</v>
      </c>
      <c r="D1265" t="s">
        <v>5843</v>
      </c>
      <c r="E1265" s="2" t="s">
        <v>6860</v>
      </c>
      <c r="F1265">
        <v>0</v>
      </c>
      <c r="G1265" t="e">
        <f>VLOOKUP($F1265, codebooks_data_reordered!$A:$I, 2, FALSE)</f>
        <v>#N/A</v>
      </c>
      <c r="H1265" t="e">
        <f>VLOOKUP($F1265, codebooks_data_reordered!$A:$I, 3, FALSE)</f>
        <v>#N/A</v>
      </c>
      <c r="I1265" t="e">
        <f>VLOOKUP($F1265, codebooks_data_reordered!$A:$I, 4, FALSE)</f>
        <v>#N/A</v>
      </c>
      <c r="J1265" t="e">
        <f>VLOOKUP($F1265, codebooks_data_reordered!$A:$I, 5, FALSE)</f>
        <v>#N/A</v>
      </c>
      <c r="K1265" t="e">
        <f>VLOOKUP($F1265, codebooks_data_reordered!$A:$I, 6, FALSE)</f>
        <v>#N/A</v>
      </c>
      <c r="L1265" t="e">
        <f>VLOOKUP($F1265, codebooks_data_reordered!$A:$I, 7, FALSE)</f>
        <v>#N/A</v>
      </c>
      <c r="M1265" t="e">
        <f>VLOOKUP($F1265, codebooks_data_reordered!$A:$I, 9, FALSE)</f>
        <v>#N/A</v>
      </c>
      <c r="O1265" t="e">
        <f t="shared" si="19"/>
        <v>#N/A</v>
      </c>
    </row>
    <row r="1266" spans="1:15" ht="100.8" hidden="1" x14ac:dyDescent="0.3">
      <c r="A1266" t="s">
        <v>8745</v>
      </c>
      <c r="B1266" t="s">
        <v>6776</v>
      </c>
      <c r="C1266" s="2" t="s">
        <v>8312</v>
      </c>
      <c r="D1266" t="s">
        <v>5843</v>
      </c>
      <c r="E1266" s="2" t="s">
        <v>8313</v>
      </c>
      <c r="F1266" t="s">
        <v>1857</v>
      </c>
      <c r="G1266" t="str">
        <f>VLOOKUP($F1266, codebooks_data_reordered!$A:$I, 2, FALSE)</f>
        <v>1999_1</v>
      </c>
      <c r="H1266" t="str">
        <f>VLOOKUP($F1266, codebooks_data_reordered!$A:$I, 3, FALSE)</f>
        <v>ATTITUDES TOWARD CANDIDATES AND PARTIES</v>
      </c>
      <c r="I1266" t="str">
        <f>VLOOKUP($F1266, codebooks_data_reordered!$A:$I, 4, FALSE)</f>
        <v>1</v>
      </c>
      <c r="J1266" t="str">
        <f>VLOOKUP($F1266, codebooks_data_reordered!$A:$I, 5, FALSE)</f>
        <v>51</v>
      </c>
      <c r="K1266" t="str">
        <f>VLOOKUP($F1266, codebooks_data_reordered!$A:$I, 6, FALSE)</f>
        <v>Extend of support for religious people</v>
      </c>
      <c r="L1266" t="str">
        <f>VLOOKUP($F1266, codebooks_data_reordered!$A:$I, 7, FALSE)</f>
        <v>Extent of support on 1-10 scale, 1=total rejection, 10=strong support</v>
      </c>
      <c r="M1266" t="str">
        <f>VLOOKUP($F1266, codebooks_data_reordered!$A:$I, 9, FALSE)</f>
        <v>1: Totally reject; 10: Strongly support</v>
      </c>
      <c r="O1266" s="2" t="str">
        <f t="shared" si="19"/>
        <v>1: Totally reject
 10: Strongly support</v>
      </c>
    </row>
    <row r="1267" spans="1:15" ht="100.8" hidden="1" x14ac:dyDescent="0.3">
      <c r="A1267" t="s">
        <v>8745</v>
      </c>
      <c r="B1267" t="s">
        <v>8750</v>
      </c>
      <c r="C1267" s="2" t="s">
        <v>8751</v>
      </c>
      <c r="D1267" t="s">
        <v>5843</v>
      </c>
      <c r="E1267" s="2" t="s">
        <v>8752</v>
      </c>
      <c r="F1267">
        <v>0</v>
      </c>
      <c r="G1267" t="e">
        <f>VLOOKUP($F1267, codebooks_data_reordered!$A:$I, 2, FALSE)</f>
        <v>#N/A</v>
      </c>
      <c r="H1267" t="e">
        <f>VLOOKUP($F1267, codebooks_data_reordered!$A:$I, 3, FALSE)</f>
        <v>#N/A</v>
      </c>
      <c r="I1267" t="e">
        <f>VLOOKUP($F1267, codebooks_data_reordered!$A:$I, 4, FALSE)</f>
        <v>#N/A</v>
      </c>
      <c r="J1267" t="e">
        <f>VLOOKUP($F1267, codebooks_data_reordered!$A:$I, 5, FALSE)</f>
        <v>#N/A</v>
      </c>
      <c r="K1267" t="e">
        <f>VLOOKUP($F1267, codebooks_data_reordered!$A:$I, 6, FALSE)</f>
        <v>#N/A</v>
      </c>
      <c r="L1267" t="e">
        <f>VLOOKUP($F1267, codebooks_data_reordered!$A:$I, 7, FALSE)</f>
        <v>#N/A</v>
      </c>
      <c r="M1267" t="e">
        <f>VLOOKUP($F1267, codebooks_data_reordered!$A:$I, 9, FALSE)</f>
        <v>#N/A</v>
      </c>
      <c r="O1267" t="e">
        <f t="shared" si="19"/>
        <v>#N/A</v>
      </c>
    </row>
    <row r="1268" spans="1:15" ht="129.6" hidden="1" x14ac:dyDescent="0.3">
      <c r="A1268" t="s">
        <v>8745</v>
      </c>
      <c r="B1268" t="s">
        <v>8753</v>
      </c>
      <c r="C1268" s="2" t="s">
        <v>8754</v>
      </c>
      <c r="D1268" t="s">
        <v>5843</v>
      </c>
      <c r="E1268" s="2" t="s">
        <v>8755</v>
      </c>
      <c r="F1268" t="s">
        <v>1824</v>
      </c>
      <c r="G1268" t="str">
        <f>VLOOKUP($F1268, codebooks_data_reordered!$A:$I, 2, FALSE)</f>
        <v>1999_1</v>
      </c>
      <c r="H1268" t="str">
        <f>VLOOKUP($F1268, codebooks_data_reordered!$A:$I, 3, FALSE)</f>
        <v>VALUES AND TRUST</v>
      </c>
      <c r="I1268" t="str">
        <f>VLOOKUP($F1268, codebooks_data_reordered!$A:$I, 4, FALSE)</f>
        <v>1</v>
      </c>
      <c r="J1268" t="str">
        <f>VLOOKUP($F1268, codebooks_data_reordered!$A:$I, 5, FALSE)</f>
        <v>37</v>
      </c>
      <c r="K1268" t="str">
        <f>VLOOKUP($F1268, codebooks_data_reordered!$A:$I, 6, FALSE)</f>
        <v>Extend of faith in State Advocacy</v>
      </c>
      <c r="L1268">
        <f>VLOOKUP($F1268, codebooks_data_reordered!$A:$I, 7, FALSE)</f>
        <v>0</v>
      </c>
      <c r="M1268" t="str">
        <f>VLOOKUP($F1268, codebooks_data_reordered!$A:$I, 9, FALSE)</f>
        <v>1: Not at all; 2: A little faith; 3: Some faith; 4: Strong faith</v>
      </c>
      <c r="O1268" s="2" t="str">
        <f t="shared" si="19"/>
        <v>1: Not at all
 2: A little faith
 3: Some faith
 4: Strong faith</v>
      </c>
    </row>
    <row r="1269" spans="1:15" ht="115.2" hidden="1" x14ac:dyDescent="0.3">
      <c r="A1269" t="s">
        <v>8745</v>
      </c>
      <c r="B1269" t="s">
        <v>8756</v>
      </c>
      <c r="C1269" s="2" t="s">
        <v>6507</v>
      </c>
      <c r="D1269" t="s">
        <v>5843</v>
      </c>
      <c r="E1269" s="2" t="s">
        <v>6508</v>
      </c>
      <c r="F1269" t="s">
        <v>4967</v>
      </c>
      <c r="G1269" t="str">
        <f>VLOOKUP($F1269, codebooks_data_reordered!$A:$I, 2, FALSE)</f>
        <v>1973_2</v>
      </c>
      <c r="H1269" t="str">
        <f>VLOOKUP($F1269, codebooks_data_reordered!$A:$I, 3, FALSE)</f>
        <v>DO YOU AGREE WITH THE FOLLOWING STATEMENT</v>
      </c>
      <c r="I1269" t="str">
        <f>VLOOKUP($F1269, codebooks_data_reordered!$A:$I, 4, FALSE)</f>
        <v>2</v>
      </c>
      <c r="J1269" t="str">
        <f>VLOOKUP($F1269, codebooks_data_reordered!$A:$I, 5, FALSE)</f>
        <v>25</v>
      </c>
      <c r="K1269" t="str">
        <f>VLOOKUP($F1269, codebooks_data_reordered!$A:$I, 6, FALSE)</f>
        <v>Do you think that if the voter doesn't support any specific party he shouldn't vote</v>
      </c>
      <c r="L1269">
        <f>VLOOKUP($F1269, codebooks_data_reordered!$A:$I, 7, FALSE)</f>
        <v>0</v>
      </c>
      <c r="M1269" t="str">
        <f>VLOOKUP($F1269, codebooks_data_reordered!$A:$I, 9, FALSE)</f>
        <v>0: No answer; 1: He shouldn't vote; 2: He should; 3: He should vote for some party</v>
      </c>
      <c r="O1269" s="2" t="str">
        <f t="shared" si="19"/>
        <v>0: No answer
 1: He shouldn't vote
 2: He should
 3: He should vote for some party</v>
      </c>
    </row>
    <row r="1270" spans="1:15" ht="409.6" hidden="1" x14ac:dyDescent="0.3">
      <c r="A1270" t="s">
        <v>8745</v>
      </c>
      <c r="B1270" t="s">
        <v>7247</v>
      </c>
      <c r="C1270" s="2" t="s">
        <v>8757</v>
      </c>
      <c r="D1270" t="s">
        <v>5843</v>
      </c>
      <c r="E1270" s="2" t="s">
        <v>8758</v>
      </c>
      <c r="F1270" t="s">
        <v>9354</v>
      </c>
      <c r="G1270" t="e">
        <f>VLOOKUP($F1270, codebooks_data_reordered!$A:$I, 2, FALSE)</f>
        <v>#N/A</v>
      </c>
      <c r="H1270" t="e">
        <f>VLOOKUP($F1270, codebooks_data_reordered!$A:$I, 3, FALSE)</f>
        <v>#N/A</v>
      </c>
      <c r="I1270" t="e">
        <f>VLOOKUP($F1270, codebooks_data_reordered!$A:$I, 4, FALSE)</f>
        <v>#N/A</v>
      </c>
      <c r="J1270" t="e">
        <f>VLOOKUP($F1270, codebooks_data_reordered!$A:$I, 5, FALSE)</f>
        <v>#N/A</v>
      </c>
      <c r="K1270" t="e">
        <f>VLOOKUP($F1270, codebooks_data_reordered!$A:$I, 6, FALSE)</f>
        <v>#N/A</v>
      </c>
      <c r="L1270" t="e">
        <f>VLOOKUP($F1270, codebooks_data_reordered!$A:$I, 7, FALSE)</f>
        <v>#N/A</v>
      </c>
      <c r="M1270" t="e">
        <f>VLOOKUP($F1270, codebooks_data_reordered!$A:$I, 9, FALSE)</f>
        <v>#N/A</v>
      </c>
      <c r="O1270" t="e">
        <f t="shared" si="19"/>
        <v>#N/A</v>
      </c>
    </row>
    <row r="1271" spans="1:15" ht="129.6" hidden="1" x14ac:dyDescent="0.3">
      <c r="A1271" t="s">
        <v>8745</v>
      </c>
      <c r="B1271" t="s">
        <v>8759</v>
      </c>
      <c r="C1271" s="2" t="s">
        <v>8760</v>
      </c>
      <c r="D1271" t="s">
        <v>5843</v>
      </c>
      <c r="E1271" s="2" t="s">
        <v>8761</v>
      </c>
      <c r="F1271" t="s">
        <v>9355</v>
      </c>
      <c r="G1271" t="e">
        <f>VLOOKUP($F1271, codebooks_data_reordered!$A:$I, 2, FALSE)</f>
        <v>#N/A</v>
      </c>
      <c r="H1271" t="e">
        <f>VLOOKUP($F1271, codebooks_data_reordered!$A:$I, 3, FALSE)</f>
        <v>#N/A</v>
      </c>
      <c r="I1271" t="e">
        <f>VLOOKUP($F1271, codebooks_data_reordered!$A:$I, 4, FALSE)</f>
        <v>#N/A</v>
      </c>
      <c r="J1271" t="e">
        <f>VLOOKUP($F1271, codebooks_data_reordered!$A:$I, 5, FALSE)</f>
        <v>#N/A</v>
      </c>
      <c r="K1271" t="e">
        <f>VLOOKUP($F1271, codebooks_data_reordered!$A:$I, 6, FALSE)</f>
        <v>#N/A</v>
      </c>
      <c r="L1271" t="e">
        <f>VLOOKUP($F1271, codebooks_data_reordered!$A:$I, 7, FALSE)</f>
        <v>#N/A</v>
      </c>
      <c r="M1271" t="e">
        <f>VLOOKUP($F1271, codebooks_data_reordered!$A:$I, 9, FALSE)</f>
        <v>#N/A</v>
      </c>
      <c r="O1271" t="e">
        <f t="shared" si="19"/>
        <v>#N/A</v>
      </c>
    </row>
    <row r="1272" spans="1:15" ht="100.8" hidden="1" x14ac:dyDescent="0.3">
      <c r="A1272" t="s">
        <v>8745</v>
      </c>
      <c r="B1272" t="s">
        <v>7306</v>
      </c>
      <c r="C1272" s="2" t="s">
        <v>8762</v>
      </c>
      <c r="D1272" t="s">
        <v>5843</v>
      </c>
      <c r="E1272" s="2" t="s">
        <v>8763</v>
      </c>
      <c r="F1272" t="s">
        <v>1828</v>
      </c>
      <c r="G1272" t="str">
        <f>VLOOKUP($F1272, codebooks_data_reordered!$A:$I, 2, FALSE)</f>
        <v>1999_1</v>
      </c>
      <c r="H1272" t="str">
        <f>VLOOKUP($F1272, codebooks_data_reordered!$A:$I, 3, FALSE)</f>
        <v>VALUES AND TRUST</v>
      </c>
      <c r="I1272" t="str">
        <f>VLOOKUP($F1272, codebooks_data_reordered!$A:$I, 4, FALSE)</f>
        <v>1</v>
      </c>
      <c r="J1272" t="str">
        <f>VLOOKUP($F1272, codebooks_data_reordered!$A:$I, 5, FALSE)</f>
        <v>39</v>
      </c>
      <c r="K1272" t="str">
        <f>VLOOKUP($F1272, codebooks_data_reordered!$A:$I, 6, FALSE)</f>
        <v>Extend of faith in police</v>
      </c>
      <c r="L1272">
        <f>VLOOKUP($F1272, codebooks_data_reordered!$A:$I, 7, FALSE)</f>
        <v>0</v>
      </c>
      <c r="M1272" t="str">
        <f>VLOOKUP($F1272, codebooks_data_reordered!$A:$I, 9, FALSE)</f>
        <v>1: Not at all; 2: A little faith; 3: Some faith; 4: Strong faith</v>
      </c>
      <c r="O1272" s="2" t="str">
        <f t="shared" si="19"/>
        <v>1: Not at all
 2: A little faith
 3: Some faith
 4: Strong faith</v>
      </c>
    </row>
    <row r="1273" spans="1:15" ht="100.8" hidden="1" x14ac:dyDescent="0.3">
      <c r="A1273" t="s">
        <v>8745</v>
      </c>
      <c r="B1273" t="s">
        <v>6305</v>
      </c>
      <c r="C1273" s="2" t="s">
        <v>8764</v>
      </c>
      <c r="D1273" t="s">
        <v>5843</v>
      </c>
      <c r="E1273" s="2" t="s">
        <v>8765</v>
      </c>
      <c r="F1273" t="s">
        <v>951</v>
      </c>
      <c r="G1273" t="str">
        <f>VLOOKUP($F1273, codebooks_data_reordered!$A:$I, 2, FALSE)</f>
        <v>2006</v>
      </c>
      <c r="H1273" t="str">
        <f>VLOOKUP($F1273, codebooks_data_reordered!$A:$I, 3, FALSE)</f>
        <v>Reason for not Vote</v>
      </c>
      <c r="I1273" t="str">
        <f>VLOOKUP($F1273, codebooks_data_reordered!$A:$I, 4, FALSE)</f>
        <v>1</v>
      </c>
      <c r="J1273" t="str">
        <f>VLOOKUP($F1273, codebooks_data_reordered!$A:$I, 5, FALSE)</f>
        <v>339</v>
      </c>
      <c r="K1273" t="str">
        <f>VLOOKUP($F1273, codebooks_data_reordered!$A:$I, 6, FALSE)</f>
        <v>Elections were about: Dealling with security challenges</v>
      </c>
      <c r="L1273" t="str">
        <f>VLOOKUP($F1273, codebooks_data_reordered!$A:$I, 7, FALSE)</f>
        <v>26. About who will deal better with security challenges (Hamas election, the threat from Iran)</v>
      </c>
      <c r="M1273" t="str">
        <f>VLOOKUP($F1273, codebooks_data_reordered!$A:$I, 9, FALSE)</f>
        <v>1: Strongly disagree; 2: Disagree; 3: Not certain; 4: Agree; 5: Strongly agree</v>
      </c>
      <c r="O1273" s="2" t="str">
        <f t="shared" si="19"/>
        <v>1: Strongly disagree
 2: Disagree
 3: Not certain
 4: Agree
 5: Strongly agree</v>
      </c>
    </row>
    <row r="1274" spans="1:15" ht="86.4" hidden="1" x14ac:dyDescent="0.3">
      <c r="A1274" t="s">
        <v>8745</v>
      </c>
      <c r="B1274" t="s">
        <v>8766</v>
      </c>
      <c r="C1274" s="2" t="s">
        <v>8767</v>
      </c>
      <c r="D1274" t="s">
        <v>5843</v>
      </c>
      <c r="E1274" s="2" t="s">
        <v>8768</v>
      </c>
      <c r="F1274" t="s">
        <v>3128</v>
      </c>
      <c r="G1274" t="str">
        <f>VLOOKUP($F1274, codebooks_data_reordered!$A:$I, 2, FALSE)</f>
        <v>1988_Panel_N=416</v>
      </c>
      <c r="H1274" t="str">
        <f>VLOOKUP($F1274, codebooks_data_reordered!$A:$I, 3, FALSE)</f>
        <v>WHICH OF THE FOLLOWING WOULD YOU BE WILLING TO GIVE TO MAINTAIN/STRENGTHEN THE SECURITY</v>
      </c>
      <c r="I1274" t="str">
        <f>VLOOKUP($F1274, codebooks_data_reordered!$A:$I, 4, FALSE)</f>
        <v>1</v>
      </c>
      <c r="J1274" t="str">
        <f>VLOOKUP($F1274, codebooks_data_reordered!$A:$I, 5, FALSE)</f>
        <v>110</v>
      </c>
      <c r="K1274" t="str">
        <f>VLOOKUP($F1274, codebooks_data_reordered!$A:$I, 6, FALSE)</f>
        <v>Are decisions regarding military matters affected by objective considerations</v>
      </c>
      <c r="L1274">
        <f>VLOOKUP($F1274, codebooks_data_reordered!$A:$I, 7, FALSE)</f>
        <v>0</v>
      </c>
      <c r="M1274" t="str">
        <f>VLOOKUP($F1274, codebooks_data_reordered!$A:$I, 9, FALSE)</f>
        <v>1: Only objective considerations; 2: Also other considerations</v>
      </c>
      <c r="O1274" s="2" t="str">
        <f t="shared" si="19"/>
        <v>1: Only objective considerations
 2: Also other considerations</v>
      </c>
    </row>
    <row r="1275" spans="1:15" ht="115.2" hidden="1" x14ac:dyDescent="0.3">
      <c r="A1275" t="s">
        <v>8745</v>
      </c>
      <c r="B1275" t="s">
        <v>8251</v>
      </c>
      <c r="C1275" s="2" t="s">
        <v>6431</v>
      </c>
      <c r="D1275" t="s">
        <v>5843</v>
      </c>
      <c r="E1275" s="2" t="s">
        <v>6432</v>
      </c>
      <c r="F1275" t="s">
        <v>1979</v>
      </c>
      <c r="G1275" t="str">
        <f>VLOOKUP($F1275, codebooks_data_reordered!$A:$I, 2, FALSE)</f>
        <v>1999_1</v>
      </c>
      <c r="H1275" t="str">
        <f>VLOOKUP($F1275, codebooks_data_reordered!$A:$I, 3, FALSE)</f>
        <v>POLITICAL SELF-DEFINITION</v>
      </c>
      <c r="I1275" t="str">
        <f>VLOOKUP($F1275, codebooks_data_reordered!$A:$I, 4, FALSE)</f>
        <v>2</v>
      </c>
      <c r="J1275" t="str">
        <f>VLOOKUP($F1275, codebooks_data_reordered!$A:$I, 5, FALSE)</f>
        <v>23</v>
      </c>
      <c r="K1275" t="str">
        <f>VLOOKUP($F1275, codebooks_data_reordered!$A:$I, 6, FALSE)</f>
        <v>Possible shift to either right or left wing</v>
      </c>
      <c r="L1275" t="str">
        <f>VLOOKUP($F1275, codebooks_data_reordered!$A:$I, 7, FALSE)</f>
        <v>For those who answer 4 to var. i19</v>
      </c>
      <c r="M1275" t="str">
        <f>VLOOKUP($F1275, codebooks_data_reordered!$A:$I, 9, FALSE)</f>
        <v>1: To the Right wing; 2: To the Left wing; 3: To either of them according to circumstances; 4: Won't move</v>
      </c>
      <c r="O1275" s="2" t="str">
        <f t="shared" si="19"/>
        <v>1: To the Right wing
 2: To the Left wing
 3: To either of them according to circumstances
 4: Won't move</v>
      </c>
    </row>
    <row r="1276" spans="1:15" ht="57.6" hidden="1" x14ac:dyDescent="0.3">
      <c r="A1276" t="s">
        <v>8745</v>
      </c>
      <c r="B1276" t="s">
        <v>8769</v>
      </c>
      <c r="C1276" s="2" t="s">
        <v>6330</v>
      </c>
      <c r="D1276" t="s">
        <v>5843</v>
      </c>
      <c r="E1276" s="2" t="s">
        <v>6331</v>
      </c>
      <c r="F1276" t="s">
        <v>1999</v>
      </c>
      <c r="G1276" t="str">
        <f>VLOOKUP($F1276, codebooks_data_reordered!$A:$I, 2, FALSE)</f>
        <v>1999_1</v>
      </c>
      <c r="H1276" t="str">
        <f>VLOOKUP($F1276, codebooks_data_reordered!$A:$I, 3, FALSE)</f>
        <v>POLITICAL SELF-DEFINITION</v>
      </c>
      <c r="I1276" t="str">
        <f>VLOOKUP($F1276, codebooks_data_reordered!$A:$I, 4, FALSE)</f>
        <v>2</v>
      </c>
      <c r="J1276" t="str">
        <f>VLOOKUP($F1276, codebooks_data_reordered!$A:$I, 5, FALSE)</f>
        <v>32</v>
      </c>
      <c r="K1276" t="str">
        <f>VLOOKUP($F1276, codebooks_data_reordered!$A:$I, 6, FALSE)</f>
        <v>Peace and territories' effect on vote for Knesset</v>
      </c>
      <c r="L1276">
        <f>VLOOKUP($F1276, codebooks_data_reordered!$A:$I, 7, FALSE)</f>
        <v>0</v>
      </c>
      <c r="M1276" t="str">
        <f>VLOOKUP($F1276, codebooks_data_reordered!$A:$I, 9, FALSE)</f>
        <v>1: Not at all; 2: A small effect; 3: Some effect; 4: A great effect</v>
      </c>
      <c r="O1276" s="2" t="str">
        <f t="shared" si="19"/>
        <v>1: Not at all
 2: A small effect
 3: Some effect
 4: A great effect</v>
      </c>
    </row>
    <row r="1277" spans="1:15" ht="100.8" hidden="1" x14ac:dyDescent="0.3">
      <c r="A1277" t="s">
        <v>8745</v>
      </c>
      <c r="B1277" t="s">
        <v>8770</v>
      </c>
      <c r="C1277" s="2" t="s">
        <v>8546</v>
      </c>
      <c r="D1277" t="s">
        <v>5843</v>
      </c>
      <c r="E1277" s="2" t="s">
        <v>8547</v>
      </c>
      <c r="F1277" t="s">
        <v>1849</v>
      </c>
      <c r="G1277" t="str">
        <f>VLOOKUP($F1277, codebooks_data_reordered!$A:$I, 2, FALSE)</f>
        <v>1999_1</v>
      </c>
      <c r="H1277" t="str">
        <f>VLOOKUP($F1277, codebooks_data_reordered!$A:$I, 3, FALSE)</f>
        <v>ATTITUDES TOWARD CANDIDATES AND PARTIES</v>
      </c>
      <c r="I1277" t="str">
        <f>VLOOKUP($F1277, codebooks_data_reordered!$A:$I, 4, FALSE)</f>
        <v>1</v>
      </c>
      <c r="J1277" t="str">
        <f>VLOOKUP($F1277, codebooks_data_reordered!$A:$I, 5, FALSE)</f>
        <v>47</v>
      </c>
      <c r="K1277" t="str">
        <f>VLOOKUP($F1277, codebooks_data_reordered!$A:$I, 6, FALSE)</f>
        <v>Extend of support for the Labour Party</v>
      </c>
      <c r="L1277" t="str">
        <f>VLOOKUP($F1277, codebooks_data_reordered!$A:$I, 7, FALSE)</f>
        <v>Extent of support on 1-10 scale, 1=total rejection, 10=strong support</v>
      </c>
      <c r="M1277" t="str">
        <f>VLOOKUP($F1277, codebooks_data_reordered!$A:$I, 9, FALSE)</f>
        <v>1: Totally reject; 10: Strongly support</v>
      </c>
      <c r="O1277" s="2" t="str">
        <f t="shared" si="19"/>
        <v>1: Totally reject
 10: Strongly support</v>
      </c>
    </row>
    <row r="1278" spans="1:15" ht="115.2" hidden="1" x14ac:dyDescent="0.3">
      <c r="A1278" t="s">
        <v>8745</v>
      </c>
      <c r="B1278" t="s">
        <v>8252</v>
      </c>
      <c r="C1278" s="2" t="s">
        <v>8771</v>
      </c>
      <c r="D1278" t="s">
        <v>5843</v>
      </c>
      <c r="E1278" s="2" t="s">
        <v>8772</v>
      </c>
      <c r="F1278" t="s">
        <v>2136</v>
      </c>
      <c r="G1278" t="str">
        <f>VLOOKUP($F1278, codebooks_data_reordered!$A:$I, 2, FALSE)</f>
        <v>1999_1</v>
      </c>
      <c r="H1278" t="str">
        <f>VLOOKUP($F1278, codebooks_data_reordered!$A:$I, 3, FALSE)</f>
        <v>EVALUATE PARTIES AND CANDIDATES</v>
      </c>
      <c r="I1278" t="str">
        <f>VLOOKUP($F1278, codebooks_data_reordered!$A:$I, 4, FALSE)</f>
        <v>2</v>
      </c>
      <c r="J1278" t="str">
        <f>VLOOKUP($F1278, codebooks_data_reordered!$A:$I, 5, FALSE)</f>
        <v>94</v>
      </c>
      <c r="K1278" t="str">
        <f>VLOOKUP($F1278, codebooks_data_reordered!$A:$I, 6, FALSE)</f>
        <v>Candidate who won't narrow social gaps</v>
      </c>
      <c r="L1278">
        <f>VLOOKUP($F1278, codebooks_data_reordered!$A:$I, 7, FALSE)</f>
        <v>0</v>
      </c>
      <c r="M1278" t="str">
        <f>VLOOKUP($F1278, codebooks_data_reordered!$A:$I, 9, FALSE)</f>
        <v>1: Netanyahu; 2: Barak; 3: Mordechai</v>
      </c>
      <c r="O1278" s="2" t="str">
        <f t="shared" si="19"/>
        <v>1: Netanyahu
 2: Barak
 3: Mordechai</v>
      </c>
    </row>
    <row r="1279" spans="1:15" ht="115.2" hidden="1" x14ac:dyDescent="0.3">
      <c r="A1279" t="s">
        <v>8745</v>
      </c>
      <c r="B1279" t="s">
        <v>8773</v>
      </c>
      <c r="C1279" s="2" t="s">
        <v>8056</v>
      </c>
      <c r="D1279" t="s">
        <v>5843</v>
      </c>
      <c r="E1279" s="2" t="s">
        <v>8057</v>
      </c>
      <c r="F1279" t="s">
        <v>37</v>
      </c>
      <c r="G1279" t="str">
        <f>VLOOKUP($F1279, codebooks_data_reordered!$A:$I, 2, FALSE)</f>
        <v>2006</v>
      </c>
      <c r="H1279" t="str">
        <f>VLOOKUP($F1279, codebooks_data_reordered!$A:$I, 3, FALSE)</f>
        <v>Pre-Election Survey</v>
      </c>
      <c r="I1279" t="str">
        <f>VLOOKUP($F1279, codebooks_data_reordered!$A:$I, 4, FALSE)</f>
        <v>1</v>
      </c>
      <c r="J1279" t="str">
        <f>VLOOKUP($F1279, codebooks_data_reordered!$A:$I, 5, FALSE)</f>
        <v>11-12</v>
      </c>
      <c r="K1279" t="str">
        <f>VLOOKUP($F1279, codebooks_data_reordered!$A:$I, 6, FALSE)</f>
        <v>Most important problem for government</v>
      </c>
      <c r="L1279" t="str">
        <f>VLOOKUP($F1279, codebooks_data_reordered!$A:$I, 7, FALSE)</f>
        <v>8. What do you think is the most important problem the government must take care of?</v>
      </c>
      <c r="M1279">
        <f>VLOOKUP($F1279, codebooks_data_reordered!$A:$I, 9, FALSE)</f>
        <v>0</v>
      </c>
      <c r="O1279" s="2" t="str">
        <f t="shared" si="19"/>
        <v>0</v>
      </c>
    </row>
    <row r="1280" spans="1:15" ht="100.8" hidden="1" x14ac:dyDescent="0.3">
      <c r="A1280" t="s">
        <v>8745</v>
      </c>
      <c r="B1280" t="s">
        <v>6712</v>
      </c>
      <c r="C1280" s="2" t="s">
        <v>8546</v>
      </c>
      <c r="D1280" t="s">
        <v>5843</v>
      </c>
      <c r="E1280" s="2" t="s">
        <v>8547</v>
      </c>
      <c r="F1280" t="s">
        <v>1871</v>
      </c>
      <c r="G1280" t="str">
        <f>VLOOKUP($F1280, codebooks_data_reordered!$A:$I, 2, FALSE)</f>
        <v>1999_1</v>
      </c>
      <c r="H1280" t="str">
        <f>VLOOKUP($F1280, codebooks_data_reordered!$A:$I, 3, FALSE)</f>
        <v>ATTITUDES TOWARD CANDIDATES AND PARTIES</v>
      </c>
      <c r="I1280" t="str">
        <f>VLOOKUP($F1280, codebooks_data_reordered!$A:$I, 4, FALSE)</f>
        <v>1</v>
      </c>
      <c r="J1280" t="str">
        <f>VLOOKUP($F1280, codebooks_data_reordered!$A:$I, 5, FALSE)</f>
        <v>58</v>
      </c>
      <c r="K1280" t="str">
        <f>VLOOKUP($F1280, codebooks_data_reordered!$A:$I, 6, FALSE)</f>
        <v>Extend of support for Arieh Deri</v>
      </c>
      <c r="L1280" t="str">
        <f>VLOOKUP($F1280, codebooks_data_reordered!$A:$I, 7, FALSE)</f>
        <v>Extent of support on 1-10 scale, 1=total rejection, 10=strong support</v>
      </c>
      <c r="M1280" t="str">
        <f>VLOOKUP($F1280, codebooks_data_reordered!$A:$I, 9, FALSE)</f>
        <v>1: Totally reject; 10: Strongly support</v>
      </c>
      <c r="O1280" s="2" t="str">
        <f t="shared" si="19"/>
        <v>1: Totally reject
 10: Strongly support</v>
      </c>
    </row>
    <row r="1281" spans="1:15" ht="28.8" hidden="1" x14ac:dyDescent="0.3">
      <c r="A1281" t="s">
        <v>8745</v>
      </c>
      <c r="B1281" t="s">
        <v>8555</v>
      </c>
      <c r="C1281" s="2" t="s">
        <v>5905</v>
      </c>
      <c r="D1281" t="s">
        <v>5906</v>
      </c>
      <c r="E1281" s="2" t="s">
        <v>5907</v>
      </c>
      <c r="F1281" t="s">
        <v>9356</v>
      </c>
      <c r="G1281" t="e">
        <f>VLOOKUP($F1281, codebooks_data_reordered!$A:$I, 2, FALSE)</f>
        <v>#N/A</v>
      </c>
      <c r="H1281" t="e">
        <f>VLOOKUP($F1281, codebooks_data_reordered!$A:$I, 3, FALSE)</f>
        <v>#N/A</v>
      </c>
      <c r="I1281" t="e">
        <f>VLOOKUP($F1281, codebooks_data_reordered!$A:$I, 4, FALSE)</f>
        <v>#N/A</v>
      </c>
      <c r="J1281" t="e">
        <f>VLOOKUP($F1281, codebooks_data_reordered!$A:$I, 5, FALSE)</f>
        <v>#N/A</v>
      </c>
      <c r="K1281" t="e">
        <f>VLOOKUP($F1281, codebooks_data_reordered!$A:$I, 6, FALSE)</f>
        <v>#N/A</v>
      </c>
      <c r="L1281" t="e">
        <f>VLOOKUP($F1281, codebooks_data_reordered!$A:$I, 7, FALSE)</f>
        <v>#N/A</v>
      </c>
      <c r="M1281" t="e">
        <f>VLOOKUP($F1281, codebooks_data_reordered!$A:$I, 9, FALSE)</f>
        <v>#N/A</v>
      </c>
      <c r="O1281" t="e">
        <f t="shared" si="19"/>
        <v>#N/A</v>
      </c>
    </row>
    <row r="1282" spans="1:15" ht="129.6" hidden="1" x14ac:dyDescent="0.3">
      <c r="A1282" t="s">
        <v>8745</v>
      </c>
      <c r="B1282" t="s">
        <v>8774</v>
      </c>
      <c r="C1282" s="2" t="s">
        <v>8775</v>
      </c>
      <c r="D1282" t="s">
        <v>5843</v>
      </c>
      <c r="E1282" s="2" t="s">
        <v>8776</v>
      </c>
      <c r="F1282" t="s">
        <v>234</v>
      </c>
      <c r="G1282" t="str">
        <f>VLOOKUP($F1282, codebooks_data_reordered!$A:$I, 2, FALSE)</f>
        <v>2006</v>
      </c>
      <c r="H1282" t="str">
        <f>VLOOKUP($F1282, codebooks_data_reordered!$A:$I, 3, FALSE)</f>
        <v>Personal Status</v>
      </c>
      <c r="I1282" t="str">
        <f>VLOOKUP($F1282, codebooks_data_reordered!$A:$I, 4, FALSE)</f>
        <v>1</v>
      </c>
      <c r="J1282" t="str">
        <f>VLOOKUP($F1282, codebooks_data_reordered!$A:$I, 5, FALSE)</f>
        <v>59</v>
      </c>
      <c r="K1282" t="str">
        <f>VLOOKUP($F1282, codebooks_data_reordered!$A:$I, 6, FALSE)</f>
        <v>Your personal status Today</v>
      </c>
      <c r="L1282" t="str">
        <f>VLOOKUP($F1282, codebooks_data_reordered!$A:$I, 7, FALSE)</f>
        <v>Here you have a 9 stages scale describing different situations a person can be on. The top of the ladder is 9 and that is the best possible situation that you can think of and 1 is the worst. On which rank would you place yourself?</v>
      </c>
      <c r="M1282" t="str">
        <f>VLOOKUP($F1282, codebooks_data_reordered!$A:$I, 9, FALSE)</f>
        <v>1: Worst; 9: Best</v>
      </c>
      <c r="O1282" s="2" t="str">
        <f t="shared" ref="O1282:O1345" si="20">SUBSTITUTE(M1282, ";", CHAR(10))</f>
        <v>1: Worst
 9: Best</v>
      </c>
    </row>
    <row r="1283" spans="1:15" ht="100.8" hidden="1" x14ac:dyDescent="0.3">
      <c r="A1283" t="s">
        <v>8745</v>
      </c>
      <c r="B1283" t="s">
        <v>7340</v>
      </c>
      <c r="C1283" s="2" t="s">
        <v>8762</v>
      </c>
      <c r="D1283" t="s">
        <v>5843</v>
      </c>
      <c r="E1283" s="2" t="s">
        <v>8763</v>
      </c>
      <c r="F1283" t="s">
        <v>1831</v>
      </c>
      <c r="G1283" t="str">
        <f>VLOOKUP($F1283, codebooks_data_reordered!$A:$I, 2, FALSE)</f>
        <v>1999_1</v>
      </c>
      <c r="H1283" t="str">
        <f>VLOOKUP($F1283, codebooks_data_reordered!$A:$I, 3, FALSE)</f>
        <v>VALUES AND TRUST</v>
      </c>
      <c r="I1283" t="str">
        <f>VLOOKUP($F1283, codebooks_data_reordered!$A:$I, 4, FALSE)</f>
        <v>1</v>
      </c>
      <c r="J1283" t="str">
        <f>VLOOKUP($F1283, codebooks_data_reordered!$A:$I, 5, FALSE)</f>
        <v>40</v>
      </c>
      <c r="K1283" t="str">
        <f>VLOOKUP($F1283, codebooks_data_reordered!$A:$I, 6, FALSE)</f>
        <v>Satisfaction with Israeli democracy</v>
      </c>
      <c r="L1283">
        <f>VLOOKUP($F1283, codebooks_data_reordered!$A:$I, 7, FALSE)</f>
        <v>0</v>
      </c>
      <c r="M1283" t="str">
        <f>VLOOKUP($F1283, codebooks_data_reordered!$A:$I, 9, FALSE)</f>
        <v>1: Very satisfied; 2: Quite satisfied; 3: Not so satisfied; 4: Not satisfied at all</v>
      </c>
      <c r="O1283" s="2" t="str">
        <f t="shared" si="20"/>
        <v>1: Very satisfied
 2: Quite satisfied
 3: Not so satisfied
 4: Not satisfied at all</v>
      </c>
    </row>
    <row r="1284" spans="1:15" ht="100.8" hidden="1" x14ac:dyDescent="0.3">
      <c r="A1284" t="s">
        <v>8745</v>
      </c>
      <c r="B1284" t="s">
        <v>8777</v>
      </c>
      <c r="C1284" s="2" t="s">
        <v>8778</v>
      </c>
      <c r="D1284" t="s">
        <v>5843</v>
      </c>
      <c r="E1284" s="2" t="s">
        <v>8779</v>
      </c>
      <c r="F1284" t="s">
        <v>648</v>
      </c>
      <c r="G1284" t="str">
        <f>VLOOKUP($F1284, codebooks_data_reordered!$A:$I, 2, FALSE)</f>
        <v>2006</v>
      </c>
      <c r="H1284" t="str">
        <f>VLOOKUP($F1284, codebooks_data_reordered!$A:$I, 3, FALSE)</f>
        <v>Different Coalitions after the Elections</v>
      </c>
      <c r="I1284" t="str">
        <f>VLOOKUP($F1284, codebooks_data_reordered!$A:$I, 4, FALSE)</f>
        <v>1</v>
      </c>
      <c r="J1284" t="str">
        <f>VLOOKUP($F1284, codebooks_data_reordered!$A:$I, 5, FALSE)</f>
        <v>225-227</v>
      </c>
      <c r="K1284" t="str">
        <f>VLOOKUP($F1284, codebooks_data_reordered!$A:$I, 6, FALSE)</f>
        <v>Chances for Kadima-Labor-Meretz coalition</v>
      </c>
      <c r="L1284" t="str">
        <f>VLOOKUP($F1284,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284">
        <f>VLOOKUP($F1284, codebooks_data_reordered!$A:$I, 9, FALSE)</f>
        <v>0</v>
      </c>
      <c r="O1284" s="2" t="str">
        <f t="shared" si="20"/>
        <v>0</v>
      </c>
    </row>
    <row r="1285" spans="1:15" ht="230.4" hidden="1" x14ac:dyDescent="0.3">
      <c r="A1285" t="s">
        <v>8745</v>
      </c>
      <c r="B1285" t="s">
        <v>8780</v>
      </c>
      <c r="C1285" s="2" t="s">
        <v>8781</v>
      </c>
      <c r="D1285" t="s">
        <v>5843</v>
      </c>
      <c r="E1285" s="2" t="s">
        <v>8782</v>
      </c>
      <c r="F1285" t="s">
        <v>1768</v>
      </c>
      <c r="G1285" t="str">
        <f>VLOOKUP($F1285, codebooks_data_reordered!$A:$I, 2, FALSE)</f>
        <v>1999_1</v>
      </c>
      <c r="H1285" t="str">
        <f>VLOOKUP($F1285, codebooks_data_reordered!$A:$I, 3, FALSE)</f>
        <v>GENERAL POLITICAL ATTITUDE</v>
      </c>
      <c r="I1285" t="str">
        <f>VLOOKUP($F1285, codebooks_data_reordered!$A:$I, 4, FALSE)</f>
        <v>1</v>
      </c>
      <c r="J1285" t="str">
        <f>VLOOKUP($F1285, codebooks_data_reordered!$A:$I, 5, FALSE)</f>
        <v>15</v>
      </c>
      <c r="K1285" t="str">
        <f>VLOOKUP($F1285, codebooks_data_reordered!$A:$I, 6, FALSE)</f>
        <v>Danger of conflict with Arab world compared to pre-Peace-process</v>
      </c>
      <c r="L1285">
        <f>VLOOKUP($F1285, codebooks_data_reordered!$A:$I, 7, FALSE)</f>
        <v>0</v>
      </c>
      <c r="M1285" t="str">
        <f>VLOOKUP($F1285, codebooks_data_reordered!$A:$I, 9, FALSE)</f>
        <v>1: Greatly increased; 2: Increased; 3: Decreased; 4: Greatly decreased</v>
      </c>
      <c r="O1285" s="2" t="str">
        <f t="shared" si="20"/>
        <v>1: Greatly increased
 2: Increased
 3: Decreased
 4: Greatly decreased</v>
      </c>
    </row>
    <row r="1286" spans="1:15" ht="201.6" hidden="1" x14ac:dyDescent="0.3">
      <c r="A1286" t="s">
        <v>8745</v>
      </c>
      <c r="B1286" t="s">
        <v>8354</v>
      </c>
      <c r="C1286" s="2" t="s">
        <v>8783</v>
      </c>
      <c r="D1286" t="s">
        <v>5843</v>
      </c>
      <c r="E1286" s="2" t="s">
        <v>8784</v>
      </c>
      <c r="F1286" t="s">
        <v>62</v>
      </c>
      <c r="G1286" t="str">
        <f>VLOOKUP($F1286, codebooks_data_reordered!$A:$I, 2, FALSE)</f>
        <v>2006</v>
      </c>
      <c r="H1286" t="str">
        <f>VLOOKUP($F1286, codebooks_data_reordered!$A:$I, 3, FALSE)</f>
        <v>Pre-Election Survey</v>
      </c>
      <c r="I1286" t="str">
        <f>VLOOKUP($F1286, codebooks_data_reordered!$A:$I, 4, FALSE)</f>
        <v>1</v>
      </c>
      <c r="J1286" t="str">
        <f>VLOOKUP($F1286, codebooks_data_reordered!$A:$I, 5, FALSE)</f>
        <v>18</v>
      </c>
      <c r="K1286" t="str">
        <f>VLOOKUP($F1286, codebooks_data_reordered!$A:$I, 6, FALSE)</f>
        <v>Territories should be exchanged for peace</v>
      </c>
      <c r="L1286" t="str">
        <f>VLOOKUP($F1286, codebooks_data_reordered!$A:$I, 7, FALSE)</f>
        <v>15. In a peace agreement with the Palestinians, should Israel agree or disagree to a territorial compromise and to the evacuation of settlements in Judea and Samaria?</v>
      </c>
      <c r="M1286" t="str">
        <f>VLOOKUP($F1286, codebooks_data_reordered!$A:$I, 9, FALSE)</f>
        <v>1: Should definitely agree; 2: Should agree; 3: Should disagree; 4: Should definitely disagree</v>
      </c>
      <c r="O1286" s="2" t="str">
        <f t="shared" si="20"/>
        <v>1: Should definitely agree
 2: Should agree
 3: Should disagree
 4: Should definitely disagree</v>
      </c>
    </row>
    <row r="1287" spans="1:15" ht="172.8" hidden="1" x14ac:dyDescent="0.3">
      <c r="A1287" t="s">
        <v>8745</v>
      </c>
      <c r="B1287" t="s">
        <v>8785</v>
      </c>
      <c r="C1287" s="2" t="s">
        <v>8786</v>
      </c>
      <c r="D1287" t="s">
        <v>5843</v>
      </c>
      <c r="E1287" s="2" t="s">
        <v>8787</v>
      </c>
      <c r="F1287" t="s">
        <v>9357</v>
      </c>
      <c r="G1287" t="e">
        <f>VLOOKUP($F1287, codebooks_data_reordered!$A:$I, 2, FALSE)</f>
        <v>#N/A</v>
      </c>
      <c r="H1287" t="e">
        <f>VLOOKUP($F1287, codebooks_data_reordered!$A:$I, 3, FALSE)</f>
        <v>#N/A</v>
      </c>
      <c r="I1287" t="e">
        <f>VLOOKUP($F1287, codebooks_data_reordered!$A:$I, 4, FALSE)</f>
        <v>#N/A</v>
      </c>
      <c r="J1287" t="e">
        <f>VLOOKUP($F1287, codebooks_data_reordered!$A:$I, 5, FALSE)</f>
        <v>#N/A</v>
      </c>
      <c r="K1287" t="e">
        <f>VLOOKUP($F1287, codebooks_data_reordered!$A:$I, 6, FALSE)</f>
        <v>#N/A</v>
      </c>
      <c r="L1287" t="e">
        <f>VLOOKUP($F1287, codebooks_data_reordered!$A:$I, 7, FALSE)</f>
        <v>#N/A</v>
      </c>
      <c r="M1287" t="e">
        <f>VLOOKUP($F1287, codebooks_data_reordered!$A:$I, 9, FALSE)</f>
        <v>#N/A</v>
      </c>
      <c r="O1287" t="e">
        <f t="shared" si="20"/>
        <v>#N/A</v>
      </c>
    </row>
    <row r="1288" spans="1:15" ht="57.6" hidden="1" x14ac:dyDescent="0.3">
      <c r="A1288" t="s">
        <v>8745</v>
      </c>
      <c r="B1288" t="s">
        <v>8788</v>
      </c>
      <c r="C1288" s="2" t="s">
        <v>8640</v>
      </c>
      <c r="D1288" t="s">
        <v>5843</v>
      </c>
      <c r="E1288" s="2" t="s">
        <v>8641</v>
      </c>
      <c r="F1288" t="s">
        <v>1811</v>
      </c>
      <c r="G1288" t="str">
        <f>VLOOKUP($F1288, codebooks_data_reordered!$A:$I, 2, FALSE)</f>
        <v>1999_1</v>
      </c>
      <c r="H1288" t="str">
        <f>VLOOKUP($F1288, codebooks_data_reordered!$A:$I, 3, FALSE)</f>
        <v>GENERAL POLITICAL ATTITUDE</v>
      </c>
      <c r="I1288" t="str">
        <f>VLOOKUP($F1288, codebooks_data_reordered!$A:$I, 4, FALSE)</f>
        <v>1</v>
      </c>
      <c r="J1288" t="str">
        <f>VLOOKUP($F1288, codebooks_data_reordered!$A:$I, 5, FALSE)</f>
        <v>32</v>
      </c>
      <c r="K1288" t="str">
        <f>VLOOKUP($F1288, codebooks_data_reordered!$A:$I, 6, FALSE)</f>
        <v>Forecast of establishment of a Palestinian state within next 10 years</v>
      </c>
      <c r="L1288">
        <f>VLOOKUP($F1288, codebooks_data_reordered!$A:$I, 7, FALSE)</f>
        <v>0</v>
      </c>
      <c r="M1288" t="str">
        <f>VLOOKUP($F1288, codebooks_data_reordered!$A:$I, 9, FALSE)</f>
        <v>1: Palestinian state will be established; 2: Palestinian state will not be established</v>
      </c>
      <c r="O1288" s="2" t="str">
        <f t="shared" si="20"/>
        <v>1: Palestinian state will be established
 2: Palestinian state will not be established</v>
      </c>
    </row>
    <row r="1289" spans="1:15" ht="100.8" hidden="1" x14ac:dyDescent="0.3">
      <c r="A1289" t="s">
        <v>8745</v>
      </c>
      <c r="B1289" t="s">
        <v>8789</v>
      </c>
      <c r="C1289" s="2" t="s">
        <v>8790</v>
      </c>
      <c r="D1289" t="s">
        <v>5843</v>
      </c>
      <c r="E1289" s="2" t="s">
        <v>8791</v>
      </c>
      <c r="F1289" t="s">
        <v>3141</v>
      </c>
      <c r="G1289" t="str">
        <f>VLOOKUP($F1289, codebooks_data_reordered!$A:$I, 2, FALSE)</f>
        <v>1988_Panel_N=416</v>
      </c>
      <c r="H1289" t="str">
        <f>VLOOKUP($F1289, codebooks_data_reordered!$A:$I, 3, FALSE)</f>
        <v>WHICH OF THE FOLLOWING WOULD YOU BE WILLING TO GIVE TO MAINTAIN/STRENGTHEN THE SECURITY</v>
      </c>
      <c r="I1289" t="str">
        <f>VLOOKUP($F1289, codebooks_data_reordered!$A:$I, 4, FALSE)</f>
        <v>1</v>
      </c>
      <c r="J1289" t="str">
        <f>VLOOKUP($F1289, codebooks_data_reordered!$A:$I, 5, FALSE)</f>
        <v>115</v>
      </c>
      <c r="K1289" t="str">
        <f>VLOOKUP($F1289, codebooks_data_reordered!$A:$I, 6, FALSE)</f>
        <v>How did the first years' leadership view the security/law dichotomy</v>
      </c>
      <c r="L1289">
        <f>VLOOKUP($F1289, codebooks_data_reordered!$A:$I, 7, FALSE)</f>
        <v>0</v>
      </c>
      <c r="M1289" t="str">
        <f>VLOOKUP($F1289, codebooks_data_reordered!$A:$I, 9, FALSE)</f>
        <v>1: Always prefers security considerations; 2: Usually prefers security considerations; 3: Usually prefers the law; 4: Always prefers the law</v>
      </c>
      <c r="O1289" s="2" t="str">
        <f t="shared" si="20"/>
        <v>1: Always prefers security considerations
 2: Usually prefers security considerations
 3: Usually prefers the law
 4: Always prefers the law</v>
      </c>
    </row>
    <row r="1290" spans="1:15" ht="115.2" hidden="1" x14ac:dyDescent="0.3">
      <c r="A1290" t="s">
        <v>8745</v>
      </c>
      <c r="B1290" t="s">
        <v>8792</v>
      </c>
      <c r="C1290" s="2" t="s">
        <v>8056</v>
      </c>
      <c r="D1290" t="s">
        <v>5843</v>
      </c>
      <c r="E1290" s="2" t="s">
        <v>8057</v>
      </c>
      <c r="F1290" t="s">
        <v>1727</v>
      </c>
      <c r="G1290" t="str">
        <f>VLOOKUP($F1290, codebooks_data_reordered!$A:$I, 2, FALSE)</f>
        <v>2003</v>
      </c>
      <c r="H1290" t="str">
        <f>VLOOKUP($F1290, codebooks_data_reordered!$A:$I, 3, FALSE)</f>
        <v>Respondent's demographic details</v>
      </c>
      <c r="I1290" t="str">
        <f>VLOOKUP($F1290, codebooks_data_reordered!$A:$I, 4, FALSE)</f>
        <v>1</v>
      </c>
      <c r="J1290" t="str">
        <f>VLOOKUP($F1290, codebooks_data_reordered!$A:$I, 5, FALSE)</f>
        <v>183-184</v>
      </c>
      <c r="K1290" t="str">
        <f>VLOOKUP($F1290, codebooks_data_reordered!$A:$I, 6, FALSE)</f>
        <v>Age</v>
      </c>
      <c r="L1290" t="str">
        <f>VLOOKUP($F1290, codebooks_data_reordered!$A:$I, 7, FALSE)</f>
        <v>How old are you?</v>
      </c>
      <c r="M1290">
        <f>VLOOKUP($F1290, codebooks_data_reordered!$A:$I, 9, FALSE)</f>
        <v>0</v>
      </c>
      <c r="O1290" s="2" t="str">
        <f t="shared" si="20"/>
        <v>0</v>
      </c>
    </row>
    <row r="1291" spans="1:15" ht="144" hidden="1" x14ac:dyDescent="0.3">
      <c r="A1291" t="s">
        <v>8745</v>
      </c>
      <c r="B1291" t="s">
        <v>7923</v>
      </c>
      <c r="C1291" s="2" t="s">
        <v>8793</v>
      </c>
      <c r="D1291" t="s">
        <v>5843</v>
      </c>
      <c r="E1291" s="2" t="s">
        <v>8794</v>
      </c>
      <c r="F1291" t="s">
        <v>3465</v>
      </c>
      <c r="G1291" t="str">
        <f>VLOOKUP($F1291, codebooks_data_reordered!$A:$I, 2, FALSE)</f>
        <v>2003</v>
      </c>
      <c r="H1291" t="str">
        <f>VLOOKUP($F1291, codebooks_data_reordered!$A:$I, 3, FALSE)</f>
        <v>Respondent's demographic details</v>
      </c>
      <c r="I1291" t="str">
        <f>VLOOKUP($F1291, codebooks_data_reordered!$A:$I, 4, FALSE)</f>
        <v>1</v>
      </c>
      <c r="J1291" t="str">
        <f>VLOOKUP($F1291, codebooks_data_reordered!$A:$I, 5, FALSE)</f>
        <v>190</v>
      </c>
      <c r="K1291" t="str">
        <f>VLOOKUP($F1291, codebooks_data_reordered!$A:$I, 6, FALSE)</f>
        <v>Russian immigrant, since 1988</v>
      </c>
      <c r="L1291">
        <f>VLOOKUP($F1291, codebooks_data_reordered!$A:$I, 7, FALSE)</f>
        <v>0</v>
      </c>
      <c r="M1291" t="str">
        <f>VLOOKUP($F1291, codebooks_data_reordered!$A:$I, 9, FALSE)</f>
        <v>1: Yes</v>
      </c>
      <c r="O1291" s="2" t="str">
        <f t="shared" si="20"/>
        <v>1: Yes</v>
      </c>
    </row>
    <row r="1292" spans="1:15" ht="115.2" hidden="1" x14ac:dyDescent="0.3">
      <c r="A1292" t="s">
        <v>8745</v>
      </c>
      <c r="B1292" t="s">
        <v>8795</v>
      </c>
      <c r="C1292" s="2" t="s">
        <v>8796</v>
      </c>
      <c r="D1292" t="s">
        <v>5843</v>
      </c>
      <c r="E1292" s="2" t="s">
        <v>8797</v>
      </c>
      <c r="F1292" t="s">
        <v>3474</v>
      </c>
      <c r="G1292" t="str">
        <f>VLOOKUP($F1292, codebooks_data_reordered!$A:$I, 2, FALSE)</f>
        <v>2003</v>
      </c>
      <c r="H1292" t="str">
        <f>VLOOKUP($F1292, codebooks_data_reordered!$A:$I, 3, FALSE)</f>
        <v>Respondent's demographic details</v>
      </c>
      <c r="I1292" t="str">
        <f>VLOOKUP($F1292, codebooks_data_reordered!$A:$I, 4, FALSE)</f>
        <v>1</v>
      </c>
      <c r="J1292" t="str">
        <f>VLOOKUP($F1292, codebooks_data_reordered!$A:$I, 5, FALSE)</f>
        <v>196</v>
      </c>
      <c r="K1292" t="str">
        <f>VLOOKUP($F1292, codebooks_data_reordered!$A:$I, 6, FALSE)</f>
        <v>Rooms in dwelling</v>
      </c>
      <c r="L1292" t="str">
        <f>VLOOKUP($F1292, codebooks_data_reordered!$A:$I, 7, FALSE)</f>
        <v>Number of rooms in your house</v>
      </c>
      <c r="M1292">
        <f>VLOOKUP($F1292, codebooks_data_reordered!$A:$I, 9, FALSE)</f>
        <v>0</v>
      </c>
      <c r="O1292" s="2" t="str">
        <f t="shared" si="20"/>
        <v>0</v>
      </c>
    </row>
    <row r="1293" spans="1:15" ht="115.2" hidden="1" x14ac:dyDescent="0.3">
      <c r="A1293" t="s">
        <v>8745</v>
      </c>
      <c r="B1293" t="s">
        <v>8798</v>
      </c>
      <c r="C1293" s="2" t="s">
        <v>8771</v>
      </c>
      <c r="D1293" t="s">
        <v>5843</v>
      </c>
      <c r="E1293" s="2" t="s">
        <v>8772</v>
      </c>
      <c r="F1293" t="s">
        <v>2140</v>
      </c>
      <c r="G1293" t="str">
        <f>VLOOKUP($F1293, codebooks_data_reordered!$A:$I, 2, FALSE)</f>
        <v>1999_1</v>
      </c>
      <c r="H1293" t="str">
        <f>VLOOKUP($F1293, codebooks_data_reordered!$A:$I, 3, FALSE)</f>
        <v>IMPACT OF MEDIA</v>
      </c>
      <c r="I1293" t="str">
        <f>VLOOKUP($F1293, codebooks_data_reordered!$A:$I, 4, FALSE)</f>
        <v>3</v>
      </c>
      <c r="J1293" t="str">
        <f>VLOOKUP($F1293, codebooks_data_reordered!$A:$I, 5, FALSE)</f>
        <v>7</v>
      </c>
      <c r="K1293" t="str">
        <f>VLOOKUP($F1293, codebooks_data_reordered!$A:$I, 6, FALSE)</f>
        <v>Follow publications of election polls</v>
      </c>
      <c r="L1293">
        <f>VLOOKUP($F1293, codebooks_data_reordered!$A:$I, 7, FALSE)</f>
        <v>0</v>
      </c>
      <c r="M1293" t="str">
        <f>VLOOKUP($F1293, codebooks_data_reordered!$A:$I, 9, FALSE)</f>
        <v>1: With a great interest; 2: With some interest; 3: With little interest; 4: Do not follow at all</v>
      </c>
      <c r="O1293" s="2" t="str">
        <f t="shared" si="20"/>
        <v>1: With a great interest
 2: With some interest
 3: With little interest
 4: Do not follow at all</v>
      </c>
    </row>
    <row r="1294" spans="1:15" ht="100.8" hidden="1" x14ac:dyDescent="0.3">
      <c r="A1294" t="s">
        <v>8745</v>
      </c>
      <c r="B1294" t="s">
        <v>8799</v>
      </c>
      <c r="C1294" s="2" t="s">
        <v>6333</v>
      </c>
      <c r="D1294" t="s">
        <v>5843</v>
      </c>
      <c r="E1294" s="2" t="s">
        <v>6334</v>
      </c>
      <c r="F1294" t="s">
        <v>1921</v>
      </c>
      <c r="G1294" t="str">
        <f>VLOOKUP($F1294, codebooks_data_reordered!$A:$I, 2, FALSE)</f>
        <v>1999_1</v>
      </c>
      <c r="H1294" t="str">
        <f>VLOOKUP($F1294, codebooks_data_reordered!$A:$I, 3, FALSE)</f>
        <v>MORE ATTITUDES TOWARD PARTIES AND CANDIDATES</v>
      </c>
      <c r="I1294" t="str">
        <f>VLOOKUP($F1294, codebooks_data_reordered!$A:$I, 4, FALSE)</f>
        <v>1</v>
      </c>
      <c r="J1294" t="str">
        <f>VLOOKUP($F1294, codebooks_data_reordered!$A:$I, 5, FALSE)</f>
        <v>77</v>
      </c>
      <c r="K1294" t="str">
        <f>VLOOKUP($F1294, codebooks_data_reordered!$A:$I, 6, FALSE)</f>
        <v>Identification with Itzhak Mordechai's peace and defense policies</v>
      </c>
      <c r="L1294" t="str">
        <f>VLOOKUP($F1294, codebooks_data_reordered!$A:$I, 7, FALSE)</f>
        <v>Identification with candidate on 1-10 scale: 1=Strong rejection, 10=Strong support</v>
      </c>
      <c r="M1294" t="str">
        <f>VLOOKUP($F1294, codebooks_data_reordered!$A:$I, 9, FALSE)</f>
        <v>1: Strong rejection; 10: Strong support</v>
      </c>
      <c r="O1294" s="2" t="str">
        <f t="shared" si="20"/>
        <v>1: Strong rejection
 10: Strong support</v>
      </c>
    </row>
    <row r="1295" spans="1:15" ht="187.2" hidden="1" x14ac:dyDescent="0.3">
      <c r="A1295" t="s">
        <v>8745</v>
      </c>
      <c r="B1295" t="s">
        <v>8800</v>
      </c>
      <c r="C1295" s="2" t="s">
        <v>8801</v>
      </c>
      <c r="D1295" t="s">
        <v>5843</v>
      </c>
      <c r="E1295" s="2" t="s">
        <v>8802</v>
      </c>
      <c r="F1295" t="s">
        <v>1847</v>
      </c>
      <c r="G1295" t="str">
        <f>VLOOKUP($F1295, codebooks_data_reordered!$A:$I, 2, FALSE)</f>
        <v>1999_1</v>
      </c>
      <c r="H1295" t="str">
        <f>VLOOKUP($F1295, codebooks_data_reordered!$A:$I, 3, FALSE)</f>
        <v>ATTITUDES TOWARD CANDIDATES AND PARTIES</v>
      </c>
      <c r="I1295" t="str">
        <f>VLOOKUP($F1295, codebooks_data_reordered!$A:$I, 4, FALSE)</f>
        <v>1</v>
      </c>
      <c r="J1295" t="str">
        <f>VLOOKUP($F1295, codebooks_data_reordered!$A:$I, 5, FALSE)</f>
        <v>46</v>
      </c>
      <c r="K1295" t="str">
        <f>VLOOKUP($F1295, codebooks_data_reordered!$A:$I, 6, FALSE)</f>
        <v>Extend of support for the Center Party</v>
      </c>
      <c r="L1295" t="str">
        <f>VLOOKUP($F1295, codebooks_data_reordered!$A:$I, 7, FALSE)</f>
        <v>Extent of support on 1-10 scale, 1=total rejection, 10=strong support</v>
      </c>
      <c r="M1295" t="str">
        <f>VLOOKUP($F1295, codebooks_data_reordered!$A:$I, 9, FALSE)</f>
        <v>1: Totally reject; 10: Strongly support</v>
      </c>
      <c r="O1295" s="2" t="str">
        <f t="shared" si="20"/>
        <v>1: Totally reject
 10: Strongly support</v>
      </c>
    </row>
    <row r="1296" spans="1:15" ht="158.4" hidden="1" x14ac:dyDescent="0.3">
      <c r="A1296" t="s">
        <v>8745</v>
      </c>
      <c r="B1296" t="s">
        <v>8803</v>
      </c>
      <c r="C1296" s="2" t="s">
        <v>8804</v>
      </c>
      <c r="D1296" t="s">
        <v>5843</v>
      </c>
      <c r="E1296" s="2" t="s">
        <v>8805</v>
      </c>
      <c r="F1296" t="s">
        <v>2162</v>
      </c>
      <c r="G1296" t="str">
        <f>VLOOKUP($F1296, codebooks_data_reordered!$A:$I, 2, FALSE)</f>
        <v>1999_1</v>
      </c>
      <c r="H1296" t="str">
        <f>VLOOKUP($F1296, codebooks_data_reordered!$A:$I, 3, FALSE)</f>
        <v>VOTING PATTERNS</v>
      </c>
      <c r="I1296" t="str">
        <f>VLOOKUP($F1296, codebooks_data_reordered!$A:$I, 4, FALSE)</f>
        <v>3</v>
      </c>
      <c r="J1296" t="str">
        <f>VLOOKUP($F1296, codebooks_data_reordered!$A:$I, 5, FALSE)</f>
        <v>17</v>
      </c>
      <c r="K1296" t="str">
        <f>VLOOKUP($F1296, codebooks_data_reordered!$A:$I, 6, FALSE)</f>
        <v>Vote for PM, if election were held today</v>
      </c>
      <c r="L1296">
        <f>VLOOKUP($F1296, codebooks_data_reordered!$A:$I, 7, FALSE)</f>
        <v>0</v>
      </c>
      <c r="M1296" t="str">
        <f>VLOOKUP($F1296, codebooks_data_reordered!$A:$I, 9, FALSE)</f>
        <v>0: Haven't decided yet; 1: Netanyahu; 2: Barak; 3: Mordechai; 4: Begin; 5: Bashara; 6: Raful; 7: Other; 8: Blank note; 9: Won't vote</v>
      </c>
      <c r="O1296" s="2" t="str">
        <f t="shared" si="20"/>
        <v>0: Haven't decided yet
 1: Netanyahu
 2: Barak
 3: Mordechai
 4: Begin
 5: Bashara
 6: Raful
 7: Other
 8: Blank note
 9: Won't vote</v>
      </c>
    </row>
    <row r="1297" spans="1:15" ht="331.2" hidden="1" x14ac:dyDescent="0.3">
      <c r="A1297" t="s">
        <v>8745</v>
      </c>
      <c r="B1297" t="s">
        <v>8806</v>
      </c>
      <c r="C1297" s="2" t="s">
        <v>8807</v>
      </c>
      <c r="D1297" t="s">
        <v>5843</v>
      </c>
      <c r="E1297" s="2" t="s">
        <v>8808</v>
      </c>
      <c r="F1297" t="s">
        <v>3097</v>
      </c>
      <c r="G1297" t="str">
        <f>VLOOKUP($F1297, codebooks_data_reordered!$A:$I, 2, FALSE)</f>
        <v>1988_Panel_N=416</v>
      </c>
      <c r="H1297" t="str">
        <f>VLOOKUP($F1297, codebooks_data_reordered!$A:$I, 3, FALSE)</f>
        <v>WHICH OF THE FOLLOWING WOULD YOU BE WILLING TO GIVE TO MAINTAIN/STRENGTHEN THE SECURITY</v>
      </c>
      <c r="I1297" t="str">
        <f>VLOOKUP($F1297, codebooks_data_reordered!$A:$I, 4, FALSE)</f>
        <v>1</v>
      </c>
      <c r="J1297" t="str">
        <f>VLOOKUP($F1297, codebooks_data_reordered!$A:$I, 5, FALSE)</f>
        <v>99</v>
      </c>
      <c r="K1297" t="str">
        <f>VLOOKUP($F1297, codebooks_data_reordered!$A:$I, 6, FALSE)</f>
        <v>Willingness to serve more in the army</v>
      </c>
      <c r="L1297">
        <f>VLOOKUP($F1297, codebooks_data_reordered!$A:$I, 7, FALSE)</f>
        <v>0</v>
      </c>
      <c r="M1297" t="str">
        <f>VLOOKUP($F1297, codebooks_data_reordered!$A:$I, 9, FALSE)</f>
        <v>1: Is willing; 2: Is unwilling</v>
      </c>
      <c r="O1297" s="2" t="str">
        <f t="shared" si="20"/>
        <v>1: Is willing
 2: Is unwilling</v>
      </c>
    </row>
    <row r="1298" spans="1:15" ht="115.2" hidden="1" x14ac:dyDescent="0.3">
      <c r="A1298" t="s">
        <v>8745</v>
      </c>
      <c r="B1298" t="s">
        <v>8809</v>
      </c>
      <c r="C1298" s="2" t="s">
        <v>6431</v>
      </c>
      <c r="D1298" t="s">
        <v>5843</v>
      </c>
      <c r="E1298" s="2" t="s">
        <v>6432</v>
      </c>
      <c r="F1298" t="s">
        <v>3760</v>
      </c>
      <c r="G1298" t="str">
        <f>VLOOKUP($F1298, codebooks_data_reordered!$A:$I, 2, FALSE)</f>
        <v>1988_N=873</v>
      </c>
      <c r="H1298" t="str">
        <f>VLOOKUP($F1298, codebooks_data_reordered!$A:$I, 3, FALSE)</f>
        <v>APPROVAL OF FOLLOWING SAYINGS ON SOCIAL AND STATE MATTERS</v>
      </c>
      <c r="I1298" t="str">
        <f>VLOOKUP($F1298, codebooks_data_reordered!$A:$I, 4, FALSE)</f>
        <v>1</v>
      </c>
      <c r="J1298" t="str">
        <f>VLOOKUP($F1298, codebooks_data_reordered!$A:$I, 5, FALSE)</f>
        <v>123</v>
      </c>
      <c r="K1298" t="str">
        <f>VLOOKUP($F1298, codebooks_data_reordered!$A:$I, 6, FALSE)</f>
        <v>Jews undertaking illegal actions against Arabs should get lighter punishment then Arabs hurting Jews</v>
      </c>
      <c r="L1298">
        <f>VLOOKUP($F1298, codebooks_data_reordered!$A:$I, 7, FALSE)</f>
        <v>0</v>
      </c>
      <c r="M1298" t="str">
        <f>VLOOKUP($F1298, codebooks_data_reordered!$A:$I, 9, FALSE)</f>
        <v>1: Definitely agree; 2: Agree; 3: Not certain; 4: Disagree; 5: Definitely disagree</v>
      </c>
      <c r="O1298" s="2" t="str">
        <f t="shared" si="20"/>
        <v>1: Definitely agree
 2: Agree
 3: Not certain
 4: Disagree
 5: Definitely disagree</v>
      </c>
    </row>
    <row r="1299" spans="1:15" ht="115.2" hidden="1" x14ac:dyDescent="0.3">
      <c r="A1299" t="s">
        <v>8745</v>
      </c>
      <c r="B1299" t="s">
        <v>8810</v>
      </c>
      <c r="C1299" s="2" t="s">
        <v>6431</v>
      </c>
      <c r="D1299" t="s">
        <v>5843</v>
      </c>
      <c r="E1299" s="2" t="s">
        <v>6432</v>
      </c>
      <c r="F1299" t="s">
        <v>909</v>
      </c>
      <c r="G1299" t="str">
        <f>VLOOKUP($F1299, codebooks_data_reordered!$A:$I, 2, FALSE)</f>
        <v>2006</v>
      </c>
      <c r="H1299" t="str">
        <f>VLOOKUP($F1299, codebooks_data_reordered!$A:$I, 3, FALSE)</f>
        <v>Reason for not Vote</v>
      </c>
      <c r="I1299" t="str">
        <f>VLOOKUP($F1299, codebooks_data_reordered!$A:$I, 4, FALSE)</f>
        <v>1</v>
      </c>
      <c r="J1299" t="str">
        <f>VLOOKUP($F1299, codebooks_data_reordered!$A:$I, 5, FALSE)</f>
        <v>328</v>
      </c>
      <c r="K1299" t="str">
        <f>VLOOKUP($F1299, codebooks_data_reordered!$A:$I, 6, FALSE)</f>
        <v>Reason for not vote: No difference between the parties</v>
      </c>
      <c r="L1299" t="str">
        <f>VLOOKUP($F1299, codebooks_data_reordered!$A:$I, 7, FALSE)</f>
        <v>In the last elections many fewer voters participated than in the past. I will list a number of possible reasons for this and I will ask you to tell me how important or unimportant each of these reasons is to explain why people did not vote. 15. No difference between the parties</v>
      </c>
      <c r="M1299" t="str">
        <f>VLOOKUP($F1299, codebooks_data_reordered!$A:$I, 9, FALSE)</f>
        <v>1: Extremely not important; 2: Not important; 3: Not certain; 4: Important; 5: Very important</v>
      </c>
      <c r="O1299" s="2" t="str">
        <f t="shared" si="20"/>
        <v>1: Extremely not important
 2: Not important
 3: Not certain
 4: Important
 5: Very important</v>
      </c>
    </row>
    <row r="1300" spans="1:15" ht="388.8" hidden="1" x14ac:dyDescent="0.3">
      <c r="A1300" t="s">
        <v>8745</v>
      </c>
      <c r="B1300" t="s">
        <v>8811</v>
      </c>
      <c r="C1300" s="2" t="s">
        <v>6431</v>
      </c>
      <c r="D1300" t="s">
        <v>5843</v>
      </c>
      <c r="E1300" s="2" t="s">
        <v>6432</v>
      </c>
      <c r="F1300" t="s">
        <v>695</v>
      </c>
      <c r="G1300" t="str">
        <f>VLOOKUP($F1300, codebooks_data_reordered!$A:$I, 2, FALSE)</f>
        <v>2006</v>
      </c>
      <c r="H1300" t="str">
        <f>VLOOKUP($F1300, codebooks_data_reordered!$A:$I, 3, FALSE)</f>
        <v>Previous Elections</v>
      </c>
      <c r="I1300" t="str">
        <f>VLOOKUP($F1300, codebooks_data_reordered!$A:$I, 4, FALSE)</f>
        <v>1</v>
      </c>
      <c r="J1300" t="str">
        <f>VLOOKUP($F1300, codebooks_data_reordered!$A:$I, 5, FALSE)</f>
        <v>255-256</v>
      </c>
      <c r="K1300" t="str">
        <f>VLOOKUP($F1300, codebooks_data_reordered!$A:$I, 6, FALSE)</f>
        <v>Vote in 2003 elections</v>
      </c>
      <c r="L1300" t="str">
        <f>VLOOKUP($F1300, codebooks_data_reordered!$A:$I, 7, FALSE)</f>
        <v>40. For which party did you vote in the previous elections in 2003? (do not read the answers)</v>
      </c>
      <c r="M1300" t="str">
        <f>VLOOKUP($F1300, codebooks_data_reordered!$A:$I, 9, FALSE)</f>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c r="O1300" s="2" t="str">
        <f t="shared" si="20"/>
        <v>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v>
      </c>
    </row>
    <row r="1301" spans="1:15" ht="115.2" hidden="1" x14ac:dyDescent="0.3">
      <c r="A1301" t="s">
        <v>8745</v>
      </c>
      <c r="B1301" t="s">
        <v>8812</v>
      </c>
      <c r="C1301" s="2" t="s">
        <v>6431</v>
      </c>
      <c r="D1301" t="s">
        <v>5843</v>
      </c>
      <c r="E1301" s="2" t="s">
        <v>6432</v>
      </c>
      <c r="F1301" t="s">
        <v>3761</v>
      </c>
      <c r="G1301" t="str">
        <f>VLOOKUP($F1301, codebooks_data_reordered!$A:$I, 2, FALSE)</f>
        <v>1988_N=873</v>
      </c>
      <c r="H1301" t="str">
        <f>VLOOKUP($F1301, codebooks_data_reordered!$A:$I, 3, FALSE)</f>
        <v>APPROVAL OF FOLLOWING SAYINGS ON SOCIAL AND STATE MATTERS</v>
      </c>
      <c r="I1301" t="str">
        <f>VLOOKUP($F1301, codebooks_data_reordered!$A:$I, 4, FALSE)</f>
        <v>1</v>
      </c>
      <c r="J1301" t="str">
        <f>VLOOKUP($F1301, codebooks_data_reordered!$A:$I, 5, FALSE)</f>
        <v>124</v>
      </c>
      <c r="K1301" t="str">
        <f>VLOOKUP($F1301, codebooks_data_reordered!$A:$I, 6, FALSE)</f>
        <v>Several strong leaders can do more good than any discussions and laws</v>
      </c>
      <c r="L1301">
        <f>VLOOKUP($F1301, codebooks_data_reordered!$A:$I, 7, FALSE)</f>
        <v>0</v>
      </c>
      <c r="M1301" t="str">
        <f>VLOOKUP($F1301, codebooks_data_reordered!$A:$I, 9, FALSE)</f>
        <v>1: Definitely agree; 2: Agree; 3: Not certain; 4: Disagree; 5: Definitely disagree</v>
      </c>
      <c r="O1301" s="2" t="str">
        <f t="shared" si="20"/>
        <v>1: Definitely agree
 2: Agree
 3: Not certain
 4: Disagree
 5: Definitely disagree</v>
      </c>
    </row>
    <row r="1302" spans="1:15" ht="115.2" hidden="1" x14ac:dyDescent="0.3">
      <c r="A1302" t="s">
        <v>8745</v>
      </c>
      <c r="B1302" t="s">
        <v>8813</v>
      </c>
      <c r="C1302" s="2" t="s">
        <v>6431</v>
      </c>
      <c r="D1302" t="s">
        <v>5843</v>
      </c>
      <c r="E1302" s="2" t="s">
        <v>6432</v>
      </c>
      <c r="F1302" t="s">
        <v>913</v>
      </c>
      <c r="G1302" t="str">
        <f>VLOOKUP($F1302, codebooks_data_reordered!$A:$I, 2, FALSE)</f>
        <v>2006</v>
      </c>
      <c r="H1302" t="str">
        <f>VLOOKUP($F1302, codebooks_data_reordered!$A:$I, 3, FALSE)</f>
        <v>Reason for not Vote</v>
      </c>
      <c r="I1302" t="str">
        <f>VLOOKUP($F1302, codebooks_data_reordered!$A:$I, 4, FALSE)</f>
        <v>1</v>
      </c>
      <c r="J1302" t="str">
        <f>VLOOKUP($F1302, codebooks_data_reordered!$A:$I, 5, FALSE)</f>
        <v>329</v>
      </c>
      <c r="K1302" t="str">
        <f>VLOOKUP($F1302, codebooks_data_reordered!$A:$I, 6, FALSE)</f>
        <v>Reason for not voted: It was clear who would win</v>
      </c>
      <c r="L1302" t="str">
        <f>VLOOKUP($F1302, codebooks_data_reordered!$A:$I, 7, FALSE)</f>
        <v>In the last elections many fewer voters participated than in the past. I will list a number of possible reasons for this and I will ask you to tell me how important or unimportant each of these reasons is to explain why people did not vote. 16. It was clear who would win</v>
      </c>
      <c r="M1302" t="str">
        <f>VLOOKUP($F1302, codebooks_data_reordered!$A:$I, 9, FALSE)</f>
        <v>1: Extremely not important; 2: Not important; 3: Not certain; 4: Important; 5: Very important</v>
      </c>
      <c r="O1302" s="2" t="str">
        <f t="shared" si="20"/>
        <v>1: Extremely not important
 2: Not important
 3: Not certain
 4: Important
 5: Very important</v>
      </c>
    </row>
    <row r="1303" spans="1:15" ht="129.6" hidden="1" x14ac:dyDescent="0.3">
      <c r="A1303" t="s">
        <v>8745</v>
      </c>
      <c r="B1303" t="s">
        <v>8814</v>
      </c>
      <c r="C1303" s="2" t="s">
        <v>6431</v>
      </c>
      <c r="D1303" t="s">
        <v>5843</v>
      </c>
      <c r="E1303" s="2" t="s">
        <v>6432</v>
      </c>
      <c r="F1303" t="s">
        <v>701</v>
      </c>
      <c r="G1303" t="str">
        <f>VLOOKUP($F1303, codebooks_data_reordered!$A:$I, 2, FALSE)</f>
        <v>2006</v>
      </c>
      <c r="H1303" t="str">
        <f>VLOOKUP($F1303, codebooks_data_reordered!$A:$I, 3, FALSE)</f>
        <v>Previous Elections</v>
      </c>
      <c r="I1303" t="str">
        <f>VLOOKUP($F1303, codebooks_data_reordered!$A:$I, 4, FALSE)</f>
        <v>1</v>
      </c>
      <c r="J1303" t="str">
        <f>VLOOKUP($F1303, codebooks_data_reordered!$A:$I, 5, FALSE)</f>
        <v>257</v>
      </c>
      <c r="K1303" t="str">
        <f>VLOOKUP($F1303, codebooks_data_reordered!$A:$I, 6, FALSE)</f>
        <v>Vote for PM in 2001 elections</v>
      </c>
      <c r="L1303" t="str">
        <f>VLOOKUP($F1303, codebooks_data_reordered!$A:$I, 7, FALSE)</f>
        <v>42. For whom did you vote for prime minister in 2001?</v>
      </c>
      <c r="M1303" t="str">
        <f>VLOOKUP($F1303, codebooks_data_reordered!$A:$I, 9, FALSE)</f>
        <v>1: Barak; 2: Sharon; 3: Blank ballot; 4: Didn't vote although had the right to vote; 5: Didn't vote / did not have the right to vote; 6: Don't remember; 9: Refuse to answer</v>
      </c>
      <c r="O1303" s="2" t="str">
        <f t="shared" si="20"/>
        <v>1: Barak
 2: Sharon
 3: Blank ballot
 4: Didn't vote although had the right to vote
 5: Didn't vote / did not have the right to vote
 6: Don't remember
 9: Refuse to answer</v>
      </c>
    </row>
    <row r="1304" spans="1:15" ht="115.2" hidden="1" x14ac:dyDescent="0.3">
      <c r="A1304" t="s">
        <v>8745</v>
      </c>
      <c r="B1304" t="s">
        <v>8815</v>
      </c>
      <c r="C1304" s="2" t="s">
        <v>6431</v>
      </c>
      <c r="D1304" t="s">
        <v>5843</v>
      </c>
      <c r="E1304" s="2" t="s">
        <v>6432</v>
      </c>
      <c r="F1304" t="s">
        <v>3640</v>
      </c>
      <c r="G1304" t="str">
        <f>VLOOKUP($F1304, codebooks_data_reordered!$A:$I, 2, FALSE)</f>
        <v>1988_N=873</v>
      </c>
      <c r="H1304" t="str">
        <f>VLOOKUP($F1304, codebooks_data_reordered!$A:$I, 3, FALSE)</f>
        <v>NATIONAL SECURITY SCALE</v>
      </c>
      <c r="I1304" t="str">
        <f>VLOOKUP($F1304, codebooks_data_reordered!$A:$I, 4, FALSE)</f>
        <v>1</v>
      </c>
      <c r="J1304" t="str">
        <f>VLOOKUP($F1304, codebooks_data_reordered!$A:$I, 5, FALSE)</f>
        <v>4</v>
      </c>
      <c r="K1304" t="str">
        <f>VLOOKUP($F1304, codebooks_data_reordered!$A:$I, 6, FALSE)</f>
        <v>Evaluation of Israel's national security 5 years ago</v>
      </c>
      <c r="L1304">
        <f>VLOOKUP($F1304, codebooks_data_reordered!$A:$I, 7, FALSE)</f>
        <v>0</v>
      </c>
      <c r="M1304" t="str">
        <f>VLOOKUP($F1304, codebooks_data_reordered!$A:$I, 9, FALSE)</f>
        <v>1: Worst possible; 9: Best possible</v>
      </c>
      <c r="O1304" s="2" t="str">
        <f t="shared" si="20"/>
        <v>1: Worst possible
 9: Best possible</v>
      </c>
    </row>
    <row r="1305" spans="1:15" ht="129.6" hidden="1" x14ac:dyDescent="0.3">
      <c r="A1305" t="s">
        <v>8745</v>
      </c>
      <c r="B1305" t="s">
        <v>7862</v>
      </c>
      <c r="C1305" s="2" t="s">
        <v>8816</v>
      </c>
      <c r="D1305" t="s">
        <v>5843</v>
      </c>
      <c r="E1305" s="2" t="s">
        <v>8817</v>
      </c>
      <c r="F1305" t="s">
        <v>3675</v>
      </c>
      <c r="G1305" t="str">
        <f>VLOOKUP($F1305, codebooks_data_reordered!$A:$I, 2, FALSE)</f>
        <v>1988_N=873</v>
      </c>
      <c r="H1305" t="str">
        <f>VLOOKUP($F1305, codebooks_data_reordered!$A:$I, 3, FALSE)</f>
        <v>ISRAEL'S CAPABILITY OF COPING WITH VARIOUS SITUATIONS</v>
      </c>
      <c r="I1305" t="str">
        <f>VLOOKUP($F1305, codebooks_data_reordered!$A:$I, 4, FALSE)</f>
        <v>1</v>
      </c>
      <c r="J1305" t="str">
        <f>VLOOKUP($F1305, codebooks_data_reordered!$A:$I, 5, FALSE)</f>
        <v>38</v>
      </c>
      <c r="K1305" t="str">
        <f>VLOOKUP($F1305, codebooks_data_reordered!$A:$I, 6, FALSE)</f>
        <v>The influence of the occupation on IDF soldiers' morale</v>
      </c>
      <c r="L1305">
        <f>VLOOKUP($F1305, codebooks_data_reordered!$A:$I, 7, FALSE)</f>
        <v>0</v>
      </c>
      <c r="M1305" t="str">
        <f>VLOOKUP($F1305, codebooks_data_reordered!$A:$I, 9, FALSE)</f>
        <v>1: Negative effect; 4: Neither positive nor negative; 7: Positive effect</v>
      </c>
      <c r="O1305" s="2" t="str">
        <f t="shared" si="20"/>
        <v>1: Negative effect
 4: Neither positive nor negative
 7: Positive effect</v>
      </c>
    </row>
    <row r="1306" spans="1:15" ht="115.2" hidden="1" x14ac:dyDescent="0.3">
      <c r="A1306" t="s">
        <v>8745</v>
      </c>
      <c r="B1306" t="s">
        <v>8818</v>
      </c>
      <c r="C1306" s="2" t="s">
        <v>8819</v>
      </c>
      <c r="D1306" t="s">
        <v>5843</v>
      </c>
      <c r="E1306" s="2" t="s">
        <v>8820</v>
      </c>
      <c r="F1306" t="s">
        <v>3808</v>
      </c>
      <c r="G1306" t="str">
        <f>VLOOKUP($F1306, codebooks_data_reordered!$A:$I, 2, FALSE)</f>
        <v>1988_N=873</v>
      </c>
      <c r="H1306" t="str">
        <f>VLOOKUP($F1306, codebooks_data_reordered!$A:$I, 3, FALSE)</f>
        <v>FOR WHICH PARTIES WOULD YOU VOTE FOR IF NO LIMITATION IS POSED</v>
      </c>
      <c r="I1306" t="str">
        <f>VLOOKUP($F1306, codebooks_data_reordered!$A:$I, 4, FALSE)</f>
        <v>1</v>
      </c>
      <c r="J1306" t="str">
        <f>VLOOKUP($F1306, codebooks_data_reordered!$A:$I, 5, FALSE)</f>
        <v>163-164</v>
      </c>
      <c r="K1306" t="str">
        <f>VLOOKUP($F1306, codebooks_data_reordered!$A:$I, 6, FALSE)</f>
        <v>Estimate of percentage of public thinking that under no condition is nuclear weapons usage justified</v>
      </c>
      <c r="L1306">
        <f>VLOOKUP($F1306, codebooks_data_reordered!$A:$I, 7, FALSE)</f>
        <v>0</v>
      </c>
      <c r="M1306" t="str">
        <f>VLOOKUP($F1306, codebooks_data_reordered!$A:$I, 9, FALSE)</f>
        <v>0: Minority; 99: Majority</v>
      </c>
      <c r="O1306" s="2" t="str">
        <f t="shared" si="20"/>
        <v>0: Minority
 99: Majority</v>
      </c>
    </row>
    <row r="1307" spans="1:15" ht="115.2" hidden="1" x14ac:dyDescent="0.3">
      <c r="A1307" t="s">
        <v>8745</v>
      </c>
      <c r="B1307" t="s">
        <v>8821</v>
      </c>
      <c r="C1307" s="2" t="s">
        <v>8822</v>
      </c>
      <c r="D1307" t="s">
        <v>5843</v>
      </c>
      <c r="E1307" s="2" t="s">
        <v>8823</v>
      </c>
      <c r="F1307" t="s">
        <v>656</v>
      </c>
      <c r="G1307" t="str">
        <f>VLOOKUP($F1307, codebooks_data_reordered!$A:$I, 2, FALSE)</f>
        <v>2006</v>
      </c>
      <c r="H1307" t="str">
        <f>VLOOKUP($F1307, codebooks_data_reordered!$A:$I, 3, FALSE)</f>
        <v>Different Coalitions after the Elections</v>
      </c>
      <c r="I1307" t="str">
        <f>VLOOKUP($F1307, codebooks_data_reordered!$A:$I, 4, FALSE)</f>
        <v>1</v>
      </c>
      <c r="J1307" t="str">
        <f>VLOOKUP($F1307, codebooks_data_reordered!$A:$I, 5, FALSE)</f>
        <v>231-232</v>
      </c>
      <c r="K1307" t="str">
        <f>VLOOKUP($F1307, codebooks_data_reordered!$A:$I, 6, FALSE)</f>
        <v>Will support Kadima-Labor coalition</v>
      </c>
      <c r="L1307" t="str">
        <f>VLOOKUP($F1307,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307" t="str">
        <f>VLOOKUP($F1307, codebooks_data_reordered!$A:$I, 9, FALSE)</f>
        <v>1: Reject; 10: Support</v>
      </c>
      <c r="O1307" s="2" t="str">
        <f t="shared" si="20"/>
        <v>1: Reject
 10: Support</v>
      </c>
    </row>
    <row r="1308" spans="1:15" ht="86.4" hidden="1" x14ac:dyDescent="0.3">
      <c r="A1308" t="s">
        <v>8745</v>
      </c>
      <c r="B1308" t="s">
        <v>8824</v>
      </c>
      <c r="C1308" s="2" t="s">
        <v>8825</v>
      </c>
      <c r="D1308" t="s">
        <v>5843</v>
      </c>
      <c r="E1308" s="2" t="s">
        <v>8826</v>
      </c>
      <c r="F1308" t="s">
        <v>659</v>
      </c>
      <c r="G1308" t="str">
        <f>VLOOKUP($F1308, codebooks_data_reordered!$A:$I, 2, FALSE)</f>
        <v>2006</v>
      </c>
      <c r="H1308" t="str">
        <f>VLOOKUP($F1308, codebooks_data_reordered!$A:$I, 3, FALSE)</f>
        <v>Different Coalitions after the Elections</v>
      </c>
      <c r="I1308" t="str">
        <f>VLOOKUP($F1308, codebooks_data_reordered!$A:$I, 4, FALSE)</f>
        <v>1</v>
      </c>
      <c r="J1308" t="str">
        <f>VLOOKUP($F1308, codebooks_data_reordered!$A:$I, 5, FALSE)</f>
        <v>233-234</v>
      </c>
      <c r="K1308" t="str">
        <f>VLOOKUP($F1308, codebooks_data_reordered!$A:$I, 6, FALSE)</f>
        <v>Will support Kadima-Likud coalition</v>
      </c>
      <c r="L1308" t="str">
        <f>VLOOKUP($F1308,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308" t="str">
        <f>VLOOKUP($F1308, codebooks_data_reordered!$A:$I, 9, FALSE)</f>
        <v>1: Reject; 10: Support</v>
      </c>
      <c r="O1308" s="2" t="str">
        <f t="shared" si="20"/>
        <v>1: Reject
 10: Support</v>
      </c>
    </row>
    <row r="1309" spans="1:15" ht="115.2" hidden="1" x14ac:dyDescent="0.3">
      <c r="A1309" t="s">
        <v>8745</v>
      </c>
      <c r="B1309" t="s">
        <v>8827</v>
      </c>
      <c r="C1309" s="2" t="s">
        <v>8163</v>
      </c>
      <c r="D1309" t="s">
        <v>5843</v>
      </c>
      <c r="E1309" s="2" t="s">
        <v>8164</v>
      </c>
      <c r="F1309" t="s">
        <v>671</v>
      </c>
      <c r="G1309" t="str">
        <f>VLOOKUP($F1309, codebooks_data_reordered!$A:$I, 2, FALSE)</f>
        <v>2006</v>
      </c>
      <c r="H1309" t="str">
        <f>VLOOKUP($F1309, codebooks_data_reordered!$A:$I, 3, FALSE)</f>
        <v>Different Coalitions after the Elections</v>
      </c>
      <c r="I1309" t="str">
        <f>VLOOKUP($F1309, codebooks_data_reordered!$A:$I, 4, FALSE)</f>
        <v>1</v>
      </c>
      <c r="J1309" t="str">
        <f>VLOOKUP($F1309, codebooks_data_reordered!$A:$I, 5, FALSE)</f>
        <v>244-245</v>
      </c>
      <c r="K1309" t="str">
        <f>VLOOKUP($F1309, codebooks_data_reordered!$A:$I, 6, FALSE)</f>
        <v>Will support Kadima-Labor-Meretz coalition</v>
      </c>
      <c r="L1309" t="str">
        <f>VLOOKUP($F1309,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309" t="str">
        <f>VLOOKUP($F1309, codebooks_data_reordered!$A:$I, 9, FALSE)</f>
        <v>1: Reject; 10: Support</v>
      </c>
      <c r="O1309" s="2" t="str">
        <f t="shared" si="20"/>
        <v>1: Reject
 10: Support</v>
      </c>
    </row>
    <row r="1310" spans="1:15" ht="115.2" hidden="1" x14ac:dyDescent="0.3">
      <c r="A1310" t="s">
        <v>8745</v>
      </c>
      <c r="B1310" t="s">
        <v>8828</v>
      </c>
      <c r="C1310" s="2" t="s">
        <v>8829</v>
      </c>
      <c r="D1310" t="s">
        <v>5843</v>
      </c>
      <c r="E1310" s="2" t="s">
        <v>8830</v>
      </c>
      <c r="F1310" t="s">
        <v>674</v>
      </c>
      <c r="G1310" t="str">
        <f>VLOOKUP($F1310, codebooks_data_reordered!$A:$I, 2, FALSE)</f>
        <v>2006</v>
      </c>
      <c r="H1310" t="str">
        <f>VLOOKUP($F1310, codebooks_data_reordered!$A:$I, 3, FALSE)</f>
        <v>Different Coalitions after the Elections</v>
      </c>
      <c r="I1310" t="str">
        <f>VLOOKUP($F1310, codebooks_data_reordered!$A:$I, 4, FALSE)</f>
        <v>1</v>
      </c>
      <c r="J1310" t="str">
        <f>VLOOKUP($F1310, codebooks_data_reordered!$A:$I, 5, FALSE)</f>
        <v>246-248</v>
      </c>
      <c r="K1310" t="str">
        <f>VLOOKUP($F1310, codebooks_data_reordered!$A:$I, 6, FALSE)</f>
        <v>Will support Kadima-Labor-Likud-Right parties and Haredim coalition</v>
      </c>
      <c r="L1310" t="str">
        <f>VLOOKUP($F1310, codebooks_data_reordered!$A:$I, 7, FALSE)</f>
        <v>And how supportive would you be of the following coalitions after the elections (read the coalitions in a different order) on a 10 point scale where '1' means strong rejection and '10' means strong support, and the rest are levels in between:</v>
      </c>
      <c r="M1310" t="str">
        <f>VLOOKUP($F1310, codebooks_data_reordered!$A:$I, 9, FALSE)</f>
        <v>1: Reject; 10: Support</v>
      </c>
      <c r="O1310" s="2" t="str">
        <f t="shared" si="20"/>
        <v>1: Reject
 10: Support</v>
      </c>
    </row>
    <row r="1311" spans="1:15" ht="115.2" hidden="1" x14ac:dyDescent="0.3">
      <c r="A1311" t="s">
        <v>8745</v>
      </c>
      <c r="B1311" t="s">
        <v>8831</v>
      </c>
      <c r="C1311" s="2" t="s">
        <v>8832</v>
      </c>
      <c r="D1311" t="s">
        <v>5843</v>
      </c>
      <c r="E1311" s="2" t="s">
        <v>8833</v>
      </c>
      <c r="F1311" t="s">
        <v>925</v>
      </c>
      <c r="G1311" t="str">
        <f>VLOOKUP($F1311, codebooks_data_reordered!$A:$I, 2, FALSE)</f>
        <v>2006</v>
      </c>
      <c r="H1311" t="str">
        <f>VLOOKUP($F1311, codebooks_data_reordered!$A:$I, 3, FALSE)</f>
        <v>Reason for not Vote</v>
      </c>
      <c r="I1311" t="str">
        <f>VLOOKUP($F1311, codebooks_data_reordered!$A:$I, 4, FALSE)</f>
        <v>1</v>
      </c>
      <c r="J1311" t="str">
        <f>VLOOKUP($F1311, codebooks_data_reordered!$A:$I, 5, FALSE)</f>
        <v>332</v>
      </c>
      <c r="K1311" t="str">
        <f>VLOOKUP($F1311, codebooks_data_reordered!$A:$I, 6, FALSE)</f>
        <v>Reason for not voted: People felt they did not have for whom to vote</v>
      </c>
      <c r="L1311" t="str">
        <f>VLOOKUP($F1311, codebooks_data_reordered!$A:$I, 7, FALSE)</f>
        <v>In the last elections many fewer voters participated than in the past. I will list a number of possible reasons for this and I will ask you to tell me how important or unimportant each of these reasons is to explain why people did not vote. 19. People felt they did not have for whom to vote</v>
      </c>
      <c r="M1311" t="str">
        <f>VLOOKUP($F1311, codebooks_data_reordered!$A:$I, 9, FALSE)</f>
        <v>1: Extremely not important; 2: Not important; 3: Not certain; 4: Important; 5: Very important</v>
      </c>
      <c r="O1311" s="2" t="str">
        <f t="shared" si="20"/>
        <v>1: Extremely not important
 2: Not important
 3: Not certain
 4: Important
 5: Very important</v>
      </c>
    </row>
    <row r="1312" spans="1:15" ht="86.4" hidden="1" x14ac:dyDescent="0.3">
      <c r="A1312" t="s">
        <v>8745</v>
      </c>
      <c r="B1312" t="s">
        <v>6173</v>
      </c>
      <c r="C1312" s="2" t="s">
        <v>8825</v>
      </c>
      <c r="D1312" t="s">
        <v>5843</v>
      </c>
      <c r="E1312" s="2" t="s">
        <v>8826</v>
      </c>
      <c r="F1312" t="s">
        <v>1779</v>
      </c>
      <c r="G1312" t="str">
        <f>VLOOKUP($F1312, codebooks_data_reordered!$A:$I, 2, FALSE)</f>
        <v>1999_1</v>
      </c>
      <c r="H1312" t="str">
        <f>VLOOKUP($F1312, codebooks_data_reordered!$A:$I, 3, FALSE)</f>
        <v>GENERAL POLITICAL ATTITUDE</v>
      </c>
      <c r="I1312" t="str">
        <f>VLOOKUP($F1312, codebooks_data_reordered!$A:$I, 4, FALSE)</f>
        <v>1</v>
      </c>
      <c r="J1312" t="str">
        <f>VLOOKUP($F1312, codebooks_data_reordered!$A:$I, 5, FALSE)</f>
        <v>19</v>
      </c>
      <c r="K1312" t="str">
        <f>VLOOKUP($F1312, codebooks_data_reordered!$A:$I, 6, FALSE)</f>
        <v>Peace process should be stopped even at risk of war</v>
      </c>
      <c r="L1312" t="str">
        <f>VLOOKUP($F1312, codebooks_data_reordered!$A:$I, 7, FALSE)</f>
        <v>Agreement with statement on 1-7 scale</v>
      </c>
      <c r="M1312" t="str">
        <f>VLOOKUP($F1312, codebooks_data_reordered!$A:$I, 9, FALSE)</f>
        <v>1: Strongly disagree; 7: Strongly agree</v>
      </c>
      <c r="O1312" s="2" t="str">
        <f t="shared" si="20"/>
        <v>1: Strongly disagree
 7: Strongly agree</v>
      </c>
    </row>
    <row r="1313" spans="1:15" ht="158.4" hidden="1" x14ac:dyDescent="0.3">
      <c r="A1313" t="s">
        <v>8745</v>
      </c>
      <c r="B1313" t="s">
        <v>8834</v>
      </c>
      <c r="C1313" s="2" t="s">
        <v>6431</v>
      </c>
      <c r="D1313" t="s">
        <v>5843</v>
      </c>
      <c r="E1313" s="2" t="s">
        <v>6432</v>
      </c>
      <c r="F1313" t="s">
        <v>960</v>
      </c>
      <c r="G1313" t="str">
        <f>VLOOKUP($F1313, codebooks_data_reordered!$A:$I, 2, FALSE)</f>
        <v>2006</v>
      </c>
      <c r="H1313" t="str">
        <f>VLOOKUP($F1313, codebooks_data_reordered!$A:$I, 3, FALSE)</f>
        <v>Reason for not Vote</v>
      </c>
      <c r="I1313" t="str">
        <f>VLOOKUP($F1313, codebooks_data_reordered!$A:$I, 4, FALSE)</f>
        <v>1</v>
      </c>
      <c r="J1313" t="str">
        <f>VLOOKUP($F1313, codebooks_data_reordered!$A:$I, 5, FALSE)</f>
        <v>341</v>
      </c>
      <c r="K1313" t="str">
        <f>VLOOKUP($F1313, codebooks_data_reordered!$A:$I, 6, FALSE)</f>
        <v>Main opinions on what the elections were about</v>
      </c>
      <c r="L1313" t="str">
        <f>VLOOKUP($F1313, codebooks_data_reordered!$A:$I, 7, FALSE)</f>
        <v>28. In sum, what were these elections about in your opinion (only one response) (Interviewer: Review answers 23-27 in a varying order)</v>
      </c>
      <c r="M1313" t="str">
        <f>VLOOKUP($F1313, codebooks_data_reordered!$A:$I, 9, FALSE)</f>
        <v>1: Political topic (Disengagement, negotiations with the Palestinians); 2: The security topic; 3: The economic-social topic; 4: Corruption; 7: Other; 8: All the topics; 9: None</v>
      </c>
      <c r="O1313" s="2" t="str">
        <f t="shared" si="20"/>
        <v>1: Political topic (Disengagement, negotiations with the Palestinians)
 2: The security topic
 3: The economic-social topic
 4: Corruption
 7: Other
 8: All the topics
 9: None</v>
      </c>
    </row>
    <row r="1314" spans="1:15" ht="201.6" hidden="1" x14ac:dyDescent="0.3">
      <c r="A1314" t="s">
        <v>8745</v>
      </c>
      <c r="B1314" t="s">
        <v>8835</v>
      </c>
      <c r="C1314" s="2" t="s">
        <v>6431</v>
      </c>
      <c r="D1314" t="s">
        <v>5843</v>
      </c>
      <c r="E1314" s="2" t="s">
        <v>6432</v>
      </c>
      <c r="F1314" t="s">
        <v>965</v>
      </c>
      <c r="G1314" t="str">
        <f>VLOOKUP($F1314, codebooks_data_reordered!$A:$I, 2, FALSE)</f>
        <v>2006</v>
      </c>
      <c r="H1314" t="str">
        <f>VLOOKUP($F1314, codebooks_data_reordered!$A:$I, 3, FALSE)</f>
        <v>Reason for not Vote</v>
      </c>
      <c r="I1314" t="str">
        <f>VLOOKUP($F1314, codebooks_data_reordered!$A:$I, 4, FALSE)</f>
        <v>1</v>
      </c>
      <c r="J1314" t="str">
        <f>VLOOKUP($F1314, codebooks_data_reordered!$A:$I, 5, FALSE)</f>
        <v>342</v>
      </c>
      <c r="K1314" t="str">
        <f>VLOOKUP($F1314, codebooks_data_reordered!$A:$I, 6, FALSE)</f>
        <v>Election as referendum on Olmert's plan</v>
      </c>
      <c r="L1314" t="str">
        <f>VLOOKUP($F1314, codebooks_data_reordered!$A:$I, 7, FALSE)</f>
        <v>29. In your opinion, should these elections be seen or should they not be seen as a referendum on Olmert's plan for another disengagement in Judea and Samaria that will determine the border with the Palestinians?</v>
      </c>
      <c r="M1314" t="str">
        <f>VLOOKUP($F1314, codebooks_data_reordered!$A:$I, 9, FALSE)</f>
        <v>1: The elections should definitely be seen as a referendum on these matters; 2: The elections can be seen as a referendum on these matters; 3: The elections cannot be seen as a referendum on these matters; 4: Tefinitely the elections should not be seen as a referendum on these matters</v>
      </c>
      <c r="O1314" s="2" t="str">
        <f t="shared" si="20"/>
        <v>1: The elections should definitely be seen as a referendum on these matters
 2: The elections can be seen as a referendum on these matters
 3: The elections cannot be seen as a referendum on these matters
 4: Tefinitely the elections should not be seen as a referendum on these matters</v>
      </c>
    </row>
    <row r="1315" spans="1:15" ht="115.2" hidden="1" x14ac:dyDescent="0.3">
      <c r="A1315" t="s">
        <v>8745</v>
      </c>
      <c r="B1315" t="s">
        <v>8836</v>
      </c>
      <c r="C1315" s="2" t="s">
        <v>8837</v>
      </c>
      <c r="D1315" t="s">
        <v>5843</v>
      </c>
      <c r="E1315" s="2" t="s">
        <v>8838</v>
      </c>
      <c r="F1315" t="s">
        <v>2208</v>
      </c>
      <c r="G1315" t="str">
        <f>VLOOKUP($F1315, codebooks_data_reordered!$A:$I, 2, FALSE)</f>
        <v>1999_1</v>
      </c>
      <c r="H1315" t="str">
        <f>VLOOKUP($F1315, codebooks_data_reordered!$A:$I, 3, FALSE)</f>
        <v>RESPONDENT'S DEMOGRAPHIC DETAILS</v>
      </c>
      <c r="I1315" t="str">
        <f>VLOOKUP($F1315, codebooks_data_reordered!$A:$I, 4, FALSE)</f>
        <v>3</v>
      </c>
      <c r="J1315" t="str">
        <f>VLOOKUP($F1315, codebooks_data_reordered!$A:$I, 5, FALSE)</f>
        <v>48</v>
      </c>
      <c r="K1315" t="str">
        <f>VLOOKUP($F1315, codebooks_data_reordered!$A:$I, 6, FALSE)</f>
        <v>Self-definition of religious identity</v>
      </c>
      <c r="L1315">
        <f>VLOOKUP($F1315, codebooks_data_reordered!$A:$I, 7, FALSE)</f>
        <v>0</v>
      </c>
      <c r="M1315" t="str">
        <f>VLOOKUP($F1315, codebooks_data_reordered!$A:$I, 9, FALSE)</f>
        <v>1: Secular; 2: Traditional; 3: Orthodox; 4: Ultra orthodox</v>
      </c>
      <c r="O1315" s="2" t="str">
        <f t="shared" si="20"/>
        <v>1: Secular
 2: Traditional
 3: Orthodox
 4: Ultra orthodox</v>
      </c>
    </row>
    <row r="1316" spans="1:15" ht="129.6" hidden="1" x14ac:dyDescent="0.3">
      <c r="A1316" t="s">
        <v>8745</v>
      </c>
      <c r="B1316" t="s">
        <v>8839</v>
      </c>
      <c r="C1316" s="2" t="s">
        <v>8840</v>
      </c>
      <c r="D1316" t="s">
        <v>5843</v>
      </c>
      <c r="E1316" s="2" t="s">
        <v>8841</v>
      </c>
      <c r="F1316" t="s">
        <v>9358</v>
      </c>
      <c r="G1316" t="e">
        <f>VLOOKUP($F1316, codebooks_data_reordered!$A:$I, 2, FALSE)</f>
        <v>#N/A</v>
      </c>
      <c r="H1316" t="e">
        <f>VLOOKUP($F1316, codebooks_data_reordered!$A:$I, 3, FALSE)</f>
        <v>#N/A</v>
      </c>
      <c r="I1316" t="e">
        <f>VLOOKUP($F1316, codebooks_data_reordered!$A:$I, 4, FALSE)</f>
        <v>#N/A</v>
      </c>
      <c r="J1316" t="e">
        <f>VLOOKUP($F1316, codebooks_data_reordered!$A:$I, 5, FALSE)</f>
        <v>#N/A</v>
      </c>
      <c r="K1316" t="e">
        <f>VLOOKUP($F1316, codebooks_data_reordered!$A:$I, 6, FALSE)</f>
        <v>#N/A</v>
      </c>
      <c r="L1316" t="e">
        <f>VLOOKUP($F1316, codebooks_data_reordered!$A:$I, 7, FALSE)</f>
        <v>#N/A</v>
      </c>
      <c r="M1316" t="e">
        <f>VLOOKUP($F1316, codebooks_data_reordered!$A:$I, 9, FALSE)</f>
        <v>#N/A</v>
      </c>
      <c r="O1316" t="e">
        <f t="shared" si="20"/>
        <v>#N/A</v>
      </c>
    </row>
    <row r="1317" spans="1:15" ht="115.2" hidden="1" x14ac:dyDescent="0.3">
      <c r="A1317" t="s">
        <v>8745</v>
      </c>
      <c r="B1317" t="s">
        <v>8842</v>
      </c>
      <c r="C1317" s="2" t="s">
        <v>6431</v>
      </c>
      <c r="D1317" t="s">
        <v>5843</v>
      </c>
      <c r="E1317" s="2" t="s">
        <v>6432</v>
      </c>
      <c r="F1317" t="s">
        <v>1831</v>
      </c>
      <c r="G1317" t="str">
        <f>VLOOKUP($F1317, codebooks_data_reordered!$A:$I, 2, FALSE)</f>
        <v>1999_1</v>
      </c>
      <c r="H1317" t="str">
        <f>VLOOKUP($F1317, codebooks_data_reordered!$A:$I, 3, FALSE)</f>
        <v>VALUES AND TRUST</v>
      </c>
      <c r="I1317" t="str">
        <f>VLOOKUP($F1317, codebooks_data_reordered!$A:$I, 4, FALSE)</f>
        <v>1</v>
      </c>
      <c r="J1317" t="str">
        <f>VLOOKUP($F1317, codebooks_data_reordered!$A:$I, 5, FALSE)</f>
        <v>40</v>
      </c>
      <c r="K1317" t="str">
        <f>VLOOKUP($F1317, codebooks_data_reordered!$A:$I, 6, FALSE)</f>
        <v>Satisfaction with Israeli democracy</v>
      </c>
      <c r="L1317">
        <f>VLOOKUP($F1317, codebooks_data_reordered!$A:$I, 7, FALSE)</f>
        <v>0</v>
      </c>
      <c r="M1317" t="str">
        <f>VLOOKUP($F1317, codebooks_data_reordered!$A:$I, 9, FALSE)</f>
        <v>1: Very satisfied; 2: Quite satisfied; 3: Not so satisfied; 4: Not satisfied at all</v>
      </c>
      <c r="O1317" s="2" t="str">
        <f t="shared" si="20"/>
        <v>1: Very satisfied
 2: Quite satisfied
 3: Not so satisfied
 4: Not satisfied at all</v>
      </c>
    </row>
    <row r="1318" spans="1:15" ht="129.6" hidden="1" x14ac:dyDescent="0.3">
      <c r="A1318" t="s">
        <v>8745</v>
      </c>
      <c r="B1318" t="s">
        <v>8843</v>
      </c>
      <c r="C1318" s="2" t="s">
        <v>8844</v>
      </c>
      <c r="D1318" t="s">
        <v>5843</v>
      </c>
      <c r="E1318" s="2" t="s">
        <v>8845</v>
      </c>
      <c r="F1318" t="s">
        <v>3792</v>
      </c>
      <c r="G1318" t="str">
        <f>VLOOKUP($F1318, codebooks_data_reordered!$A:$I, 2, FALSE)</f>
        <v>1988_N=873</v>
      </c>
      <c r="H1318" t="str">
        <f>VLOOKUP($F1318, codebooks_data_reordered!$A:$I, 3, FALSE)</f>
        <v>FOR WHICH PARTIES WOULD YOU VOTE FOR IF NO LIMITATION IS POSED</v>
      </c>
      <c r="I1318" t="str">
        <f>VLOOKUP($F1318, codebooks_data_reordered!$A:$I, 4, FALSE)</f>
        <v>1</v>
      </c>
      <c r="J1318" t="str">
        <f>VLOOKUP($F1318, codebooks_data_reordered!$A:$I, 5, FALSE)</f>
        <v>149</v>
      </c>
      <c r="K1318" t="str">
        <f>VLOOKUP($F1318, codebooks_data_reordered!$A:$I, 6, FALSE)</f>
        <v>Marital status</v>
      </c>
      <c r="L1318">
        <f>VLOOKUP($F1318, codebooks_data_reordered!$A:$I, 7, FALSE)</f>
        <v>0</v>
      </c>
      <c r="M1318" t="str">
        <f>VLOOKUP($F1318, codebooks_data_reordered!$A:$I, 9, FALSE)</f>
        <v>1: Not married; 2: Married; 3: Divorced; 4: Widowed</v>
      </c>
      <c r="O1318" s="2" t="str">
        <f t="shared" si="20"/>
        <v>1: Not married
 2: Married
 3: Divorced
 4: Widowed</v>
      </c>
    </row>
    <row r="1319" spans="1:15" ht="115.2" hidden="1" x14ac:dyDescent="0.3">
      <c r="A1319" t="s">
        <v>8745</v>
      </c>
      <c r="B1319" t="s">
        <v>8846</v>
      </c>
      <c r="C1319" s="2" t="s">
        <v>6518</v>
      </c>
      <c r="D1319" t="s">
        <v>5843</v>
      </c>
      <c r="E1319" s="2" t="s">
        <v>6519</v>
      </c>
      <c r="F1319" t="s">
        <v>1919</v>
      </c>
      <c r="G1319" t="str">
        <f>VLOOKUP($F1319, codebooks_data_reordered!$A:$I, 2, FALSE)</f>
        <v>1999_1</v>
      </c>
      <c r="H1319" t="str">
        <f>VLOOKUP($F1319, codebooks_data_reordered!$A:$I, 3, FALSE)</f>
        <v>MORE ATTITUDES TOWARD PARTIES AND CANDIDATES</v>
      </c>
      <c r="I1319" t="str">
        <f>VLOOKUP($F1319, codebooks_data_reordered!$A:$I, 4, FALSE)</f>
        <v>1</v>
      </c>
      <c r="J1319" t="str">
        <f>VLOOKUP($F1319, codebooks_data_reordered!$A:$I, 5, FALSE)</f>
        <v>76</v>
      </c>
      <c r="K1319" t="str">
        <f>VLOOKUP($F1319, codebooks_data_reordered!$A:$I, 6, FALSE)</f>
        <v>Identification with Ehud Barak's peace and defense policies</v>
      </c>
      <c r="L1319" t="str">
        <f>VLOOKUP($F1319, codebooks_data_reordered!$A:$I, 7, FALSE)</f>
        <v>Identification with candidate on 1-10 scale: 1=Strong rejection, 10=Strong support</v>
      </c>
      <c r="M1319" t="str">
        <f>VLOOKUP($F1319, codebooks_data_reordered!$A:$I, 9, FALSE)</f>
        <v>1: Strong rejection; 10: Strong support</v>
      </c>
      <c r="O1319" s="2" t="str">
        <f t="shared" si="20"/>
        <v>1: Strong rejection
 10: Strong support</v>
      </c>
    </row>
    <row r="1320" spans="1:15" ht="172.8" hidden="1" x14ac:dyDescent="0.3">
      <c r="A1320" t="s">
        <v>8745</v>
      </c>
      <c r="B1320" t="s">
        <v>8847</v>
      </c>
      <c r="C1320" s="2" t="s">
        <v>8848</v>
      </c>
      <c r="D1320" t="s">
        <v>5843</v>
      </c>
      <c r="E1320" s="2" t="s">
        <v>8849</v>
      </c>
      <c r="F1320" t="s">
        <v>9359</v>
      </c>
      <c r="G1320" t="e">
        <f>VLOOKUP($F1320, codebooks_data_reordered!$A:$I, 2, FALSE)</f>
        <v>#N/A</v>
      </c>
      <c r="H1320" t="e">
        <f>VLOOKUP($F1320, codebooks_data_reordered!$A:$I, 3, FALSE)</f>
        <v>#N/A</v>
      </c>
      <c r="I1320" t="e">
        <f>VLOOKUP($F1320, codebooks_data_reordered!$A:$I, 4, FALSE)</f>
        <v>#N/A</v>
      </c>
      <c r="J1320" t="e">
        <f>VLOOKUP($F1320, codebooks_data_reordered!$A:$I, 5, FALSE)</f>
        <v>#N/A</v>
      </c>
      <c r="K1320" t="e">
        <f>VLOOKUP($F1320, codebooks_data_reordered!$A:$I, 6, FALSE)</f>
        <v>#N/A</v>
      </c>
      <c r="L1320" t="e">
        <f>VLOOKUP($F1320, codebooks_data_reordered!$A:$I, 7, FALSE)</f>
        <v>#N/A</v>
      </c>
      <c r="M1320" t="e">
        <f>VLOOKUP($F1320, codebooks_data_reordered!$A:$I, 9, FALSE)</f>
        <v>#N/A</v>
      </c>
      <c r="O1320" t="e">
        <f t="shared" si="20"/>
        <v>#N/A</v>
      </c>
    </row>
    <row r="1321" spans="1:15" ht="244.8" hidden="1" x14ac:dyDescent="0.3">
      <c r="A1321" t="s">
        <v>8745</v>
      </c>
      <c r="B1321" t="s">
        <v>8850</v>
      </c>
      <c r="C1321" s="2" t="s">
        <v>8851</v>
      </c>
      <c r="D1321" t="s">
        <v>5843</v>
      </c>
      <c r="E1321" s="2" t="s">
        <v>8852</v>
      </c>
      <c r="F1321" t="s">
        <v>1811</v>
      </c>
      <c r="G1321" t="str">
        <f>VLOOKUP($F1321, codebooks_data_reordered!$A:$I, 2, FALSE)</f>
        <v>1999_1</v>
      </c>
      <c r="H1321" t="str">
        <f>VLOOKUP($F1321, codebooks_data_reordered!$A:$I, 3, FALSE)</f>
        <v>GENERAL POLITICAL ATTITUDE</v>
      </c>
      <c r="I1321" t="str">
        <f>VLOOKUP($F1321, codebooks_data_reordered!$A:$I, 4, FALSE)</f>
        <v>1</v>
      </c>
      <c r="J1321" t="str">
        <f>VLOOKUP($F1321, codebooks_data_reordered!$A:$I, 5, FALSE)</f>
        <v>32</v>
      </c>
      <c r="K1321" t="str">
        <f>VLOOKUP($F1321, codebooks_data_reordered!$A:$I, 6, FALSE)</f>
        <v>Forecast of establishment of a Palestinian state within next 10 years</v>
      </c>
      <c r="L1321">
        <f>VLOOKUP($F1321, codebooks_data_reordered!$A:$I, 7, FALSE)</f>
        <v>0</v>
      </c>
      <c r="M1321" t="str">
        <f>VLOOKUP($F1321, codebooks_data_reordered!$A:$I, 9, FALSE)</f>
        <v>1: Palestinian state will be established; 2: Palestinian state will not be established</v>
      </c>
      <c r="O1321" s="2" t="str">
        <f t="shared" si="20"/>
        <v>1: Palestinian state will be established
 2: Palestinian state will not be established</v>
      </c>
    </row>
    <row r="1322" spans="1:15" ht="201.6" hidden="1" x14ac:dyDescent="0.3">
      <c r="A1322" t="s">
        <v>8745</v>
      </c>
      <c r="B1322" t="s">
        <v>8853</v>
      </c>
      <c r="C1322" s="2" t="s">
        <v>8854</v>
      </c>
      <c r="D1322" t="s">
        <v>5843</v>
      </c>
      <c r="E1322" s="2" t="s">
        <v>8855</v>
      </c>
      <c r="F1322" t="s">
        <v>4226</v>
      </c>
      <c r="G1322" t="str">
        <f>VLOOKUP($F1322, codebooks_data_reordered!$A:$I, 2, FALSE)</f>
        <v>1981_3</v>
      </c>
      <c r="H1322">
        <f>VLOOKUP($F1322, codebooks_data_reordered!$A:$I, 3, FALSE)</f>
        <v>0</v>
      </c>
      <c r="I1322" t="str">
        <f>VLOOKUP($F1322, codebooks_data_reordered!$A:$I, 4, FALSE)</f>
        <v>1</v>
      </c>
      <c r="J1322" t="str">
        <f>VLOOKUP($F1322, codebooks_data_reordered!$A:$I, 5, FALSE)</f>
        <v>6</v>
      </c>
      <c r="K1322" t="str">
        <f>VLOOKUP($F1322, codebooks_data_reordered!$A:$I, 6, FALSE)</f>
        <v>Way government handles present problems in Israel</v>
      </c>
      <c r="L1322">
        <f>VLOOKUP($F1322, codebooks_data_reordered!$A:$I, 7, FALSE)</f>
        <v>0</v>
      </c>
      <c r="M1322" t="str">
        <f>VLOOKUP($F1322, codebooks_data_reordered!$A:$I, 9, FALSE)</f>
        <v>1: Very well; 2: Well; 3: Not so well; 4: Not well at all</v>
      </c>
      <c r="O1322" s="2" t="str">
        <f t="shared" si="20"/>
        <v>1: Very well
 2: Well
 3: Not so well
 4: Not well at all</v>
      </c>
    </row>
    <row r="1323" spans="1:15" ht="244.8" hidden="1" x14ac:dyDescent="0.3">
      <c r="A1323" t="s">
        <v>8745</v>
      </c>
      <c r="B1323" t="s">
        <v>8856</v>
      </c>
      <c r="C1323" s="2" t="s">
        <v>8857</v>
      </c>
      <c r="D1323" t="s">
        <v>5843</v>
      </c>
      <c r="E1323" s="2" t="s">
        <v>8858</v>
      </c>
      <c r="F1323" t="s">
        <v>1833</v>
      </c>
      <c r="G1323" t="str">
        <f>VLOOKUP($F1323, codebooks_data_reordered!$A:$I, 2, FALSE)</f>
        <v>1999_1</v>
      </c>
      <c r="H1323" t="str">
        <f>VLOOKUP($F1323, codebooks_data_reordered!$A:$I, 3, FALSE)</f>
        <v>VALUES AND TRUST</v>
      </c>
      <c r="I1323" t="str">
        <f>VLOOKUP($F1323, codebooks_data_reordered!$A:$I, 4, FALSE)</f>
        <v>1</v>
      </c>
      <c r="J1323" t="str">
        <f>VLOOKUP($F1323, codebooks_data_reordered!$A:$I, 5, FALSE)</f>
        <v>41</v>
      </c>
      <c r="K1323" t="str">
        <f>VLOOKUP($F1323, codebooks_data_reordered!$A:$I, 6, FALSE)</f>
        <v>Satisfaction with public discussion in Israel</v>
      </c>
      <c r="L1323">
        <f>VLOOKUP($F1323, codebooks_data_reordered!$A:$I, 7, FALSE)</f>
        <v>0</v>
      </c>
      <c r="M1323" t="str">
        <f>VLOOKUP($F1323, codebooks_data_reordered!$A:$I, 9, FALSE)</f>
        <v>1: Very satisfied; 2: Quite satisfied; 3: Not so satisfied; 4: Not satisfied at all</v>
      </c>
      <c r="O1323" s="2" t="str">
        <f t="shared" si="20"/>
        <v>1: Very satisfied
 2: Quite satisfied
 3: Not so satisfied
 4: Not satisfied at all</v>
      </c>
    </row>
    <row r="1324" spans="1:15" ht="144" hidden="1" x14ac:dyDescent="0.3">
      <c r="A1324" t="s">
        <v>8745</v>
      </c>
      <c r="B1324" t="s">
        <v>8859</v>
      </c>
      <c r="C1324" s="2" t="s">
        <v>8860</v>
      </c>
      <c r="D1324" t="s">
        <v>5843</v>
      </c>
      <c r="E1324" s="2" t="s">
        <v>8861</v>
      </c>
      <c r="F1324" t="s">
        <v>9360</v>
      </c>
      <c r="G1324" t="e">
        <f>VLOOKUP($F1324, codebooks_data_reordered!$A:$I, 2, FALSE)</f>
        <v>#N/A</v>
      </c>
      <c r="H1324" t="e">
        <f>VLOOKUP($F1324, codebooks_data_reordered!$A:$I, 3, FALSE)</f>
        <v>#N/A</v>
      </c>
      <c r="I1324" t="e">
        <f>VLOOKUP($F1324, codebooks_data_reordered!$A:$I, 4, FALSE)</f>
        <v>#N/A</v>
      </c>
      <c r="J1324" t="e">
        <f>VLOOKUP($F1324, codebooks_data_reordered!$A:$I, 5, FALSE)</f>
        <v>#N/A</v>
      </c>
      <c r="K1324" t="e">
        <f>VLOOKUP($F1324, codebooks_data_reordered!$A:$I, 6, FALSE)</f>
        <v>#N/A</v>
      </c>
      <c r="L1324" t="e">
        <f>VLOOKUP($F1324, codebooks_data_reordered!$A:$I, 7, FALSE)</f>
        <v>#N/A</v>
      </c>
      <c r="M1324" t="e">
        <f>VLOOKUP($F1324, codebooks_data_reordered!$A:$I, 9, FALSE)</f>
        <v>#N/A</v>
      </c>
      <c r="O1324" t="e">
        <f t="shared" si="20"/>
        <v>#N/A</v>
      </c>
    </row>
    <row r="1325" spans="1:15" ht="144" hidden="1" x14ac:dyDescent="0.3">
      <c r="A1325" t="s">
        <v>8745</v>
      </c>
      <c r="B1325" t="s">
        <v>8862</v>
      </c>
      <c r="C1325" s="2" t="s">
        <v>8863</v>
      </c>
      <c r="D1325" t="s">
        <v>5843</v>
      </c>
      <c r="E1325" s="2" t="s">
        <v>8864</v>
      </c>
      <c r="F1325" t="s">
        <v>9361</v>
      </c>
      <c r="G1325" t="e">
        <f>VLOOKUP($F1325, codebooks_data_reordered!$A:$I, 2, FALSE)</f>
        <v>#N/A</v>
      </c>
      <c r="H1325" t="e">
        <f>VLOOKUP($F1325, codebooks_data_reordered!$A:$I, 3, FALSE)</f>
        <v>#N/A</v>
      </c>
      <c r="I1325" t="e">
        <f>VLOOKUP($F1325, codebooks_data_reordered!$A:$I, 4, FALSE)</f>
        <v>#N/A</v>
      </c>
      <c r="J1325" t="e">
        <f>VLOOKUP($F1325, codebooks_data_reordered!$A:$I, 5, FALSE)</f>
        <v>#N/A</v>
      </c>
      <c r="K1325" t="e">
        <f>VLOOKUP($F1325, codebooks_data_reordered!$A:$I, 6, FALSE)</f>
        <v>#N/A</v>
      </c>
      <c r="L1325" t="e">
        <f>VLOOKUP($F1325, codebooks_data_reordered!$A:$I, 7, FALSE)</f>
        <v>#N/A</v>
      </c>
      <c r="M1325" t="e">
        <f>VLOOKUP($F1325, codebooks_data_reordered!$A:$I, 9, FALSE)</f>
        <v>#N/A</v>
      </c>
      <c r="O1325" t="e">
        <f t="shared" si="20"/>
        <v>#N/A</v>
      </c>
    </row>
    <row r="1326" spans="1:15" ht="144" hidden="1" x14ac:dyDescent="0.3">
      <c r="A1326" t="s">
        <v>8865</v>
      </c>
      <c r="B1326" t="s">
        <v>8273</v>
      </c>
      <c r="C1326" s="2" t="s">
        <v>8866</v>
      </c>
      <c r="D1326" t="s">
        <v>5843</v>
      </c>
      <c r="E1326" s="2" t="s">
        <v>8867</v>
      </c>
      <c r="F1326" t="s">
        <v>9362</v>
      </c>
      <c r="G1326" t="e">
        <f>VLOOKUP($F1326, codebooks_data_reordered!$A:$I, 2, FALSE)</f>
        <v>#N/A</v>
      </c>
      <c r="H1326" t="e">
        <f>VLOOKUP($F1326, codebooks_data_reordered!$A:$I, 3, FALSE)</f>
        <v>#N/A</v>
      </c>
      <c r="I1326" t="e">
        <f>VLOOKUP($F1326, codebooks_data_reordered!$A:$I, 4, FALSE)</f>
        <v>#N/A</v>
      </c>
      <c r="J1326" t="e">
        <f>VLOOKUP($F1326, codebooks_data_reordered!$A:$I, 5, FALSE)</f>
        <v>#N/A</v>
      </c>
      <c r="K1326" t="e">
        <f>VLOOKUP($F1326, codebooks_data_reordered!$A:$I, 6, FALSE)</f>
        <v>#N/A</v>
      </c>
      <c r="L1326" t="e">
        <f>VLOOKUP($F1326, codebooks_data_reordered!$A:$I, 7, FALSE)</f>
        <v>#N/A</v>
      </c>
      <c r="M1326" t="e">
        <f>VLOOKUP($F1326, codebooks_data_reordered!$A:$I, 9, FALSE)</f>
        <v>#N/A</v>
      </c>
      <c r="O1326" t="e">
        <f t="shared" si="20"/>
        <v>#N/A</v>
      </c>
    </row>
    <row r="1327" spans="1:15" ht="187.2" hidden="1" x14ac:dyDescent="0.3">
      <c r="A1327" t="s">
        <v>8865</v>
      </c>
      <c r="B1327" t="s">
        <v>6206</v>
      </c>
      <c r="C1327" s="2" t="s">
        <v>8868</v>
      </c>
      <c r="D1327" t="s">
        <v>5843</v>
      </c>
      <c r="E1327" s="2" t="s">
        <v>8869</v>
      </c>
      <c r="F1327" t="s">
        <v>9363</v>
      </c>
      <c r="G1327" t="e">
        <f>VLOOKUP($F1327, codebooks_data_reordered!$A:$I, 2, FALSE)</f>
        <v>#N/A</v>
      </c>
      <c r="H1327" t="e">
        <f>VLOOKUP($F1327, codebooks_data_reordered!$A:$I, 3, FALSE)</f>
        <v>#N/A</v>
      </c>
      <c r="I1327" t="e">
        <f>VLOOKUP($F1327, codebooks_data_reordered!$A:$I, 4, FALSE)</f>
        <v>#N/A</v>
      </c>
      <c r="J1327" t="e">
        <f>VLOOKUP($F1327, codebooks_data_reordered!$A:$I, 5, FALSE)</f>
        <v>#N/A</v>
      </c>
      <c r="K1327" t="e">
        <f>VLOOKUP($F1327, codebooks_data_reordered!$A:$I, 6, FALSE)</f>
        <v>#N/A</v>
      </c>
      <c r="L1327" t="e">
        <f>VLOOKUP($F1327, codebooks_data_reordered!$A:$I, 7, FALSE)</f>
        <v>#N/A</v>
      </c>
      <c r="M1327" t="e">
        <f>VLOOKUP($F1327, codebooks_data_reordered!$A:$I, 9, FALSE)</f>
        <v>#N/A</v>
      </c>
      <c r="O1327" t="e">
        <f t="shared" si="20"/>
        <v>#N/A</v>
      </c>
    </row>
    <row r="1328" spans="1:15" ht="201.6" hidden="1" x14ac:dyDescent="0.3">
      <c r="A1328" t="s">
        <v>8865</v>
      </c>
      <c r="B1328" t="s">
        <v>6513</v>
      </c>
      <c r="C1328" s="2" t="s">
        <v>8870</v>
      </c>
      <c r="D1328" t="s">
        <v>5843</v>
      </c>
      <c r="E1328" s="2" t="s">
        <v>8871</v>
      </c>
      <c r="F1328" t="s">
        <v>9364</v>
      </c>
      <c r="G1328" t="e">
        <f>VLOOKUP($F1328, codebooks_data_reordered!$A:$I, 2, FALSE)</f>
        <v>#N/A</v>
      </c>
      <c r="H1328" t="e">
        <f>VLOOKUP($F1328, codebooks_data_reordered!$A:$I, 3, FALSE)</f>
        <v>#N/A</v>
      </c>
      <c r="I1328" t="e">
        <f>VLOOKUP($F1328, codebooks_data_reordered!$A:$I, 4, FALSE)</f>
        <v>#N/A</v>
      </c>
      <c r="J1328" t="e">
        <f>VLOOKUP($F1328, codebooks_data_reordered!$A:$I, 5, FALSE)</f>
        <v>#N/A</v>
      </c>
      <c r="K1328" t="e">
        <f>VLOOKUP($F1328, codebooks_data_reordered!$A:$I, 6, FALSE)</f>
        <v>#N/A</v>
      </c>
      <c r="L1328" t="e">
        <f>VLOOKUP($F1328, codebooks_data_reordered!$A:$I, 7, FALSE)</f>
        <v>#N/A</v>
      </c>
      <c r="M1328" t="e">
        <f>VLOOKUP($F1328, codebooks_data_reordered!$A:$I, 9, FALSE)</f>
        <v>#N/A</v>
      </c>
      <c r="O1328" t="e">
        <f t="shared" si="20"/>
        <v>#N/A</v>
      </c>
    </row>
    <row r="1329" spans="1:15" ht="86.4" hidden="1" x14ac:dyDescent="0.3">
      <c r="A1329" t="s">
        <v>8865</v>
      </c>
      <c r="B1329" t="s">
        <v>6767</v>
      </c>
      <c r="C1329" s="2" t="s">
        <v>8872</v>
      </c>
      <c r="D1329" t="s">
        <v>5843</v>
      </c>
      <c r="E1329" s="2" t="s">
        <v>8873</v>
      </c>
      <c r="F1329" t="s">
        <v>9365</v>
      </c>
      <c r="G1329" t="e">
        <f>VLOOKUP($F1329, codebooks_data_reordered!$A:$I, 2, FALSE)</f>
        <v>#N/A</v>
      </c>
      <c r="H1329" t="e">
        <f>VLOOKUP($F1329, codebooks_data_reordered!$A:$I, 3, FALSE)</f>
        <v>#N/A</v>
      </c>
      <c r="I1329" t="e">
        <f>VLOOKUP($F1329, codebooks_data_reordered!$A:$I, 4, FALSE)</f>
        <v>#N/A</v>
      </c>
      <c r="J1329" t="e">
        <f>VLOOKUP($F1329, codebooks_data_reordered!$A:$I, 5, FALSE)</f>
        <v>#N/A</v>
      </c>
      <c r="K1329" t="e">
        <f>VLOOKUP($F1329, codebooks_data_reordered!$A:$I, 6, FALSE)</f>
        <v>#N/A</v>
      </c>
      <c r="L1329" t="e">
        <f>VLOOKUP($F1329, codebooks_data_reordered!$A:$I, 7, FALSE)</f>
        <v>#N/A</v>
      </c>
      <c r="M1329" t="e">
        <f>VLOOKUP($F1329, codebooks_data_reordered!$A:$I, 9, FALSE)</f>
        <v>#N/A</v>
      </c>
      <c r="N1329" t="s">
        <v>9401</v>
      </c>
      <c r="O1329" t="e">
        <f t="shared" si="20"/>
        <v>#N/A</v>
      </c>
    </row>
    <row r="1330" spans="1:15" ht="43.2" hidden="1" x14ac:dyDescent="0.3">
      <c r="A1330" t="s">
        <v>8865</v>
      </c>
      <c r="B1330" t="s">
        <v>6233</v>
      </c>
      <c r="C1330" s="2" t="s">
        <v>6116</v>
      </c>
      <c r="D1330" t="s">
        <v>5843</v>
      </c>
      <c r="E1330" s="2" t="s">
        <v>6117</v>
      </c>
      <c r="F1330">
        <v>0</v>
      </c>
      <c r="G1330" t="e">
        <f>VLOOKUP($F1330, codebooks_data_reordered!$A:$I, 2, FALSE)</f>
        <v>#N/A</v>
      </c>
      <c r="H1330" t="e">
        <f>VLOOKUP($F1330, codebooks_data_reordered!$A:$I, 3, FALSE)</f>
        <v>#N/A</v>
      </c>
      <c r="I1330" t="e">
        <f>VLOOKUP($F1330, codebooks_data_reordered!$A:$I, 4, FALSE)</f>
        <v>#N/A</v>
      </c>
      <c r="J1330" t="e">
        <f>VLOOKUP($F1330, codebooks_data_reordered!$A:$I, 5, FALSE)</f>
        <v>#N/A</v>
      </c>
      <c r="K1330" t="e">
        <f>VLOOKUP($F1330, codebooks_data_reordered!$A:$I, 6, FALSE)</f>
        <v>#N/A</v>
      </c>
      <c r="L1330" t="e">
        <f>VLOOKUP($F1330, codebooks_data_reordered!$A:$I, 7, FALSE)</f>
        <v>#N/A</v>
      </c>
      <c r="M1330" t="e">
        <f>VLOOKUP($F1330, codebooks_data_reordered!$A:$I, 9, FALSE)</f>
        <v>#N/A</v>
      </c>
      <c r="O1330" t="e">
        <f t="shared" si="20"/>
        <v>#N/A</v>
      </c>
    </row>
    <row r="1331" spans="1:15" ht="144" hidden="1" x14ac:dyDescent="0.3">
      <c r="A1331" t="s">
        <v>8865</v>
      </c>
      <c r="B1331" t="s">
        <v>8874</v>
      </c>
      <c r="C1331" s="2" t="s">
        <v>8875</v>
      </c>
      <c r="D1331" t="s">
        <v>5843</v>
      </c>
      <c r="E1331" s="2" t="s">
        <v>8876</v>
      </c>
      <c r="F1331" t="s">
        <v>3073</v>
      </c>
      <c r="G1331" t="str">
        <f>VLOOKUP($F1331, codebooks_data_reordered!$A:$I, 2, FALSE)</f>
        <v>1988_Panel_N=416</v>
      </c>
      <c r="H1331" t="str">
        <f>VLOOKUP($F1331, codebooks_data_reordered!$A:$I, 3, FALSE)</f>
        <v>ISRAEL'S CAPABILITY OF COPING WITH VARIOUS SITUATIONS</v>
      </c>
      <c r="I1331" t="str">
        <f>VLOOKUP($F1331, codebooks_data_reordered!$A:$I, 4, FALSE)</f>
        <v>1</v>
      </c>
      <c r="J1331" t="str">
        <f>VLOOKUP($F1331, codebooks_data_reordered!$A:$I, 5, FALSE)</f>
        <v>89</v>
      </c>
      <c r="K1331" t="str">
        <f>VLOOKUP($F1331, codebooks_data_reordered!$A:$I, 6, FALSE)</f>
        <v>Estimate of the Arabs' ultimate goal</v>
      </c>
      <c r="L1331">
        <f>VLOOKUP($F1331, codebooks_data_reordered!$A:$I, 7, FALSE)</f>
        <v>0</v>
      </c>
      <c r="M1331" t="str">
        <f>VLOOKUP($F1331, codebooks_data_reordered!$A:$I, 9, FALSE)</f>
        <v>1: To retrieve part of the territories seized during the 6 Day War; 2: To retrieve all of the territories seized during the 6 Day War; 3: To conquer Israel; 4: To conquer Israel and annihilate most of the Jewish population</v>
      </c>
      <c r="O1331" s="2" t="str">
        <f t="shared" si="20"/>
        <v>1: To retrieve part of the territories seized during the 6 Day War
 2: To retrieve all of the territories seized during the 6 Day War
 3: To conquer Israel
 4: To conquer Israel and annihilate most of the Jewish population</v>
      </c>
    </row>
    <row r="1332" spans="1:15" ht="244.8" hidden="1" x14ac:dyDescent="0.3">
      <c r="A1332" t="s">
        <v>8865</v>
      </c>
      <c r="B1332" t="s">
        <v>7200</v>
      </c>
      <c r="C1332" s="2" t="s">
        <v>8877</v>
      </c>
      <c r="D1332" t="s">
        <v>5843</v>
      </c>
      <c r="E1332" s="2" t="s">
        <v>8878</v>
      </c>
      <c r="F1332" t="s">
        <v>3064</v>
      </c>
      <c r="G1332" t="str">
        <f>VLOOKUP($F1332, codebooks_data_reordered!$A:$I, 2, FALSE)</f>
        <v>1988_Panel_N=416</v>
      </c>
      <c r="H1332" t="str">
        <f>VLOOKUP($F1332, codebooks_data_reordered!$A:$I, 3, FALSE)</f>
        <v>ISRAEL'S CAPABILITY OF COPING WITH VARIOUS SITUATIONS</v>
      </c>
      <c r="I1332" t="str">
        <f>VLOOKUP($F1332, codebooks_data_reordered!$A:$I, 4, FALSE)</f>
        <v>1</v>
      </c>
      <c r="J1332" t="str">
        <f>VLOOKUP($F1332, codebooks_data_reordered!$A:$I, 5, FALSE)</f>
        <v>86</v>
      </c>
      <c r="K1332" t="str">
        <f>VLOOKUP($F1332, codebooks_data_reordered!$A:$I, 6, FALSE)</f>
        <v>What probability does respondent attach to Israel's destruction</v>
      </c>
      <c r="L1332">
        <f>VLOOKUP($F1332, codebooks_data_reordered!$A:$I, 7, FALSE)</f>
        <v>0</v>
      </c>
      <c r="M1332" t="str">
        <f>VLOOKUP($F1332, codebooks_data_reordered!$A:$I, 9, FALSE)</f>
        <v>1: High; 2: Medium; 3: Low; 4: Non-existent</v>
      </c>
      <c r="O1332" s="2" t="str">
        <f t="shared" si="20"/>
        <v>1: High
 2: Medium
 3: Low
 4: Non-existent</v>
      </c>
    </row>
    <row r="1333" spans="1:15" ht="230.4" hidden="1" x14ac:dyDescent="0.3">
      <c r="A1333" t="s">
        <v>8865</v>
      </c>
      <c r="B1333" t="s">
        <v>7889</v>
      </c>
      <c r="C1333" s="2" t="s">
        <v>8879</v>
      </c>
      <c r="D1333" t="s">
        <v>5843</v>
      </c>
      <c r="E1333" s="2" t="s">
        <v>8880</v>
      </c>
      <c r="F1333" t="s">
        <v>556</v>
      </c>
      <c r="G1333" t="str">
        <f>VLOOKUP($F1333, codebooks_data_reordered!$A:$I, 2, FALSE)</f>
        <v>2006</v>
      </c>
      <c r="H1333" t="str">
        <f>VLOOKUP($F1333, codebooks_data_reordered!$A:$I, 3, FALSE)</f>
        <v>Newspaper/TV</v>
      </c>
      <c r="I1333" t="str">
        <f>VLOOKUP($F1333, codebooks_data_reordered!$A:$I, 4, FALSE)</f>
        <v>1</v>
      </c>
      <c r="J1333" t="str">
        <f>VLOOKUP($F1333, codebooks_data_reordered!$A:$I, 5, FALSE)</f>
        <v>174</v>
      </c>
      <c r="K1333" t="str">
        <f>VLOOKUP($F1333, codebooks_data_reordered!$A:$I, 6, FALSE)</f>
        <v>Frequency of reading daily newspaper</v>
      </c>
      <c r="L1333" t="str">
        <f>VLOOKUP($F1333, codebooks_data_reordered!$A:$I, 7, FALSE)</f>
        <v>63. Do you read a daily newspaper every day?</v>
      </c>
      <c r="M1333" t="str">
        <f>VLOOKUP($F1333, codebooks_data_reordered!$A:$I, 9, FALSE)</f>
        <v>1: Almost never; 2: Every now and then; 3: Approximately once a week; 4: Twice or three times a week; 5: One daily newspaper almost once a day; 6: More than one newspaper amost every day</v>
      </c>
      <c r="O1333" s="2" t="str">
        <f t="shared" si="20"/>
        <v>1: Almost never
 2: Every now and then
 3: Approximately once a week
 4: Twice or three times a week
 5: One daily newspaper almost once a day
 6: More than one newspaper amost every day</v>
      </c>
    </row>
    <row r="1334" spans="1:15" ht="244.8" hidden="1" x14ac:dyDescent="0.3">
      <c r="A1334" t="s">
        <v>8865</v>
      </c>
      <c r="B1334" t="s">
        <v>8291</v>
      </c>
      <c r="C1334" s="2" t="s">
        <v>6808</v>
      </c>
      <c r="D1334" t="s">
        <v>5906</v>
      </c>
      <c r="E1334" s="2" t="s">
        <v>6809</v>
      </c>
      <c r="F1334" t="s">
        <v>1731</v>
      </c>
      <c r="G1334" t="str">
        <f>VLOOKUP($F1334, codebooks_data_reordered!$A:$I, 2, FALSE)</f>
        <v>2003</v>
      </c>
      <c r="H1334" t="str">
        <f>VLOOKUP($F1334, codebooks_data_reordered!$A:$I, 3, FALSE)</f>
        <v>Respondent's demographic details</v>
      </c>
      <c r="I1334" t="str">
        <f>VLOOKUP($F1334, codebooks_data_reordered!$A:$I, 4, FALSE)</f>
        <v>1</v>
      </c>
      <c r="J1334" t="str">
        <f>VLOOKUP($F1334, codebooks_data_reordered!$A:$I, 5, FALSE)</f>
        <v>186-187</v>
      </c>
      <c r="K1334" t="str">
        <f>VLOOKUP($F1334, codebooks_data_reordered!$A:$I, 6, FALSE)</f>
        <v>Place of birth</v>
      </c>
      <c r="L1334" t="str">
        <f>VLOOKUP($F1334, codebooks_data_reordered!$A:$I, 7, FALSE)</f>
        <v>Continent of birth (and fathers continent of birth for Israeli-born)</v>
      </c>
      <c r="M1334" t="str">
        <f>VLOOKUP($F1334, codebooks_data_reordered!$A:$I, 9, FALSE)</f>
        <v>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v>
      </c>
      <c r="O1334" s="2" t="str">
        <f t="shared" si="20"/>
        <v>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v>
      </c>
    </row>
    <row r="1335" spans="1:15" ht="187.2" hidden="1" x14ac:dyDescent="0.3">
      <c r="A1335" t="s">
        <v>8865</v>
      </c>
      <c r="B1335" t="s">
        <v>8881</v>
      </c>
      <c r="C1335" s="2" t="s">
        <v>8882</v>
      </c>
      <c r="D1335" t="s">
        <v>5843</v>
      </c>
      <c r="E1335" s="2" t="s">
        <v>8883</v>
      </c>
      <c r="F1335" t="s">
        <v>4433</v>
      </c>
      <c r="G1335" t="str">
        <f>VLOOKUP($F1335, codebooks_data_reordered!$A:$I, 2, FALSE)</f>
        <v>1981_3</v>
      </c>
      <c r="H1335" t="str">
        <f>VLOOKUP($F1335, codebooks_data_reordered!$A:$I, 3, FALSE)</f>
        <v>INTERVIEWEE EVALUATION OF THE STATE OF ISRAEL</v>
      </c>
      <c r="I1335" t="str">
        <f>VLOOKUP($F1335, codebooks_data_reordered!$A:$I, 4, FALSE)</f>
        <v>1</v>
      </c>
      <c r="J1335" t="str">
        <f>VLOOKUP($F1335, codebooks_data_reordered!$A:$I, 5, FALSE)</f>
        <v>162</v>
      </c>
      <c r="K1335" t="str">
        <f>VLOOKUP($F1335, codebooks_data_reordered!$A:$I, 6, FALSE)</f>
        <v>Number of persons in household</v>
      </c>
      <c r="L1335">
        <f>VLOOKUP($F1335, codebooks_data_reordered!$A:$I, 7, FALSE)</f>
        <v>0</v>
      </c>
      <c r="M1335" t="str">
        <f>VLOOKUP($F1335, codebooks_data_reordered!$A:$I, 9, FALSE)</f>
        <v>1: One person; 2: 2; 3: 3; 4: 4; 5: 5; 6: 6; 7: 7; 8: 8; 9: 9+</v>
      </c>
      <c r="O1335" s="2" t="str">
        <f t="shared" si="20"/>
        <v>1: One person
 2: 2
 3: 3
 4: 4
 5: 5
 6: 6
 7: 7
 8: 8
 9: 9+</v>
      </c>
    </row>
    <row r="1336" spans="1:15" ht="57.6" hidden="1" x14ac:dyDescent="0.3">
      <c r="A1336" t="s">
        <v>8865</v>
      </c>
      <c r="B1336" t="s">
        <v>8884</v>
      </c>
      <c r="C1336" s="2" t="s">
        <v>8885</v>
      </c>
      <c r="D1336" t="s">
        <v>5843</v>
      </c>
      <c r="E1336" s="2" t="s">
        <v>8886</v>
      </c>
      <c r="F1336" t="s">
        <v>4208</v>
      </c>
      <c r="G1336" t="str">
        <f>VLOOKUP($F1336, codebooks_data_reordered!$A:$I, 2, FALSE)</f>
        <v>1981_1</v>
      </c>
      <c r="H1336" t="str">
        <f>VLOOKUP($F1336, codebooks_data_reordered!$A:$I, 3, FALSE)</f>
        <v>CHARACTERIZATION OF MOSHE DAYAN, GRADED SCALE 1-6</v>
      </c>
      <c r="I1336" t="str">
        <f>VLOOKUP($F1336, codebooks_data_reordered!$A:$I, 4, FALSE)</f>
        <v>1</v>
      </c>
      <c r="J1336" t="str">
        <f>VLOOKUP($F1336, codebooks_data_reordered!$A:$I, 5, FALSE)</f>
        <v>147</v>
      </c>
      <c r="K1336" t="str">
        <f>VLOOKUP($F1336, codebooks_data_reordered!$A:$I, 6, FALSE)</f>
        <v>Number of persons in household</v>
      </c>
      <c r="L1336">
        <f>VLOOKUP($F1336, codebooks_data_reordered!$A:$I, 7, FALSE)</f>
        <v>0</v>
      </c>
      <c r="M1336" t="str">
        <f>VLOOKUP($F1336, codebooks_data_reordered!$A:$I, 9, FALSE)</f>
        <v>1: One person; 2: 2 people; 9: 9+</v>
      </c>
      <c r="O1336" s="2" t="str">
        <f t="shared" si="20"/>
        <v>1: One person
 2: 2 people
 9: 9+</v>
      </c>
    </row>
    <row r="1337" spans="1:15" ht="187.2" hidden="1" x14ac:dyDescent="0.3">
      <c r="A1337" t="s">
        <v>8865</v>
      </c>
      <c r="B1337" t="s">
        <v>7213</v>
      </c>
      <c r="C1337" s="2" t="s">
        <v>8868</v>
      </c>
      <c r="D1337" t="s">
        <v>5843</v>
      </c>
      <c r="E1337" s="2" t="s">
        <v>8869</v>
      </c>
      <c r="F1337" t="s">
        <v>3067</v>
      </c>
      <c r="G1337" t="str">
        <f>VLOOKUP($F1337, codebooks_data_reordered!$A:$I, 2, FALSE)</f>
        <v>1988_Panel_N=416</v>
      </c>
      <c r="H1337" t="str">
        <f>VLOOKUP($F1337, codebooks_data_reordered!$A:$I, 3, FALSE)</f>
        <v>ISRAEL'S CAPABILITY OF COPING WITH VARIOUS SITUATIONS</v>
      </c>
      <c r="I1337" t="str">
        <f>VLOOKUP($F1337, codebooks_data_reordered!$A:$I, 4, FALSE)</f>
        <v>1</v>
      </c>
      <c r="J1337" t="str">
        <f>VLOOKUP($F1337, codebooks_data_reordered!$A:$I, 5, FALSE)</f>
        <v>87</v>
      </c>
      <c r="K1337" t="str">
        <f>VLOOKUP($F1337, codebooks_data_reordered!$A:$I, 6, FALSE)</f>
        <v>Level of rationality of Israel's foreign and security policy</v>
      </c>
      <c r="L1337">
        <f>VLOOKUP($F1337, codebooks_data_reordered!$A:$I, 7, FALSE)</f>
        <v>0</v>
      </c>
      <c r="M1337" t="str">
        <f>VLOOKUP($F1337, codebooks_data_reordered!$A:$I, 9, FALSE)</f>
        <v>1: Always rational; 2: Usually rational; 3: Some times rational at others not; 4: Usually irrational; 5: Always irrational</v>
      </c>
      <c r="O1337" s="2" t="str">
        <f t="shared" si="20"/>
        <v>1: Always rational
 2: Usually rational
 3: Some times rational at others not
 4: Usually irrational
 5: Always irrational</v>
      </c>
    </row>
    <row r="1338" spans="1:15" ht="230.4" hidden="1" x14ac:dyDescent="0.3">
      <c r="A1338" t="s">
        <v>8865</v>
      </c>
      <c r="B1338" t="s">
        <v>6647</v>
      </c>
      <c r="C1338" s="2" t="s">
        <v>8887</v>
      </c>
      <c r="D1338" t="s">
        <v>5843</v>
      </c>
      <c r="E1338" s="2" t="s">
        <v>8888</v>
      </c>
      <c r="F1338" t="s">
        <v>3069</v>
      </c>
      <c r="G1338" t="str">
        <f>VLOOKUP($F1338, codebooks_data_reordered!$A:$I, 2, FALSE)</f>
        <v>1988_Panel_N=416</v>
      </c>
      <c r="H1338" t="str">
        <f>VLOOKUP($F1338, codebooks_data_reordered!$A:$I, 3, FALSE)</f>
        <v>ISRAEL'S CAPABILITY OF COPING WITH VARIOUS SITUATIONS</v>
      </c>
      <c r="I1338" t="str">
        <f>VLOOKUP($F1338, codebooks_data_reordered!$A:$I, 4, FALSE)</f>
        <v>1</v>
      </c>
      <c r="J1338" t="str">
        <f>VLOOKUP($F1338, codebooks_data_reordered!$A:$I, 5, FALSE)</f>
        <v>88</v>
      </c>
      <c r="K1338" t="str">
        <f>VLOOKUP($F1338, codebooks_data_reordered!$A:$I, 6, FALSE)</f>
        <v>Level of rationality of the Arab states' foreign and security policy</v>
      </c>
      <c r="L1338">
        <f>VLOOKUP($F1338, codebooks_data_reordered!$A:$I, 7, FALSE)</f>
        <v>0</v>
      </c>
      <c r="M1338" t="str">
        <f>VLOOKUP($F1338, codebooks_data_reordered!$A:$I, 9, FALSE)</f>
        <v>1: Always rational; 2: Usually rational; 3: Some times rational at others not; 4: Usually irrational; 5: Always irrational</v>
      </c>
      <c r="O1338" s="2" t="str">
        <f t="shared" si="20"/>
        <v>1: Always rational
 2: Usually rational
 3: Some times rational at others not
 4: Usually irrational
 5: Always irrational</v>
      </c>
    </row>
    <row r="1339" spans="1:15" ht="144" hidden="1" x14ac:dyDescent="0.3">
      <c r="A1339" t="s">
        <v>8865</v>
      </c>
      <c r="B1339" t="s">
        <v>8889</v>
      </c>
      <c r="C1339" s="2" t="s">
        <v>8890</v>
      </c>
      <c r="D1339" t="s">
        <v>5843</v>
      </c>
      <c r="E1339" s="2" t="s">
        <v>8891</v>
      </c>
      <c r="F1339" t="s">
        <v>565</v>
      </c>
      <c r="G1339" t="str">
        <f>VLOOKUP($F1339, codebooks_data_reordered!$A:$I, 2, FALSE)</f>
        <v>2006</v>
      </c>
      <c r="H1339" t="str">
        <f>VLOOKUP($F1339, codebooks_data_reordered!$A:$I, 3, FALSE)</f>
        <v>Newspaper/TV</v>
      </c>
      <c r="I1339" t="str">
        <f>VLOOKUP($F1339, codebooks_data_reordered!$A:$I, 4, FALSE)</f>
        <v>1</v>
      </c>
      <c r="J1339" t="str">
        <f>VLOOKUP($F1339, codebooks_data_reordered!$A:$I, 5, FALSE)</f>
        <v>177</v>
      </c>
      <c r="K1339" t="str">
        <f>VLOOKUP($F1339, codebooks_data_reordered!$A:$I, 6, FALSE)</f>
        <v>News on TV</v>
      </c>
      <c r="L1339" t="str">
        <f>VLOOKUP($F1339, codebooks_data_reordered!$A:$I, 7, FALSE)</f>
        <v>66. Do you usually watch the news on TV?</v>
      </c>
      <c r="M1339" t="str">
        <f>VLOOKUP($F1339, codebooks_data_reordered!$A:$I, 9, FALSE)</f>
        <v>1: Almost never; 2: Not so often; 3: Once a week or so; 4: 2-3 times a week; 5: At least once a day; 6: More than once a day</v>
      </c>
      <c r="O1339" s="2" t="str">
        <f t="shared" si="20"/>
        <v>1: Almost never
 2: Not so often
 3: Once a week or so
 4: 2-3 times a week
 5: At least once a day
 6: More than once a day</v>
      </c>
    </row>
    <row r="1340" spans="1:15" ht="100.8" hidden="1" x14ac:dyDescent="0.3">
      <c r="A1340" t="s">
        <v>8865</v>
      </c>
      <c r="B1340" t="s">
        <v>8892</v>
      </c>
      <c r="C1340" s="2" t="s">
        <v>6808</v>
      </c>
      <c r="D1340" t="s">
        <v>5906</v>
      </c>
      <c r="E1340" s="2" t="s">
        <v>6809</v>
      </c>
      <c r="F1340" t="s">
        <v>1734</v>
      </c>
      <c r="G1340" t="str">
        <f>VLOOKUP($F1340, codebooks_data_reordered!$A:$I, 2, FALSE)</f>
        <v>2001</v>
      </c>
      <c r="H1340" t="str">
        <f>VLOOKUP($F1340, codebooks_data_reordered!$A:$I, 3, FALSE)</f>
        <v>Demographic details</v>
      </c>
      <c r="I1340" t="str">
        <f>VLOOKUP($F1340, codebooks_data_reordered!$A:$I, 4, FALSE)</f>
        <v>1</v>
      </c>
      <c r="J1340" t="str">
        <f>VLOOKUP($F1340, codebooks_data_reordered!$A:$I, 5, FALSE)</f>
        <v>164</v>
      </c>
      <c r="K1340" t="str">
        <f>VLOOKUP($F1340, codebooks_data_reordered!$A:$I, 6, FALSE)</f>
        <v>Which newspaper (Arabs only)</v>
      </c>
      <c r="L1340">
        <f>VLOOKUP($F1340, codebooks_data_reordered!$A:$I, 7, FALSE)</f>
        <v>0</v>
      </c>
      <c r="M1340" t="str">
        <f>VLOOKUP($F1340, codebooks_data_reordered!$A:$I, 9, FALSE)</f>
        <v>1: Yediot; 2: AlSanara; 3: FatelAlmakal; 5: Maariv; 6: AlAtchad; 7: KolAlArab; 8: Haaretz</v>
      </c>
      <c r="O1340" s="2" t="str">
        <f t="shared" si="20"/>
        <v>1: Yediot
 2: AlSanara
 3: FatelAlmakal
 5: Maariv
 6: AlAtchad
 7: KolAlArab
 8: Haaretz</v>
      </c>
    </row>
    <row r="1341" spans="1:15" ht="100.8" hidden="1" x14ac:dyDescent="0.3">
      <c r="A1341" t="s">
        <v>8865</v>
      </c>
      <c r="B1341" t="s">
        <v>6263</v>
      </c>
      <c r="C1341" s="2" t="s">
        <v>8893</v>
      </c>
      <c r="D1341" t="s">
        <v>5843</v>
      </c>
      <c r="E1341" s="2" t="s">
        <v>8894</v>
      </c>
      <c r="F1341" t="s">
        <v>9366</v>
      </c>
      <c r="G1341" t="e">
        <f>VLOOKUP($F1341, codebooks_data_reordered!$A:$I, 2, FALSE)</f>
        <v>#N/A</v>
      </c>
      <c r="H1341" t="e">
        <f>VLOOKUP($F1341, codebooks_data_reordered!$A:$I, 3, FALSE)</f>
        <v>#N/A</v>
      </c>
      <c r="I1341" t="e">
        <f>VLOOKUP($F1341, codebooks_data_reordered!$A:$I, 4, FALSE)</f>
        <v>#N/A</v>
      </c>
      <c r="J1341" t="e">
        <f>VLOOKUP($F1341, codebooks_data_reordered!$A:$I, 5, FALSE)</f>
        <v>#N/A</v>
      </c>
      <c r="K1341" t="e">
        <f>VLOOKUP($F1341, codebooks_data_reordered!$A:$I, 6, FALSE)</f>
        <v>#N/A</v>
      </c>
      <c r="L1341" t="e">
        <f>VLOOKUP($F1341, codebooks_data_reordered!$A:$I, 7, FALSE)</f>
        <v>#N/A</v>
      </c>
      <c r="M1341" t="e">
        <f>VLOOKUP($F1341, codebooks_data_reordered!$A:$I, 9, FALSE)</f>
        <v>#N/A</v>
      </c>
      <c r="N1341" t="s">
        <v>9401</v>
      </c>
      <c r="O1341" t="e">
        <f t="shared" si="20"/>
        <v>#N/A</v>
      </c>
    </row>
    <row r="1342" spans="1:15" ht="144" hidden="1" x14ac:dyDescent="0.3">
      <c r="A1342" t="s">
        <v>8865</v>
      </c>
      <c r="B1342" t="s">
        <v>6658</v>
      </c>
      <c r="C1342" s="2" t="s">
        <v>8895</v>
      </c>
      <c r="D1342" t="s">
        <v>5843</v>
      </c>
      <c r="E1342" s="2" t="s">
        <v>8896</v>
      </c>
      <c r="F1342">
        <v>0</v>
      </c>
      <c r="G1342" t="e">
        <f>VLOOKUP($F1342, codebooks_data_reordered!$A:$I, 2, FALSE)</f>
        <v>#N/A</v>
      </c>
      <c r="H1342" t="e">
        <f>VLOOKUP($F1342, codebooks_data_reordered!$A:$I, 3, FALSE)</f>
        <v>#N/A</v>
      </c>
      <c r="I1342" t="e">
        <f>VLOOKUP($F1342, codebooks_data_reordered!$A:$I, 4, FALSE)</f>
        <v>#N/A</v>
      </c>
      <c r="J1342" t="e">
        <f>VLOOKUP($F1342, codebooks_data_reordered!$A:$I, 5, FALSE)</f>
        <v>#N/A</v>
      </c>
      <c r="K1342" t="e">
        <f>VLOOKUP($F1342, codebooks_data_reordered!$A:$I, 6, FALSE)</f>
        <v>#N/A</v>
      </c>
      <c r="L1342" t="e">
        <f>VLOOKUP($F1342, codebooks_data_reordered!$A:$I, 7, FALSE)</f>
        <v>#N/A</v>
      </c>
      <c r="M1342" t="e">
        <f>VLOOKUP($F1342, codebooks_data_reordered!$A:$I, 9, FALSE)</f>
        <v>#N/A</v>
      </c>
      <c r="O1342" t="e">
        <f t="shared" si="20"/>
        <v>#N/A</v>
      </c>
    </row>
    <row r="1343" spans="1:15" ht="273.60000000000002" hidden="1" x14ac:dyDescent="0.3">
      <c r="A1343" t="s">
        <v>8865</v>
      </c>
      <c r="B1343" t="s">
        <v>8897</v>
      </c>
      <c r="C1343" s="2" t="s">
        <v>8898</v>
      </c>
      <c r="D1343" t="s">
        <v>5843</v>
      </c>
      <c r="E1343" s="2" t="s">
        <v>8899</v>
      </c>
      <c r="F1343" t="s">
        <v>9367</v>
      </c>
      <c r="G1343" t="e">
        <f>VLOOKUP($F1343, codebooks_data_reordered!$A:$I, 2, FALSE)</f>
        <v>#N/A</v>
      </c>
      <c r="H1343" t="e">
        <f>VLOOKUP($F1343, codebooks_data_reordered!$A:$I, 3, FALSE)</f>
        <v>#N/A</v>
      </c>
      <c r="I1343" t="e">
        <f>VLOOKUP($F1343, codebooks_data_reordered!$A:$I, 4, FALSE)</f>
        <v>#N/A</v>
      </c>
      <c r="J1343" t="e">
        <f>VLOOKUP($F1343, codebooks_data_reordered!$A:$I, 5, FALSE)</f>
        <v>#N/A</v>
      </c>
      <c r="K1343" t="e">
        <f>VLOOKUP($F1343, codebooks_data_reordered!$A:$I, 6, FALSE)</f>
        <v>#N/A</v>
      </c>
      <c r="L1343" t="e">
        <f>VLOOKUP($F1343, codebooks_data_reordered!$A:$I, 7, FALSE)</f>
        <v>#N/A</v>
      </c>
      <c r="M1343" t="e">
        <f>VLOOKUP($F1343, codebooks_data_reordered!$A:$I, 9, FALSE)</f>
        <v>#N/A</v>
      </c>
      <c r="O1343" t="e">
        <f t="shared" si="20"/>
        <v>#N/A</v>
      </c>
    </row>
    <row r="1344" spans="1:15" ht="388.8" hidden="1" x14ac:dyDescent="0.3">
      <c r="A1344" t="s">
        <v>8865</v>
      </c>
      <c r="B1344" t="s">
        <v>8900</v>
      </c>
      <c r="C1344" s="2" t="s">
        <v>8901</v>
      </c>
      <c r="D1344" t="s">
        <v>5843</v>
      </c>
      <c r="E1344" s="2" t="s">
        <v>8902</v>
      </c>
      <c r="F1344" t="s">
        <v>3061</v>
      </c>
      <c r="G1344" t="str">
        <f>VLOOKUP($F1344, codebooks_data_reordered!$A:$I, 2, FALSE)</f>
        <v>1988_Panel_N=416</v>
      </c>
      <c r="H1344" t="str">
        <f>VLOOKUP($F1344, codebooks_data_reordered!$A:$I, 3, FALSE)</f>
        <v>ISRAEL'S CAPABILITY OF COPING WITH VARIOUS SITUATIONS</v>
      </c>
      <c r="I1344" t="str">
        <f>VLOOKUP($F1344, codebooks_data_reordered!$A:$I, 4, FALSE)</f>
        <v>1</v>
      </c>
      <c r="J1344" t="str">
        <f>VLOOKUP($F1344, codebooks_data_reordered!$A:$I, 5, FALSE)</f>
        <v>85</v>
      </c>
      <c r="K1344" t="str">
        <f>VLOOKUP($F1344, codebooks_data_reordered!$A:$I, 6, FALSE)</f>
        <v>USSR will assist Arab states against us</v>
      </c>
      <c r="L1344">
        <f>VLOOKUP($F1344, codebooks_data_reordered!$A:$I, 7, FALSE)</f>
        <v>0</v>
      </c>
      <c r="M1344" t="str">
        <f>VLOOKUP($F1344, codebooks_data_reordered!$A:$I, 9, FALSE)</f>
        <v>1: Capable; 2: Incapable</v>
      </c>
      <c r="O1344" s="2" t="str">
        <f t="shared" si="20"/>
        <v>1: Capable
 2: Incapable</v>
      </c>
    </row>
    <row r="1345" spans="1:15" ht="129.6" hidden="1" x14ac:dyDescent="0.3">
      <c r="A1345" t="s">
        <v>8865</v>
      </c>
      <c r="B1345" t="s">
        <v>6286</v>
      </c>
      <c r="C1345" s="2" t="s">
        <v>8903</v>
      </c>
      <c r="D1345" t="s">
        <v>5843</v>
      </c>
      <c r="E1345" s="2" t="s">
        <v>8904</v>
      </c>
      <c r="F1345" t="s">
        <v>4192</v>
      </c>
      <c r="G1345" t="str">
        <f>VLOOKUP($F1345, codebooks_data_reordered!$A:$I, 2, FALSE)</f>
        <v>1981_1</v>
      </c>
      <c r="H1345" t="str">
        <f>VLOOKUP($F1345, codebooks_data_reordered!$A:$I, 3, FALSE)</f>
        <v>CHARACTERIZATION OF MOSHE DAYAN, GRADED SCALE 1-6</v>
      </c>
      <c r="I1345" t="str">
        <f>VLOOKUP($F1345, codebooks_data_reordered!$A:$I, 4, FALSE)</f>
        <v>1</v>
      </c>
      <c r="J1345" t="str">
        <f>VLOOKUP($F1345, codebooks_data_reordered!$A:$I, 5, FALSE)</f>
        <v>140</v>
      </c>
      <c r="K1345" t="str">
        <f>VLOOKUP($F1345, codebooks_data_reordered!$A:$I, 6, FALSE)</f>
        <v>Year of Aliyah (immigration)</v>
      </c>
      <c r="L1345">
        <f>VLOOKUP($F1345, codebooks_data_reordered!$A:$I, 7, FALSE)</f>
        <v>0</v>
      </c>
      <c r="M1345" t="str">
        <f>VLOOKUP($F1345, codebooks_data_reordered!$A:$I, 9, FALSE)</f>
        <v>0: 1980+; 1: Born in Israel; 2: Before 1948; 3: 1948-1954; 4: 1955-1960; 5: 1961-1966; 6: 1967-1972; 7: 1973-1977; 8: 1978-1978</v>
      </c>
      <c r="O1345" s="2" t="str">
        <f t="shared" si="20"/>
        <v>0: 1980+
 1: Born in Israel
 2: Before 1948
 3: 1948-1954
 4: 1955-1960
 5: 1961-1966
 6: 1967-1972
 7: 1973-1977
 8: 1978-1978</v>
      </c>
    </row>
    <row r="1346" spans="1:15" ht="409.6" hidden="1" x14ac:dyDescent="0.3">
      <c r="A1346" t="s">
        <v>8865</v>
      </c>
      <c r="B1346" t="s">
        <v>8905</v>
      </c>
      <c r="C1346" s="2" t="s">
        <v>8906</v>
      </c>
      <c r="D1346" t="s">
        <v>5843</v>
      </c>
      <c r="E1346" s="2" t="s">
        <v>8907</v>
      </c>
      <c r="F1346" t="s">
        <v>4226</v>
      </c>
      <c r="G1346" t="str">
        <f>VLOOKUP($F1346, codebooks_data_reordered!$A:$I, 2, FALSE)</f>
        <v>1981_3</v>
      </c>
      <c r="H1346">
        <f>VLOOKUP($F1346, codebooks_data_reordered!$A:$I, 3, FALSE)</f>
        <v>0</v>
      </c>
      <c r="I1346" t="str">
        <f>VLOOKUP($F1346, codebooks_data_reordered!$A:$I, 4, FALSE)</f>
        <v>1</v>
      </c>
      <c r="J1346" t="str">
        <f>VLOOKUP($F1346, codebooks_data_reordered!$A:$I, 5, FALSE)</f>
        <v>6</v>
      </c>
      <c r="K1346" t="str">
        <f>VLOOKUP($F1346, codebooks_data_reordered!$A:$I, 6, FALSE)</f>
        <v>Way government handles present problems in Israel</v>
      </c>
      <c r="L1346">
        <f>VLOOKUP($F1346, codebooks_data_reordered!$A:$I, 7, FALSE)</f>
        <v>0</v>
      </c>
      <c r="M1346" t="str">
        <f>VLOOKUP($F1346, codebooks_data_reordered!$A:$I, 9, FALSE)</f>
        <v>1: Very well; 2: Well; 3: Not so well; 4: Not well at all</v>
      </c>
      <c r="O1346" s="2" t="str">
        <f t="shared" ref="O1346:O1409" si="21">SUBSTITUTE(M1346, ";", CHAR(10))</f>
        <v>1: Very well
 2: Well
 3: Not so well
 4: Not well at all</v>
      </c>
    </row>
    <row r="1347" spans="1:15" ht="43.2" hidden="1" x14ac:dyDescent="0.3">
      <c r="A1347" t="s">
        <v>8865</v>
      </c>
      <c r="B1347" t="s">
        <v>8908</v>
      </c>
      <c r="C1347" s="2" t="s">
        <v>5947</v>
      </c>
      <c r="D1347" t="s">
        <v>5843</v>
      </c>
      <c r="E1347" s="2" t="s">
        <v>5948</v>
      </c>
      <c r="F1347" t="s">
        <v>2165</v>
      </c>
      <c r="G1347" t="str">
        <f>VLOOKUP($F1347, codebooks_data_reordered!$A:$I, 2, FALSE)</f>
        <v>1999_1</v>
      </c>
      <c r="H1347" t="str">
        <f>VLOOKUP($F1347, codebooks_data_reordered!$A:$I, 3, FALSE)</f>
        <v>VOTING PATTERNS</v>
      </c>
      <c r="I1347" t="str">
        <f>VLOOKUP($F1347, codebooks_data_reordered!$A:$I, 4, FALSE)</f>
        <v>3</v>
      </c>
      <c r="J1347" t="str">
        <f>VLOOKUP($F1347, codebooks_data_reordered!$A:$I, 5, FALSE)</f>
        <v>19</v>
      </c>
      <c r="K1347" t="str">
        <f>VLOOKUP($F1347, codebooks_data_reordered!$A:$I, 6, FALSE)</f>
        <v>Whom do you expect to win the PM elections?</v>
      </c>
      <c r="L1347">
        <f>VLOOKUP($F1347, codebooks_data_reordered!$A:$I, 7, FALSE)</f>
        <v>0</v>
      </c>
      <c r="M1347" t="str">
        <f>VLOOKUP($F1347, codebooks_data_reordered!$A:$I, 9, FALSE)</f>
        <v>1: Netanyahu; 2: Barak; 3: Mordechai</v>
      </c>
      <c r="O1347" s="2" t="str">
        <f t="shared" si="21"/>
        <v>1: Netanyahu
 2: Barak
 3: Mordechai</v>
      </c>
    </row>
    <row r="1348" spans="1:15" ht="216" hidden="1" x14ac:dyDescent="0.3">
      <c r="A1348" t="s">
        <v>8865</v>
      </c>
      <c r="B1348" t="s">
        <v>8909</v>
      </c>
      <c r="C1348" s="2" t="s">
        <v>8910</v>
      </c>
      <c r="D1348" t="s">
        <v>5843</v>
      </c>
      <c r="E1348" s="2" t="s">
        <v>8911</v>
      </c>
      <c r="F1348" t="s">
        <v>4226</v>
      </c>
      <c r="G1348" t="str">
        <f>VLOOKUP($F1348, codebooks_data_reordered!$A:$I, 2, FALSE)</f>
        <v>1981_3</v>
      </c>
      <c r="H1348">
        <f>VLOOKUP($F1348, codebooks_data_reordered!$A:$I, 3, FALSE)</f>
        <v>0</v>
      </c>
      <c r="I1348" t="str">
        <f>VLOOKUP($F1348, codebooks_data_reordered!$A:$I, 4, FALSE)</f>
        <v>1</v>
      </c>
      <c r="J1348" t="str">
        <f>VLOOKUP($F1348, codebooks_data_reordered!$A:$I, 5, FALSE)</f>
        <v>6</v>
      </c>
      <c r="K1348" t="str">
        <f>VLOOKUP($F1348, codebooks_data_reordered!$A:$I, 6, FALSE)</f>
        <v>Way government handles present problems in Israel</v>
      </c>
      <c r="L1348">
        <f>VLOOKUP($F1348, codebooks_data_reordered!$A:$I, 7, FALSE)</f>
        <v>0</v>
      </c>
      <c r="M1348" t="str">
        <f>VLOOKUP($F1348, codebooks_data_reordered!$A:$I, 9, FALSE)</f>
        <v>1: Very well; 2: Well; 3: Not so well; 4: Not well at all</v>
      </c>
      <c r="O1348" s="2" t="str">
        <f t="shared" si="21"/>
        <v>1: Very well
 2: Well
 3: Not so well
 4: Not well at all</v>
      </c>
    </row>
    <row r="1349" spans="1:15" ht="129.6" hidden="1" x14ac:dyDescent="0.3">
      <c r="A1349" t="s">
        <v>8865</v>
      </c>
      <c r="B1349" t="s">
        <v>7298</v>
      </c>
      <c r="C1349" s="2" t="s">
        <v>8912</v>
      </c>
      <c r="D1349" t="s">
        <v>5843</v>
      </c>
      <c r="E1349" s="2" t="s">
        <v>8913</v>
      </c>
      <c r="F1349" t="s">
        <v>3365</v>
      </c>
      <c r="G1349" t="str">
        <f>VLOOKUP($F1349, codebooks_data_reordered!$A:$I, 2, FALSE)</f>
        <v>1988_Panel_N=416</v>
      </c>
      <c r="H1349" t="str">
        <f>VLOOKUP($F1349, codebooks_data_reordered!$A:$I, 3, FALSE)</f>
        <v>DO YOU HAVE CHILDREN IN EACH OF THE FOLLOWING AGE GROUPS</v>
      </c>
      <c r="I1349" t="str">
        <f>VLOOKUP($F1349, codebooks_data_reordered!$A:$I, 4, FALSE)</f>
        <v>3</v>
      </c>
      <c r="J1349" t="str">
        <f>VLOOKUP($F1349, codebooks_data_reordered!$A:$I, 5, FALSE)</f>
        <v>7</v>
      </c>
      <c r="K1349" t="str">
        <f>VLOOKUP($F1349, codebooks_data_reordered!$A:$I, 6, FALSE)</f>
        <v>Way government handles nation's problems</v>
      </c>
      <c r="L1349">
        <f>VLOOKUP($F1349, codebooks_data_reordered!$A:$I, 7, FALSE)</f>
        <v>0</v>
      </c>
      <c r="M1349" t="str">
        <f>VLOOKUP($F1349, codebooks_data_reordered!$A:$I, 9, FALSE)</f>
        <v>1: Very well; 2: Well; 3: Not so well; 4: Not well at all</v>
      </c>
      <c r="O1349" s="2" t="str">
        <f t="shared" si="21"/>
        <v>1: Very well
 2: Well
 3: Not so well
 4: Not well at all</v>
      </c>
    </row>
    <row r="1350" spans="1:15" ht="158.4" hidden="1" x14ac:dyDescent="0.3">
      <c r="A1350" t="s">
        <v>8865</v>
      </c>
      <c r="B1350" t="s">
        <v>8914</v>
      </c>
      <c r="C1350" s="2" t="s">
        <v>8915</v>
      </c>
      <c r="D1350" t="s">
        <v>5843</v>
      </c>
      <c r="E1350" s="2" t="s">
        <v>8916</v>
      </c>
      <c r="F1350" t="s">
        <v>4194</v>
      </c>
      <c r="G1350" t="str">
        <f>VLOOKUP($F1350, codebooks_data_reordered!$A:$I, 2, FALSE)</f>
        <v>1981_1</v>
      </c>
      <c r="H1350" t="str">
        <f>VLOOKUP($F1350, codebooks_data_reordered!$A:$I, 3, FALSE)</f>
        <v>CHARACTERIZATION OF MOSHE DAYAN, GRADED SCALE 1-6</v>
      </c>
      <c r="I1350" t="str">
        <f>VLOOKUP($F1350, codebooks_data_reordered!$A:$I, 4, FALSE)</f>
        <v>1</v>
      </c>
      <c r="J1350" t="str">
        <f>VLOOKUP($F1350, codebooks_data_reordered!$A:$I, 5, FALSE)</f>
        <v>141</v>
      </c>
      <c r="K1350" t="str">
        <f>VLOOKUP($F1350, codebooks_data_reordered!$A:$I, 6, FALSE)</f>
        <v>Status at work</v>
      </c>
      <c r="L1350">
        <f>VLOOKUP($F1350, codebooks_data_reordered!$A:$I, 7, FALSE)</f>
        <v>0</v>
      </c>
      <c r="M1350" t="str">
        <f>VLOOKUP($F1350, codebooks_data_reordered!$A:$I, 9, FALSE)</f>
        <v>1: Salaried worker; 2: Independent; 3: Member of cooperative; 4: Pensioned; 5: Housewife; 6: Soldier, student; 7: Unemployed</v>
      </c>
      <c r="O1350" s="2" t="str">
        <f t="shared" si="21"/>
        <v>1: Salaried worker
 2: Independent
 3: Member of cooperative
 4: Pensioned
 5: Housewife
 6: Soldier, student
 7: Unemployed</v>
      </c>
    </row>
    <row r="1351" spans="1:15" ht="57.6" hidden="1" x14ac:dyDescent="0.3">
      <c r="A1351" t="s">
        <v>8865</v>
      </c>
      <c r="B1351" t="s">
        <v>6814</v>
      </c>
      <c r="C1351" s="2" t="s">
        <v>8917</v>
      </c>
      <c r="D1351" t="s">
        <v>7439</v>
      </c>
      <c r="E1351" s="2" t="s">
        <v>8918</v>
      </c>
      <c r="F1351" t="s">
        <v>9368</v>
      </c>
      <c r="G1351" t="e">
        <f>VLOOKUP($F1351, codebooks_data_reordered!$A:$I, 2, FALSE)</f>
        <v>#N/A</v>
      </c>
      <c r="H1351" t="e">
        <f>VLOOKUP($F1351, codebooks_data_reordered!$A:$I, 3, FALSE)</f>
        <v>#N/A</v>
      </c>
      <c r="I1351" t="e">
        <f>VLOOKUP($F1351, codebooks_data_reordered!$A:$I, 4, FALSE)</f>
        <v>#N/A</v>
      </c>
      <c r="J1351" t="e">
        <f>VLOOKUP($F1351, codebooks_data_reordered!$A:$I, 5, FALSE)</f>
        <v>#N/A</v>
      </c>
      <c r="K1351" t="e">
        <f>VLOOKUP($F1351, codebooks_data_reordered!$A:$I, 6, FALSE)</f>
        <v>#N/A</v>
      </c>
      <c r="L1351" t="e">
        <f>VLOOKUP($F1351, codebooks_data_reordered!$A:$I, 7, FALSE)</f>
        <v>#N/A</v>
      </c>
      <c r="M1351" t="e">
        <f>VLOOKUP($F1351, codebooks_data_reordered!$A:$I, 9, FALSE)</f>
        <v>#N/A</v>
      </c>
      <c r="O1351" t="e">
        <f t="shared" si="21"/>
        <v>#N/A</v>
      </c>
    </row>
    <row r="1352" spans="1:15" ht="158.4" hidden="1" x14ac:dyDescent="0.3">
      <c r="A1352" t="s">
        <v>8865</v>
      </c>
      <c r="B1352" t="s">
        <v>8919</v>
      </c>
      <c r="C1352" s="2" t="s">
        <v>8920</v>
      </c>
      <c r="D1352" t="s">
        <v>5843</v>
      </c>
      <c r="E1352" s="2" t="s">
        <v>8921</v>
      </c>
      <c r="F1352" t="s">
        <v>4196</v>
      </c>
      <c r="G1352" t="str">
        <f>VLOOKUP($F1352, codebooks_data_reordered!$A:$I, 2, FALSE)</f>
        <v>1981_1</v>
      </c>
      <c r="H1352" t="str">
        <f>VLOOKUP($F1352, codebooks_data_reordered!$A:$I, 3, FALSE)</f>
        <v>CHARACTERIZATION OF MOSHE DAYAN, GRADED SCALE 1-6</v>
      </c>
      <c r="I1352" t="str">
        <f>VLOOKUP($F1352, codebooks_data_reordered!$A:$I, 4, FALSE)</f>
        <v>1</v>
      </c>
      <c r="J1352" t="str">
        <f>VLOOKUP($F1352, codebooks_data_reordered!$A:$I, 5, FALSE)</f>
        <v>142</v>
      </c>
      <c r="K1352" t="str">
        <f>VLOOKUP($F1352, codebooks_data_reordered!$A:$I, 6, FALSE)</f>
        <v>Spouse's status at work</v>
      </c>
      <c r="L1352">
        <f>VLOOKUP($F1352, codebooks_data_reordered!$A:$I, 7, FALSE)</f>
        <v>0</v>
      </c>
      <c r="M1352" t="str">
        <f>VLOOKUP($F1352, codebooks_data_reordered!$A:$I, 9, FALSE)</f>
        <v>1: Salaried worker; 2: Independent; 3: Member of cooperative; 4: Pensioned; 5: Housewife; 6: Soldier, student; 7: Unemployed</v>
      </c>
      <c r="O1352" s="2" t="str">
        <f t="shared" si="21"/>
        <v>1: Salaried worker
 2: Independent
 3: Member of cooperative
 4: Pensioned
 5: Housewife
 6: Soldier, student
 7: Unemployed</v>
      </c>
    </row>
    <row r="1353" spans="1:15" ht="100.8" hidden="1" x14ac:dyDescent="0.3">
      <c r="A1353" t="s">
        <v>8865</v>
      </c>
      <c r="B1353" t="s">
        <v>8922</v>
      </c>
      <c r="C1353" s="2" t="s">
        <v>5947</v>
      </c>
      <c r="D1353" t="s">
        <v>5843</v>
      </c>
      <c r="E1353" s="2" t="s">
        <v>5948</v>
      </c>
      <c r="F1353" t="s">
        <v>4216</v>
      </c>
      <c r="G1353" t="str">
        <f>VLOOKUP($F1353, codebooks_data_reordered!$A:$I, 2, FALSE)</f>
        <v>1981_1</v>
      </c>
      <c r="H1353" t="str">
        <f>VLOOKUP($F1353, codebooks_data_reordered!$A:$I, 3, FALSE)</f>
        <v>CHARACTERIZATION OF MOSHE DAYAN, GRADED SCALE 1-6</v>
      </c>
      <c r="I1353" t="str">
        <f>VLOOKUP($F1353, codebooks_data_reordered!$A:$I, 4, FALSE)</f>
        <v>1</v>
      </c>
      <c r="J1353" t="str">
        <f>VLOOKUP($F1353, codebooks_data_reordered!$A:$I, 5, FALSE)</f>
        <v>151</v>
      </c>
      <c r="K1353" t="str">
        <f>VLOOKUP($F1353, codebooks_data_reordered!$A:$I, 6, FALSE)</f>
        <v>Radio station interviewee usually listens to</v>
      </c>
      <c r="L1353">
        <f>VLOOKUP($F1353, codebooks_data_reordered!$A:$I, 7, FALSE)</f>
        <v>0</v>
      </c>
      <c r="M1353" t="str">
        <f>VLOOKUP($F1353, codebooks_data_reordered!$A:$I, 9, FALSE)</f>
        <v>1: The light wave (HaGal HaKal); 2: Reshet Gimel; 3: Galei Tzahal; 4: Reshet Aleph; 5: Kol HaShalom; 6: Does not listen to radio</v>
      </c>
      <c r="O1353" s="2" t="str">
        <f t="shared" si="21"/>
        <v>1: The light wave (HaGal HaKal)
 2: Reshet Gimel
 3: Galei Tzahal
 4: Reshet Aleph
 5: Kol HaShalom
 6: Does not listen to radio</v>
      </c>
    </row>
    <row r="1354" spans="1:15" ht="115.2" hidden="1" x14ac:dyDescent="0.3">
      <c r="A1354" t="s">
        <v>8865</v>
      </c>
      <c r="B1354" t="s">
        <v>8923</v>
      </c>
      <c r="C1354" s="2" t="s">
        <v>8924</v>
      </c>
      <c r="D1354" t="s">
        <v>5843</v>
      </c>
      <c r="E1354" s="2" t="s">
        <v>8925</v>
      </c>
      <c r="F1354" t="s">
        <v>9369</v>
      </c>
      <c r="G1354" t="e">
        <f>VLOOKUP($F1354, codebooks_data_reordered!$A:$I, 2, FALSE)</f>
        <v>#N/A</v>
      </c>
      <c r="H1354" t="e">
        <f>VLOOKUP($F1354, codebooks_data_reordered!$A:$I, 3, FALSE)</f>
        <v>#N/A</v>
      </c>
      <c r="I1354" t="e">
        <f>VLOOKUP($F1354, codebooks_data_reordered!$A:$I, 4, FALSE)</f>
        <v>#N/A</v>
      </c>
      <c r="J1354" t="e">
        <f>VLOOKUP($F1354, codebooks_data_reordered!$A:$I, 5, FALSE)</f>
        <v>#N/A</v>
      </c>
      <c r="K1354" t="e">
        <f>VLOOKUP($F1354, codebooks_data_reordered!$A:$I, 6, FALSE)</f>
        <v>#N/A</v>
      </c>
      <c r="L1354" t="e">
        <f>VLOOKUP($F1354, codebooks_data_reordered!$A:$I, 7, FALSE)</f>
        <v>#N/A</v>
      </c>
      <c r="M1354" t="e">
        <f>VLOOKUP($F1354, codebooks_data_reordered!$A:$I, 9, FALSE)</f>
        <v>#N/A</v>
      </c>
      <c r="O1354" t="e">
        <f t="shared" si="21"/>
        <v>#N/A</v>
      </c>
    </row>
    <row r="1355" spans="1:15" ht="115.2" hidden="1" x14ac:dyDescent="0.3">
      <c r="A1355" t="s">
        <v>8865</v>
      </c>
      <c r="B1355" t="s">
        <v>8926</v>
      </c>
      <c r="C1355" s="2" t="s">
        <v>8927</v>
      </c>
      <c r="D1355" t="s">
        <v>5843</v>
      </c>
      <c r="E1355" s="2" t="s">
        <v>8928</v>
      </c>
      <c r="F1355" t="s">
        <v>5207</v>
      </c>
      <c r="G1355" t="str">
        <f>VLOOKUP($F1355, codebooks_data_reordered!$A:$I, 2, FALSE)</f>
        <v>1973_4</v>
      </c>
      <c r="H1355" t="str">
        <f>VLOOKUP($F1355, codebooks_data_reordered!$A:$I, 3, FALSE)</f>
        <v>December 1973</v>
      </c>
      <c r="I1355" t="str">
        <f>VLOOKUP($F1355, codebooks_data_reordered!$A:$I, 4, FALSE)</f>
        <v>1</v>
      </c>
      <c r="J1355" t="str">
        <f>VLOOKUP($F1355, codebooks_data_reordered!$A:$I, 5, FALSE)</f>
        <v>22</v>
      </c>
      <c r="K1355" t="str">
        <f>VLOOKUP($F1355, codebooks_data_reordered!$A:$I, 6, FALSE)</f>
        <v>To what extent the radio ads helped interviewee decide whom to vote for</v>
      </c>
      <c r="L1355">
        <f>VLOOKUP($F1355, codebooks_data_reordered!$A:$I, 7, FALSE)</f>
        <v>0</v>
      </c>
      <c r="M1355" t="str">
        <f>VLOOKUP($F1355, codebooks_data_reordered!$A:$I, 9, FALSE)</f>
        <v>1: To a great extent; 2: To a certain extent; 3: To a small extent; 4: Not at all</v>
      </c>
      <c r="O1355" s="2" t="str">
        <f t="shared" si="21"/>
        <v>1: To a great extent
 2: To a certain extent
 3: To a small extent
 4: Not at all</v>
      </c>
    </row>
    <row r="1356" spans="1:15" ht="201.6" hidden="1" x14ac:dyDescent="0.3">
      <c r="A1356" t="s">
        <v>8865</v>
      </c>
      <c r="B1356" t="s">
        <v>8929</v>
      </c>
      <c r="C1356" s="2" t="s">
        <v>8930</v>
      </c>
      <c r="D1356" t="s">
        <v>5843</v>
      </c>
      <c r="E1356" s="2" t="s">
        <v>8931</v>
      </c>
      <c r="F1356" t="s">
        <v>575</v>
      </c>
      <c r="G1356" t="str">
        <f>VLOOKUP($F1356, codebooks_data_reordered!$A:$I, 2, FALSE)</f>
        <v>2006</v>
      </c>
      <c r="H1356" t="str">
        <f>VLOOKUP($F1356, codebooks_data_reordered!$A:$I, 3, FALSE)</f>
        <v>Newspaper/TV</v>
      </c>
      <c r="I1356" t="str">
        <f>VLOOKUP($F1356, codebooks_data_reordered!$A:$I, 4, FALSE)</f>
        <v>1</v>
      </c>
      <c r="J1356" t="str">
        <f>VLOOKUP($F1356, codebooks_data_reordered!$A:$I, 5, FALSE)</f>
        <v>180</v>
      </c>
      <c r="K1356" t="str">
        <f>VLOOKUP($F1356, codebooks_data_reordered!$A:$I, 6, FALSE)</f>
        <v>Election campaign broadcasts on TV</v>
      </c>
      <c r="L1356" t="str">
        <f>VLOOKUP($F1356, codebooks_data_reordered!$A:$I, 7, FALSE)</f>
        <v>69. Do you usually watch the election campaign broadcasts on TV?(for interviews before the beginning of broadcasts (March 7, 2006): Do you intend to watch the campaign broadcasts on TV?)</v>
      </c>
      <c r="M1356" t="str">
        <f>VLOOKUP($F1356, codebooks_data_reordered!$A:$I, 9, FALSE)</f>
        <v>1: Every day; 2: Usually; 3: Sometimes; 4: Not very often; 5: Never</v>
      </c>
      <c r="O1356" s="2" t="str">
        <f t="shared" si="21"/>
        <v>1: Every day
 2: Usually
 3: Sometimes
 4: Not very often
 5: Never</v>
      </c>
    </row>
    <row r="1357" spans="1:15" ht="72" hidden="1" x14ac:dyDescent="0.3">
      <c r="A1357" t="s">
        <v>8865</v>
      </c>
      <c r="B1357" t="s">
        <v>8932</v>
      </c>
      <c r="C1357" s="2" t="s">
        <v>8933</v>
      </c>
      <c r="D1357" t="s">
        <v>5843</v>
      </c>
      <c r="E1357" s="2" t="s">
        <v>8934</v>
      </c>
      <c r="F1357" t="s">
        <v>9370</v>
      </c>
      <c r="G1357" t="e">
        <f>VLOOKUP($F1357, codebooks_data_reordered!$A:$I, 2, FALSE)</f>
        <v>#N/A</v>
      </c>
      <c r="H1357" t="e">
        <f>VLOOKUP($F1357, codebooks_data_reordered!$A:$I, 3, FALSE)</f>
        <v>#N/A</v>
      </c>
      <c r="I1357" t="e">
        <f>VLOOKUP($F1357, codebooks_data_reordered!$A:$I, 4, FALSE)</f>
        <v>#N/A</v>
      </c>
      <c r="J1357" t="e">
        <f>VLOOKUP($F1357, codebooks_data_reordered!$A:$I, 5, FALSE)</f>
        <v>#N/A</v>
      </c>
      <c r="K1357" t="e">
        <f>VLOOKUP($F1357, codebooks_data_reordered!$A:$I, 6, FALSE)</f>
        <v>#N/A</v>
      </c>
      <c r="L1357" t="e">
        <f>VLOOKUP($F1357, codebooks_data_reordered!$A:$I, 7, FALSE)</f>
        <v>#N/A</v>
      </c>
      <c r="M1357" t="e">
        <f>VLOOKUP($F1357, codebooks_data_reordered!$A:$I, 9, FALSE)</f>
        <v>#N/A</v>
      </c>
      <c r="O1357" t="e">
        <f t="shared" si="21"/>
        <v>#N/A</v>
      </c>
    </row>
    <row r="1358" spans="1:15" ht="129.6" hidden="1" x14ac:dyDescent="0.3">
      <c r="A1358" t="s">
        <v>8865</v>
      </c>
      <c r="B1358" t="s">
        <v>8935</v>
      </c>
      <c r="C1358" s="2" t="s">
        <v>8936</v>
      </c>
      <c r="D1358" t="s">
        <v>5843</v>
      </c>
      <c r="E1358" s="2" t="s">
        <v>8937</v>
      </c>
      <c r="F1358" t="s">
        <v>580</v>
      </c>
      <c r="G1358" t="str">
        <f>VLOOKUP($F1358, codebooks_data_reordered!$A:$I, 2, FALSE)</f>
        <v>2006</v>
      </c>
      <c r="H1358" t="str">
        <f>VLOOKUP($F1358, codebooks_data_reordered!$A:$I, 3, FALSE)</f>
        <v>Newspaper/TV</v>
      </c>
      <c r="I1358" t="str">
        <f>VLOOKUP($F1358, codebooks_data_reordered!$A:$I, 4, FALSE)</f>
        <v>1</v>
      </c>
      <c r="J1358" t="str">
        <f>VLOOKUP($F1358, codebooks_data_reordered!$A:$I, 5, FALSE)</f>
        <v>181</v>
      </c>
      <c r="K1358" t="str">
        <f>VLOOKUP($F1358, codebooks_data_reordered!$A:$I, 6, FALSE)</f>
        <v>Sites of political parties</v>
      </c>
      <c r="L1358" t="str">
        <f>VLOOKUP($F1358, codebooks_data_reordered!$A:$I, 7, FALSE)</f>
        <v>70. Do you surf sites of political parties?</v>
      </c>
      <c r="M1358" t="str">
        <f>VLOOKUP($F1358, codebooks_data_reordered!$A:$I, 9, FALSE)</f>
        <v>1: Do not surf the internet at all; 2: Surf but not sites of parties; 3: Surf once in a while the sites of parties; 4: Yes quite often</v>
      </c>
      <c r="O1358" s="2" t="str">
        <f t="shared" si="21"/>
        <v>1: Do not surf the internet at all
 2: Surf but not sites of parties
 3: Surf once in a while the sites of parties
 4: Yes quite often</v>
      </c>
    </row>
    <row r="1359" spans="1:15" ht="100.8" hidden="1" x14ac:dyDescent="0.3">
      <c r="A1359" t="s">
        <v>8865</v>
      </c>
      <c r="B1359" t="s">
        <v>8938</v>
      </c>
      <c r="C1359" s="2" t="s">
        <v>8939</v>
      </c>
      <c r="D1359" t="s">
        <v>5843</v>
      </c>
      <c r="E1359" s="2" t="s">
        <v>8940</v>
      </c>
      <c r="F1359" t="s">
        <v>377</v>
      </c>
      <c r="G1359" t="str">
        <f>VLOOKUP($F1359, codebooks_data_reordered!$A:$I, 2, FALSE)</f>
        <v>2006</v>
      </c>
      <c r="H1359" t="str">
        <f>VLOOKUP($F1359, codebooks_data_reordered!$A:$I, 3, FALSE)</f>
        <v>Influence of Different Issues on Vote</v>
      </c>
      <c r="I1359" t="str">
        <f>VLOOKUP($F1359, codebooks_data_reordered!$A:$I, 4, FALSE)</f>
        <v>1</v>
      </c>
      <c r="J1359" t="str">
        <f>VLOOKUP($F1359, codebooks_data_reordered!$A:$I, 5, FALSE)</f>
        <v>118</v>
      </c>
      <c r="K1359" t="str">
        <f>VLOOKUP($F1359, codebooks_data_reordered!$A:$I, 6, FALSE)</f>
        <v>Influence the following have on your vote:Corruption</v>
      </c>
      <c r="L1359" t="str">
        <f>VLOOKUP($F1359, codebooks_data_reordered!$A:$I, 7, FALSE)</f>
        <v>To what extent do each of the following issues effect or not effect your voting?</v>
      </c>
      <c r="M1359" t="str">
        <f>VLOOKUP($F1359, codebooks_data_reordered!$A:$I, 9, FALSE)</f>
        <v>1: A great deal; 2: Some; 3: Little; 4: Not at all</v>
      </c>
      <c r="O1359" s="2" t="str">
        <f t="shared" si="21"/>
        <v>1: A great deal
 2: Some
 3: Little
 4: Not at all</v>
      </c>
    </row>
    <row r="1360" spans="1:15" ht="100.8" hidden="1" x14ac:dyDescent="0.3">
      <c r="A1360" t="s">
        <v>8865</v>
      </c>
      <c r="B1360" t="s">
        <v>8941</v>
      </c>
      <c r="C1360" s="2" t="s">
        <v>8942</v>
      </c>
      <c r="D1360" t="s">
        <v>5843</v>
      </c>
      <c r="E1360" s="2" t="s">
        <v>8943</v>
      </c>
      <c r="F1360" t="s">
        <v>2567</v>
      </c>
      <c r="G1360" t="str">
        <f>VLOOKUP($F1360, codebooks_data_reordered!$A:$I, 2, FALSE)</f>
        <v>1996_Jews</v>
      </c>
      <c r="H1360" t="str">
        <f>VLOOKUP($F1360, codebooks_data_reordered!$A:$I, 3, FALSE)</f>
        <v>WHICH PM CANDID. BEST SUITS EACH DESCRIPTION?</v>
      </c>
      <c r="I1360" t="str">
        <f>VLOOKUP($F1360, codebooks_data_reordered!$A:$I, 4, FALSE)</f>
        <v>1</v>
      </c>
      <c r="J1360" t="str">
        <f>VLOOKUP($F1360, codebooks_data_reordered!$A:$I, 5, FALSE)</f>
        <v>191</v>
      </c>
      <c r="K1360" t="str">
        <f>VLOOKUP($F1360, codebooks_data_reordered!$A:$I, 6, FALSE)</f>
        <v>Personal connections with Arabs</v>
      </c>
      <c r="L1360">
        <f>VLOOKUP($F1360, codebooks_data_reordered!$A:$I, 7, FALSE)</f>
        <v>0</v>
      </c>
      <c r="M1360" t="str">
        <f>VLOOKUP($F1360, codebooks_data_reordered!$A:$I, 9, FALSE)</f>
        <v>1: No connections; 2: Business connections; 3: 1-2 friends; 4: Many connections, including friends</v>
      </c>
      <c r="O1360" s="2" t="str">
        <f t="shared" si="21"/>
        <v>1: No connections
 2: Business connections
 3: 1-2 friends
 4: Many connections, including friends</v>
      </c>
    </row>
    <row r="1361" spans="1:15" ht="115.2" hidden="1" x14ac:dyDescent="0.3">
      <c r="A1361" t="s">
        <v>8865</v>
      </c>
      <c r="B1361" t="s">
        <v>7911</v>
      </c>
      <c r="C1361" s="2" t="s">
        <v>6507</v>
      </c>
      <c r="D1361" t="s">
        <v>5843</v>
      </c>
      <c r="E1361" s="2" t="s">
        <v>6508</v>
      </c>
      <c r="F1361" t="s">
        <v>1640</v>
      </c>
      <c r="G1361" t="str">
        <f>VLOOKUP($F1361, codebooks_data_reordered!$A:$I, 2, FALSE)</f>
        <v>2001</v>
      </c>
      <c r="H1361" t="str">
        <f>VLOOKUP($F1361, codebooks_data_reordered!$A:$I, 3, FALSE)</f>
        <v>General political attitudes and behavior</v>
      </c>
      <c r="I1361" t="str">
        <f>VLOOKUP($F1361, codebooks_data_reordered!$A:$I, 4, FALSE)</f>
        <v>1</v>
      </c>
      <c r="J1361" t="str">
        <f>VLOOKUP($F1361, codebooks_data_reordered!$A:$I, 5, FALSE)</f>
        <v>100</v>
      </c>
      <c r="K1361" t="str">
        <f>VLOOKUP($F1361, codebooks_data_reordered!$A:$I, 6, FALSE)</f>
        <v>Frequency of watching TV news</v>
      </c>
      <c r="L1361">
        <f>VLOOKUP($F1361, codebooks_data_reordered!$A:$I, 7, FALSE)</f>
        <v>0</v>
      </c>
      <c r="M1361" t="str">
        <f>VLOOKUP($F1361, codebooks_data_reordered!$A:$I, 9, FALSE)</f>
        <v>1: Never; 2: Rarely; 3: Once a week; 4: Two or three a week; 5: Almost every day; 6: More than one every day</v>
      </c>
      <c r="O1361" s="2" t="str">
        <f t="shared" si="21"/>
        <v>1: Never
 2: Rarely
 3: Once a week
 4: Two or three a week
 5: Almost every day
 6: More than one every day</v>
      </c>
    </row>
    <row r="1362" spans="1:15" ht="115.2" hidden="1" x14ac:dyDescent="0.3">
      <c r="A1362" t="s">
        <v>8865</v>
      </c>
      <c r="B1362" t="s">
        <v>7914</v>
      </c>
      <c r="C1362" s="2" t="s">
        <v>6318</v>
      </c>
      <c r="D1362" t="s">
        <v>5843</v>
      </c>
      <c r="E1362" s="2" t="s">
        <v>6319</v>
      </c>
      <c r="F1362" t="s">
        <v>2138</v>
      </c>
      <c r="G1362" t="str">
        <f>VLOOKUP($F1362, codebooks_data_reordered!$A:$I, 2, FALSE)</f>
        <v>1999_1</v>
      </c>
      <c r="H1362" t="str">
        <f>VLOOKUP($F1362, codebooks_data_reordered!$A:$I, 3, FALSE)</f>
        <v>IMPACT OF MEDIA</v>
      </c>
      <c r="I1362" t="str">
        <f>VLOOKUP($F1362, codebooks_data_reordered!$A:$I, 4, FALSE)</f>
        <v>3</v>
      </c>
      <c r="J1362" t="str">
        <f>VLOOKUP($F1362, codebooks_data_reordered!$A:$I, 5, FALSE)</f>
        <v>6</v>
      </c>
      <c r="K1362" t="str">
        <f>VLOOKUP($F1362, codebooks_data_reordered!$A:$I, 6, FALSE)</f>
        <v>Frequency of reading daily newspaper</v>
      </c>
      <c r="L1362">
        <f>VLOOKUP($F1362, codebooks_data_reordered!$A:$I, 7, FALSE)</f>
        <v>0</v>
      </c>
      <c r="M1362" t="str">
        <f>VLOOKUP($F1362, codebooks_data_reordered!$A:$I, 9, FALSE)</f>
        <v>1: Almost never; 2: Rarely; 3: Once a week; 4: 2-3 times a week; 5: One newspaper almost every day; 6: More than one almost every day</v>
      </c>
      <c r="O1362" s="2" t="str">
        <f t="shared" si="21"/>
        <v>1: Almost never
 2: Rarely
 3: Once a week
 4: 2-3 times a week
 5: One newspaper almost every day
 6: More than one almost every day</v>
      </c>
    </row>
    <row r="1363" spans="1:15" ht="129.6" hidden="1" x14ac:dyDescent="0.3">
      <c r="A1363" t="s">
        <v>8865</v>
      </c>
      <c r="B1363" t="s">
        <v>8944</v>
      </c>
      <c r="C1363" s="2" t="s">
        <v>8945</v>
      </c>
      <c r="D1363" t="s">
        <v>5843</v>
      </c>
      <c r="E1363" s="2" t="s">
        <v>8946</v>
      </c>
      <c r="F1363" t="s">
        <v>608</v>
      </c>
      <c r="G1363" t="str">
        <f>VLOOKUP($F1363, codebooks_data_reordered!$A:$I, 2, FALSE)</f>
        <v>2006</v>
      </c>
      <c r="H1363" t="str">
        <f>VLOOKUP($F1363, codebooks_data_reordered!$A:$I, 3, FALSE)</f>
        <v>Chance the Party to be in the Next Government</v>
      </c>
      <c r="I1363" t="str">
        <f>VLOOKUP($F1363, codebooks_data_reordered!$A:$I, 4, FALSE)</f>
        <v>1</v>
      </c>
      <c r="J1363" t="str">
        <f>VLOOKUP($F1363, codebooks_data_reordered!$A:$I, 5, FALSE)</f>
        <v>192-194</v>
      </c>
      <c r="K1363" t="str">
        <f>VLOOKUP($F1363, codebooks_data_reordered!$A:$I, 6, FALSE)</f>
        <v>Likelihood of Likud to be in the coalition</v>
      </c>
      <c r="L1363" t="str">
        <f>VLOOKUP($F1363, codebooks_data_reordered!$A:$I, 7, FALSE)</f>
        <v>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Likud?</v>
      </c>
      <c r="M1363">
        <f>VLOOKUP($F1363, codebooks_data_reordered!$A:$I, 9, FALSE)</f>
        <v>0</v>
      </c>
      <c r="O1363" s="2" t="str">
        <f t="shared" si="21"/>
        <v>0</v>
      </c>
    </row>
    <row r="1364" spans="1:15" ht="115.2" hidden="1" x14ac:dyDescent="0.3">
      <c r="A1364" t="s">
        <v>8865</v>
      </c>
      <c r="B1364" t="s">
        <v>8947</v>
      </c>
      <c r="C1364" s="2" t="s">
        <v>6431</v>
      </c>
      <c r="D1364" t="s">
        <v>5843</v>
      </c>
      <c r="E1364" s="2" t="s">
        <v>6432</v>
      </c>
      <c r="F1364" t="s">
        <v>5401</v>
      </c>
      <c r="G1364" t="str">
        <f>VLOOKUP($F1364, codebooks_data_reordered!$A:$I, 2, FALSE)</f>
        <v>1973_5</v>
      </c>
      <c r="H1364" t="str">
        <f>VLOOKUP($F1364, codebooks_data_reordered!$A:$I, 3, FALSE)</f>
        <v>POLITICAL LEADERS AND HOW INTERVIEWEE RELATES TO THEM, HOW IMPORTANT THIS FACTOR WAS TO INTERVIEWEE'S VOTE</v>
      </c>
      <c r="I1364" t="str">
        <f>VLOOKUP($F1364, codebooks_data_reordered!$A:$I, 4, FALSE)</f>
        <v>1</v>
      </c>
      <c r="J1364" t="str">
        <f>VLOOKUP($F1364, codebooks_data_reordered!$A:$I, 5, FALSE)</f>
        <v>49</v>
      </c>
      <c r="K1364" t="str">
        <f>VLOOKUP($F1364, codebooks_data_reordered!$A:$I, 6, FALSE)</f>
        <v>The campaign was necessary before the elections</v>
      </c>
      <c r="L1364">
        <f>VLOOKUP($F1364, codebooks_data_reordered!$A:$I, 7, FALSE)</f>
        <v>0</v>
      </c>
      <c r="M1364" t="str">
        <f>VLOOKUP($F1364, codebooks_data_reordered!$A:$I, 9, FALSE)</f>
        <v>1: Very necessary; 2: Necessary; 3: Not so necessary; 4: Not at all</v>
      </c>
      <c r="O1364" s="2" t="str">
        <f t="shared" si="21"/>
        <v>1: Very necessary
 2: Necessary
 3: Not so necessary
 4: Not at all</v>
      </c>
    </row>
    <row r="1365" spans="1:15" ht="129.6" hidden="1" x14ac:dyDescent="0.3">
      <c r="A1365" t="s">
        <v>8865</v>
      </c>
      <c r="B1365" t="s">
        <v>6054</v>
      </c>
      <c r="C1365" s="2" t="s">
        <v>8948</v>
      </c>
      <c r="D1365" t="s">
        <v>5843</v>
      </c>
      <c r="E1365" s="2" t="s">
        <v>8949</v>
      </c>
      <c r="F1365" t="s">
        <v>469</v>
      </c>
      <c r="G1365" t="str">
        <f>VLOOKUP($F1365, codebooks_data_reordered!$A:$I, 2, FALSE)</f>
        <v>2006</v>
      </c>
      <c r="H1365" t="str">
        <f>VLOOKUP($F1365, codebooks_data_reordered!$A:$I, 3, FALSE)</f>
        <v>Most/Less Suitable Characteristic of the Party</v>
      </c>
      <c r="I1365" t="str">
        <f>VLOOKUP($F1365, codebooks_data_reordered!$A:$I, 4, FALSE)</f>
        <v>1</v>
      </c>
      <c r="J1365" t="str">
        <f>VLOOKUP($F1365, codebooks_data_reordered!$A:$I, 5, FALSE)</f>
        <v>151</v>
      </c>
      <c r="K1365" t="str">
        <f>VLOOKUP($F1365, codebooks_data_reordered!$A:$I, 6, FALSE)</f>
        <v>Most suitable characteristic of the party: True peace with arabs</v>
      </c>
      <c r="L1365" t="str">
        <f>VLOOKUP($F1365,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v>
      </c>
      <c r="M1365" t="str">
        <f>VLOOKUP($F1365, codebooks_data_reordered!$A:$I, 9, FALSE)</f>
        <v>1: Most suitable Kadima; 2: Most suitable Likud; 3: Most suitable Avoda; 4: Suits all the same; 5: Doesn't suit any of them</v>
      </c>
      <c r="O1365" s="2" t="str">
        <f t="shared" si="21"/>
        <v>1: Most suitable Kadima
 2: Most suitable Likud
 3: Most suitable Avoda
 4: Suits all the same
 5: Doesn't suit any of them</v>
      </c>
    </row>
    <row r="1366" spans="1:15" ht="115.2" hidden="1" x14ac:dyDescent="0.3">
      <c r="A1366" t="s">
        <v>8865</v>
      </c>
      <c r="B1366" t="s">
        <v>8950</v>
      </c>
      <c r="C1366" s="2" t="s">
        <v>6507</v>
      </c>
      <c r="D1366" t="s">
        <v>5843</v>
      </c>
      <c r="E1366" s="2" t="s">
        <v>6508</v>
      </c>
      <c r="F1366" t="s">
        <v>1643</v>
      </c>
      <c r="G1366" t="str">
        <f>VLOOKUP($F1366, codebooks_data_reordered!$A:$I, 2, FALSE)</f>
        <v>2003</v>
      </c>
      <c r="H1366" t="str">
        <f>VLOOKUP($F1366, codebooks_data_reordered!$A:$I, 3, FALSE)</f>
        <v>Likelihood for parties to be in the coalition</v>
      </c>
      <c r="I1366" t="str">
        <f>VLOOKUP($F1366, codebooks_data_reordered!$A:$I, 4, FALSE)</f>
        <v>1</v>
      </c>
      <c r="J1366" t="str">
        <f>VLOOKUP($F1366, codebooks_data_reordered!$A:$I, 5, FALSE)</f>
        <v>116-118</v>
      </c>
      <c r="K1366" t="str">
        <f>VLOOKUP($F1366, codebooks_data_reordered!$A:$I, 6, FALSE)</f>
        <v>Likelihood for the Likud to be in the coalition (%)</v>
      </c>
      <c r="L1366" t="str">
        <f>VLOOKUP($F1366, codebooks_data_reordered!$A:$I, 7, FALSE)</f>
        <v>On a scale from 0 -100, how likely is it that the Likud will be in the governing coalition? Asked only in first survey</v>
      </c>
      <c r="M1366">
        <f>VLOOKUP($F1366, codebooks_data_reordered!$A:$I, 9, FALSE)</f>
        <v>0</v>
      </c>
      <c r="O1366" s="2" t="str">
        <f t="shared" si="21"/>
        <v>0</v>
      </c>
    </row>
    <row r="1367" spans="1:15" ht="115.2" hidden="1" x14ac:dyDescent="0.3">
      <c r="A1367" t="s">
        <v>8865</v>
      </c>
      <c r="B1367" t="s">
        <v>6055</v>
      </c>
      <c r="C1367" s="2" t="s">
        <v>6318</v>
      </c>
      <c r="D1367" t="s">
        <v>5843</v>
      </c>
      <c r="E1367" s="2" t="s">
        <v>6319</v>
      </c>
      <c r="F1367" t="s">
        <v>2140</v>
      </c>
      <c r="G1367" t="str">
        <f>VLOOKUP($F1367, codebooks_data_reordered!$A:$I, 2, FALSE)</f>
        <v>1999_1</v>
      </c>
      <c r="H1367" t="str">
        <f>VLOOKUP($F1367, codebooks_data_reordered!$A:$I, 3, FALSE)</f>
        <v>IMPACT OF MEDIA</v>
      </c>
      <c r="I1367" t="str">
        <f>VLOOKUP($F1367, codebooks_data_reordered!$A:$I, 4, FALSE)</f>
        <v>3</v>
      </c>
      <c r="J1367" t="str">
        <f>VLOOKUP($F1367, codebooks_data_reordered!$A:$I, 5, FALSE)</f>
        <v>7</v>
      </c>
      <c r="K1367" t="str">
        <f>VLOOKUP($F1367, codebooks_data_reordered!$A:$I, 6, FALSE)</f>
        <v>Follow publications of election polls</v>
      </c>
      <c r="L1367">
        <f>VLOOKUP($F1367, codebooks_data_reordered!$A:$I, 7, FALSE)</f>
        <v>0</v>
      </c>
      <c r="M1367" t="str">
        <f>VLOOKUP($F1367, codebooks_data_reordered!$A:$I, 9, FALSE)</f>
        <v>1: With a great interest; 2: With some interest; 3: With little interest; 4: Do not follow at all</v>
      </c>
      <c r="O1367" s="2" t="str">
        <f t="shared" si="21"/>
        <v>1: With a great interest
 2: With some interest
 3: With little interest
 4: Do not follow at all</v>
      </c>
    </row>
    <row r="1368" spans="1:15" ht="129.6" hidden="1" x14ac:dyDescent="0.3">
      <c r="A1368" t="s">
        <v>8865</v>
      </c>
      <c r="B1368" t="s">
        <v>8951</v>
      </c>
      <c r="C1368" s="2" t="s">
        <v>8952</v>
      </c>
      <c r="D1368" t="s">
        <v>5843</v>
      </c>
      <c r="E1368" s="2" t="s">
        <v>8953</v>
      </c>
      <c r="F1368" t="s">
        <v>1737</v>
      </c>
      <c r="G1368" t="str">
        <f>VLOOKUP($F1368, codebooks_data_reordered!$A:$I, 2, FALSE)</f>
        <v>2003</v>
      </c>
      <c r="H1368" t="str">
        <f>VLOOKUP($F1368, codebooks_data_reordered!$A:$I, 3, FALSE)</f>
        <v>Respondent's demographic details</v>
      </c>
      <c r="I1368" t="str">
        <f>VLOOKUP($F1368, codebooks_data_reordered!$A:$I, 4, FALSE)</f>
        <v>1</v>
      </c>
      <c r="J1368" t="str">
        <f>VLOOKUP($F1368, codebooks_data_reordered!$A:$I, 5, FALSE)</f>
        <v>193</v>
      </c>
      <c r="K1368" t="str">
        <f>VLOOKUP($F1368, codebooks_data_reordered!$A:$I, 6, FALSE)</f>
        <v>Academic degree</v>
      </c>
      <c r="L1368" t="str">
        <f>VLOOKUP($F1368, codebooks_data_reordered!$A:$I, 7, FALSE)</f>
        <v>Do you have a college degree? (For those with 12 years and more)</v>
      </c>
      <c r="M1368" t="str">
        <f>VLOOKUP($F1368, codebooks_data_reordered!$A:$I, 9, FALSE)</f>
        <v>1: Yes; 2: No</v>
      </c>
      <c r="O1368" s="2" t="str">
        <f t="shared" si="21"/>
        <v>1: Yes
 2: No</v>
      </c>
    </row>
    <row r="1369" spans="1:15" ht="86.4" hidden="1" x14ac:dyDescent="0.3">
      <c r="A1369" t="s">
        <v>8865</v>
      </c>
      <c r="B1369" t="s">
        <v>8954</v>
      </c>
      <c r="C1369" s="2" t="s">
        <v>8955</v>
      </c>
      <c r="D1369" t="s">
        <v>5843</v>
      </c>
      <c r="E1369" s="2" t="s">
        <v>8956</v>
      </c>
      <c r="F1369" t="s">
        <v>472</v>
      </c>
      <c r="G1369" t="str">
        <f>VLOOKUP($F1369, codebooks_data_reordered!$A:$I, 2, FALSE)</f>
        <v>2006</v>
      </c>
      <c r="H1369" t="str">
        <f>VLOOKUP($F1369, codebooks_data_reordered!$A:$I, 3, FALSE)</f>
        <v>Most/Less Suitable Characteristic of the Party</v>
      </c>
      <c r="I1369" t="str">
        <f>VLOOKUP($F1369, codebooks_data_reordered!$A:$I, 4, FALSE)</f>
        <v>1</v>
      </c>
      <c r="J1369" t="str">
        <f>VLOOKUP($F1369, codebooks_data_reordered!$A:$I, 5, FALSE)</f>
        <v>152</v>
      </c>
      <c r="K1369" t="str">
        <f>VLOOKUP($F1369, codebooks_data_reordered!$A:$I, 6, FALSE)</f>
        <v>Least suitable characteristic of the party: True peace with arabs</v>
      </c>
      <c r="L1369" t="str">
        <f>VLOOKUP($F1369,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v>
      </c>
      <c r="M1369" t="str">
        <f>VLOOKUP($F1369, codebooks_data_reordered!$A:$I, 9, FALSE)</f>
        <v>1: Least suitable Kadima; 2: Least suitable Likud; 3: Least suitable Avoda; 4: Suits all the same; 5: Doesn't suit any of them</v>
      </c>
      <c r="O1369" s="2" t="str">
        <f t="shared" si="21"/>
        <v>1: Least suitable Kadima
 2: Least suitable Likud
 3: Least suitable Avoda
 4: Suits all the same
 5: Doesn't suit any of them</v>
      </c>
    </row>
    <row r="1370" spans="1:15" ht="158.4" hidden="1" x14ac:dyDescent="0.3">
      <c r="A1370" t="s">
        <v>8865</v>
      </c>
      <c r="B1370" t="s">
        <v>6065</v>
      </c>
      <c r="C1370" s="2" t="s">
        <v>8957</v>
      </c>
      <c r="D1370" t="s">
        <v>5843</v>
      </c>
      <c r="E1370" s="2" t="s">
        <v>8958</v>
      </c>
      <c r="F1370" t="s">
        <v>612</v>
      </c>
      <c r="G1370" t="str">
        <f>VLOOKUP($F1370, codebooks_data_reordered!$A:$I, 2, FALSE)</f>
        <v>2006</v>
      </c>
      <c r="H1370" t="str">
        <f>VLOOKUP($F1370, codebooks_data_reordered!$A:$I, 3, FALSE)</f>
        <v>Chance the Party to be in the Next Government</v>
      </c>
      <c r="I1370" t="str">
        <f>VLOOKUP($F1370, codebooks_data_reordered!$A:$I, 4, FALSE)</f>
        <v>1</v>
      </c>
      <c r="J1370" t="str">
        <f>VLOOKUP($F1370, codebooks_data_reordered!$A:$I, 5, FALSE)</f>
        <v>195-197</v>
      </c>
      <c r="K1370" t="str">
        <f>VLOOKUP($F1370, codebooks_data_reordered!$A:$I, 6, FALSE)</f>
        <v>Likelihood of the party he said he will vote for</v>
      </c>
      <c r="L1370" t="str">
        <f>VLOOKUP($F1370, codebooks_data_reordered!$A:$I, 7, FALSE)</f>
        <v>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And (the party he said he will vote for in the previous question)</v>
      </c>
      <c r="M1370">
        <f>VLOOKUP($F1370, codebooks_data_reordered!$A:$I, 9, FALSE)</f>
        <v>0</v>
      </c>
      <c r="O1370" s="2" t="str">
        <f t="shared" si="21"/>
        <v>0</v>
      </c>
    </row>
    <row r="1371" spans="1:15" ht="158.4" hidden="1" x14ac:dyDescent="0.3">
      <c r="A1371" t="s">
        <v>8865</v>
      </c>
      <c r="B1371" t="s">
        <v>8959</v>
      </c>
      <c r="C1371" s="2" t="s">
        <v>8960</v>
      </c>
      <c r="D1371" t="s">
        <v>5843</v>
      </c>
      <c r="E1371" s="2" t="s">
        <v>8961</v>
      </c>
      <c r="F1371" t="s">
        <v>483</v>
      </c>
      <c r="G1371" t="str">
        <f>VLOOKUP($F1371, codebooks_data_reordered!$A:$I, 2, FALSE)</f>
        <v>2006</v>
      </c>
      <c r="H1371" t="str">
        <f>VLOOKUP($F1371, codebooks_data_reordered!$A:$I, 3, FALSE)</f>
        <v>Most/Less Suitable Characteristic of the Party</v>
      </c>
      <c r="I1371" t="str">
        <f>VLOOKUP($F1371, codebooks_data_reordered!$A:$I, 4, FALSE)</f>
        <v>1</v>
      </c>
      <c r="J1371" t="str">
        <f>VLOOKUP($F1371, codebooks_data_reordered!$A:$I, 5, FALSE)</f>
        <v>155</v>
      </c>
      <c r="K1371" t="str">
        <f>VLOOKUP($F1371, codebooks_data_reordered!$A:$I, 6, FALSE)</f>
        <v>Most suitable characteristic of the party: Ensure a jewish majority</v>
      </c>
      <c r="L1371" t="str">
        <f>VLOOKUP($F1371,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v>
      </c>
      <c r="M1371" t="str">
        <f>VLOOKUP($F1371, codebooks_data_reordered!$A:$I, 9, FALSE)</f>
        <v>1: Most suitable Kadima; 2: Most suitable Likud; 3: Most suitable Avoda; 4: Suits all the same; 5: Doesn't suit any of them</v>
      </c>
      <c r="O1371" s="2" t="str">
        <f t="shared" si="21"/>
        <v>1: Most suitable Kadima
 2: Most suitable Likud
 3: Most suitable Avoda
 4: Suits all the same
 5: Doesn't suit any of them</v>
      </c>
    </row>
    <row r="1372" spans="1:15" ht="158.4" hidden="1" x14ac:dyDescent="0.3">
      <c r="A1372" t="s">
        <v>8865</v>
      </c>
      <c r="B1372" t="s">
        <v>8962</v>
      </c>
      <c r="C1372" s="2" t="s">
        <v>8960</v>
      </c>
      <c r="D1372" t="s">
        <v>5843</v>
      </c>
      <c r="E1372" s="2" t="s">
        <v>8961</v>
      </c>
      <c r="F1372" t="s">
        <v>479</v>
      </c>
      <c r="G1372" t="str">
        <f>VLOOKUP($F1372, codebooks_data_reordered!$A:$I, 2, FALSE)</f>
        <v>2006</v>
      </c>
      <c r="H1372" t="str">
        <f>VLOOKUP($F1372, codebooks_data_reordered!$A:$I, 3, FALSE)</f>
        <v>Most/Less Suitable Characteristic of the Party</v>
      </c>
      <c r="I1372" t="str">
        <f>VLOOKUP($F1372, codebooks_data_reordered!$A:$I, 4, FALSE)</f>
        <v>1</v>
      </c>
      <c r="J1372" t="str">
        <f>VLOOKUP($F1372, codebooks_data_reordered!$A:$I, 5, FALSE)</f>
        <v>154</v>
      </c>
      <c r="K1372" t="str">
        <f>VLOOKUP($F1372, codebooks_data_reordered!$A:$I, 6, FALSE)</f>
        <v>Least suitable characteristic of the party: Handle terrorism</v>
      </c>
      <c r="L1372" t="str">
        <f>VLOOKUP($F1372,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v>
      </c>
      <c r="M1372" t="str">
        <f>VLOOKUP($F1372, codebooks_data_reordered!$A:$I, 9, FALSE)</f>
        <v>1: Least suitable Kadima; 2: Least suitable Likud; 3: Least suitable Avoda; 4: Suits all the same; 5: Doesn't suit any of them</v>
      </c>
      <c r="O1372" s="2" t="str">
        <f t="shared" si="21"/>
        <v>1: Least suitable Kadima
 2: Least suitable Likud
 3: Least suitable Avoda
 4: Suits all the same
 5: Doesn't suit any of them</v>
      </c>
    </row>
    <row r="1373" spans="1:15" ht="129.6" hidden="1" x14ac:dyDescent="0.3">
      <c r="A1373" t="s">
        <v>8865</v>
      </c>
      <c r="B1373" t="s">
        <v>8576</v>
      </c>
      <c r="C1373" s="2" t="s">
        <v>8963</v>
      </c>
      <c r="D1373" t="s">
        <v>5843</v>
      </c>
      <c r="E1373" s="2" t="s">
        <v>8964</v>
      </c>
      <c r="F1373" t="s">
        <v>2489</v>
      </c>
      <c r="G1373" t="str">
        <f>VLOOKUP($F1373, codebooks_data_reordered!$A:$I, 2, FALSE)</f>
        <v>1996_Jews</v>
      </c>
      <c r="H1373" t="str">
        <f>VLOOKUP($F1373, codebooks_data_reordered!$A:$I, 3, FALSE)</f>
        <v>WHICH PM CANDID. BEST SUITS EACH DESCRIPTION?</v>
      </c>
      <c r="I1373" t="str">
        <f>VLOOKUP($F1373, codebooks_data_reordered!$A:$I, 4, FALSE)</f>
        <v>1</v>
      </c>
      <c r="J1373" t="str">
        <f>VLOOKUP($F1373, codebooks_data_reordered!$A:$I, 5, FALSE)</f>
        <v>156</v>
      </c>
      <c r="K1373" t="str">
        <f>VLOOKUP($F1373, codebooks_data_reordered!$A:$I, 6, FALSE)</f>
        <v>Believe that election polls influence voting</v>
      </c>
      <c r="L1373">
        <f>VLOOKUP($F1373, codebooks_data_reordered!$A:$I, 7, FALSE)</f>
        <v>0</v>
      </c>
      <c r="M1373" t="str">
        <f>VLOOKUP($F1373, codebooks_data_reordered!$A:$I, 9, FALSE)</f>
        <v>1: Very much; 2: To some extent; 3: A little; 4: Not at all</v>
      </c>
      <c r="O1373" s="2" t="str">
        <f t="shared" si="21"/>
        <v>1: Very much
 2: To some extent
 3: A little
 4: Not at all</v>
      </c>
    </row>
    <row r="1374" spans="1:15" ht="100.8" hidden="1" x14ac:dyDescent="0.3">
      <c r="A1374" t="s">
        <v>8865</v>
      </c>
      <c r="B1374" t="s">
        <v>8965</v>
      </c>
      <c r="C1374" s="2" t="s">
        <v>5947</v>
      </c>
      <c r="D1374" t="s">
        <v>5843</v>
      </c>
      <c r="E1374" s="2" t="s">
        <v>5948</v>
      </c>
      <c r="F1374" t="s">
        <v>3621</v>
      </c>
      <c r="G1374" t="str">
        <f>VLOOKUP($F1374, codebooks_data_reordered!$A:$I, 2, FALSE)</f>
        <v>1988_Panel_N=416</v>
      </c>
      <c r="H1374" t="str">
        <f>VLOOKUP($F1374, codebooks_data_reordered!$A:$I, 3, FALSE)</f>
        <v>GRADING OF BELOW VALUES ACCORDING TO THEIR IMPORTANCE</v>
      </c>
      <c r="I1374" t="str">
        <f>VLOOKUP($F1374, codebooks_data_reordered!$A:$I, 4, FALSE)</f>
        <v>4</v>
      </c>
      <c r="J1374" t="str">
        <f>VLOOKUP($F1374, codebooks_data_reordered!$A:$I, 5, FALSE)</f>
        <v>75</v>
      </c>
      <c r="K1374" t="str">
        <f>VLOOKUP($F1374, codebooks_data_reordered!$A:$I, 6, FALSE)</f>
        <v>Interviewee's active military service</v>
      </c>
      <c r="L1374">
        <f>VLOOKUP($F1374, codebooks_data_reordered!$A:$I, 7, FALSE)</f>
        <v>0</v>
      </c>
      <c r="M1374" t="str">
        <f>VLOOKUP($F1374, codebooks_data_reordered!$A:$I, 9, FALSE)</f>
        <v>1: Not served yet but will in future; 2: Conscription; 3: Serving in regular service; 4: Served in IDF in past; 5: Did not serve in IDF</v>
      </c>
      <c r="O1374" s="2" t="str">
        <f t="shared" si="21"/>
        <v>1: Not served yet but will in future
 2: Conscription
 3: Serving in regular service
 4: Served in IDF in past
 5: Did not serve in IDF</v>
      </c>
    </row>
    <row r="1375" spans="1:15" ht="72" hidden="1" x14ac:dyDescent="0.3">
      <c r="A1375" t="s">
        <v>8865</v>
      </c>
      <c r="B1375" t="s">
        <v>8966</v>
      </c>
      <c r="C1375" s="2" t="s">
        <v>8967</v>
      </c>
      <c r="D1375" t="s">
        <v>5843</v>
      </c>
      <c r="E1375" s="2" t="s">
        <v>8968</v>
      </c>
      <c r="F1375" t="s">
        <v>2033</v>
      </c>
      <c r="G1375" t="str">
        <f>VLOOKUP($F1375, codebooks_data_reordered!$A:$I, 2, FALSE)</f>
        <v>1999_1</v>
      </c>
      <c r="H1375" t="str">
        <f>VLOOKUP($F1375, codebooks_data_reordered!$A:$I, 3, FALSE)</f>
        <v>MAIN POLITICAL ISSUES</v>
      </c>
      <c r="I1375" t="str">
        <f>VLOOKUP($F1375, codebooks_data_reordered!$A:$I, 4, FALSE)</f>
        <v>2</v>
      </c>
      <c r="J1375" t="str">
        <f>VLOOKUP($F1375, codebooks_data_reordered!$A:$I, 5, FALSE)</f>
        <v>47</v>
      </c>
      <c r="K1375" t="str">
        <f>VLOOKUP($F1375, codebooks_data_reordered!$A:$I, 6, FALSE)</f>
        <v>Government expenditures on health</v>
      </c>
      <c r="L1375">
        <f>VLOOKUP($F1375, codebooks_data_reordered!$A:$I, 7, FALSE)</f>
        <v>0</v>
      </c>
      <c r="M1375" t="str">
        <f>VLOOKUP($F1375, codebooks_data_reordered!$A:$I, 9, FALSE)</f>
        <v>1: Should increase; 2: Should decrease; 3: Should stay the same</v>
      </c>
      <c r="O1375" s="2" t="str">
        <f t="shared" si="21"/>
        <v>1: Should increase
 2: Should decrease
 3: Should stay the same</v>
      </c>
    </row>
    <row r="1376" spans="1:15" ht="129.6" hidden="1" x14ac:dyDescent="0.3">
      <c r="A1376" t="s">
        <v>8865</v>
      </c>
      <c r="B1376" t="s">
        <v>7934</v>
      </c>
      <c r="C1376" s="2" t="s">
        <v>8969</v>
      </c>
      <c r="D1376" t="s">
        <v>5843</v>
      </c>
      <c r="E1376" s="2" t="s">
        <v>8970</v>
      </c>
      <c r="F1376" t="s">
        <v>3510</v>
      </c>
      <c r="G1376" t="str">
        <f>VLOOKUP($F1376, codebooks_data_reordered!$A:$I, 2, FALSE)</f>
        <v>1988_Panel_N=416</v>
      </c>
      <c r="H1376" t="str">
        <f>VLOOKUP($F1376, codebooks_data_reordered!$A:$I, 3, FALSE)</f>
        <v>FOR EACH OF THE FOLLOWING STATE TO WHICH PARTY IT SUITS THE MOST</v>
      </c>
      <c r="I1376" t="str">
        <f>VLOOKUP($F1376, codebooks_data_reordered!$A:$I, 4, FALSE)</f>
        <v>3</v>
      </c>
      <c r="J1376" t="str">
        <f>VLOOKUP($F1376, codebooks_data_reordered!$A:$I, 5, FALSE)</f>
        <v>106</v>
      </c>
      <c r="K1376" t="str">
        <f>VLOOKUP($F1376, codebooks_data_reordered!$A:$I, 6, FALSE)</f>
        <v>Party to return tranquility and order to territories</v>
      </c>
      <c r="L1376">
        <f>VLOOKUP($F1376, codebooks_data_reordered!$A:$I, 7, FALSE)</f>
        <v>0</v>
      </c>
      <c r="M1376" t="str">
        <f>VLOOKUP($F1376, codebooks_data_reordered!$A:$I, 9, FALSE)</f>
        <v>1: Suits Labor; 2: Suits Likud; 3: Both equally; 4: Neither</v>
      </c>
      <c r="O1376" s="2" t="str">
        <f t="shared" si="21"/>
        <v>1: Suits Labor
 2: Suits Likud
 3: Both equally
 4: Neither</v>
      </c>
    </row>
    <row r="1377" spans="1:15" ht="158.4" hidden="1" x14ac:dyDescent="0.3">
      <c r="A1377" t="s">
        <v>8865</v>
      </c>
      <c r="B1377" t="s">
        <v>8971</v>
      </c>
      <c r="C1377" s="2" t="s">
        <v>8972</v>
      </c>
      <c r="D1377" t="s">
        <v>5843</v>
      </c>
      <c r="E1377" s="2" t="s">
        <v>8973</v>
      </c>
      <c r="F1377" t="s">
        <v>51</v>
      </c>
      <c r="G1377" t="str">
        <f>VLOOKUP($F1377, codebooks_data_reordered!$A:$I, 2, FALSE)</f>
        <v>2006</v>
      </c>
      <c r="H1377" t="str">
        <f>VLOOKUP($F1377, codebooks_data_reordered!$A:$I, 3, FALSE)</f>
        <v>Pre-Election Survey</v>
      </c>
      <c r="I1377" t="str">
        <f>VLOOKUP($F1377, codebooks_data_reordered!$A:$I, 4, FALSE)</f>
        <v>1</v>
      </c>
      <c r="J1377" t="str">
        <f>VLOOKUP($F1377, codebooks_data_reordered!$A:$I, 5, FALSE)</f>
        <v>15</v>
      </c>
      <c r="K1377" t="str">
        <f>VLOOKUP($F1377, codebooks_data_reordered!$A:$I, 6, FALSE)</f>
        <v>National security today</v>
      </c>
      <c r="L1377" t="str">
        <f>VLOOKUP($F1377,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377" t="str">
        <f>VLOOKUP($F1377, codebooks_data_reordered!$A:$I, 9, FALSE)</f>
        <v>1: Worst situation; 9: Best situation</v>
      </c>
      <c r="O1377" s="2" t="str">
        <f t="shared" si="21"/>
        <v>1: Worst situation
 9: Best situation</v>
      </c>
    </row>
    <row r="1378" spans="1:15" ht="144" hidden="1" x14ac:dyDescent="0.3">
      <c r="A1378" t="s">
        <v>8865</v>
      </c>
      <c r="B1378" t="s">
        <v>8974</v>
      </c>
      <c r="C1378" s="2" t="s">
        <v>8975</v>
      </c>
      <c r="D1378" t="s">
        <v>5843</v>
      </c>
      <c r="E1378" s="2" t="s">
        <v>8976</v>
      </c>
      <c r="F1378" t="s">
        <v>4438</v>
      </c>
      <c r="G1378" t="str">
        <f>VLOOKUP($F1378, codebooks_data_reordered!$A:$I, 2, FALSE)</f>
        <v>1981_3</v>
      </c>
      <c r="H1378" t="str">
        <f>VLOOKUP($F1378, codebooks_data_reordered!$A:$I, 3, FALSE)</f>
        <v>INTERVIEWEE EVALUATION OF THE STATE OF ISRAEL</v>
      </c>
      <c r="I1378" t="str">
        <f>VLOOKUP($F1378, codebooks_data_reordered!$A:$I, 4, FALSE)</f>
        <v>1</v>
      </c>
      <c r="J1378" t="str">
        <f>VLOOKUP($F1378, codebooks_data_reordered!$A:$I, 5, FALSE)</f>
        <v>165</v>
      </c>
      <c r="K1378" t="str">
        <f>VLOOKUP($F1378, codebooks_data_reordered!$A:$I, 6, FALSE)</f>
        <v>Interviewee usually reads daily newspapers</v>
      </c>
      <c r="L1378">
        <f>VLOOKUP($F1378, codebooks_data_reordered!$A:$I, 7, FALSE)</f>
        <v>0</v>
      </c>
      <c r="M1378" t="str">
        <f>VLOOKUP($F1378, codebooks_data_reordered!$A:$I, 9, FALSE)</f>
        <v>1: Ma'ariv; 2: Yedioth Aharonoth; 3: Ha'aretz; 4: Davar; 5: Other Hebrew newspaper; 6: Foreign language newspaper; 7: Does not usually read daily newspaper</v>
      </c>
      <c r="O1378" s="2" t="str">
        <f t="shared" si="21"/>
        <v>1: Ma'ariv
 2: Yedioth Aharonoth
 3: Ha'aretz
 4: Davar
 5: Other Hebrew newspaper
 6: Foreign language newspaper
 7: Does not usually read daily newspaper</v>
      </c>
    </row>
    <row r="1379" spans="1:15" ht="187.2" hidden="1" x14ac:dyDescent="0.3">
      <c r="A1379" t="s">
        <v>8865</v>
      </c>
      <c r="B1379" t="s">
        <v>8977</v>
      </c>
      <c r="C1379" s="2" t="s">
        <v>8978</v>
      </c>
      <c r="D1379" t="s">
        <v>5843</v>
      </c>
      <c r="E1379" s="2" t="s">
        <v>8979</v>
      </c>
      <c r="F1379" t="s">
        <v>54</v>
      </c>
      <c r="G1379" t="str">
        <f>VLOOKUP($F1379, codebooks_data_reordered!$A:$I, 2, FALSE)</f>
        <v>2006</v>
      </c>
      <c r="H1379" t="str">
        <f>VLOOKUP($F1379, codebooks_data_reordered!$A:$I, 3, FALSE)</f>
        <v>Pre-Election Survey</v>
      </c>
      <c r="I1379" t="str">
        <f>VLOOKUP($F1379, codebooks_data_reordered!$A:$I, 4, FALSE)</f>
        <v>1</v>
      </c>
      <c r="J1379" t="str">
        <f>VLOOKUP($F1379, codebooks_data_reordered!$A:$I, 5, FALSE)</f>
        <v>16</v>
      </c>
      <c r="K1379" t="str">
        <f>VLOOKUP($F1379, codebooks_data_reordered!$A:$I, 6, FALSE)</f>
        <v>National security in last 5 years</v>
      </c>
      <c r="L1379" t="str">
        <f>VLOOKUP($F1379, codebooks_data_reordered!$A:$I, 7, FALSE)</f>
        <v>Here is a 9 step ladder that depicts where the country might be in terms of national security. The top of the ladder is 9 and that is the best possible situation that you can think of and 1 is the worst. One which rank do you think the country is?</v>
      </c>
      <c r="M1379" t="str">
        <f>VLOOKUP($F1379, codebooks_data_reordered!$A:$I, 9, FALSE)</f>
        <v>1: Worst situation; 9: Best situation</v>
      </c>
      <c r="O1379" s="2" t="str">
        <f t="shared" si="21"/>
        <v>1: Worst situation
 9: Best situation</v>
      </c>
    </row>
    <row r="1380" spans="1:15" ht="409.6" hidden="1" x14ac:dyDescent="0.3">
      <c r="A1380" t="s">
        <v>8865</v>
      </c>
      <c r="B1380" t="s">
        <v>8980</v>
      </c>
      <c r="C1380" s="2" t="s">
        <v>8981</v>
      </c>
      <c r="D1380" t="s">
        <v>5843</v>
      </c>
      <c r="E1380" s="2" t="s">
        <v>8982</v>
      </c>
      <c r="F1380" t="s">
        <v>1833</v>
      </c>
      <c r="G1380" t="str">
        <f>VLOOKUP($F1380, codebooks_data_reordered!$A:$I, 2, FALSE)</f>
        <v>1999_1</v>
      </c>
      <c r="H1380" t="str">
        <f>VLOOKUP($F1380, codebooks_data_reordered!$A:$I, 3, FALSE)</f>
        <v>VALUES AND TRUST</v>
      </c>
      <c r="I1380" t="str">
        <f>VLOOKUP($F1380, codebooks_data_reordered!$A:$I, 4, FALSE)</f>
        <v>1</v>
      </c>
      <c r="J1380" t="str">
        <f>VLOOKUP($F1380, codebooks_data_reordered!$A:$I, 5, FALSE)</f>
        <v>41</v>
      </c>
      <c r="K1380" t="str">
        <f>VLOOKUP($F1380, codebooks_data_reordered!$A:$I, 6, FALSE)</f>
        <v>Satisfaction with public discussion in Israel</v>
      </c>
      <c r="L1380">
        <f>VLOOKUP($F1380, codebooks_data_reordered!$A:$I, 7, FALSE)</f>
        <v>0</v>
      </c>
      <c r="M1380" t="str">
        <f>VLOOKUP($F1380, codebooks_data_reordered!$A:$I, 9, FALSE)</f>
        <v>1: Very satisfied; 2: Quite satisfied; 3: Not so satisfied; 4: Not satisfied at all</v>
      </c>
      <c r="O1380" s="2" t="str">
        <f t="shared" si="21"/>
        <v>1: Very satisfied
 2: Quite satisfied
 3: Not so satisfied
 4: Not satisfied at all</v>
      </c>
    </row>
    <row r="1381" spans="1:15" ht="409.6" hidden="1" x14ac:dyDescent="0.3">
      <c r="A1381" t="s">
        <v>8865</v>
      </c>
      <c r="B1381" t="s">
        <v>8983</v>
      </c>
      <c r="C1381" s="2" t="s">
        <v>8984</v>
      </c>
      <c r="D1381" t="s">
        <v>5843</v>
      </c>
      <c r="E1381" s="2" t="s">
        <v>8985</v>
      </c>
      <c r="F1381" t="s">
        <v>1836</v>
      </c>
      <c r="G1381" t="str">
        <f>VLOOKUP($F1381, codebooks_data_reordered!$A:$I, 2, FALSE)</f>
        <v>1999_1</v>
      </c>
      <c r="H1381" t="str">
        <f>VLOOKUP($F1381, codebooks_data_reordered!$A:$I, 3, FALSE)</f>
        <v>VALUES AND TRUST</v>
      </c>
      <c r="I1381" t="str">
        <f>VLOOKUP($F1381, codebooks_data_reordered!$A:$I, 4, FALSE)</f>
        <v>1</v>
      </c>
      <c r="J1381" t="str">
        <f>VLOOKUP($F1381, codebooks_data_reordered!$A:$I, 5, FALSE)</f>
        <v>42</v>
      </c>
      <c r="K1381" t="str">
        <f>VLOOKUP($F1381, codebooks_data_reordered!$A:$I, 6, FALSE)</f>
        <v>Jewish majority in Israel as a significant value</v>
      </c>
      <c r="L1381">
        <f>VLOOKUP($F1381, codebooks_data_reordered!$A:$I, 7, FALSE)</f>
        <v>0</v>
      </c>
      <c r="M1381" t="str">
        <f>VLOOKUP($F1381, codebooks_data_reordered!$A:$I, 9, FALSE)</f>
        <v>1: Most important value; 2: Second value; 3: Third value; 4: Fourth value</v>
      </c>
      <c r="O1381" s="2" t="str">
        <f t="shared" si="21"/>
        <v>1: Most important value
 2: Second value
 3: Third value
 4: Fourth value</v>
      </c>
    </row>
    <row r="1382" spans="1:15" ht="115.2" hidden="1" x14ac:dyDescent="0.3">
      <c r="A1382" t="s">
        <v>8865</v>
      </c>
      <c r="B1382" t="s">
        <v>8986</v>
      </c>
      <c r="C1382" s="2" t="s">
        <v>8987</v>
      </c>
      <c r="D1382" t="s">
        <v>5843</v>
      </c>
      <c r="E1382" s="2" t="s">
        <v>8988</v>
      </c>
      <c r="F1382" t="s">
        <v>2136</v>
      </c>
      <c r="G1382" t="str">
        <f>VLOOKUP($F1382, codebooks_data_reordered!$A:$I, 2, FALSE)</f>
        <v>1999_1</v>
      </c>
      <c r="H1382" t="str">
        <f>VLOOKUP($F1382, codebooks_data_reordered!$A:$I, 3, FALSE)</f>
        <v>EVALUATE PARTIES AND CANDIDATES</v>
      </c>
      <c r="I1382" t="str">
        <f>VLOOKUP($F1382, codebooks_data_reordered!$A:$I, 4, FALSE)</f>
        <v>2</v>
      </c>
      <c r="J1382" t="str">
        <f>VLOOKUP($F1382, codebooks_data_reordered!$A:$I, 5, FALSE)</f>
        <v>94</v>
      </c>
      <c r="K1382" t="str">
        <f>VLOOKUP($F1382, codebooks_data_reordered!$A:$I, 6, FALSE)</f>
        <v>Candidate who won't narrow social gaps</v>
      </c>
      <c r="L1382">
        <f>VLOOKUP($F1382, codebooks_data_reordered!$A:$I, 7, FALSE)</f>
        <v>0</v>
      </c>
      <c r="M1382" t="str">
        <f>VLOOKUP($F1382, codebooks_data_reordered!$A:$I, 9, FALSE)</f>
        <v>1: Netanyahu; 2: Barak; 3: Mordechai</v>
      </c>
      <c r="O1382" s="2" t="str">
        <f t="shared" si="21"/>
        <v>1: Netanyahu
 2: Barak
 3: Mordechai</v>
      </c>
    </row>
    <row r="1383" spans="1:15" ht="302.39999999999998" hidden="1" x14ac:dyDescent="0.3">
      <c r="A1383" t="s">
        <v>8865</v>
      </c>
      <c r="B1383" t="s">
        <v>8989</v>
      </c>
      <c r="C1383" s="2" t="s">
        <v>8990</v>
      </c>
      <c r="D1383" t="s">
        <v>5843</v>
      </c>
      <c r="E1383" s="2" t="s">
        <v>8991</v>
      </c>
      <c r="F1383" t="s">
        <v>23</v>
      </c>
      <c r="G1383" t="str">
        <f>VLOOKUP($F1383, codebooks_data_reordered!$A:$I, 2, FALSE)</f>
        <v>2006</v>
      </c>
      <c r="H1383" t="str">
        <f>VLOOKUP($F1383, codebooks_data_reordered!$A:$I, 3, FALSE)</f>
        <v>Case Identification</v>
      </c>
      <c r="I1383" t="str">
        <f>VLOOKUP($F1383, codebooks_data_reordered!$A:$I, 4, FALSE)</f>
        <v>1</v>
      </c>
      <c r="J1383" t="str">
        <f>VLOOKUP($F1383, codebooks_data_reordered!$A:$I, 5, FALSE)</f>
        <v>5-8</v>
      </c>
      <c r="K1383" t="str">
        <f>VLOOKUP($F1383, codebooks_data_reordered!$A:$I, 6, FALSE)</f>
        <v>Respondent's ID in all consecutive surveys</v>
      </c>
      <c r="L1383">
        <f>VLOOKUP($F1383, codebooks_data_reordered!$A:$I, 7, FALSE)</f>
        <v>0</v>
      </c>
      <c r="M1383">
        <f>VLOOKUP($F1383, codebooks_data_reordered!$A:$I, 9, FALSE)</f>
        <v>0</v>
      </c>
      <c r="O1383" s="2" t="str">
        <f t="shared" si="21"/>
        <v>0</v>
      </c>
    </row>
    <row r="1384" spans="1:15" ht="144" hidden="1" x14ac:dyDescent="0.3">
      <c r="A1384" t="s">
        <v>8865</v>
      </c>
      <c r="B1384" t="s">
        <v>8992</v>
      </c>
      <c r="C1384" s="2" t="s">
        <v>8993</v>
      </c>
      <c r="D1384" t="s">
        <v>5843</v>
      </c>
      <c r="E1384" s="2" t="s">
        <v>8994</v>
      </c>
      <c r="F1384" t="s">
        <v>2151</v>
      </c>
      <c r="G1384" t="str">
        <f>VLOOKUP($F1384, codebooks_data_reordered!$A:$I, 2, FALSE)</f>
        <v>1999_1</v>
      </c>
      <c r="H1384" t="str">
        <f>VLOOKUP($F1384, codebooks_data_reordered!$A:$I, 3, FALSE)</f>
        <v>VOTING PATTERNS</v>
      </c>
      <c r="I1384" t="str">
        <f>VLOOKUP($F1384, codebooks_data_reordered!$A:$I, 4, FALSE)</f>
        <v>3</v>
      </c>
      <c r="J1384" t="str">
        <f>VLOOKUP($F1384, codebooks_data_reordered!$A:$I, 5, FALSE)</f>
        <v>12</v>
      </c>
      <c r="K1384" t="str">
        <f>VLOOKUP($F1384, codebooks_data_reordered!$A:$I, 6, FALSE)</f>
        <v>Support National Consolidation Government after the elections</v>
      </c>
      <c r="L1384">
        <f>VLOOKUP($F1384, codebooks_data_reordered!$A:$I, 7, FALSE)</f>
        <v>0</v>
      </c>
      <c r="M1384" t="str">
        <f>VLOOKUP($F1384, codebooks_data_reordered!$A:$I, 9, FALSE)</f>
        <v>1: Definitely yes; 2: Think so; 3: Think not; 4: Definitely not; 5: Yes, only under the Likud leadership; 6: Yes, only under the Labor leadership; 7: Yes, only under Center party leadership</v>
      </c>
      <c r="O1384" s="2" t="str">
        <f t="shared" si="21"/>
        <v>1: Definitely yes
 2: Think so
 3: Think not
 4: Definitely not
 5: Yes, only under the Likud leadership
 6: Yes, only under the Labor leadership
 7: Yes, only under Center party leadership</v>
      </c>
    </row>
    <row r="1385" spans="1:15" ht="374.4" hidden="1" x14ac:dyDescent="0.3">
      <c r="A1385" t="s">
        <v>8865</v>
      </c>
      <c r="B1385" t="s">
        <v>8995</v>
      </c>
      <c r="C1385" s="2" t="s">
        <v>8996</v>
      </c>
      <c r="D1385" t="s">
        <v>5843</v>
      </c>
      <c r="E1385" s="2" t="s">
        <v>8997</v>
      </c>
      <c r="F1385" t="s">
        <v>3780</v>
      </c>
      <c r="G1385" t="str">
        <f>VLOOKUP($F1385, codebooks_data_reordered!$A:$I, 2, FALSE)</f>
        <v>1988_N=873</v>
      </c>
      <c r="H1385" t="str">
        <f>VLOOKUP($F1385, codebooks_data_reordered!$A:$I, 3, FALSE)</f>
        <v>APPROVAL OF FOLLOWING SAYINGS ON SOCIAL AND STATE MATTERS</v>
      </c>
      <c r="I1385" t="str">
        <f>VLOOKUP($F1385, codebooks_data_reordered!$A:$I, 4, FALSE)</f>
        <v>1</v>
      </c>
      <c r="J1385" t="str">
        <f>VLOOKUP($F1385, codebooks_data_reordered!$A:$I, 5, FALSE)</f>
        <v>137-138</v>
      </c>
      <c r="K1385" t="str">
        <f>VLOOKUP($F1385, codebooks_data_reordered!$A:$I, 6, FALSE)</f>
        <v>Interviewee's vote if elections were held now</v>
      </c>
      <c r="L1385">
        <f>VLOOKUP($F1385, codebooks_data_reordered!$A:$I, 7, FALSE)</f>
        <v>0</v>
      </c>
      <c r="M1385" t="str">
        <f>VLOOKUP($F1385, codebooks_data_reordered!$A:$I, 9, FALSE)</f>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v>
      </c>
      <c r="O1385" s="2" t="str">
        <f t="shared" si="21"/>
        <v>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v>
      </c>
    </row>
    <row r="1386" spans="1:15" ht="115.2" hidden="1" x14ac:dyDescent="0.3">
      <c r="A1386" t="s">
        <v>8865</v>
      </c>
      <c r="B1386" t="s">
        <v>8998</v>
      </c>
      <c r="C1386" s="2" t="s">
        <v>8999</v>
      </c>
      <c r="D1386" t="s">
        <v>5843</v>
      </c>
      <c r="E1386" s="2" t="s">
        <v>9000</v>
      </c>
      <c r="F1386" t="s">
        <v>5398</v>
      </c>
      <c r="G1386" t="str">
        <f>VLOOKUP($F1386, codebooks_data_reordered!$A:$I, 2, FALSE)</f>
        <v>1973_5</v>
      </c>
      <c r="H1386" t="str">
        <f>VLOOKUP($F1386, codebooks_data_reordered!$A:$I, 3, FALSE)</f>
        <v>POLITICAL LEADERS AND HOW INTERVIEWEE RELATES TO THEM, HOW IMPORTANT THIS FACTOR WAS TO INTERVIEWEE'S VOTE</v>
      </c>
      <c r="I1386" t="str">
        <f>VLOOKUP($F1386, codebooks_data_reordered!$A:$I, 4, FALSE)</f>
        <v>1</v>
      </c>
      <c r="J1386" t="str">
        <f>VLOOKUP($F1386, codebooks_data_reordered!$A:$I, 5, FALSE)</f>
        <v>48</v>
      </c>
      <c r="K1386" t="str">
        <f>VLOOKUP($F1386, codebooks_data_reordered!$A:$I, 6, FALSE)</f>
        <v>Interviewee believes what the parties say during the election campaign</v>
      </c>
      <c r="L1386">
        <f>VLOOKUP($F1386, codebooks_data_reordered!$A:$I, 7, FALSE)</f>
        <v>0</v>
      </c>
      <c r="M1386" t="str">
        <f>VLOOKUP($F1386, codebooks_data_reordered!$A:$I, 9, FALSE)</f>
        <v>1: To a great extent; 2: To a certain extent; 3: To a small extent; 4: Not at all</v>
      </c>
      <c r="O1386" s="2" t="str">
        <f t="shared" si="21"/>
        <v>1: To a great extent
 2: To a certain extent
 3: To a small extent
 4: Not at all</v>
      </c>
    </row>
    <row r="1387" spans="1:15" ht="115.2" hidden="1" x14ac:dyDescent="0.3">
      <c r="A1387" t="s">
        <v>8865</v>
      </c>
      <c r="B1387" t="s">
        <v>9001</v>
      </c>
      <c r="C1387" s="2" t="s">
        <v>9002</v>
      </c>
      <c r="D1387" t="s">
        <v>5843</v>
      </c>
      <c r="E1387" s="2" t="s">
        <v>9003</v>
      </c>
      <c r="F1387" t="s">
        <v>3763</v>
      </c>
      <c r="G1387" t="str">
        <f>VLOOKUP($F1387, codebooks_data_reordered!$A:$I, 2, FALSE)</f>
        <v>1988_N=873</v>
      </c>
      <c r="H1387" t="str">
        <f>VLOOKUP($F1387, codebooks_data_reordered!$A:$I, 3, FALSE)</f>
        <v>APPROVAL OF FOLLOWING SAYINGS ON SOCIAL AND STATE MATTERS</v>
      </c>
      <c r="I1387" t="str">
        <f>VLOOKUP($F1387, codebooks_data_reordered!$A:$I, 4, FALSE)</f>
        <v>1</v>
      </c>
      <c r="J1387" t="str">
        <f>VLOOKUP($F1387, codebooks_data_reordered!$A:$I, 5, FALSE)</f>
        <v>126</v>
      </c>
      <c r="K1387" t="str">
        <f>VLOOKUP($F1387, codebooks_data_reordered!$A:$I, 6, FALSE)</f>
        <v>Minority groups should be allowed to act in order to achieve support of majority</v>
      </c>
      <c r="L1387">
        <f>VLOOKUP($F1387, codebooks_data_reordered!$A:$I, 7, FALSE)</f>
        <v>0</v>
      </c>
      <c r="M1387" t="str">
        <f>VLOOKUP($F1387, codebooks_data_reordered!$A:$I, 9, FALSE)</f>
        <v>1: Definitely agree; 2: Agree; 3: Not certain; 4: Disagree; 5: Definitely disagree</v>
      </c>
      <c r="O1387" s="2" t="str">
        <f t="shared" si="21"/>
        <v>1: Definitely agree
 2: Agree
 3: Not certain
 4: Disagree
 5: Definitely disagree</v>
      </c>
    </row>
    <row r="1388" spans="1:15" ht="129.6" hidden="1" x14ac:dyDescent="0.3">
      <c r="A1388" t="s">
        <v>8865</v>
      </c>
      <c r="B1388" t="s">
        <v>9004</v>
      </c>
      <c r="C1388" s="2" t="s">
        <v>9005</v>
      </c>
      <c r="D1388" t="s">
        <v>5843</v>
      </c>
      <c r="E1388" s="2" t="s">
        <v>9006</v>
      </c>
      <c r="F1388" t="s">
        <v>3764</v>
      </c>
      <c r="G1388" t="str">
        <f>VLOOKUP($F1388, codebooks_data_reordered!$A:$I, 2, FALSE)</f>
        <v>1988_N=873</v>
      </c>
      <c r="H1388" t="str">
        <f>VLOOKUP($F1388, codebooks_data_reordered!$A:$I, 3, FALSE)</f>
        <v>APPROVAL OF FOLLOWING SAYINGS ON SOCIAL AND STATE MATTERS</v>
      </c>
      <c r="I1388" t="str">
        <f>VLOOKUP($F1388, codebooks_data_reordered!$A:$I, 4, FALSE)</f>
        <v>1</v>
      </c>
      <c r="J1388" t="str">
        <f>VLOOKUP($F1388, codebooks_data_reordered!$A:$I, 5, FALSE)</f>
        <v>127</v>
      </c>
      <c r="K1388" t="str">
        <f>VLOOKUP($F1388, codebooks_data_reordered!$A:$I, 6, FALSE)</f>
        <v>Belief in freedom of speech for everyone notwithstanding his views</v>
      </c>
      <c r="L1388">
        <f>VLOOKUP($F1388, codebooks_data_reordered!$A:$I, 7, FALSE)</f>
        <v>0</v>
      </c>
      <c r="M1388" t="str">
        <f>VLOOKUP($F1388, codebooks_data_reordered!$A:$I, 9, FALSE)</f>
        <v>1: Definitely agree; 2: Agree; 3: Not certain; 4: Disagree; 5: Definitely disagree</v>
      </c>
      <c r="O1388" s="2" t="str">
        <f t="shared" si="21"/>
        <v>1: Definitely agree
 2: Agree
 3: Not certain
 4: Disagree
 5: Definitely disagree</v>
      </c>
    </row>
    <row r="1389" spans="1:15" ht="129.6" hidden="1" x14ac:dyDescent="0.3">
      <c r="A1389" t="s">
        <v>8865</v>
      </c>
      <c r="B1389" t="s">
        <v>9007</v>
      </c>
      <c r="C1389" s="2" t="s">
        <v>9005</v>
      </c>
      <c r="D1389" t="s">
        <v>5843</v>
      </c>
      <c r="E1389" s="2" t="s">
        <v>9006</v>
      </c>
      <c r="F1389" t="s">
        <v>3765</v>
      </c>
      <c r="G1389" t="str">
        <f>VLOOKUP($F1389, codebooks_data_reordered!$A:$I, 2, FALSE)</f>
        <v>1988_N=873</v>
      </c>
      <c r="H1389" t="str">
        <f>VLOOKUP($F1389, codebooks_data_reordered!$A:$I, 3, FALSE)</f>
        <v>APPROVAL OF FOLLOWING SAYINGS ON SOCIAL AND STATE MATTERS</v>
      </c>
      <c r="I1389" t="str">
        <f>VLOOKUP($F1389, codebooks_data_reordered!$A:$I, 4, FALSE)</f>
        <v>1</v>
      </c>
      <c r="J1389" t="str">
        <f>VLOOKUP($F1389, codebooks_data_reordered!$A:$I, 5, FALSE)</f>
        <v>128</v>
      </c>
      <c r="K1389" t="str">
        <f>VLOOKUP($F1389, codebooks_data_reordered!$A:$I, 6, FALSE)</f>
        <v>There are situations when it's better to take law in one's own hands</v>
      </c>
      <c r="L1389">
        <f>VLOOKUP($F1389, codebooks_data_reordered!$A:$I, 7, FALSE)</f>
        <v>0</v>
      </c>
      <c r="M1389" t="str">
        <f>VLOOKUP($F1389, codebooks_data_reordered!$A:$I, 9, FALSE)</f>
        <v>1: Definitely agree; 2: Agree; 3: Not certain; 4: Disagree; 5: Definitely disagree</v>
      </c>
      <c r="O1389" s="2" t="str">
        <f t="shared" si="21"/>
        <v>1: Definitely agree
 2: Agree
 3: Not certain
 4: Disagree
 5: Definitely disagree</v>
      </c>
    </row>
    <row r="1390" spans="1:15" ht="129.6" hidden="1" x14ac:dyDescent="0.3">
      <c r="A1390" t="s">
        <v>8865</v>
      </c>
      <c r="B1390" t="s">
        <v>9008</v>
      </c>
      <c r="C1390" s="2" t="s">
        <v>9005</v>
      </c>
      <c r="D1390" t="s">
        <v>5843</v>
      </c>
      <c r="E1390" s="2" t="s">
        <v>9006</v>
      </c>
      <c r="F1390" t="s">
        <v>3767</v>
      </c>
      <c r="G1390" t="str">
        <f>VLOOKUP($F1390, codebooks_data_reordered!$A:$I, 2, FALSE)</f>
        <v>1988_N=873</v>
      </c>
      <c r="H1390" t="str">
        <f>VLOOKUP($F1390, codebooks_data_reordered!$A:$I, 3, FALSE)</f>
        <v>APPROVAL OF FOLLOWING SAYINGS ON SOCIAL AND STATE MATTERS</v>
      </c>
      <c r="I1390" t="str">
        <f>VLOOKUP($F1390, codebooks_data_reordered!$A:$I, 4, FALSE)</f>
        <v>1</v>
      </c>
      <c r="J1390" t="str">
        <f>VLOOKUP($F1390, codebooks_data_reordered!$A:$I, 5, FALSE)</f>
        <v>130</v>
      </c>
      <c r="K1390" t="str">
        <f>VLOOKUP($F1390, codebooks_data_reordered!$A:$I, 6, FALSE)</f>
        <v>Degree of ethnic discrimination in Israel</v>
      </c>
      <c r="L1390">
        <f>VLOOKUP($F1390, codebooks_data_reordered!$A:$I, 7, FALSE)</f>
        <v>0</v>
      </c>
      <c r="M1390" t="str">
        <f>VLOOKUP($F1390, codebooks_data_reordered!$A:$I, 9, FALSE)</f>
        <v>1: Very high; 2: High; 3: Moderate; 4: Low; 5: Hardly any</v>
      </c>
      <c r="O1390" s="2" t="str">
        <f t="shared" si="21"/>
        <v>1: Very high
 2: High
 3: Moderate
 4: Low
 5: Hardly any</v>
      </c>
    </row>
    <row r="1391" spans="1:15" ht="409.6" hidden="1" x14ac:dyDescent="0.3">
      <c r="A1391" t="s">
        <v>8865</v>
      </c>
      <c r="B1391" t="s">
        <v>7968</v>
      </c>
      <c r="C1391" s="2" t="s">
        <v>6035</v>
      </c>
      <c r="D1391" t="s">
        <v>5843</v>
      </c>
      <c r="E1391" s="2" t="s">
        <v>6036</v>
      </c>
      <c r="F1391" t="s">
        <v>2159</v>
      </c>
      <c r="G1391" t="str">
        <f>VLOOKUP($F1391, codebooks_data_reordered!$A:$I, 2, FALSE)</f>
        <v>1999_1</v>
      </c>
      <c r="H1391" t="str">
        <f>VLOOKUP($F1391, codebooks_data_reordered!$A:$I, 3, FALSE)</f>
        <v>VOTING PATTERNS</v>
      </c>
      <c r="I1391" t="str">
        <f>VLOOKUP($F1391, codebooks_data_reordered!$A:$I, 4, FALSE)</f>
        <v>3</v>
      </c>
      <c r="J1391" t="str">
        <f>VLOOKUP($F1391, codebooks_data_reordered!$A:$I, 5, FALSE)</f>
        <v>15-16</v>
      </c>
      <c r="K1391" t="str">
        <f>VLOOKUP($F1391, codebooks_data_reordered!$A:$I, 6, FALSE)</f>
        <v>Party vote, if elections were held today</v>
      </c>
      <c r="L1391">
        <f>VLOOKUP($F1391, codebooks_data_reordered!$A:$I, 7, FALSE)</f>
        <v>0</v>
      </c>
      <c r="M1391" t="str">
        <f>VLOOKUP($F1391, codebooks_data_reordered!$A:$I, 9, FALSE)</f>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c r="O1391" s="2" t="str">
        <f t="shared" si="21"/>
        <v>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v>
      </c>
    </row>
    <row r="1392" spans="1:15" ht="72" hidden="1" x14ac:dyDescent="0.3">
      <c r="A1392" t="s">
        <v>8865</v>
      </c>
      <c r="B1392" t="s">
        <v>8814</v>
      </c>
      <c r="C1392" s="2" t="s">
        <v>9009</v>
      </c>
      <c r="D1392" t="s">
        <v>5843</v>
      </c>
      <c r="E1392" s="2" t="s">
        <v>9010</v>
      </c>
      <c r="F1392" t="s">
        <v>645</v>
      </c>
      <c r="G1392" t="str">
        <f>VLOOKUP($F1392, codebooks_data_reordered!$A:$I, 2, FALSE)</f>
        <v>2006</v>
      </c>
      <c r="H1392" t="str">
        <f>VLOOKUP($F1392, codebooks_data_reordered!$A:$I, 3, FALSE)</f>
        <v>Different Coalitions after the Elections</v>
      </c>
      <c r="I1392" t="str">
        <f>VLOOKUP($F1392, codebooks_data_reordered!$A:$I, 4, FALSE)</f>
        <v>1</v>
      </c>
      <c r="J1392" t="str">
        <f>VLOOKUP($F1392, codebooks_data_reordered!$A:$I, 5, FALSE)</f>
        <v>222-224</v>
      </c>
      <c r="K1392" t="str">
        <f>VLOOKUP($F1392, codebooks_data_reordered!$A:$I, 6, FALSE)</f>
        <v>Chances for Kadima-Likud-Right coalition</v>
      </c>
      <c r="L1392" t="str">
        <f>VLOOKUP($F1392, codebooks_data_reordered!$A:$I, 7, FALSE)</f>
        <v>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v>
      </c>
      <c r="M1392">
        <f>VLOOKUP($F1392, codebooks_data_reordered!$A:$I, 9, FALSE)</f>
        <v>0</v>
      </c>
      <c r="O1392" s="2" t="str">
        <f t="shared" si="21"/>
        <v>0</v>
      </c>
    </row>
    <row r="1393" spans="1:15" ht="144" hidden="1" x14ac:dyDescent="0.3">
      <c r="A1393" t="s">
        <v>8865</v>
      </c>
      <c r="B1393" t="s">
        <v>7862</v>
      </c>
      <c r="C1393" s="2" t="s">
        <v>9011</v>
      </c>
      <c r="D1393" t="s">
        <v>5843</v>
      </c>
      <c r="E1393" s="2" t="s">
        <v>9012</v>
      </c>
      <c r="F1393" t="s">
        <v>3654</v>
      </c>
      <c r="G1393" t="str">
        <f>VLOOKUP($F1393, codebooks_data_reordered!$A:$I, 2, FALSE)</f>
        <v>1988_N=873</v>
      </c>
      <c r="H1393" t="str">
        <f>VLOOKUP($F1393, codebooks_data_reordered!$A:$I, 3, FALSE)</f>
        <v>NATIONAL SECURITY SCALE</v>
      </c>
      <c r="I1393" t="str">
        <f>VLOOKUP($F1393, codebooks_data_reordered!$A:$I, 4, FALSE)</f>
        <v>1</v>
      </c>
      <c r="J1393" t="str">
        <f>VLOOKUP($F1393, codebooks_data_reordered!$A:$I, 5, FALSE)</f>
        <v>18</v>
      </c>
      <c r="K1393" t="str">
        <f>VLOOKUP($F1393, codebooks_data_reordered!$A:$I, 6, FALSE)</f>
        <v>Emphasis to put in attempt to prevent war between Israel and Arab states</v>
      </c>
      <c r="L1393">
        <f>VLOOKUP($F1393, codebooks_data_reordered!$A:$I, 7, FALSE)</f>
        <v>0</v>
      </c>
      <c r="M1393" t="str">
        <f>VLOOKUP($F1393, codebooks_data_reordered!$A:$I, 9, FALSE)</f>
        <v>1: Take all measures towards peace treaty; 2: Increase military power</v>
      </c>
      <c r="O1393" s="2" t="str">
        <f t="shared" si="21"/>
        <v>1: Take all measures towards peace treaty
 2: Increase military power</v>
      </c>
    </row>
    <row r="1394" spans="1:15" ht="100.8" hidden="1" x14ac:dyDescent="0.3">
      <c r="A1394" t="s">
        <v>8865</v>
      </c>
      <c r="B1394" t="s">
        <v>9013</v>
      </c>
      <c r="C1394" s="2" t="s">
        <v>8993</v>
      </c>
      <c r="D1394" t="s">
        <v>5843</v>
      </c>
      <c r="E1394" s="2" t="s">
        <v>8994</v>
      </c>
      <c r="F1394" t="s">
        <v>2153</v>
      </c>
      <c r="G1394" t="str">
        <f>VLOOKUP($F1394, codebooks_data_reordered!$A:$I, 2, FALSE)</f>
        <v>1999_1</v>
      </c>
      <c r="H1394" t="str">
        <f>VLOOKUP($F1394, codebooks_data_reordered!$A:$I, 3, FALSE)</f>
        <v>VOTING PATTERNS</v>
      </c>
      <c r="I1394" t="str">
        <f>VLOOKUP($F1394, codebooks_data_reordered!$A:$I, 4, FALSE)</f>
        <v>3</v>
      </c>
      <c r="J1394" t="str">
        <f>VLOOKUP($F1394, codebooks_data_reordered!$A:$I, 5, FALSE)</f>
        <v>13</v>
      </c>
      <c r="K1394" t="str">
        <f>VLOOKUP($F1394, codebooks_data_reordered!$A:$I, 6, FALSE)</f>
        <v>Direct election for PM's impact on the government system</v>
      </c>
      <c r="L1394">
        <f>VLOOKUP($F1394, codebooks_data_reordered!$A:$I, 7, FALSE)</f>
        <v>0</v>
      </c>
      <c r="M1394" t="str">
        <f>VLOOKUP($F1394, codebooks_data_reordered!$A:$I, 9, FALSE)</f>
        <v>1: Improves government system; 2: Makes it worse; 3: No change</v>
      </c>
      <c r="O1394" s="2" t="str">
        <f t="shared" si="21"/>
        <v>1: Improves government system
 2: Makes it worse
 3: No change</v>
      </c>
    </row>
    <row r="1395" spans="1:15" ht="316.8" hidden="1" x14ac:dyDescent="0.3">
      <c r="A1395" t="s">
        <v>8865</v>
      </c>
      <c r="B1395" t="s">
        <v>6992</v>
      </c>
      <c r="C1395" s="2" t="s">
        <v>9014</v>
      </c>
      <c r="D1395" t="s">
        <v>5843</v>
      </c>
      <c r="E1395" s="2" t="s">
        <v>9015</v>
      </c>
      <c r="F1395" t="s">
        <v>1757</v>
      </c>
      <c r="G1395" t="str">
        <f>VLOOKUP($F1395, codebooks_data_reordered!$A:$I, 2, FALSE)</f>
        <v>1999_1</v>
      </c>
      <c r="H1395" t="str">
        <f>VLOOKUP($F1395, codebooks_data_reordered!$A:$I, 3, FALSE)</f>
        <v>GENERAL POLITICAL ATTITUDE</v>
      </c>
      <c r="I1395" t="str">
        <f>VLOOKUP($F1395, codebooks_data_reordered!$A:$I, 4, FALSE)</f>
        <v>1</v>
      </c>
      <c r="J1395" t="str">
        <f>VLOOKUP($F1395, codebooks_data_reordered!$A:$I, 5, FALSE)</f>
        <v>10</v>
      </c>
      <c r="K1395" t="str">
        <f>VLOOKUP($F1395, codebooks_data_reordered!$A:$I, 6, FALSE)</f>
        <v>Candidate most capable to deal with problems</v>
      </c>
      <c r="L1395">
        <f>VLOOKUP($F1395, codebooks_data_reordered!$A:$I, 7, FALSE)</f>
        <v>0</v>
      </c>
      <c r="M1395" t="str">
        <f>VLOOKUP($F1395, codebooks_data_reordered!$A:$I, 9, FALSE)</f>
        <v>1: Netanyahu; 2: Barak; 3: Mordechai; 4: Begin; 5: Bashara; 6: Raful; 7: None of them; 8: Equally capable</v>
      </c>
      <c r="O1395" s="2" t="str">
        <f t="shared" si="21"/>
        <v>1: Netanyahu
 2: Barak
 3: Mordechai
 4: Begin
 5: Bashara
 6: Raful
 7: None of them
 8: Equally capable</v>
      </c>
    </row>
    <row r="1396" spans="1:15" ht="43.2" hidden="1" x14ac:dyDescent="0.3">
      <c r="A1396" t="s">
        <v>8865</v>
      </c>
      <c r="B1396" t="s">
        <v>9016</v>
      </c>
      <c r="C1396" s="2" t="s">
        <v>5947</v>
      </c>
      <c r="D1396" t="s">
        <v>5843</v>
      </c>
      <c r="E1396" s="2" t="s">
        <v>5948</v>
      </c>
      <c r="F1396" t="s">
        <v>9371</v>
      </c>
      <c r="G1396" t="e">
        <f>VLOOKUP($F1396, codebooks_data_reordered!$A:$I, 2, FALSE)</f>
        <v>#N/A</v>
      </c>
      <c r="H1396" t="e">
        <f>VLOOKUP($F1396, codebooks_data_reordered!$A:$I, 3, FALSE)</f>
        <v>#N/A</v>
      </c>
      <c r="I1396" t="e">
        <f>VLOOKUP($F1396, codebooks_data_reordered!$A:$I, 4, FALSE)</f>
        <v>#N/A</v>
      </c>
      <c r="J1396" t="e">
        <f>VLOOKUP($F1396, codebooks_data_reordered!$A:$I, 5, FALSE)</f>
        <v>#N/A</v>
      </c>
      <c r="K1396" t="e">
        <f>VLOOKUP($F1396, codebooks_data_reordered!$A:$I, 6, FALSE)</f>
        <v>#N/A</v>
      </c>
      <c r="L1396" t="e">
        <f>VLOOKUP($F1396, codebooks_data_reordered!$A:$I, 7, FALSE)</f>
        <v>#N/A</v>
      </c>
      <c r="M1396" t="e">
        <f>VLOOKUP($F1396, codebooks_data_reordered!$A:$I, 9, FALSE)</f>
        <v>#N/A</v>
      </c>
      <c r="O1396" t="e">
        <f t="shared" si="21"/>
        <v>#N/A</v>
      </c>
    </row>
    <row r="1397" spans="1:15" ht="129.6" hidden="1" x14ac:dyDescent="0.3">
      <c r="A1397" t="s">
        <v>8865</v>
      </c>
      <c r="B1397" t="s">
        <v>6166</v>
      </c>
      <c r="C1397" s="2" t="s">
        <v>9017</v>
      </c>
      <c r="D1397" t="s">
        <v>5843</v>
      </c>
      <c r="E1397" s="2" t="s">
        <v>9018</v>
      </c>
      <c r="F1397" t="s">
        <v>401</v>
      </c>
      <c r="G1397" t="str">
        <f>VLOOKUP($F1397, codebooks_data_reordered!$A:$I, 2, FALSE)</f>
        <v>2006</v>
      </c>
      <c r="H1397" t="str">
        <f>VLOOKUP($F1397, codebooks_data_reordered!$A:$I, 3, FALSE)</f>
        <v>Ranking on a Right/Left Political Scale</v>
      </c>
      <c r="I1397" t="str">
        <f>VLOOKUP($F1397, codebooks_data_reordered!$A:$I, 4, FALSE)</f>
        <v>1</v>
      </c>
      <c r="J1397" t="str">
        <f>VLOOKUP($F1397, codebooks_data_reordered!$A:$I, 5, FALSE)</f>
        <v>128-129</v>
      </c>
      <c r="K1397" t="str">
        <f>VLOOKUP($F1397, codebooks_data_reordered!$A:$I, 6, FALSE)</f>
        <v>Ranking on a right/left political scale:Shas</v>
      </c>
      <c r="L1397" t="str">
        <f>VLOOKUP($F1397, codebooks_data_reordered!$A:$I, 7, FALSE)</f>
        <v>How would you rate the following parties on the left-right scale from 0 to 10, 0 stands for left, and 10 stands for right and 5 is in the middle.</v>
      </c>
      <c r="M1397" t="str">
        <f>VLOOKUP($F1397, codebooks_data_reordered!$A:$I, 9, FALSE)</f>
        <v>0: Left; 10: Right</v>
      </c>
      <c r="O1397" s="2" t="str">
        <f t="shared" si="21"/>
        <v>0: Left
 10: Right</v>
      </c>
    </row>
    <row r="1398" spans="1:15" ht="201.6" hidden="1" x14ac:dyDescent="0.3">
      <c r="A1398" t="s">
        <v>8865</v>
      </c>
      <c r="B1398" t="s">
        <v>9019</v>
      </c>
      <c r="C1398" s="2" t="s">
        <v>9020</v>
      </c>
      <c r="D1398" t="s">
        <v>5843</v>
      </c>
      <c r="E1398" s="2" t="s">
        <v>9021</v>
      </c>
      <c r="F1398" t="s">
        <v>130</v>
      </c>
      <c r="G1398" t="str">
        <f>VLOOKUP($F1398, codebooks_data_reordered!$A:$I, 2, FALSE)</f>
        <v>2006</v>
      </c>
      <c r="H1398" t="str">
        <f>VLOOKUP($F1398, codebooks_data_reordered!$A:$I, 3, FALSE)</f>
        <v>Threat of Different Issues</v>
      </c>
      <c r="I1398" t="str">
        <f>VLOOKUP($F1398, codebooks_data_reordered!$A:$I, 4, FALSE)</f>
        <v>1</v>
      </c>
      <c r="J1398" t="str">
        <f>VLOOKUP($F1398, codebooks_data_reordered!$A:$I, 5, FALSE)</f>
        <v>35</v>
      </c>
      <c r="K1398" t="str">
        <f>VLOOKUP($F1398, codebooks_data_reordered!$A:$I, 6, FALSE)</f>
        <v>Threat of enemies having biological weapons</v>
      </c>
      <c r="L1398" t="str">
        <f>VLOOKUP($F1398, codebooks_data_reordered!$A:$I, 7, FALSE)</f>
        <v>To what extent do you consider each of the following situations as a threat?</v>
      </c>
      <c r="M1398" t="str">
        <f>VLOOKUP($F1398, codebooks_data_reordered!$A:$I, 9, FALSE)</f>
        <v>1: Not at all threatening; 7: Very threatening</v>
      </c>
      <c r="O1398" s="2" t="str">
        <f t="shared" si="21"/>
        <v>1: Not at all threatening
 7: Very threatening</v>
      </c>
    </row>
    <row r="1399" spans="1:15" ht="187.2" hidden="1" x14ac:dyDescent="0.3">
      <c r="A1399" t="s">
        <v>8865</v>
      </c>
      <c r="B1399" t="s">
        <v>9022</v>
      </c>
      <c r="C1399" s="2" t="s">
        <v>8978</v>
      </c>
      <c r="D1399" t="s">
        <v>5843</v>
      </c>
      <c r="E1399" s="2" t="s">
        <v>8979</v>
      </c>
      <c r="F1399" t="s">
        <v>133</v>
      </c>
      <c r="G1399" t="str">
        <f>VLOOKUP($F1399, codebooks_data_reordered!$A:$I, 2, FALSE)</f>
        <v>2006</v>
      </c>
      <c r="H1399" t="str">
        <f>VLOOKUP($F1399, codebooks_data_reordered!$A:$I, 3, FALSE)</f>
        <v>Threat of Different Issues</v>
      </c>
      <c r="I1399" t="str">
        <f>VLOOKUP($F1399, codebooks_data_reordered!$A:$I, 4, FALSE)</f>
        <v>1</v>
      </c>
      <c r="J1399" t="str">
        <f>VLOOKUP($F1399, codebooks_data_reordered!$A:$I, 5, FALSE)</f>
        <v>36</v>
      </c>
      <c r="K1399" t="str">
        <f>VLOOKUP($F1399, codebooks_data_reordered!$A:$I, 6, FALSE)</f>
        <v>Threat of no democracy in Israel</v>
      </c>
      <c r="L1399" t="str">
        <f>VLOOKUP($F1399, codebooks_data_reordered!$A:$I, 7, FALSE)</f>
        <v>To what extent do you consider each of the following situations as a threat?</v>
      </c>
      <c r="M1399" t="str">
        <f>VLOOKUP($F1399, codebooks_data_reordered!$A:$I, 9, FALSE)</f>
        <v>1: Not at all threatening; 7: Very threatening</v>
      </c>
      <c r="O1399" s="2" t="str">
        <f t="shared" si="21"/>
        <v>1: Not at all threatening
 7: Very threatening</v>
      </c>
    </row>
    <row r="1400" spans="1:15" ht="115.2" hidden="1" x14ac:dyDescent="0.3">
      <c r="A1400" t="s">
        <v>8865</v>
      </c>
      <c r="B1400" t="s">
        <v>6172</v>
      </c>
      <c r="C1400" s="2" t="s">
        <v>9023</v>
      </c>
      <c r="D1400" t="s">
        <v>5843</v>
      </c>
      <c r="E1400" s="2" t="s">
        <v>9024</v>
      </c>
      <c r="F1400" t="s">
        <v>1643</v>
      </c>
      <c r="G1400" t="str">
        <f>VLOOKUP($F1400, codebooks_data_reordered!$A:$I, 2, FALSE)</f>
        <v>2003</v>
      </c>
      <c r="H1400" t="str">
        <f>VLOOKUP($F1400, codebooks_data_reordered!$A:$I, 3, FALSE)</f>
        <v>Likelihood for parties to be in the coalition</v>
      </c>
      <c r="I1400" t="str">
        <f>VLOOKUP($F1400, codebooks_data_reordered!$A:$I, 4, FALSE)</f>
        <v>1</v>
      </c>
      <c r="J1400" t="str">
        <f>VLOOKUP($F1400, codebooks_data_reordered!$A:$I, 5, FALSE)</f>
        <v>116-118</v>
      </c>
      <c r="K1400" t="str">
        <f>VLOOKUP($F1400, codebooks_data_reordered!$A:$I, 6, FALSE)</f>
        <v>Likelihood for the Likud to be in the coalition (%)</v>
      </c>
      <c r="L1400" t="str">
        <f>VLOOKUP($F1400, codebooks_data_reordered!$A:$I, 7, FALSE)</f>
        <v>On a scale from 0 -100, how likely is it that the Likud will be in the governing coalition? Asked only in first survey</v>
      </c>
      <c r="M1400">
        <f>VLOOKUP($F1400, codebooks_data_reordered!$A:$I, 9, FALSE)</f>
        <v>0</v>
      </c>
      <c r="O1400" s="2" t="str">
        <f t="shared" si="21"/>
        <v>0</v>
      </c>
    </row>
    <row r="1401" spans="1:15" ht="115.2" hidden="1" x14ac:dyDescent="0.3">
      <c r="A1401" t="s">
        <v>8865</v>
      </c>
      <c r="B1401" t="s">
        <v>9025</v>
      </c>
      <c r="C1401" s="2" t="s">
        <v>9026</v>
      </c>
      <c r="D1401" t="s">
        <v>5843</v>
      </c>
      <c r="E1401" s="2" t="s">
        <v>9027</v>
      </c>
      <c r="F1401" t="s">
        <v>1670</v>
      </c>
      <c r="G1401" t="str">
        <f>VLOOKUP($F1401, codebooks_data_reordered!$A:$I, 2, FALSE)</f>
        <v>2001</v>
      </c>
      <c r="H1401" t="str">
        <f>VLOOKUP($F1401, codebooks_data_reordered!$A:$I, 3, FALSE)</f>
        <v>Self definition of identity</v>
      </c>
      <c r="I1401" t="str">
        <f>VLOOKUP($F1401, codebooks_data_reordered!$A:$I, 4, FALSE)</f>
        <v>1</v>
      </c>
      <c r="J1401" t="str">
        <f>VLOOKUP($F1401, codebooks_data_reordered!$A:$I, 5, FALSE)</f>
        <v>115</v>
      </c>
      <c r="K1401" t="str">
        <f>VLOOKUP($F1401, codebooks_data_reordered!$A:$I, 6, FALSE)</f>
        <v>Supporter or member of any party</v>
      </c>
      <c r="L1401">
        <f>VLOOKUP($F1401, codebooks_data_reordered!$A:$I, 7, FALSE)</f>
        <v>0</v>
      </c>
      <c r="M1401" t="str">
        <f>VLOOKUP($F1401, codebooks_data_reordered!$A:$I, 9, FALSE)</f>
        <v>1: Not a member, do not support; 2: Support; 3: Member; 4: Member unsalaried; 5: Member salaried</v>
      </c>
      <c r="O1401" s="2" t="str">
        <f t="shared" si="21"/>
        <v>1: Not a member, do not support
 2: Support
 3: Member
 4: Member unsalaried
 5: Member salaried</v>
      </c>
    </row>
    <row r="1402" spans="1:15" ht="201.6" hidden="1" x14ac:dyDescent="0.3">
      <c r="A1402" t="s">
        <v>8865</v>
      </c>
      <c r="B1402" t="s">
        <v>9028</v>
      </c>
      <c r="C1402" s="2" t="s">
        <v>9029</v>
      </c>
      <c r="D1402" t="s">
        <v>5843</v>
      </c>
      <c r="E1402" s="2" t="s">
        <v>9030</v>
      </c>
      <c r="F1402" t="s">
        <v>458</v>
      </c>
      <c r="G1402" t="str">
        <f>VLOOKUP($F1402, codebooks_data_reordered!$A:$I, 2, FALSE)</f>
        <v>2006</v>
      </c>
      <c r="H1402" t="str">
        <f>VLOOKUP($F1402, codebooks_data_reordered!$A:$I, 3, FALSE)</f>
        <v>Most/Less Suitable Characteristic of the Party</v>
      </c>
      <c r="I1402" t="str">
        <f>VLOOKUP($F1402, codebooks_data_reordered!$A:$I, 4, FALSE)</f>
        <v>1</v>
      </c>
      <c r="J1402" t="str">
        <f>VLOOKUP($F1402, codebooks_data_reordered!$A:$I, 5, FALSE)</f>
        <v>148</v>
      </c>
      <c r="K1402" t="str">
        <f>VLOOKUP($F1402, codebooks_data_reordered!$A:$I, 6, FALSE)</f>
        <v>Least suitable characteristic of the party: Standing for principles in negotiations</v>
      </c>
      <c r="L1402" t="str">
        <f>VLOOKUP($F1402,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v>
      </c>
      <c r="M1402" t="str">
        <f>VLOOKUP($F1402, codebooks_data_reordered!$A:$I, 9, FALSE)</f>
        <v>1: Least suitable Kadima; 2: Least suitable Likud; 3: Least suitable Avoda; 4: Suits all the same; 5: Doesn't suit any of them</v>
      </c>
      <c r="O1402" s="2" t="str">
        <f t="shared" si="21"/>
        <v>1: Least suitable Kadima
 2: Least suitable Likud
 3: Least suitable Avoda
 4: Suits all the same
 5: Doesn't suit any of them</v>
      </c>
    </row>
    <row r="1403" spans="1:15" ht="201.6" hidden="1" x14ac:dyDescent="0.3">
      <c r="A1403" t="s">
        <v>8865</v>
      </c>
      <c r="B1403" t="s">
        <v>9031</v>
      </c>
      <c r="C1403" s="2" t="s">
        <v>9029</v>
      </c>
      <c r="D1403" t="s">
        <v>5843</v>
      </c>
      <c r="E1403" s="2" t="s">
        <v>9030</v>
      </c>
      <c r="F1403" t="s">
        <v>462</v>
      </c>
      <c r="G1403" t="str">
        <f>VLOOKUP($F1403, codebooks_data_reordered!$A:$I, 2, FALSE)</f>
        <v>2006</v>
      </c>
      <c r="H1403" t="str">
        <f>VLOOKUP($F1403, codebooks_data_reordered!$A:$I, 3, FALSE)</f>
        <v>Most/Less Suitable Characteristic of the Party</v>
      </c>
      <c r="I1403" t="str">
        <f>VLOOKUP($F1403, codebooks_data_reordered!$A:$I, 4, FALSE)</f>
        <v>1</v>
      </c>
      <c r="J1403" t="str">
        <f>VLOOKUP($F1403, codebooks_data_reordered!$A:$I, 5, FALSE)</f>
        <v>149</v>
      </c>
      <c r="K1403" t="str">
        <f>VLOOKUP($F1403, codebooks_data_reordered!$A:$I, 6, FALSE)</f>
        <v>Most suitable characteristic of the party: Keep the democratic regime</v>
      </c>
      <c r="L1403" t="str">
        <f>VLOOKUP($F1403, codebooks_data_reordered!$A:$I, 7, FALSE)</f>
        <v>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v>
      </c>
      <c r="M1403" t="str">
        <f>VLOOKUP($F1403, codebooks_data_reordered!$A:$I, 9, FALSE)</f>
        <v>1: Most suitable Kadima; 2: Most suitable Likud; 3: Most suitable Avoda; 4: Suits all the same; 5: Doesn't suit any of them</v>
      </c>
      <c r="O1403" s="2" t="str">
        <f t="shared" si="21"/>
        <v>1: Most suitable Kadima
 2: Most suitable Likud
 3: Most suitable Avoda
 4: Suits all the same
 5: Doesn't suit any of them</v>
      </c>
    </row>
    <row r="1404" spans="1:15" ht="302.39999999999998" hidden="1" x14ac:dyDescent="0.3">
      <c r="A1404" t="s">
        <v>8865</v>
      </c>
      <c r="B1404" t="s">
        <v>9032</v>
      </c>
      <c r="C1404" s="2" t="s">
        <v>9033</v>
      </c>
      <c r="D1404" t="s">
        <v>9034</v>
      </c>
      <c r="E1404" s="2" t="s">
        <v>9035</v>
      </c>
      <c r="F1404" t="s">
        <v>2687</v>
      </c>
      <c r="G1404" t="str">
        <f>VLOOKUP($F1404, codebooks_data_reordered!$A:$I, 2, FALSE)</f>
        <v>1992</v>
      </c>
      <c r="H1404">
        <f>VLOOKUP($F1404, codebooks_data_reordered!$A:$I, 3, FALSE)</f>
        <v>0</v>
      </c>
      <c r="I1404" t="str">
        <f>VLOOKUP($F1404, codebooks_data_reordered!$A:$I, 4, FALSE)</f>
        <v>1</v>
      </c>
      <c r="J1404" t="str">
        <f>VLOOKUP($F1404, codebooks_data_reordered!$A:$I, 5, FALSE)</f>
        <v>13-14</v>
      </c>
      <c r="K1404" t="str">
        <f>VLOOKUP($F1404, codebooks_data_reordered!$A:$I, 6, FALSE)</f>
        <v>Party most capable of handling above issue</v>
      </c>
      <c r="L1404">
        <f>VLOOKUP($F1404, codebooks_data_reordered!$A:$I, 7, FALSE)</f>
        <v>0</v>
      </c>
      <c r="M1404" t="str">
        <f>VLOOKUP($F1404, codebooks_data_reordered!$A:$I, 9, FALSE)</f>
        <v>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v>
      </c>
      <c r="O1404" s="2" t="str">
        <f t="shared" si="21"/>
        <v>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v>
      </c>
    </row>
    <row r="1405" spans="1:15" ht="129.6" hidden="1" x14ac:dyDescent="0.3">
      <c r="A1405" t="s">
        <v>8865</v>
      </c>
      <c r="B1405" t="s">
        <v>9036</v>
      </c>
      <c r="C1405" s="2" t="s">
        <v>9037</v>
      </c>
      <c r="D1405" t="s">
        <v>5843</v>
      </c>
      <c r="E1405" s="2" t="s">
        <v>9038</v>
      </c>
      <c r="F1405" t="s">
        <v>67</v>
      </c>
      <c r="G1405" t="str">
        <f>VLOOKUP($F1405, codebooks_data_reordered!$A:$I, 2, FALSE)</f>
        <v>2006</v>
      </c>
      <c r="H1405" t="str">
        <f>VLOOKUP($F1405, codebooks_data_reordered!$A:$I, 3, FALSE)</f>
        <v>Pre-Election Survey</v>
      </c>
      <c r="I1405" t="str">
        <f>VLOOKUP($F1405, codebooks_data_reordered!$A:$I, 4, FALSE)</f>
        <v>1</v>
      </c>
      <c r="J1405" t="str">
        <f>VLOOKUP($F1405, codebooks_data_reordered!$A:$I, 5, FALSE)</f>
        <v>19</v>
      </c>
      <c r="K1405" t="str">
        <f>VLOOKUP($F1405, codebooks_data_reordered!$A:$I, 6, FALSE)</f>
        <v>Israel should decide on borders and unilaterally withdraw</v>
      </c>
      <c r="L1405" t="str">
        <f>VLOOKUP($F1405, codebooks_data_reordered!$A:$I, 7, FALSE)</f>
        <v>16. And if it would not be possible to achieve a peace agreement with the Palestinians in the next few years, should Israel undertake another unilateral separation?</v>
      </c>
      <c r="M1405" t="str">
        <f>VLOOKUP($F1405, codebooks_data_reordered!$A:$I, 9, FALSE)</f>
        <v>1: Yes definitely; 2: Yes; 3: No; 4: Definitely no</v>
      </c>
      <c r="O1405" s="2" t="str">
        <f t="shared" si="21"/>
        <v>1: Yes definitely
 2: Yes
 3: No
 4: Definitely no</v>
      </c>
    </row>
    <row r="1406" spans="1:15" ht="100.8" hidden="1" x14ac:dyDescent="0.3">
      <c r="A1406" t="s">
        <v>8865</v>
      </c>
      <c r="B1406" t="s">
        <v>8191</v>
      </c>
      <c r="C1406" s="2" t="s">
        <v>6603</v>
      </c>
      <c r="D1406" t="s">
        <v>5843</v>
      </c>
      <c r="E1406" s="2" t="s">
        <v>6604</v>
      </c>
      <c r="F1406" t="s">
        <v>345</v>
      </c>
      <c r="G1406" t="str">
        <f>VLOOKUP($F1406, codebooks_data_reordered!$A:$I, 2, FALSE)</f>
        <v>2006</v>
      </c>
      <c r="H1406" t="str">
        <f>VLOOKUP($F1406, codebooks_data_reordered!$A:$I, 3, FALSE)</f>
        <v>Party Differences</v>
      </c>
      <c r="I1406" t="str">
        <f>VLOOKUP($F1406, codebooks_data_reordered!$A:$I, 4, FALSE)</f>
        <v>1</v>
      </c>
      <c r="J1406" t="str">
        <f>VLOOKUP($F1406, codebooks_data_reordered!$A:$I, 5, FALSE)</f>
        <v>109</v>
      </c>
      <c r="K1406" t="str">
        <f>VLOOKUP($F1406, codebooks_data_reordered!$A:$I, 6, FALSE)</f>
        <v>Party differences on the following issue:'Peace and Territories</v>
      </c>
      <c r="L1406" t="str">
        <f>VLOOKUP($F1406, codebooks_data_reordered!$A:$I, 7, FALSE)</f>
        <v>Do you think there are or are not differences among the parties on the following issues?</v>
      </c>
      <c r="M1406" t="str">
        <f>VLOOKUP($F1406, codebooks_data_reordered!$A:$I, 9, FALSE)</f>
        <v>1: Great differences; 5: Almost no differences</v>
      </c>
      <c r="O1406" s="2" t="str">
        <f t="shared" si="21"/>
        <v>1: Great differences
 5: Almost no differences</v>
      </c>
    </row>
    <row r="1407" spans="1:15" ht="201.6" hidden="1" x14ac:dyDescent="0.3">
      <c r="A1407" t="s">
        <v>8865</v>
      </c>
      <c r="B1407" t="s">
        <v>8194</v>
      </c>
      <c r="C1407" s="2" t="s">
        <v>6603</v>
      </c>
      <c r="D1407" t="s">
        <v>5843</v>
      </c>
      <c r="E1407" s="2" t="s">
        <v>6604</v>
      </c>
      <c r="F1407" t="s">
        <v>354</v>
      </c>
      <c r="G1407" t="str">
        <f>VLOOKUP($F1407, codebooks_data_reordered!$A:$I, 2, FALSE)</f>
        <v>2006</v>
      </c>
      <c r="H1407" t="str">
        <f>VLOOKUP($F1407, codebooks_data_reordered!$A:$I, 3, FALSE)</f>
        <v>Party Differences</v>
      </c>
      <c r="I1407" t="str">
        <f>VLOOKUP($F1407, codebooks_data_reordered!$A:$I, 4, FALSE)</f>
        <v>1</v>
      </c>
      <c r="J1407" t="str">
        <f>VLOOKUP($F1407, codebooks_data_reordered!$A:$I, 5, FALSE)</f>
        <v>111</v>
      </c>
      <c r="K1407" t="str">
        <f>VLOOKUP($F1407, codebooks_data_reordered!$A:$I, 6, FALSE)</f>
        <v>The most important reason to vote for a party</v>
      </c>
      <c r="L1407" t="str">
        <f>VLOOKUP($F1407, codebooks_data_reordered!$A:$I, 7, FALSE)</f>
        <v>90. There are different factors that bring people to vote for a certain party for the Knesset. Among the 4 following factors, which is the main factor that influences your vote for a certain party?</v>
      </c>
      <c r="M1407" t="str">
        <f>VLOOKUP($F1407, codebooks_data_reordered!$A:$I, 9, FALSE)</f>
        <v>1: Identifying with the party; 2: The party's candidates for the Knesset; 3: The party's stand on certain issues; 4: The political status of the party in the coalition or in the opposition; 5: Family voting; 6: Rabbi will say; 7: Party leader; 8: None of them; 9: All</v>
      </c>
      <c r="O1407" s="2" t="str">
        <f t="shared" si="21"/>
        <v>1: Identifying with the party
 2: The party's candidates for the Knesset
 3: The party's stand on certain issues
 4: The political status of the party in the coalition or in the opposition
 5: Family voting
 6: Rabbi will say
 7: Party leader
 8: None of them
 9: All</v>
      </c>
    </row>
    <row r="1408" spans="1:15" ht="86.4" hidden="1" x14ac:dyDescent="0.3">
      <c r="A1408" t="s">
        <v>9039</v>
      </c>
      <c r="B1408" t="s">
        <v>6206</v>
      </c>
      <c r="C1408" s="2" t="s">
        <v>9040</v>
      </c>
      <c r="D1408" t="s">
        <v>5843</v>
      </c>
      <c r="E1408" s="2" t="s">
        <v>9041</v>
      </c>
      <c r="F1408" t="s">
        <v>1923</v>
      </c>
      <c r="G1408" t="str">
        <f>VLOOKUP($F1408, codebooks_data_reordered!$A:$I, 2, FALSE)</f>
        <v>1999_1</v>
      </c>
      <c r="H1408" t="str">
        <f>VLOOKUP($F1408, codebooks_data_reordered!$A:$I, 3, FALSE)</f>
        <v>MORE ATTITUDES TOWARD PARTIES AND CANDIDATES</v>
      </c>
      <c r="I1408" t="str">
        <f>VLOOKUP($F1408, codebooks_data_reordered!$A:$I, 4, FALSE)</f>
        <v>1</v>
      </c>
      <c r="J1408" t="str">
        <f>VLOOKUP($F1408, codebooks_data_reordered!$A:$I, 5, FALSE)</f>
        <v>78</v>
      </c>
      <c r="K1408" t="str">
        <f>VLOOKUP($F1408, codebooks_data_reordered!$A:$I, 6, FALSE)</f>
        <v>Identification with Beni Begin's peace and defense policies</v>
      </c>
      <c r="L1408" t="str">
        <f>VLOOKUP($F1408, codebooks_data_reordered!$A:$I, 7, FALSE)</f>
        <v>Identification with candidate on 1-10 scale: 1=Strong rejection, 10=Strong support</v>
      </c>
      <c r="M1408" t="str">
        <f>VLOOKUP($F1408, codebooks_data_reordered!$A:$I, 9, FALSE)</f>
        <v>1: Strong rejection; 10: Strong support</v>
      </c>
      <c r="O1408" s="2" t="str">
        <f t="shared" si="21"/>
        <v>1: Strong rejection
 10: Strong support</v>
      </c>
    </row>
    <row r="1409" spans="1:15" ht="100.8" hidden="1" x14ac:dyDescent="0.3">
      <c r="A1409" t="s">
        <v>9039</v>
      </c>
      <c r="B1409" t="s">
        <v>6513</v>
      </c>
      <c r="C1409" s="2" t="s">
        <v>9042</v>
      </c>
      <c r="D1409" t="s">
        <v>5843</v>
      </c>
      <c r="E1409" s="2" t="s">
        <v>9043</v>
      </c>
      <c r="F1409" t="s">
        <v>9372</v>
      </c>
      <c r="G1409" t="e">
        <f>VLOOKUP($F1409, codebooks_data_reordered!$A:$I, 2, FALSE)</f>
        <v>#N/A</v>
      </c>
      <c r="H1409" t="e">
        <f>VLOOKUP($F1409, codebooks_data_reordered!$A:$I, 3, FALSE)</f>
        <v>#N/A</v>
      </c>
      <c r="I1409" t="e">
        <f>VLOOKUP($F1409, codebooks_data_reordered!$A:$I, 4, FALSE)</f>
        <v>#N/A</v>
      </c>
      <c r="J1409" t="e">
        <f>VLOOKUP($F1409, codebooks_data_reordered!$A:$I, 5, FALSE)</f>
        <v>#N/A</v>
      </c>
      <c r="K1409" t="e">
        <f>VLOOKUP($F1409, codebooks_data_reordered!$A:$I, 6, FALSE)</f>
        <v>#N/A</v>
      </c>
      <c r="L1409" t="e">
        <f>VLOOKUP($F1409, codebooks_data_reordered!$A:$I, 7, FALSE)</f>
        <v>#N/A</v>
      </c>
      <c r="M1409" t="e">
        <f>VLOOKUP($F1409, codebooks_data_reordered!$A:$I, 9, FALSE)</f>
        <v>#N/A</v>
      </c>
      <c r="O1409" t="e">
        <f t="shared" si="21"/>
        <v>#N/A</v>
      </c>
    </row>
    <row r="1410" spans="1:15" ht="100.8" hidden="1" x14ac:dyDescent="0.3">
      <c r="A1410" t="s">
        <v>9039</v>
      </c>
      <c r="B1410" t="s">
        <v>6227</v>
      </c>
      <c r="C1410" s="2" t="s">
        <v>9044</v>
      </c>
      <c r="D1410" t="s">
        <v>5843</v>
      </c>
      <c r="E1410" s="2" t="s">
        <v>9045</v>
      </c>
      <c r="F1410" t="s">
        <v>9373</v>
      </c>
      <c r="G1410" t="e">
        <f>VLOOKUP($F1410, codebooks_data_reordered!$A:$I, 2, FALSE)</f>
        <v>#N/A</v>
      </c>
      <c r="H1410" t="e">
        <f>VLOOKUP($F1410, codebooks_data_reordered!$A:$I, 3, FALSE)</f>
        <v>#N/A</v>
      </c>
      <c r="I1410" t="e">
        <f>VLOOKUP($F1410, codebooks_data_reordered!$A:$I, 4, FALSE)</f>
        <v>#N/A</v>
      </c>
      <c r="J1410" t="e">
        <f>VLOOKUP($F1410, codebooks_data_reordered!$A:$I, 5, FALSE)</f>
        <v>#N/A</v>
      </c>
      <c r="K1410" t="e">
        <f>VLOOKUP($F1410, codebooks_data_reordered!$A:$I, 6, FALSE)</f>
        <v>#N/A</v>
      </c>
      <c r="L1410" t="e">
        <f>VLOOKUP($F1410, codebooks_data_reordered!$A:$I, 7, FALSE)</f>
        <v>#N/A</v>
      </c>
      <c r="M1410" t="e">
        <f>VLOOKUP($F1410, codebooks_data_reordered!$A:$I, 9, FALSE)</f>
        <v>#N/A</v>
      </c>
      <c r="O1410" t="e">
        <f t="shared" ref="O1410:O1472" si="22">SUBSTITUTE(M1410, ";", CHAR(10))</f>
        <v>#N/A</v>
      </c>
    </row>
    <row r="1411" spans="1:15" ht="86.4" hidden="1" x14ac:dyDescent="0.3">
      <c r="A1411" t="s">
        <v>9039</v>
      </c>
      <c r="B1411" t="s">
        <v>8874</v>
      </c>
      <c r="C1411" s="2" t="s">
        <v>9046</v>
      </c>
      <c r="D1411" t="s">
        <v>5843</v>
      </c>
      <c r="E1411" s="2" t="s">
        <v>9047</v>
      </c>
      <c r="F1411" t="s">
        <v>3122</v>
      </c>
      <c r="G1411" t="str">
        <f>VLOOKUP($F1411, codebooks_data_reordered!$A:$I, 2, FALSE)</f>
        <v>1988_Panel_N=416</v>
      </c>
      <c r="H1411" t="str">
        <f>VLOOKUP($F1411, codebooks_data_reordered!$A:$I, 3, FALSE)</f>
        <v>WHICH OF THE FOLLOWING WOULD YOU BE WILLING TO GIVE TO MAINTAIN/STRENGTHEN THE SECURITY</v>
      </c>
      <c r="I1411" t="str">
        <f>VLOOKUP($F1411, codebooks_data_reordered!$A:$I, 4, FALSE)</f>
        <v>1</v>
      </c>
      <c r="J1411" t="str">
        <f>VLOOKUP($F1411, codebooks_data_reordered!$A:$I, 5, FALSE)</f>
        <v>108</v>
      </c>
      <c r="K1411" t="str">
        <f>VLOOKUP($F1411, codebooks_data_reordered!$A:$I, 6, FALSE)</f>
        <v>Who should determine IDF's future weapon systems</v>
      </c>
      <c r="L1411">
        <f>VLOOKUP($F1411, codebooks_data_reordered!$A:$I, 7, FALSE)</f>
        <v>0</v>
      </c>
      <c r="M1411" t="str">
        <f>VLOOKUP($F1411, codebooks_data_reordered!$A:$I, 9, FALSE)</f>
        <v>1: The government; 2: The Knesset; 3: The army; 4: Military industry/Air force industry; 5: Other</v>
      </c>
      <c r="O1411" s="2" t="str">
        <f t="shared" si="22"/>
        <v>1: The government
 2: The Knesset
 3: The army
 4: Military industry/Air force industry
 5: Other</v>
      </c>
    </row>
    <row r="1412" spans="1:15" ht="72" hidden="1" x14ac:dyDescent="0.3">
      <c r="A1412" t="s">
        <v>9039</v>
      </c>
      <c r="B1412" t="s">
        <v>8006</v>
      </c>
      <c r="C1412" s="2" t="s">
        <v>9048</v>
      </c>
      <c r="D1412" t="s">
        <v>5843</v>
      </c>
      <c r="E1412" s="2" t="s">
        <v>9049</v>
      </c>
      <c r="F1412" t="s">
        <v>3116</v>
      </c>
      <c r="G1412" t="str">
        <f>VLOOKUP($F1412, codebooks_data_reordered!$A:$I, 2, FALSE)</f>
        <v>1988_Panel_N=416</v>
      </c>
      <c r="H1412" t="str">
        <f>VLOOKUP($F1412, codebooks_data_reordered!$A:$I, 3, FALSE)</f>
        <v>WHICH OF THE FOLLOWING WOULD YOU BE WILLING TO GIVE TO MAINTAIN/STRENGTHEN THE SECURITY</v>
      </c>
      <c r="I1412" t="str">
        <f>VLOOKUP($F1412, codebooks_data_reordered!$A:$I, 4, FALSE)</f>
        <v>1</v>
      </c>
      <c r="J1412" t="str">
        <f>VLOOKUP($F1412, codebooks_data_reordered!$A:$I, 5, FALSE)</f>
        <v>106</v>
      </c>
      <c r="K1412" t="str">
        <f>VLOOKUP($F1412, codebooks_data_reordered!$A:$I, 6, FALSE)</f>
        <v>What do you think of cutting social services to increase defense budget</v>
      </c>
      <c r="L1412">
        <f>VLOOKUP($F1412, codebooks_data_reordered!$A:$I, 7, FALSE)</f>
        <v>0</v>
      </c>
      <c r="M1412" t="str">
        <f>VLOOKUP($F1412, codebooks_data_reordered!$A:$I, 9, FALSE)</f>
        <v>1: Definitely justified; 2: Justified; 3: Unjustified; 4: Totally unjustified</v>
      </c>
      <c r="O1412" s="2" t="str">
        <f t="shared" si="22"/>
        <v>1: Definitely justified
 2: Justified
 3: Unjustified
 4: Totally unjustified</v>
      </c>
    </row>
    <row r="1413" spans="1:15" ht="129.6" hidden="1" x14ac:dyDescent="0.3">
      <c r="A1413" t="s">
        <v>9039</v>
      </c>
      <c r="B1413" t="s">
        <v>8287</v>
      </c>
      <c r="C1413" s="2" t="s">
        <v>9050</v>
      </c>
      <c r="D1413" t="s">
        <v>5843</v>
      </c>
      <c r="E1413" s="2" t="s">
        <v>9051</v>
      </c>
      <c r="F1413" t="s">
        <v>3125</v>
      </c>
      <c r="G1413" t="str">
        <f>VLOOKUP($F1413, codebooks_data_reordered!$A:$I, 2, FALSE)</f>
        <v>1988_Panel_N=416</v>
      </c>
      <c r="H1413" t="str">
        <f>VLOOKUP($F1413, codebooks_data_reordered!$A:$I, 3, FALSE)</f>
        <v>WHICH OF THE FOLLOWING WOULD YOU BE WILLING TO GIVE TO MAINTAIN/STRENGTHEN THE SECURITY</v>
      </c>
      <c r="I1413" t="str">
        <f>VLOOKUP($F1413, codebooks_data_reordered!$A:$I, 4, FALSE)</f>
        <v>1</v>
      </c>
      <c r="J1413" t="str">
        <f>VLOOKUP($F1413, codebooks_data_reordered!$A:$I, 5, FALSE)</f>
        <v>109</v>
      </c>
      <c r="K1413" t="str">
        <f>VLOOKUP($F1413, codebooks_data_reordered!$A:$I, 6, FALSE)</f>
        <v>What is your attitude towards the continuation of the Lavi project</v>
      </c>
      <c r="L1413">
        <f>VLOOKUP($F1413, codebooks_data_reordered!$A:$I, 7, FALSE)</f>
        <v>0</v>
      </c>
      <c r="M1413" t="str">
        <f>VLOOKUP($F1413, codebooks_data_reordered!$A:$I, 9, FALSE)</f>
        <v>1: Definitely supports its continuation; 2: Supports its continuation; 3: Opposes its continuation; 4: Definitely opposes its continuation</v>
      </c>
      <c r="O1413" s="2" t="str">
        <f t="shared" si="22"/>
        <v>1: Definitely supports its continuation
 2: Supports its continuation
 3: Opposes its continuation
 4: Definitely opposes its continuation</v>
      </c>
    </row>
    <row r="1414" spans="1:15" ht="144" hidden="1" x14ac:dyDescent="0.3">
      <c r="A1414" t="s">
        <v>9039</v>
      </c>
      <c r="B1414" t="s">
        <v>6776</v>
      </c>
      <c r="C1414" s="2" t="s">
        <v>9052</v>
      </c>
      <c r="D1414" t="s">
        <v>5843</v>
      </c>
      <c r="E1414" s="2" t="s">
        <v>9053</v>
      </c>
      <c r="F1414" t="s">
        <v>3113</v>
      </c>
      <c r="G1414" t="str">
        <f>VLOOKUP($F1414, codebooks_data_reordered!$A:$I, 2, FALSE)</f>
        <v>1988_Panel_N=416</v>
      </c>
      <c r="H1414" t="str">
        <f>VLOOKUP($F1414, codebooks_data_reordered!$A:$I, 3, FALSE)</f>
        <v>WHICH OF THE FOLLOWING WOULD YOU BE WILLING TO GIVE TO MAINTAIN/STRENGTHEN THE SECURITY</v>
      </c>
      <c r="I1414" t="str">
        <f>VLOOKUP($F1414, codebooks_data_reordered!$A:$I, 4, FALSE)</f>
        <v>1</v>
      </c>
      <c r="J1414" t="str">
        <f>VLOOKUP($F1414, codebooks_data_reordered!$A:$I, 5, FALSE)</f>
        <v>105</v>
      </c>
      <c r="K1414" t="str">
        <f>VLOOKUP($F1414, codebooks_data_reordered!$A:$I, 6, FALSE)</f>
        <v>What would be your opinion of the defense budget should economic state get worse</v>
      </c>
      <c r="L1414">
        <f>VLOOKUP($F1414, codebooks_data_reordered!$A:$I, 7, FALSE)</f>
        <v>0</v>
      </c>
      <c r="M1414" t="str">
        <f>VLOOKUP($F1414, codebooks_data_reordered!$A:$I, 9, FALSE)</f>
        <v>1: It should be increased; 2: It should stay as is; 3: It should be cut</v>
      </c>
      <c r="O1414" s="2" t="str">
        <f t="shared" si="22"/>
        <v>1: It should be increased
 2: It should stay as is
 3: It should be cut</v>
      </c>
    </row>
    <row r="1415" spans="1:15" ht="72" hidden="1" x14ac:dyDescent="0.3">
      <c r="A1415" t="s">
        <v>9039</v>
      </c>
      <c r="B1415" t="s">
        <v>9054</v>
      </c>
      <c r="C1415" s="2" t="s">
        <v>9055</v>
      </c>
      <c r="D1415" t="s">
        <v>5843</v>
      </c>
      <c r="E1415" s="2" t="s">
        <v>9056</v>
      </c>
      <c r="F1415" t="s">
        <v>107</v>
      </c>
      <c r="G1415" t="str">
        <f>VLOOKUP($F1415, codebooks_data_reordered!$A:$I, 2, FALSE)</f>
        <v>2006</v>
      </c>
      <c r="H1415" t="str">
        <f>VLOOKUP($F1415, codebooks_data_reordered!$A:$I, 3, FALSE)</f>
        <v>Pre-Election Survey</v>
      </c>
      <c r="I1415" t="str">
        <f>VLOOKUP($F1415, codebooks_data_reordered!$A:$I, 4, FALSE)</f>
        <v>1</v>
      </c>
      <c r="J1415" t="str">
        <f>VLOOKUP($F1415, codebooks_data_reordered!$A:$I, 5, FALSE)</f>
        <v>29</v>
      </c>
      <c r="K1415" t="str">
        <f>VLOOKUP($F1415, codebooks_data_reordered!$A:$I, 6, FALSE)</f>
        <v>Are you worried about being injured by Arabs</v>
      </c>
      <c r="L1415" t="str">
        <f>VLOOKUP($F1415, codebooks_data_reordered!$A:$I, 7, FALSE)</f>
        <v>24. To what extent are you worried or not worried that you or a member of your family could be injured in your daily life?</v>
      </c>
      <c r="M1415" t="str">
        <f>VLOOKUP($F1415, codebooks_data_reordered!$A:$I, 9, FALSE)</f>
        <v>1: Very worried; 2: Worried; 3: Not worried; 4: Not worried at all</v>
      </c>
      <c r="O1415" s="2" t="str">
        <f t="shared" si="22"/>
        <v>1: Very worried
 2: Worried
 3: Not worried
 4: Not worried at all</v>
      </c>
    </row>
    <row r="1416" spans="1:15" ht="187.2" hidden="1" x14ac:dyDescent="0.3">
      <c r="A1416" t="s">
        <v>9039</v>
      </c>
      <c r="B1416" t="s">
        <v>6532</v>
      </c>
      <c r="C1416" s="2" t="s">
        <v>9057</v>
      </c>
      <c r="D1416" t="s">
        <v>5843</v>
      </c>
      <c r="E1416" s="2" t="s">
        <v>9058</v>
      </c>
      <c r="F1416" t="s">
        <v>112</v>
      </c>
      <c r="G1416" t="str">
        <f>VLOOKUP($F1416, codebooks_data_reordered!$A:$I, 2, FALSE)</f>
        <v>2006</v>
      </c>
      <c r="H1416" t="str">
        <f>VLOOKUP($F1416, codebooks_data_reordered!$A:$I, 3, FALSE)</f>
        <v>Likely Direction of Development of Israel</v>
      </c>
      <c r="I1416" t="str">
        <f>VLOOKUP($F1416, codebooks_data_reordered!$A:$I, 4, FALSE)</f>
        <v>1</v>
      </c>
      <c r="J1416" t="str">
        <f>VLOOKUP($F1416, codebooks_data_reordered!$A:$I, 5, FALSE)</f>
        <v>30</v>
      </c>
      <c r="K1416" t="str">
        <f>VLOOKUP($F1416, codebooks_data_reordered!$A:$I, 6, FALSE)</f>
        <v>The most important value (not asked of Arabs)</v>
      </c>
      <c r="L1416" t="str">
        <f>VLOOKUP($F1416,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416" t="str">
        <f>VLOOKUP($F1416, codebooks_data_reordered!$A:$I, 9, FALSE)</f>
        <v>1: Jewish majority; 2: Greater Israel; 3: Democracy; 4: Peace</v>
      </c>
      <c r="O1416" s="2" t="str">
        <f t="shared" si="22"/>
        <v>1: Jewish majority
 2: Greater Israel
 3: Democracy
 4: Peace</v>
      </c>
    </row>
    <row r="1417" spans="1:15" ht="115.2" hidden="1" x14ac:dyDescent="0.3">
      <c r="A1417" t="s">
        <v>9039</v>
      </c>
      <c r="B1417" t="s">
        <v>6535</v>
      </c>
      <c r="C1417" s="2" t="s">
        <v>8390</v>
      </c>
      <c r="D1417" t="s">
        <v>5843</v>
      </c>
      <c r="E1417" s="2" t="s">
        <v>8391</v>
      </c>
      <c r="F1417" t="s">
        <v>115</v>
      </c>
      <c r="G1417" t="str">
        <f>VLOOKUP($F1417, codebooks_data_reordered!$A:$I, 2, FALSE)</f>
        <v>2006</v>
      </c>
      <c r="H1417" t="str">
        <f>VLOOKUP($F1417, codebooks_data_reordered!$A:$I, 3, FALSE)</f>
        <v>Likely Direction of Development of Israel</v>
      </c>
      <c r="I1417" t="str">
        <f>VLOOKUP($F1417, codebooks_data_reordered!$A:$I, 4, FALSE)</f>
        <v>1</v>
      </c>
      <c r="J1417" t="str">
        <f>VLOOKUP($F1417, codebooks_data_reordered!$A:$I, 5, FALSE)</f>
        <v>31</v>
      </c>
      <c r="K1417" t="str">
        <f>VLOOKUP($F1417, codebooks_data_reordered!$A:$I, 6, FALSE)</f>
        <v>The second most important value</v>
      </c>
      <c r="L1417" t="str">
        <f>VLOOKUP($F1417,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417" t="str">
        <f>VLOOKUP($F1417, codebooks_data_reordered!$A:$I, 9, FALSE)</f>
        <v>1: Jewish majority; 2: Greater Israel; 3: Democracy; 4: Peace</v>
      </c>
      <c r="O1417" s="2" t="str">
        <f t="shared" si="22"/>
        <v>1: Jewish majority
 2: Greater Israel
 3: Democracy
 4: Peace</v>
      </c>
    </row>
    <row r="1418" spans="1:15" ht="86.4" hidden="1" x14ac:dyDescent="0.3">
      <c r="A1418" t="s">
        <v>9039</v>
      </c>
      <c r="B1418" t="s">
        <v>8303</v>
      </c>
      <c r="C1418" s="2" t="s">
        <v>9059</v>
      </c>
      <c r="D1418" t="s">
        <v>5843</v>
      </c>
      <c r="E1418" s="2" t="s">
        <v>9060</v>
      </c>
      <c r="F1418" t="s">
        <v>115</v>
      </c>
      <c r="G1418" t="str">
        <f>VLOOKUP($F1418, codebooks_data_reordered!$A:$I, 2, FALSE)</f>
        <v>2006</v>
      </c>
      <c r="H1418" t="str">
        <f>VLOOKUP($F1418, codebooks_data_reordered!$A:$I, 3, FALSE)</f>
        <v>Likely Direction of Development of Israel</v>
      </c>
      <c r="I1418" t="str">
        <f>VLOOKUP($F1418, codebooks_data_reordered!$A:$I, 4, FALSE)</f>
        <v>1</v>
      </c>
      <c r="J1418" t="str">
        <f>VLOOKUP($F1418, codebooks_data_reordered!$A:$I, 5, FALSE)</f>
        <v>31</v>
      </c>
      <c r="K1418" t="str">
        <f>VLOOKUP($F1418, codebooks_data_reordered!$A:$I, 6, FALSE)</f>
        <v>The second most important value</v>
      </c>
      <c r="L1418" t="str">
        <f>VLOOKUP($F1418,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418" t="str">
        <f>VLOOKUP($F1418, codebooks_data_reordered!$A:$I, 9, FALSE)</f>
        <v>1: Jewish majority; 2: Greater Israel; 3: Democracy; 4: Peace</v>
      </c>
      <c r="O1418" s="2" t="str">
        <f t="shared" si="22"/>
        <v>1: Jewish majority
 2: Greater Israel
 3: Democracy
 4: Peace</v>
      </c>
    </row>
    <row r="1419" spans="1:15" ht="115.2" hidden="1" x14ac:dyDescent="0.3">
      <c r="A1419" t="s">
        <v>9039</v>
      </c>
      <c r="B1419" t="s">
        <v>9061</v>
      </c>
      <c r="C1419" s="2" t="s">
        <v>8390</v>
      </c>
      <c r="D1419" t="s">
        <v>5843</v>
      </c>
      <c r="E1419" s="2" t="s">
        <v>8391</v>
      </c>
      <c r="F1419" t="s">
        <v>118</v>
      </c>
      <c r="G1419" t="str">
        <f>VLOOKUP($F1419, codebooks_data_reordered!$A:$I, 2, FALSE)</f>
        <v>2006</v>
      </c>
      <c r="H1419" t="str">
        <f>VLOOKUP($F1419, codebooks_data_reordered!$A:$I, 3, FALSE)</f>
        <v>Likely Direction of Development of Israel</v>
      </c>
      <c r="I1419" t="str">
        <f>VLOOKUP($F1419, codebooks_data_reordered!$A:$I, 4, FALSE)</f>
        <v>1</v>
      </c>
      <c r="J1419" t="str">
        <f>VLOOKUP($F1419, codebooks_data_reordered!$A:$I, 5, FALSE)</f>
        <v>32</v>
      </c>
      <c r="K1419" t="str">
        <f>VLOOKUP($F1419, codebooks_data_reordered!$A:$I, 6, FALSE)</f>
        <v>The third most important value</v>
      </c>
      <c r="L1419" t="str">
        <f>VLOOKUP($F1419,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419" t="str">
        <f>VLOOKUP($F1419, codebooks_data_reordered!$A:$I, 9, FALSE)</f>
        <v>1: Jewish majority; 2: Greater Israel; 3: Democracy; 4: Peace</v>
      </c>
      <c r="O1419" s="2" t="str">
        <f t="shared" si="22"/>
        <v>1: Jewish majority
 2: Greater Israel
 3: Democracy
 4: Peace</v>
      </c>
    </row>
    <row r="1420" spans="1:15" ht="115.2" hidden="1" x14ac:dyDescent="0.3">
      <c r="A1420" t="s">
        <v>9039</v>
      </c>
      <c r="B1420" t="s">
        <v>9062</v>
      </c>
      <c r="C1420" s="2" t="s">
        <v>8390</v>
      </c>
      <c r="D1420" t="s">
        <v>5843</v>
      </c>
      <c r="E1420" s="2" t="s">
        <v>8391</v>
      </c>
      <c r="F1420" t="s">
        <v>122</v>
      </c>
      <c r="G1420" t="str">
        <f>VLOOKUP($F1420, codebooks_data_reordered!$A:$I, 2, FALSE)</f>
        <v>2006</v>
      </c>
      <c r="H1420" t="str">
        <f>VLOOKUP($F1420, codebooks_data_reordered!$A:$I, 3, FALSE)</f>
        <v>Likely Direction of Development of Israel</v>
      </c>
      <c r="I1420" t="str">
        <f>VLOOKUP($F1420, codebooks_data_reordered!$A:$I, 4, FALSE)</f>
        <v>1</v>
      </c>
      <c r="J1420" t="str">
        <f>VLOOKUP($F1420, codebooks_data_reordered!$A:$I, 5, FALSE)</f>
        <v>33</v>
      </c>
      <c r="K1420" t="str">
        <f>VLOOKUP($F1420, codebooks_data_reordered!$A:$I, 6, FALSE)</f>
        <v>The fourth most important value</v>
      </c>
      <c r="L1420" t="str">
        <f>VLOOKUP($F1420, codebooks_data_reordered!$A:$I, 7, FALSE)</f>
        <v>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v>
      </c>
      <c r="M1420" t="str">
        <f>VLOOKUP($F1420, codebooks_data_reordered!$A:$I, 9, FALSE)</f>
        <v>1: Jewish majority; 2: Greater Israel; 3: Democracy; 4: Peace</v>
      </c>
      <c r="O1420" s="2" t="str">
        <f t="shared" si="22"/>
        <v>1: Jewish majority
 2: Greater Israel
 3: Democracy
 4: Peace</v>
      </c>
    </row>
    <row r="1421" spans="1:15" ht="115.2" hidden="1" x14ac:dyDescent="0.3">
      <c r="A1421" t="s">
        <v>9063</v>
      </c>
      <c r="B1421" t="s">
        <v>6615</v>
      </c>
      <c r="C1421" s="2" t="s">
        <v>9064</v>
      </c>
      <c r="D1421" t="s">
        <v>5843</v>
      </c>
      <c r="E1421" s="2" t="s">
        <v>9065</v>
      </c>
      <c r="F1421" t="s">
        <v>3105</v>
      </c>
      <c r="G1421" t="str">
        <f>VLOOKUP($F1421, codebooks_data_reordered!$A:$I, 2, FALSE)</f>
        <v>1988_Panel_N=416</v>
      </c>
      <c r="H1421" t="str">
        <f>VLOOKUP($F1421, codebooks_data_reordered!$A:$I, 3, FALSE)</f>
        <v>WHICH OF THE FOLLOWING WOULD YOU BE WILLING TO GIVE TO MAINTAIN/STRENGTHEN THE SECURITY</v>
      </c>
      <c r="I1421" t="str">
        <f>VLOOKUP($F1421, codebooks_data_reordered!$A:$I, 4, FALSE)</f>
        <v>1</v>
      </c>
      <c r="J1421" t="str">
        <f>VLOOKUP($F1421, codebooks_data_reordered!$A:$I, 5, FALSE)</f>
        <v>102</v>
      </c>
      <c r="K1421" t="str">
        <f>VLOOKUP($F1421, codebooks_data_reordered!$A:$I, 6, FALSE)</f>
        <v>Is the reserve military service used efficiently or wasted</v>
      </c>
      <c r="L1421">
        <f>VLOOKUP($F1421, codebooks_data_reordered!$A:$I, 7, FALSE)</f>
        <v>0</v>
      </c>
      <c r="M1421" t="str">
        <f>VLOOKUP($F1421, codebooks_data_reordered!$A:$I, 9, FALSE)</f>
        <v>1: Usually used efficiently; 2: Usually wasted</v>
      </c>
      <c r="O1421" s="2" t="str">
        <f t="shared" si="22"/>
        <v>1: Usually used efficiently
 2: Usually wasted</v>
      </c>
    </row>
    <row r="1422" spans="1:15" ht="115.2" hidden="1" x14ac:dyDescent="0.3">
      <c r="A1422" t="s">
        <v>9063</v>
      </c>
      <c r="B1422" t="s">
        <v>6620</v>
      </c>
      <c r="C1422" s="2" t="s">
        <v>6865</v>
      </c>
      <c r="D1422" t="s">
        <v>5843</v>
      </c>
      <c r="E1422" s="2" t="s">
        <v>6866</v>
      </c>
      <c r="F1422" t="s">
        <v>3148</v>
      </c>
      <c r="G1422" t="str">
        <f>VLOOKUP($F1422, codebooks_data_reordered!$A:$I, 2, FALSE)</f>
        <v>1988_Panel_N=416</v>
      </c>
      <c r="H1422" t="str">
        <f>VLOOKUP($F1422, codebooks_data_reordered!$A:$I, 3, FALSE)</f>
        <v>THE EXTENT OF APPROVAL OF THE FOLLOWING</v>
      </c>
      <c r="I1422" t="str">
        <f>VLOOKUP($F1422, codebooks_data_reordered!$A:$I, 4, FALSE)</f>
        <v>1</v>
      </c>
      <c r="J1422" t="str">
        <f>VLOOKUP($F1422, codebooks_data_reordered!$A:$I, 5, FALSE)</f>
        <v>117</v>
      </c>
      <c r="K1422" t="str">
        <f>VLOOKUP($F1422, codebooks_data_reordered!$A:$I, 6, FALSE)</f>
        <v>The keeper of Israel shall not sleep</v>
      </c>
      <c r="L1422">
        <f>VLOOKUP($F1422, codebooks_data_reordered!$A:$I, 7, FALSE)</f>
        <v>0</v>
      </c>
      <c r="M1422" t="str">
        <f>VLOOKUP($F1422, codebooks_data_reordered!$A:$I, 9, FALSE)</f>
        <v>1: Definitely agrees; 2: Agrees; 3: Disagrees; 4: Definitely disagrees</v>
      </c>
      <c r="O1422" s="2" t="str">
        <f t="shared" si="22"/>
        <v>1: Definitely agrees
 2: Agrees
 3: Disagrees
 4: Definitely disagrees</v>
      </c>
    </row>
    <row r="1423" spans="1:15" ht="100.8" hidden="1" x14ac:dyDescent="0.3">
      <c r="A1423" t="s">
        <v>9063</v>
      </c>
      <c r="B1423" t="s">
        <v>9066</v>
      </c>
      <c r="C1423" s="2" t="s">
        <v>8551</v>
      </c>
      <c r="D1423" t="s">
        <v>5843</v>
      </c>
      <c r="E1423" s="2" t="s">
        <v>8552</v>
      </c>
      <c r="F1423" t="s">
        <v>3136</v>
      </c>
      <c r="G1423" t="str">
        <f>VLOOKUP($F1423, codebooks_data_reordered!$A:$I, 2, FALSE)</f>
        <v>1988_Panel_N=416</v>
      </c>
      <c r="H1423" t="str">
        <f>VLOOKUP($F1423, codebooks_data_reordered!$A:$I, 3, FALSE)</f>
        <v>WHICH OF THE FOLLOWING WOULD YOU BE WILLING TO GIVE TO MAINTAIN/STRENGTHEN THE SECURITY</v>
      </c>
      <c r="I1423" t="str">
        <f>VLOOKUP($F1423, codebooks_data_reordered!$A:$I, 4, FALSE)</f>
        <v>1</v>
      </c>
      <c r="J1423" t="str">
        <f>VLOOKUP($F1423, codebooks_data_reordered!$A:$I, 5, FALSE)</f>
        <v>113</v>
      </c>
      <c r="K1423" t="str">
        <f>VLOOKUP($F1423, codebooks_data_reordered!$A:$I, 6, FALSE)</f>
        <v>Should security considerations override the law</v>
      </c>
      <c r="L1423">
        <f>VLOOKUP($F1423, codebooks_data_reordered!$A:$I, 7, FALSE)</f>
        <v>0</v>
      </c>
      <c r="M1423" t="str">
        <f>VLOOKUP($F1423, codebooks_data_reordered!$A:$I, 9, FALSE)</f>
        <v>1: Security considerations should override all others; 7: Security should not override</v>
      </c>
      <c r="O1423" s="2" t="str">
        <f t="shared" si="22"/>
        <v>1: Security considerations should override all others
 7: Security should not override</v>
      </c>
    </row>
    <row r="1424" spans="1:15" ht="144" hidden="1" x14ac:dyDescent="0.3">
      <c r="A1424" t="s">
        <v>9063</v>
      </c>
      <c r="B1424" t="s">
        <v>9067</v>
      </c>
      <c r="C1424" s="2" t="s">
        <v>9068</v>
      </c>
      <c r="D1424" t="s">
        <v>5843</v>
      </c>
      <c r="E1424" s="2" t="s">
        <v>9069</v>
      </c>
      <c r="F1424" t="s">
        <v>9374</v>
      </c>
      <c r="G1424" t="e">
        <f>VLOOKUP($F1424, codebooks_data_reordered!$A:$I, 2, FALSE)</f>
        <v>#N/A</v>
      </c>
      <c r="H1424" t="e">
        <f>VLOOKUP($F1424, codebooks_data_reordered!$A:$I, 3, FALSE)</f>
        <v>#N/A</v>
      </c>
      <c r="I1424" t="e">
        <f>VLOOKUP($F1424, codebooks_data_reordered!$A:$I, 4, FALSE)</f>
        <v>#N/A</v>
      </c>
      <c r="J1424" t="e">
        <f>VLOOKUP($F1424, codebooks_data_reordered!$A:$I, 5, FALSE)</f>
        <v>#N/A</v>
      </c>
      <c r="K1424" t="e">
        <f>VLOOKUP($F1424, codebooks_data_reordered!$A:$I, 6, FALSE)</f>
        <v>#N/A</v>
      </c>
      <c r="L1424" t="e">
        <f>VLOOKUP($F1424, codebooks_data_reordered!$A:$I, 7, FALSE)</f>
        <v>#N/A</v>
      </c>
      <c r="M1424" t="e">
        <f>VLOOKUP($F1424, codebooks_data_reordered!$A:$I, 9, FALSE)</f>
        <v>#N/A</v>
      </c>
      <c r="O1424" t="e">
        <f t="shared" si="22"/>
        <v>#N/A</v>
      </c>
    </row>
    <row r="1425" spans="1:15" ht="115.2" hidden="1" x14ac:dyDescent="0.3">
      <c r="A1425" t="s">
        <v>9063</v>
      </c>
      <c r="B1425" t="s">
        <v>7892</v>
      </c>
      <c r="C1425" s="2" t="s">
        <v>9070</v>
      </c>
      <c r="D1425" t="s">
        <v>5843</v>
      </c>
      <c r="E1425" s="2" t="s">
        <v>9071</v>
      </c>
      <c r="F1425" t="s">
        <v>3164</v>
      </c>
      <c r="G1425" t="str">
        <f>VLOOKUP($F1425, codebooks_data_reordered!$A:$I, 2, FALSE)</f>
        <v>1988_Panel_N=416</v>
      </c>
      <c r="H1425" t="str">
        <f>VLOOKUP($F1425, codebooks_data_reordered!$A:$I, 3, FALSE)</f>
        <v>THE EXTENT OF APPROVAL OF THE FOLLOWING</v>
      </c>
      <c r="I1425" t="str">
        <f>VLOOKUP($F1425, codebooks_data_reordered!$A:$I, 4, FALSE)</f>
        <v>1</v>
      </c>
      <c r="J1425" t="str">
        <f>VLOOKUP($F1425, codebooks_data_reordered!$A:$I, 5, FALSE)</f>
        <v>125</v>
      </c>
      <c r="K1425" t="str">
        <f>VLOOKUP($F1425, codebooks_data_reordered!$A:$I, 6, FALSE)</f>
        <v>Military victory enhances the peace process</v>
      </c>
      <c r="L1425">
        <f>VLOOKUP($F1425, codebooks_data_reordered!$A:$I, 7, FALSE)</f>
        <v>0</v>
      </c>
      <c r="M1425" t="str">
        <f>VLOOKUP($F1425, codebooks_data_reordered!$A:$I, 9, FALSE)</f>
        <v>1: Definitely agrees; 2: Agrees; 3: Disagrees; 4: Definitely disagrees</v>
      </c>
      <c r="O1425" s="2" t="str">
        <f t="shared" si="22"/>
        <v>1: Definitely agrees
 2: Agrees
 3: Disagrees
 4: Definitely disagrees</v>
      </c>
    </row>
    <row r="1426" spans="1:15" ht="158.4" hidden="1" x14ac:dyDescent="0.3">
      <c r="A1426" t="s">
        <v>9072</v>
      </c>
      <c r="B1426" t="s">
        <v>8212</v>
      </c>
      <c r="C1426" s="2" t="s">
        <v>9073</v>
      </c>
      <c r="D1426" t="s">
        <v>5843</v>
      </c>
      <c r="E1426" s="2" t="s">
        <v>9074</v>
      </c>
      <c r="F1426" t="s">
        <v>9375</v>
      </c>
      <c r="G1426" t="e">
        <f>VLOOKUP($F1426, codebooks_data_reordered!$A:$I, 2, FALSE)</f>
        <v>#N/A</v>
      </c>
      <c r="H1426" t="e">
        <f>VLOOKUP($F1426, codebooks_data_reordered!$A:$I, 3, FALSE)</f>
        <v>#N/A</v>
      </c>
      <c r="I1426" t="e">
        <f>VLOOKUP($F1426, codebooks_data_reordered!$A:$I, 4, FALSE)</f>
        <v>#N/A</v>
      </c>
      <c r="J1426" t="e">
        <f>VLOOKUP($F1426, codebooks_data_reordered!$A:$I, 5, FALSE)</f>
        <v>#N/A</v>
      </c>
      <c r="K1426" t="e">
        <f>VLOOKUP($F1426, codebooks_data_reordered!$A:$I, 6, FALSE)</f>
        <v>#N/A</v>
      </c>
      <c r="L1426" t="e">
        <f>VLOOKUP($F1426, codebooks_data_reordered!$A:$I, 7, FALSE)</f>
        <v>#N/A</v>
      </c>
      <c r="M1426" t="e">
        <f>VLOOKUP($F1426, codebooks_data_reordered!$A:$I, 9, FALSE)</f>
        <v>#N/A</v>
      </c>
      <c r="N1426" t="s">
        <v>9397</v>
      </c>
      <c r="O1426" t="e">
        <f t="shared" si="22"/>
        <v>#N/A</v>
      </c>
    </row>
    <row r="1427" spans="1:15" ht="100.8" hidden="1" x14ac:dyDescent="0.3">
      <c r="A1427" t="s">
        <v>9072</v>
      </c>
      <c r="B1427" t="s">
        <v>6206</v>
      </c>
      <c r="C1427" s="2" t="s">
        <v>9075</v>
      </c>
      <c r="D1427" t="s">
        <v>5843</v>
      </c>
      <c r="E1427" s="2" t="s">
        <v>9076</v>
      </c>
      <c r="F1427">
        <v>0</v>
      </c>
      <c r="G1427" t="e">
        <f>VLOOKUP($F1427, codebooks_data_reordered!$A:$I, 2, FALSE)</f>
        <v>#N/A</v>
      </c>
      <c r="H1427" t="e">
        <f>VLOOKUP($F1427, codebooks_data_reordered!$A:$I, 3, FALSE)</f>
        <v>#N/A</v>
      </c>
      <c r="I1427" t="e">
        <f>VLOOKUP($F1427, codebooks_data_reordered!$A:$I, 4, FALSE)</f>
        <v>#N/A</v>
      </c>
      <c r="J1427" t="e">
        <f>VLOOKUP($F1427, codebooks_data_reordered!$A:$I, 5, FALSE)</f>
        <v>#N/A</v>
      </c>
      <c r="K1427" t="e">
        <f>VLOOKUP($F1427, codebooks_data_reordered!$A:$I, 6, FALSE)</f>
        <v>#N/A</v>
      </c>
      <c r="L1427" t="e">
        <f>VLOOKUP($F1427, codebooks_data_reordered!$A:$I, 7, FALSE)</f>
        <v>#N/A</v>
      </c>
      <c r="M1427" t="e">
        <f>VLOOKUP($F1427, codebooks_data_reordered!$A:$I, 9, FALSE)</f>
        <v>#N/A</v>
      </c>
      <c r="O1427" t="e">
        <f t="shared" si="22"/>
        <v>#N/A</v>
      </c>
    </row>
    <row r="1428" spans="1:15" ht="374.4" hidden="1" x14ac:dyDescent="0.3">
      <c r="A1428" t="s">
        <v>9072</v>
      </c>
      <c r="B1428" t="s">
        <v>9077</v>
      </c>
      <c r="C1428" s="2" t="s">
        <v>9078</v>
      </c>
      <c r="D1428" t="s">
        <v>5843</v>
      </c>
      <c r="E1428" s="2" t="s">
        <v>9079</v>
      </c>
      <c r="F1428">
        <v>0</v>
      </c>
      <c r="G1428" t="e">
        <f>VLOOKUP($F1428, codebooks_data_reordered!$A:$I, 2, FALSE)</f>
        <v>#N/A</v>
      </c>
      <c r="H1428" t="e">
        <f>VLOOKUP($F1428, codebooks_data_reordered!$A:$I, 3, FALSE)</f>
        <v>#N/A</v>
      </c>
      <c r="I1428" t="e">
        <f>VLOOKUP($F1428, codebooks_data_reordered!$A:$I, 4, FALSE)</f>
        <v>#N/A</v>
      </c>
      <c r="J1428" t="e">
        <f>VLOOKUP($F1428, codebooks_data_reordered!$A:$I, 5, FALSE)</f>
        <v>#N/A</v>
      </c>
      <c r="K1428" t="e">
        <f>VLOOKUP($F1428, codebooks_data_reordered!$A:$I, 6, FALSE)</f>
        <v>#N/A</v>
      </c>
      <c r="L1428" t="e">
        <f>VLOOKUP($F1428, codebooks_data_reordered!$A:$I, 7, FALSE)</f>
        <v>#N/A</v>
      </c>
      <c r="M1428" t="e">
        <f>VLOOKUP($F1428, codebooks_data_reordered!$A:$I, 9, FALSE)</f>
        <v>#N/A</v>
      </c>
      <c r="O1428" t="e">
        <f t="shared" si="22"/>
        <v>#N/A</v>
      </c>
    </row>
    <row r="1429" spans="1:15" ht="345.6" hidden="1" x14ac:dyDescent="0.3">
      <c r="A1429" t="s">
        <v>9072</v>
      </c>
      <c r="B1429" t="s">
        <v>9080</v>
      </c>
      <c r="C1429" s="2" t="s">
        <v>9081</v>
      </c>
      <c r="D1429" t="s">
        <v>5843</v>
      </c>
      <c r="E1429" s="2" t="s">
        <v>9082</v>
      </c>
      <c r="F1429">
        <v>0</v>
      </c>
      <c r="G1429" t="e">
        <f>VLOOKUP($F1429, codebooks_data_reordered!$A:$I, 2, FALSE)</f>
        <v>#N/A</v>
      </c>
      <c r="H1429" t="e">
        <f>VLOOKUP($F1429, codebooks_data_reordered!$A:$I, 3, FALSE)</f>
        <v>#N/A</v>
      </c>
      <c r="I1429" t="e">
        <f>VLOOKUP($F1429, codebooks_data_reordered!$A:$I, 4, FALSE)</f>
        <v>#N/A</v>
      </c>
      <c r="J1429" t="e">
        <f>VLOOKUP($F1429, codebooks_data_reordered!$A:$I, 5, FALSE)</f>
        <v>#N/A</v>
      </c>
      <c r="K1429" t="e">
        <f>VLOOKUP($F1429, codebooks_data_reordered!$A:$I, 6, FALSE)</f>
        <v>#N/A</v>
      </c>
      <c r="L1429" t="e">
        <f>VLOOKUP($F1429, codebooks_data_reordered!$A:$I, 7, FALSE)</f>
        <v>#N/A</v>
      </c>
      <c r="M1429" t="e">
        <f>VLOOKUP($F1429, codebooks_data_reordered!$A:$I, 9, FALSE)</f>
        <v>#N/A</v>
      </c>
      <c r="O1429" t="e">
        <f t="shared" si="22"/>
        <v>#N/A</v>
      </c>
    </row>
    <row r="1430" spans="1:15" ht="115.2" hidden="1" x14ac:dyDescent="0.3">
      <c r="A1430" t="s">
        <v>9072</v>
      </c>
      <c r="B1430" t="s">
        <v>6263</v>
      </c>
      <c r="C1430" s="2" t="s">
        <v>9083</v>
      </c>
      <c r="D1430" t="s">
        <v>5843</v>
      </c>
      <c r="E1430" s="2" t="s">
        <v>9084</v>
      </c>
      <c r="F1430" t="s">
        <v>9376</v>
      </c>
      <c r="G1430" t="e">
        <f>VLOOKUP($F1430, codebooks_data_reordered!$A:$I, 2, FALSE)</f>
        <v>#N/A</v>
      </c>
      <c r="H1430" t="e">
        <f>VLOOKUP($F1430, codebooks_data_reordered!$A:$I, 3, FALSE)</f>
        <v>#N/A</v>
      </c>
      <c r="I1430" t="e">
        <f>VLOOKUP($F1430, codebooks_data_reordered!$A:$I, 4, FALSE)</f>
        <v>#N/A</v>
      </c>
      <c r="J1430" t="e">
        <f>VLOOKUP($F1430, codebooks_data_reordered!$A:$I, 5, FALSE)</f>
        <v>#N/A</v>
      </c>
      <c r="K1430" t="e">
        <f>VLOOKUP($F1430, codebooks_data_reordered!$A:$I, 6, FALSE)</f>
        <v>#N/A</v>
      </c>
      <c r="L1430" t="e">
        <f>VLOOKUP($F1430, codebooks_data_reordered!$A:$I, 7, FALSE)</f>
        <v>#N/A</v>
      </c>
      <c r="M1430" t="e">
        <f>VLOOKUP($F1430, codebooks_data_reordered!$A:$I, 9, FALSE)</f>
        <v>#N/A</v>
      </c>
      <c r="N1430" t="s">
        <v>9397</v>
      </c>
      <c r="O1430" t="e">
        <f t="shared" si="22"/>
        <v>#N/A</v>
      </c>
    </row>
    <row r="1431" spans="1:15" ht="115.2" hidden="1" x14ac:dyDescent="0.3">
      <c r="A1431" t="s">
        <v>9072</v>
      </c>
      <c r="B1431" t="s">
        <v>5869</v>
      </c>
      <c r="C1431" s="2" t="s">
        <v>6318</v>
      </c>
      <c r="D1431" t="s">
        <v>5843</v>
      </c>
      <c r="E1431" s="2" t="s">
        <v>6319</v>
      </c>
      <c r="F1431">
        <v>0</v>
      </c>
      <c r="G1431" t="e">
        <f>VLOOKUP($F1431, codebooks_data_reordered!$A:$I, 2, FALSE)</f>
        <v>#N/A</v>
      </c>
      <c r="H1431" t="e">
        <f>VLOOKUP($F1431, codebooks_data_reordered!$A:$I, 3, FALSE)</f>
        <v>#N/A</v>
      </c>
      <c r="I1431" t="e">
        <f>VLOOKUP($F1431, codebooks_data_reordered!$A:$I, 4, FALSE)</f>
        <v>#N/A</v>
      </c>
      <c r="J1431" t="e">
        <f>VLOOKUP($F1431, codebooks_data_reordered!$A:$I, 5, FALSE)</f>
        <v>#N/A</v>
      </c>
      <c r="K1431" t="e">
        <f>VLOOKUP($F1431, codebooks_data_reordered!$A:$I, 6, FALSE)</f>
        <v>#N/A</v>
      </c>
      <c r="L1431" t="e">
        <f>VLOOKUP($F1431, codebooks_data_reordered!$A:$I, 7, FALSE)</f>
        <v>#N/A</v>
      </c>
      <c r="M1431" t="e">
        <f>VLOOKUP($F1431, codebooks_data_reordered!$A:$I, 9, FALSE)</f>
        <v>#N/A</v>
      </c>
      <c r="O1431" t="e">
        <f t="shared" si="22"/>
        <v>#N/A</v>
      </c>
    </row>
    <row r="1432" spans="1:15" ht="115.2" hidden="1" x14ac:dyDescent="0.3">
      <c r="A1432" t="s">
        <v>9072</v>
      </c>
      <c r="B1432" t="s">
        <v>5872</v>
      </c>
      <c r="C1432" s="2" t="s">
        <v>6318</v>
      </c>
      <c r="D1432" t="s">
        <v>5843</v>
      </c>
      <c r="E1432" s="2" t="s">
        <v>6319</v>
      </c>
      <c r="F1432">
        <v>0</v>
      </c>
      <c r="G1432" t="e">
        <f>VLOOKUP($F1432, codebooks_data_reordered!$A:$I, 2, FALSE)</f>
        <v>#N/A</v>
      </c>
      <c r="H1432" t="e">
        <f>VLOOKUP($F1432, codebooks_data_reordered!$A:$I, 3, FALSE)</f>
        <v>#N/A</v>
      </c>
      <c r="I1432" t="e">
        <f>VLOOKUP($F1432, codebooks_data_reordered!$A:$I, 4, FALSE)</f>
        <v>#N/A</v>
      </c>
      <c r="J1432" t="e">
        <f>VLOOKUP($F1432, codebooks_data_reordered!$A:$I, 5, FALSE)</f>
        <v>#N/A</v>
      </c>
      <c r="K1432" t="e">
        <f>VLOOKUP($F1432, codebooks_data_reordered!$A:$I, 6, FALSE)</f>
        <v>#N/A</v>
      </c>
      <c r="L1432" t="e">
        <f>VLOOKUP($F1432, codebooks_data_reordered!$A:$I, 7, FALSE)</f>
        <v>#N/A</v>
      </c>
      <c r="M1432" t="e">
        <f>VLOOKUP($F1432, codebooks_data_reordered!$A:$I, 9, FALSE)</f>
        <v>#N/A</v>
      </c>
      <c r="O1432" t="e">
        <f t="shared" si="22"/>
        <v>#N/A</v>
      </c>
    </row>
    <row r="1433" spans="1:15" ht="144" hidden="1" x14ac:dyDescent="0.3">
      <c r="A1433" t="s">
        <v>9072</v>
      </c>
      <c r="B1433" t="s">
        <v>6270</v>
      </c>
      <c r="C1433" s="2" t="s">
        <v>9085</v>
      </c>
      <c r="D1433" t="s">
        <v>5843</v>
      </c>
      <c r="E1433" s="2" t="s">
        <v>9086</v>
      </c>
      <c r="F1433" t="s">
        <v>9377</v>
      </c>
      <c r="G1433" t="e">
        <f>VLOOKUP($F1433, codebooks_data_reordered!$A:$I, 2, FALSE)</f>
        <v>#N/A</v>
      </c>
      <c r="H1433" t="e">
        <f>VLOOKUP($F1433, codebooks_data_reordered!$A:$I, 3, FALSE)</f>
        <v>#N/A</v>
      </c>
      <c r="I1433" t="e">
        <f>VLOOKUP($F1433, codebooks_data_reordered!$A:$I, 4, FALSE)</f>
        <v>#N/A</v>
      </c>
      <c r="J1433" t="e">
        <f>VLOOKUP($F1433, codebooks_data_reordered!$A:$I, 5, FALSE)</f>
        <v>#N/A</v>
      </c>
      <c r="K1433" t="e">
        <f>VLOOKUP($F1433, codebooks_data_reordered!$A:$I, 6, FALSE)</f>
        <v>#N/A</v>
      </c>
      <c r="L1433" t="e">
        <f>VLOOKUP($F1433, codebooks_data_reordered!$A:$I, 7, FALSE)</f>
        <v>#N/A</v>
      </c>
      <c r="M1433" t="e">
        <f>VLOOKUP($F1433, codebooks_data_reordered!$A:$I, 9, FALSE)</f>
        <v>#N/A</v>
      </c>
      <c r="N1433" t="s">
        <v>9397</v>
      </c>
      <c r="O1433" t="e">
        <f t="shared" si="22"/>
        <v>#N/A</v>
      </c>
    </row>
    <row r="1434" spans="1:15" ht="144" hidden="1" x14ac:dyDescent="0.3">
      <c r="A1434" t="s">
        <v>9072</v>
      </c>
      <c r="B1434" t="s">
        <v>5885</v>
      </c>
      <c r="C1434" s="2" t="s">
        <v>9087</v>
      </c>
      <c r="D1434" t="s">
        <v>5843</v>
      </c>
      <c r="E1434" s="2" t="s">
        <v>9088</v>
      </c>
      <c r="F1434">
        <v>0</v>
      </c>
      <c r="G1434" t="e">
        <f>VLOOKUP($F1434, codebooks_data_reordered!$A:$I, 2, FALSE)</f>
        <v>#N/A</v>
      </c>
      <c r="H1434" t="e">
        <f>VLOOKUP($F1434, codebooks_data_reordered!$A:$I, 3, FALSE)</f>
        <v>#N/A</v>
      </c>
      <c r="I1434" t="e">
        <f>VLOOKUP($F1434, codebooks_data_reordered!$A:$I, 4, FALSE)</f>
        <v>#N/A</v>
      </c>
      <c r="J1434" t="e">
        <f>VLOOKUP($F1434, codebooks_data_reordered!$A:$I, 5, FALSE)</f>
        <v>#N/A</v>
      </c>
      <c r="K1434" t="e">
        <f>VLOOKUP($F1434, codebooks_data_reordered!$A:$I, 6, FALSE)</f>
        <v>#N/A</v>
      </c>
      <c r="L1434" t="e">
        <f>VLOOKUP($F1434, codebooks_data_reordered!$A:$I, 7, FALSE)</f>
        <v>#N/A</v>
      </c>
      <c r="M1434" t="e">
        <f>VLOOKUP($F1434, codebooks_data_reordered!$A:$I, 9, FALSE)</f>
        <v>#N/A</v>
      </c>
      <c r="O1434" t="e">
        <f t="shared" si="22"/>
        <v>#N/A</v>
      </c>
    </row>
    <row r="1435" spans="1:15" ht="115.2" hidden="1" x14ac:dyDescent="0.3">
      <c r="A1435" t="s">
        <v>9072</v>
      </c>
      <c r="B1435" t="s">
        <v>9089</v>
      </c>
      <c r="C1435" s="2" t="s">
        <v>6659</v>
      </c>
      <c r="D1435" t="s">
        <v>5843</v>
      </c>
      <c r="E1435" s="2" t="s">
        <v>6660</v>
      </c>
      <c r="F1435" t="s">
        <v>1803</v>
      </c>
      <c r="G1435" t="str">
        <f>VLOOKUP($F1435, codebooks_data_reordered!$A:$I, 2, FALSE)</f>
        <v>1999_1</v>
      </c>
      <c r="H1435" t="str">
        <f>VLOOKUP($F1435, codebooks_data_reordered!$A:$I, 3, FALSE)</f>
        <v>GENERAL POLITICAL ATTITUDE</v>
      </c>
      <c r="I1435" t="str">
        <f>VLOOKUP($F1435, codebooks_data_reordered!$A:$I, 4, FALSE)</f>
        <v>1</v>
      </c>
      <c r="J1435" t="str">
        <f>VLOOKUP($F1435, codebooks_data_reordered!$A:$I, 5, FALSE)</f>
        <v>29</v>
      </c>
      <c r="K1435" t="str">
        <f>VLOOKUP($F1435, codebooks_data_reordered!$A:$I, 6, FALSE)</f>
        <v>Evaluation of Arab aspirations</v>
      </c>
      <c r="L1435">
        <f>VLOOKUP($F1435, codebooks_data_reordered!$A:$I, 7, FALSE)</f>
        <v>0</v>
      </c>
      <c r="M1435" t="str">
        <f>VLOOKUP($F1435, codebooks_data_reordered!$A:$I, 9, FALSE)</f>
        <v>1: Getting back part of the territories they lost in 1967; 2: Getting back all the territories they lost in 1967; 3: Conquering Israel; 4: Conquering Israel and demolition of Jewish population</v>
      </c>
      <c r="O1435" s="2" t="str">
        <f t="shared" si="22"/>
        <v>1: Getting back part of the territories they lost in 1967
 2: Getting back all the territories they lost in 1967
 3: Conquering Israel
 4: Conquering Israel and demolition of Jewish population</v>
      </c>
    </row>
    <row r="1436" spans="1:15" ht="115.2" hidden="1" x14ac:dyDescent="0.3">
      <c r="A1436" t="s">
        <v>9072</v>
      </c>
      <c r="B1436" t="s">
        <v>9090</v>
      </c>
      <c r="C1436" s="2" t="s">
        <v>8771</v>
      </c>
      <c r="D1436" t="s">
        <v>5843</v>
      </c>
      <c r="E1436" s="2" t="s">
        <v>8772</v>
      </c>
      <c r="F1436" t="s">
        <v>2138</v>
      </c>
      <c r="G1436" t="str">
        <f>VLOOKUP($F1436, codebooks_data_reordered!$A:$I, 2, FALSE)</f>
        <v>1999_1</v>
      </c>
      <c r="H1436" t="str">
        <f>VLOOKUP($F1436, codebooks_data_reordered!$A:$I, 3, FALSE)</f>
        <v>IMPACT OF MEDIA</v>
      </c>
      <c r="I1436" t="str">
        <f>VLOOKUP($F1436, codebooks_data_reordered!$A:$I, 4, FALSE)</f>
        <v>3</v>
      </c>
      <c r="J1436" t="str">
        <f>VLOOKUP($F1436, codebooks_data_reordered!$A:$I, 5, FALSE)</f>
        <v>6</v>
      </c>
      <c r="K1436" t="str">
        <f>VLOOKUP($F1436, codebooks_data_reordered!$A:$I, 6, FALSE)</f>
        <v>Frequency of reading daily newspaper</v>
      </c>
      <c r="L1436">
        <f>VLOOKUP($F1436, codebooks_data_reordered!$A:$I, 7, FALSE)</f>
        <v>0</v>
      </c>
      <c r="M1436" t="str">
        <f>VLOOKUP($F1436, codebooks_data_reordered!$A:$I, 9, FALSE)</f>
        <v>1: Almost never; 2: Rarely; 3: Once a week; 4: 2-3 times a week; 5: One newspaper almost every day; 6: More than one almost every day</v>
      </c>
      <c r="O1436" s="2" t="str">
        <f t="shared" si="22"/>
        <v>1: Almost never
 2: Rarely
 3: Once a week
 4: 2-3 times a week
 5: One newspaper almost every day
 6: More than one almost every day</v>
      </c>
    </row>
    <row r="1437" spans="1:15" ht="144" hidden="1" x14ac:dyDescent="0.3">
      <c r="A1437" t="s">
        <v>9072</v>
      </c>
      <c r="B1437" t="s">
        <v>9091</v>
      </c>
      <c r="C1437" s="2" t="s">
        <v>9092</v>
      </c>
      <c r="D1437" t="s">
        <v>5843</v>
      </c>
      <c r="E1437" s="2" t="s">
        <v>9093</v>
      </c>
      <c r="F1437" t="s">
        <v>4105</v>
      </c>
      <c r="G1437" t="str">
        <f>VLOOKUP($F1437, codebooks_data_reordered!$A:$I, 2, FALSE)</f>
        <v>1981_1</v>
      </c>
      <c r="H1437" t="str">
        <f>VLOOKUP($F1437, codebooks_data_reordered!$A:$I, 3, FALSE)</f>
        <v>CHARACTERIZATION OF MOSHE DAYAN, GRADED SCALE 1-6</v>
      </c>
      <c r="I1437" t="str">
        <f>VLOOKUP($F1437, codebooks_data_reordered!$A:$I, 4, FALSE)</f>
        <v>1</v>
      </c>
      <c r="J1437" t="str">
        <f>VLOOKUP($F1437, codebooks_data_reordered!$A:$I, 5, FALSE)</f>
        <v>91</v>
      </c>
      <c r="K1437" t="str">
        <f>VLOOKUP($F1437, codebooks_data_reordered!$A:$I, 6, FALSE)</f>
        <v>Moshe Dayan</v>
      </c>
      <c r="L1437">
        <f>VLOOKUP($F1437, codebooks_data_reordered!$A:$I, 7, FALSE)</f>
        <v>0</v>
      </c>
      <c r="M1437" t="str">
        <f>VLOOKUP($F1437, codebooks_data_reordered!$A:$I, 9, FALSE)</f>
        <v>1: Can withstand pressure; 6: Cannot withstand pressure</v>
      </c>
      <c r="O1437" s="2" t="str">
        <f t="shared" si="22"/>
        <v>1: Can withstand pressure
 6: Cannot withstand pressure</v>
      </c>
    </row>
    <row r="1438" spans="1:15" ht="129.6" hidden="1" x14ac:dyDescent="0.3">
      <c r="A1438" t="s">
        <v>9072</v>
      </c>
      <c r="B1438" t="s">
        <v>9094</v>
      </c>
      <c r="C1438" s="2" t="s">
        <v>9095</v>
      </c>
      <c r="D1438" t="s">
        <v>5843</v>
      </c>
      <c r="E1438" s="2" t="s">
        <v>9096</v>
      </c>
      <c r="F1438" t="s">
        <v>1656</v>
      </c>
      <c r="G1438" t="str">
        <f>VLOOKUP($F1438, codebooks_data_reordered!$A:$I, 2, FALSE)</f>
        <v>2003</v>
      </c>
      <c r="H1438" t="str">
        <f>VLOOKUP($F1438, codebooks_data_reordered!$A:$I, 3, FALSE)</f>
        <v>Likelihood for parties to be in the coalition</v>
      </c>
      <c r="I1438" t="str">
        <f>VLOOKUP($F1438, codebooks_data_reordered!$A:$I, 4, FALSE)</f>
        <v>1</v>
      </c>
      <c r="J1438" t="str">
        <f>VLOOKUP($F1438, codebooks_data_reordered!$A:$I, 5, FALSE)</f>
        <v>122-124</v>
      </c>
      <c r="K1438" t="str">
        <f>VLOOKUP($F1438, codebooks_data_reordered!$A:$I, 6, FALSE)</f>
        <v>Likelihood for Meretz to be in the coalition (%)</v>
      </c>
      <c r="L1438" t="str">
        <f>VLOOKUP($F1438, codebooks_data_reordered!$A:$I, 7, FALSE)</f>
        <v>On a scale from 0 -100, how likely is it that Meretz will be in the governing coalition? Asked only in first survey</v>
      </c>
      <c r="M1438">
        <f>VLOOKUP($F1438, codebooks_data_reordered!$A:$I, 9, FALSE)</f>
        <v>0</v>
      </c>
      <c r="O1438" s="2" t="str">
        <f t="shared" si="22"/>
        <v>0</v>
      </c>
    </row>
    <row r="1439" spans="1:15" ht="43.2" hidden="1" x14ac:dyDescent="0.3">
      <c r="A1439" t="s">
        <v>9072</v>
      </c>
      <c r="B1439" t="s">
        <v>9097</v>
      </c>
      <c r="C1439" s="2" t="s">
        <v>9098</v>
      </c>
      <c r="D1439" t="s">
        <v>6225</v>
      </c>
      <c r="E1439" s="2" t="s">
        <v>9099</v>
      </c>
      <c r="F1439" t="s">
        <v>1927</v>
      </c>
      <c r="G1439" t="str">
        <f>VLOOKUP($F1439, codebooks_data_reordered!$A:$I, 2, FALSE)</f>
        <v>1999_1</v>
      </c>
      <c r="H1439" t="str">
        <f>VLOOKUP($F1439, codebooks_data_reordered!$A:$I, 3, FALSE)</f>
        <v>MORE ATTITUDES TOWARD PARTIES AND CANDIDATES</v>
      </c>
      <c r="I1439" t="str">
        <f>VLOOKUP($F1439, codebooks_data_reordered!$A:$I, 4, FALSE)</f>
        <v>1</v>
      </c>
      <c r="J1439" t="str">
        <f>VLOOKUP($F1439, codebooks_data_reordered!$A:$I, 5, FALSE)</f>
        <v>80</v>
      </c>
      <c r="K1439" t="str">
        <f>VLOOKUP($F1439, codebooks_data_reordered!$A:$I, 6, FALSE)</f>
        <v>Identification with Binyamin Netanyahu's socio-economic policy</v>
      </c>
      <c r="L1439" t="str">
        <f>VLOOKUP($F1439, codebooks_data_reordered!$A:$I, 7, FALSE)</f>
        <v>Identification with candidate on 1-10 scale: 1=Strong rejection, 10=Strong support</v>
      </c>
      <c r="M1439" t="str">
        <f>VLOOKUP($F1439, codebooks_data_reordered!$A:$I, 9, FALSE)</f>
        <v>1: Strong rejection; 10: Strong support</v>
      </c>
      <c r="O1439" s="2" t="str">
        <f t="shared" si="22"/>
        <v>1: Strong rejection
 10: Strong support</v>
      </c>
    </row>
    <row r="1440" spans="1:15" ht="115.2" hidden="1" x14ac:dyDescent="0.3">
      <c r="A1440" t="s">
        <v>9072</v>
      </c>
      <c r="B1440" t="s">
        <v>5894</v>
      </c>
      <c r="C1440" s="2" t="s">
        <v>9100</v>
      </c>
      <c r="D1440" t="s">
        <v>5843</v>
      </c>
      <c r="E1440" s="2" t="s">
        <v>9101</v>
      </c>
      <c r="F1440" t="s">
        <v>9378</v>
      </c>
      <c r="G1440" t="e">
        <f>VLOOKUP($F1440, codebooks_data_reordered!$A:$I, 2, FALSE)</f>
        <v>#N/A</v>
      </c>
      <c r="H1440" t="e">
        <f>VLOOKUP($F1440, codebooks_data_reordered!$A:$I, 3, FALSE)</f>
        <v>#N/A</v>
      </c>
      <c r="I1440" t="e">
        <f>VLOOKUP($F1440, codebooks_data_reordered!$A:$I, 4, FALSE)</f>
        <v>#N/A</v>
      </c>
      <c r="J1440" t="e">
        <f>VLOOKUP($F1440, codebooks_data_reordered!$A:$I, 5, FALSE)</f>
        <v>#N/A</v>
      </c>
      <c r="K1440" t="e">
        <f>VLOOKUP($F1440, codebooks_data_reordered!$A:$I, 6, FALSE)</f>
        <v>#N/A</v>
      </c>
      <c r="L1440" t="e">
        <f>VLOOKUP($F1440, codebooks_data_reordered!$A:$I, 7, FALSE)</f>
        <v>#N/A</v>
      </c>
      <c r="M1440" t="e">
        <f>VLOOKUP($F1440, codebooks_data_reordered!$A:$I, 9, FALSE)</f>
        <v>#N/A</v>
      </c>
      <c r="N1440" t="s">
        <v>9401</v>
      </c>
      <c r="O1440" t="e">
        <f t="shared" si="22"/>
        <v>#N/A</v>
      </c>
    </row>
    <row r="1441" spans="1:15" ht="115.2" hidden="1" x14ac:dyDescent="0.3">
      <c r="A1441" t="s">
        <v>9072</v>
      </c>
      <c r="B1441" t="s">
        <v>9102</v>
      </c>
      <c r="C1441" s="2" t="s">
        <v>6859</v>
      </c>
      <c r="D1441" t="s">
        <v>5843</v>
      </c>
      <c r="E1441" s="2" t="s">
        <v>6860</v>
      </c>
      <c r="F1441">
        <v>0</v>
      </c>
      <c r="G1441" t="e">
        <f>VLOOKUP($F1441, codebooks_data_reordered!$A:$I, 2, FALSE)</f>
        <v>#N/A</v>
      </c>
      <c r="H1441" t="e">
        <f>VLOOKUP($F1441, codebooks_data_reordered!$A:$I, 3, FALSE)</f>
        <v>#N/A</v>
      </c>
      <c r="I1441" t="e">
        <f>VLOOKUP($F1441, codebooks_data_reordered!$A:$I, 4, FALSE)</f>
        <v>#N/A</v>
      </c>
      <c r="J1441" t="e">
        <f>VLOOKUP($F1441, codebooks_data_reordered!$A:$I, 5, FALSE)</f>
        <v>#N/A</v>
      </c>
      <c r="K1441" t="e">
        <f>VLOOKUP($F1441, codebooks_data_reordered!$A:$I, 6, FALSE)</f>
        <v>#N/A</v>
      </c>
      <c r="L1441" t="e">
        <f>VLOOKUP($F1441, codebooks_data_reordered!$A:$I, 7, FALSE)</f>
        <v>#N/A</v>
      </c>
      <c r="M1441" t="e">
        <f>VLOOKUP($F1441, codebooks_data_reordered!$A:$I, 9, FALSE)</f>
        <v>#N/A</v>
      </c>
      <c r="O1441" t="e">
        <f t="shared" si="22"/>
        <v>#N/A</v>
      </c>
    </row>
    <row r="1442" spans="1:15" ht="100.8" hidden="1" x14ac:dyDescent="0.3">
      <c r="A1442" t="s">
        <v>9072</v>
      </c>
      <c r="B1442" t="s">
        <v>6810</v>
      </c>
      <c r="C1442" s="2" t="s">
        <v>9103</v>
      </c>
      <c r="D1442" t="s">
        <v>5843</v>
      </c>
      <c r="E1442" s="2" t="s">
        <v>9104</v>
      </c>
      <c r="F1442" t="s">
        <v>9379</v>
      </c>
      <c r="G1442" t="e">
        <f>VLOOKUP($F1442, codebooks_data_reordered!$A:$I, 2, FALSE)</f>
        <v>#N/A</v>
      </c>
      <c r="H1442" t="e">
        <f>VLOOKUP($F1442, codebooks_data_reordered!$A:$I, 3, FALSE)</f>
        <v>#N/A</v>
      </c>
      <c r="I1442" t="e">
        <f>VLOOKUP($F1442, codebooks_data_reordered!$A:$I, 4, FALSE)</f>
        <v>#N/A</v>
      </c>
      <c r="J1442" t="e">
        <f>VLOOKUP($F1442, codebooks_data_reordered!$A:$I, 5, FALSE)</f>
        <v>#N/A</v>
      </c>
      <c r="K1442" t="e">
        <f>VLOOKUP($F1442, codebooks_data_reordered!$A:$I, 6, FALSE)</f>
        <v>#N/A</v>
      </c>
      <c r="L1442" t="e">
        <f>VLOOKUP($F1442, codebooks_data_reordered!$A:$I, 7, FALSE)</f>
        <v>#N/A</v>
      </c>
      <c r="M1442" t="e">
        <f>VLOOKUP($F1442, codebooks_data_reordered!$A:$I, 9, FALSE)</f>
        <v>#N/A</v>
      </c>
      <c r="N1442" t="s">
        <v>9401</v>
      </c>
      <c r="O1442" t="e">
        <f t="shared" si="22"/>
        <v>#N/A</v>
      </c>
    </row>
    <row r="1443" spans="1:15" ht="403.2" hidden="1" x14ac:dyDescent="0.3">
      <c r="A1443" t="s">
        <v>9072</v>
      </c>
      <c r="B1443" t="s">
        <v>7250</v>
      </c>
      <c r="C1443" s="2" t="s">
        <v>9105</v>
      </c>
      <c r="D1443" t="s">
        <v>5843</v>
      </c>
      <c r="E1443" s="2" t="s">
        <v>9106</v>
      </c>
      <c r="F1443">
        <v>0</v>
      </c>
      <c r="G1443" t="e">
        <f>VLOOKUP($F1443, codebooks_data_reordered!$A:$I, 2, FALSE)</f>
        <v>#N/A</v>
      </c>
      <c r="H1443" t="e">
        <f>VLOOKUP($F1443, codebooks_data_reordered!$A:$I, 3, FALSE)</f>
        <v>#N/A</v>
      </c>
      <c r="I1443" t="e">
        <f>VLOOKUP($F1443, codebooks_data_reordered!$A:$I, 4, FALSE)</f>
        <v>#N/A</v>
      </c>
      <c r="J1443" t="e">
        <f>VLOOKUP($F1443, codebooks_data_reordered!$A:$I, 5, FALSE)</f>
        <v>#N/A</v>
      </c>
      <c r="K1443" t="e">
        <f>VLOOKUP($F1443, codebooks_data_reordered!$A:$I, 6, FALSE)</f>
        <v>#N/A</v>
      </c>
      <c r="L1443" t="e">
        <f>VLOOKUP($F1443, codebooks_data_reordered!$A:$I, 7, FALSE)</f>
        <v>#N/A</v>
      </c>
      <c r="M1443" t="e">
        <f>VLOOKUP($F1443, codebooks_data_reordered!$A:$I, 9, FALSE)</f>
        <v>#N/A</v>
      </c>
      <c r="O1443" t="e">
        <f t="shared" si="22"/>
        <v>#N/A</v>
      </c>
    </row>
    <row r="1444" spans="1:15" ht="100.8" hidden="1" x14ac:dyDescent="0.3">
      <c r="A1444" t="s">
        <v>9072</v>
      </c>
      <c r="B1444" t="s">
        <v>9107</v>
      </c>
      <c r="C1444" s="2" t="s">
        <v>8312</v>
      </c>
      <c r="D1444" t="s">
        <v>5843</v>
      </c>
      <c r="E1444" s="2" t="s">
        <v>8313</v>
      </c>
      <c r="F1444" t="s">
        <v>1831</v>
      </c>
      <c r="G1444" t="str">
        <f>VLOOKUP($F1444, codebooks_data_reordered!$A:$I, 2, FALSE)</f>
        <v>1999_1</v>
      </c>
      <c r="H1444" t="str">
        <f>VLOOKUP($F1444, codebooks_data_reordered!$A:$I, 3, FALSE)</f>
        <v>VALUES AND TRUST</v>
      </c>
      <c r="I1444" t="str">
        <f>VLOOKUP($F1444, codebooks_data_reordered!$A:$I, 4, FALSE)</f>
        <v>1</v>
      </c>
      <c r="J1444" t="str">
        <f>VLOOKUP($F1444, codebooks_data_reordered!$A:$I, 5, FALSE)</f>
        <v>40</v>
      </c>
      <c r="K1444" t="str">
        <f>VLOOKUP($F1444, codebooks_data_reordered!$A:$I, 6, FALSE)</f>
        <v>Satisfaction with Israeli democracy</v>
      </c>
      <c r="L1444">
        <f>VLOOKUP($F1444, codebooks_data_reordered!$A:$I, 7, FALSE)</f>
        <v>0</v>
      </c>
      <c r="M1444" t="str">
        <f>VLOOKUP($F1444, codebooks_data_reordered!$A:$I, 9, FALSE)</f>
        <v>1: Very satisfied; 2: Quite satisfied; 3: Not so satisfied; 4: Not satisfied at all</v>
      </c>
      <c r="O1444" s="2" t="str">
        <f t="shared" si="22"/>
        <v>1: Very satisfied
 2: Quite satisfied
 3: Not so satisfied
 4: Not satisfied at all</v>
      </c>
    </row>
    <row r="1445" spans="1:15" ht="100.8" hidden="1" x14ac:dyDescent="0.3">
      <c r="A1445" t="s">
        <v>9072</v>
      </c>
      <c r="B1445" t="s">
        <v>6814</v>
      </c>
      <c r="C1445" s="2" t="s">
        <v>9108</v>
      </c>
      <c r="D1445" t="s">
        <v>5843</v>
      </c>
      <c r="E1445" s="2" t="s">
        <v>9109</v>
      </c>
      <c r="F1445" t="s">
        <v>9380</v>
      </c>
      <c r="G1445" t="e">
        <f>VLOOKUP($F1445, codebooks_data_reordered!$A:$I, 2, FALSE)</f>
        <v>#N/A</v>
      </c>
      <c r="H1445" t="e">
        <f>VLOOKUP($F1445, codebooks_data_reordered!$A:$I, 3, FALSE)</f>
        <v>#N/A</v>
      </c>
      <c r="I1445" t="e">
        <f>VLOOKUP($F1445, codebooks_data_reordered!$A:$I, 4, FALSE)</f>
        <v>#N/A</v>
      </c>
      <c r="J1445" t="e">
        <f>VLOOKUP($F1445, codebooks_data_reordered!$A:$I, 5, FALSE)</f>
        <v>#N/A</v>
      </c>
      <c r="K1445" t="e">
        <f>VLOOKUP($F1445, codebooks_data_reordered!$A:$I, 6, FALSE)</f>
        <v>#N/A</v>
      </c>
      <c r="L1445" t="e">
        <f>VLOOKUP($F1445, codebooks_data_reordered!$A:$I, 7, FALSE)</f>
        <v>#N/A</v>
      </c>
      <c r="M1445" t="e">
        <f>VLOOKUP($F1445, codebooks_data_reordered!$A:$I, 9, FALSE)</f>
        <v>#N/A</v>
      </c>
      <c r="N1445" t="s">
        <v>9397</v>
      </c>
      <c r="O1445" t="e">
        <f t="shared" si="22"/>
        <v>#N/A</v>
      </c>
    </row>
    <row r="1446" spans="1:15" ht="115.2" hidden="1" x14ac:dyDescent="0.3">
      <c r="A1446" t="s">
        <v>9072</v>
      </c>
      <c r="B1446" t="s">
        <v>9110</v>
      </c>
      <c r="C1446" s="2" t="s">
        <v>6859</v>
      </c>
      <c r="D1446" t="s">
        <v>5843</v>
      </c>
      <c r="E1446" s="2" t="s">
        <v>6860</v>
      </c>
      <c r="F1446">
        <v>0</v>
      </c>
      <c r="G1446" t="e">
        <f>VLOOKUP($F1446, codebooks_data_reordered!$A:$I, 2, FALSE)</f>
        <v>#N/A</v>
      </c>
      <c r="H1446" t="e">
        <f>VLOOKUP($F1446, codebooks_data_reordered!$A:$I, 3, FALSE)</f>
        <v>#N/A</v>
      </c>
      <c r="I1446" t="e">
        <f>VLOOKUP($F1446, codebooks_data_reordered!$A:$I, 4, FALSE)</f>
        <v>#N/A</v>
      </c>
      <c r="J1446" t="e">
        <f>VLOOKUP($F1446, codebooks_data_reordered!$A:$I, 5, FALSE)</f>
        <v>#N/A</v>
      </c>
      <c r="K1446" t="e">
        <f>VLOOKUP($F1446, codebooks_data_reordered!$A:$I, 6, FALSE)</f>
        <v>#N/A</v>
      </c>
      <c r="L1446" t="e">
        <f>VLOOKUP($F1446, codebooks_data_reordered!$A:$I, 7, FALSE)</f>
        <v>#N/A</v>
      </c>
      <c r="M1446" t="e">
        <f>VLOOKUP($F1446, codebooks_data_reordered!$A:$I, 9, FALSE)</f>
        <v>#N/A</v>
      </c>
      <c r="O1446" t="e">
        <f t="shared" si="22"/>
        <v>#N/A</v>
      </c>
    </row>
    <row r="1447" spans="1:15" ht="28.8" hidden="1" x14ac:dyDescent="0.3">
      <c r="A1447" t="s">
        <v>9072</v>
      </c>
      <c r="B1447" t="s">
        <v>9111</v>
      </c>
      <c r="C1447" s="2" t="s">
        <v>6821</v>
      </c>
      <c r="D1447" t="s">
        <v>5906</v>
      </c>
      <c r="E1447" s="2" t="s">
        <v>6822</v>
      </c>
      <c r="F1447" t="s">
        <v>9381</v>
      </c>
      <c r="G1447" t="e">
        <f>VLOOKUP($F1447, codebooks_data_reordered!$A:$I, 2, FALSE)</f>
        <v>#N/A</v>
      </c>
      <c r="H1447" t="e">
        <f>VLOOKUP($F1447, codebooks_data_reordered!$A:$I, 3, FALSE)</f>
        <v>#N/A</v>
      </c>
      <c r="I1447" t="e">
        <f>VLOOKUP($F1447, codebooks_data_reordered!$A:$I, 4, FALSE)</f>
        <v>#N/A</v>
      </c>
      <c r="J1447" t="e">
        <f>VLOOKUP($F1447, codebooks_data_reordered!$A:$I, 5, FALSE)</f>
        <v>#N/A</v>
      </c>
      <c r="K1447" t="e">
        <f>VLOOKUP($F1447, codebooks_data_reordered!$A:$I, 6, FALSE)</f>
        <v>#N/A</v>
      </c>
      <c r="L1447" t="e">
        <f>VLOOKUP($F1447, codebooks_data_reordered!$A:$I, 7, FALSE)</f>
        <v>#N/A</v>
      </c>
      <c r="M1447" t="e">
        <f>VLOOKUP($F1447, codebooks_data_reordered!$A:$I, 9, FALSE)</f>
        <v>#N/A</v>
      </c>
      <c r="O1447" t="e">
        <f t="shared" si="22"/>
        <v>#N/A</v>
      </c>
    </row>
    <row r="1448" spans="1:15" ht="86.4" hidden="1" x14ac:dyDescent="0.3">
      <c r="A1448" t="s">
        <v>9072</v>
      </c>
      <c r="B1448" t="s">
        <v>9112</v>
      </c>
      <c r="C1448" s="2" t="s">
        <v>9113</v>
      </c>
      <c r="D1448" t="s">
        <v>5843</v>
      </c>
      <c r="E1448" s="2" t="s">
        <v>9114</v>
      </c>
      <c r="F1448" t="s">
        <v>295</v>
      </c>
      <c r="G1448" t="str">
        <f>VLOOKUP($F1448, codebooks_data_reordered!$A:$I, 2, FALSE)</f>
        <v>2006</v>
      </c>
      <c r="H1448" t="str">
        <f>VLOOKUP($F1448, codebooks_data_reordered!$A:$I, 3, FALSE)</f>
        <v>Support/Rejection of a Group or a Person</v>
      </c>
      <c r="I1448" t="str">
        <f>VLOOKUP($F1448, codebooks_data_reordered!$A:$I, 4, FALSE)</f>
        <v>1</v>
      </c>
      <c r="J1448" t="str">
        <f>VLOOKUP($F1448, codebooks_data_reordered!$A:$I, 5, FALSE)</f>
        <v>91-92</v>
      </c>
      <c r="K1448" t="str">
        <f>VLOOKUP($F1448, codebooks_data_reordered!$A:$I, 6, FALSE)</f>
        <v>Support: Liberman</v>
      </c>
      <c r="L1448">
        <f>VLOOKUP($F1448, codebooks_data_reordered!$A:$I, 7, FALSE)</f>
        <v>0</v>
      </c>
      <c r="M1448" t="str">
        <f>VLOOKUP($F1448, codebooks_data_reordered!$A:$I, 9, FALSE)</f>
        <v>1: Hate/rejection; 10: Love/support</v>
      </c>
      <c r="O1448" s="2" t="str">
        <f t="shared" si="22"/>
        <v>1: Hate/rejection
 10: Love/support</v>
      </c>
    </row>
    <row r="1449" spans="1:15" ht="129.6" hidden="1" x14ac:dyDescent="0.3">
      <c r="A1449" t="s">
        <v>9072</v>
      </c>
      <c r="B1449" t="s">
        <v>6712</v>
      </c>
      <c r="C1449" s="2" t="s">
        <v>9115</v>
      </c>
      <c r="D1449" t="s">
        <v>5843</v>
      </c>
      <c r="E1449" s="2" t="s">
        <v>9116</v>
      </c>
      <c r="F1449" t="s">
        <v>9382</v>
      </c>
      <c r="G1449" t="e">
        <f>VLOOKUP($F1449, codebooks_data_reordered!$A:$I, 2, FALSE)</f>
        <v>#N/A</v>
      </c>
      <c r="H1449" t="e">
        <f>VLOOKUP($F1449, codebooks_data_reordered!$A:$I, 3, FALSE)</f>
        <v>#N/A</v>
      </c>
      <c r="I1449" t="e">
        <f>VLOOKUP($F1449, codebooks_data_reordered!$A:$I, 4, FALSE)</f>
        <v>#N/A</v>
      </c>
      <c r="J1449" t="e">
        <f>VLOOKUP($F1449, codebooks_data_reordered!$A:$I, 5, FALSE)</f>
        <v>#N/A</v>
      </c>
      <c r="K1449" t="e">
        <f>VLOOKUP($F1449, codebooks_data_reordered!$A:$I, 6, FALSE)</f>
        <v>#N/A</v>
      </c>
      <c r="L1449" t="e">
        <f>VLOOKUP($F1449, codebooks_data_reordered!$A:$I, 7, FALSE)</f>
        <v>#N/A</v>
      </c>
      <c r="M1449" t="e">
        <f>VLOOKUP($F1449, codebooks_data_reordered!$A:$I, 9, FALSE)</f>
        <v>#N/A</v>
      </c>
      <c r="O1449" t="e">
        <f t="shared" si="22"/>
        <v>#N/A</v>
      </c>
    </row>
    <row r="1450" spans="1:15" ht="43.2" hidden="1" x14ac:dyDescent="0.3">
      <c r="A1450" t="s">
        <v>9072</v>
      </c>
      <c r="B1450" t="s">
        <v>8555</v>
      </c>
      <c r="C1450" s="2" t="s">
        <v>6142</v>
      </c>
      <c r="D1450" t="s">
        <v>6422</v>
      </c>
      <c r="E1450" s="2" t="s">
        <v>6143</v>
      </c>
      <c r="F1450" t="s">
        <v>9383</v>
      </c>
      <c r="G1450" t="e">
        <f>VLOOKUP($F1450, codebooks_data_reordered!$A:$I, 2, FALSE)</f>
        <v>#N/A</v>
      </c>
      <c r="H1450" t="e">
        <f>VLOOKUP($F1450, codebooks_data_reordered!$A:$I, 3, FALSE)</f>
        <v>#N/A</v>
      </c>
      <c r="I1450" t="e">
        <f>VLOOKUP($F1450, codebooks_data_reordered!$A:$I, 4, FALSE)</f>
        <v>#N/A</v>
      </c>
      <c r="J1450" t="e">
        <f>VLOOKUP($F1450, codebooks_data_reordered!$A:$I, 5, FALSE)</f>
        <v>#N/A</v>
      </c>
      <c r="K1450" t="e">
        <f>VLOOKUP($F1450, codebooks_data_reordered!$A:$I, 6, FALSE)</f>
        <v>#N/A</v>
      </c>
      <c r="L1450" t="e">
        <f>VLOOKUP($F1450, codebooks_data_reordered!$A:$I, 7, FALSE)</f>
        <v>#N/A</v>
      </c>
      <c r="M1450" t="e">
        <f>VLOOKUP($F1450, codebooks_data_reordered!$A:$I, 9, FALSE)</f>
        <v>#N/A</v>
      </c>
      <c r="O1450" t="e">
        <f t="shared" si="22"/>
        <v>#N/A</v>
      </c>
    </row>
    <row r="1451" spans="1:15" ht="100.8" hidden="1" x14ac:dyDescent="0.3">
      <c r="A1451" t="s">
        <v>9072</v>
      </c>
      <c r="B1451" t="s">
        <v>7767</v>
      </c>
      <c r="C1451" s="2" t="s">
        <v>6727</v>
      </c>
      <c r="D1451" t="s">
        <v>5843</v>
      </c>
      <c r="E1451" s="2" t="s">
        <v>6728</v>
      </c>
      <c r="F1451" t="s">
        <v>783</v>
      </c>
      <c r="G1451" t="str">
        <f>VLOOKUP($F1451, codebooks_data_reordered!$A:$I, 2, FALSE)</f>
        <v>2006</v>
      </c>
      <c r="H1451" t="str">
        <f>VLOOKUP($F1451, codebooks_data_reordered!$A:$I, 3, FALSE)</f>
        <v>Rersonal and Household Details</v>
      </c>
      <c r="I1451" t="str">
        <f>VLOOKUP($F1451, codebooks_data_reordered!$A:$I, 4, FALSE)</f>
        <v>1</v>
      </c>
      <c r="J1451" t="str">
        <f>VLOOKUP($F1451, codebooks_data_reordered!$A:$I, 5, FALSE)</f>
        <v>281</v>
      </c>
      <c r="K1451" t="str">
        <f>VLOOKUP($F1451, codebooks_data_reordered!$A:$I, 6, FALSE)</f>
        <v>Friends in Israel (only for immigrants from the former USSR)</v>
      </c>
      <c r="L1451" t="str">
        <f>VLOOKUP($F1451, codebooks_data_reordered!$A:$I, 7, FALSE)</f>
        <v>67. (only for immigrants from the former USSR): Regarding your friends in Israel, would you say that most of them are:</v>
      </c>
      <c r="M1451" t="str">
        <f>VLOOKUP($F1451, codebooks_data_reordered!$A:$I, 9, FALSE)</f>
        <v>1: New immigrant; 2: Veterans; 3: Half and half</v>
      </c>
      <c r="O1451" s="2" t="str">
        <f t="shared" si="22"/>
        <v>1: New immigrant
 2: Veterans
 3: Half and half</v>
      </c>
    </row>
    <row r="1452" spans="1:15" ht="187.2" hidden="1" x14ac:dyDescent="0.3">
      <c r="A1452" t="s">
        <v>9072</v>
      </c>
      <c r="B1452" t="s">
        <v>9117</v>
      </c>
      <c r="C1452" s="2" t="s">
        <v>9118</v>
      </c>
      <c r="D1452" t="s">
        <v>5843</v>
      </c>
      <c r="E1452" s="2" t="s">
        <v>9119</v>
      </c>
      <c r="F1452" t="s">
        <v>3078</v>
      </c>
      <c r="G1452" t="str">
        <f>VLOOKUP($F1452, codebooks_data_reordered!$A:$I, 2, FALSE)</f>
        <v>1988_Panel_N=416</v>
      </c>
      <c r="H1452" t="str">
        <f>VLOOKUP($F1452, codebooks_data_reordered!$A:$I, 3, FALSE)</f>
        <v>WHICH OF THE FOLLOWING IS A REASON FOR THE ARABS OBJECTING TO ISRAEL'S EXISTENCE</v>
      </c>
      <c r="I1452" t="str">
        <f>VLOOKUP($F1452, codebooks_data_reordered!$A:$I, 4, FALSE)</f>
        <v>1</v>
      </c>
      <c r="J1452" t="str">
        <f>VLOOKUP($F1452, codebooks_data_reordered!$A:$I, 5, FALSE)</f>
        <v>91</v>
      </c>
      <c r="K1452" t="str">
        <f>VLOOKUP($F1452, codebooks_data_reordered!$A:$I, 6, FALSE)</f>
        <v>Reason for the arabs objecting to Israels' existence:Israel is an alien element in the Middle East</v>
      </c>
      <c r="L1452">
        <f>VLOOKUP($F1452, codebooks_data_reordered!$A:$I, 7, FALSE)</f>
        <v>0</v>
      </c>
      <c r="M1452" t="str">
        <f>VLOOKUP($F1452, codebooks_data_reordered!$A:$I, 9, FALSE)</f>
        <v>1: Is a reason; 2: Is not a reason</v>
      </c>
      <c r="O1452" s="2" t="str">
        <f t="shared" si="22"/>
        <v>1: Is a reason
 2: Is not a reason</v>
      </c>
    </row>
    <row r="1453" spans="1:15" ht="187.2" hidden="1" x14ac:dyDescent="0.3">
      <c r="A1453" t="s">
        <v>9072</v>
      </c>
      <c r="B1453" t="s">
        <v>9120</v>
      </c>
      <c r="C1453" s="2" t="s">
        <v>9118</v>
      </c>
      <c r="D1453" t="s">
        <v>5843</v>
      </c>
      <c r="E1453" s="2" t="s">
        <v>9119</v>
      </c>
      <c r="F1453" t="s">
        <v>3080</v>
      </c>
      <c r="G1453" t="str">
        <f>VLOOKUP($F1453, codebooks_data_reordered!$A:$I, 2, FALSE)</f>
        <v>1988_Panel_N=416</v>
      </c>
      <c r="H1453" t="str">
        <f>VLOOKUP($F1453, codebooks_data_reordered!$A:$I, 3, FALSE)</f>
        <v>WHICH OF THE FOLLOWING IS A REASON FOR THE ARABS OBJECTING TO ISRAEL'S EXISTENCE</v>
      </c>
      <c r="I1453" t="str">
        <f>VLOOKUP($F1453, codebooks_data_reordered!$A:$I, 4, FALSE)</f>
        <v>1</v>
      </c>
      <c r="J1453" t="str">
        <f>VLOOKUP($F1453, codebooks_data_reordered!$A:$I, 5, FALSE)</f>
        <v>92</v>
      </c>
      <c r="K1453" t="str">
        <f>VLOOKUP($F1453, codebooks_data_reordered!$A:$I, 6, FALSE)</f>
        <v>Reason for the arabs objecting to Israels' existence:Our technological advantage scares them</v>
      </c>
      <c r="L1453">
        <f>VLOOKUP($F1453, codebooks_data_reordered!$A:$I, 7, FALSE)</f>
        <v>0</v>
      </c>
      <c r="M1453" t="str">
        <f>VLOOKUP($F1453, codebooks_data_reordered!$A:$I, 9, FALSE)</f>
        <v>1: Is a reason; 2: Is not a reason</v>
      </c>
      <c r="O1453" s="2" t="str">
        <f t="shared" si="22"/>
        <v>1: Is a reason
 2: Is not a reason</v>
      </c>
    </row>
    <row r="1454" spans="1:15" ht="43.2" hidden="1" x14ac:dyDescent="0.3">
      <c r="A1454" t="s">
        <v>9072</v>
      </c>
      <c r="B1454" t="s">
        <v>9121</v>
      </c>
      <c r="C1454" s="2" t="s">
        <v>9122</v>
      </c>
      <c r="D1454" t="s">
        <v>5843</v>
      </c>
      <c r="E1454" s="2" t="s">
        <v>9123</v>
      </c>
      <c r="F1454" t="s">
        <v>9384</v>
      </c>
      <c r="G1454" t="e">
        <f>VLOOKUP($F1454, codebooks_data_reordered!$A:$I, 2, FALSE)</f>
        <v>#N/A</v>
      </c>
      <c r="H1454" t="e">
        <f>VLOOKUP($F1454, codebooks_data_reordered!$A:$I, 3, FALSE)</f>
        <v>#N/A</v>
      </c>
      <c r="I1454" t="e">
        <f>VLOOKUP($F1454, codebooks_data_reordered!$A:$I, 4, FALSE)</f>
        <v>#N/A</v>
      </c>
      <c r="J1454" t="e">
        <f>VLOOKUP($F1454, codebooks_data_reordered!$A:$I, 5, FALSE)</f>
        <v>#N/A</v>
      </c>
      <c r="K1454" t="e">
        <f>VLOOKUP($F1454, codebooks_data_reordered!$A:$I, 6, FALSE)</f>
        <v>#N/A</v>
      </c>
      <c r="L1454" t="e">
        <f>VLOOKUP($F1454, codebooks_data_reordered!$A:$I, 7, FALSE)</f>
        <v>#N/A</v>
      </c>
      <c r="M1454" t="e">
        <f>VLOOKUP($F1454, codebooks_data_reordered!$A:$I, 9, FALSE)</f>
        <v>#N/A</v>
      </c>
      <c r="N1454" t="s">
        <v>9396</v>
      </c>
      <c r="O1454" t="e">
        <f t="shared" si="22"/>
        <v>#N/A</v>
      </c>
    </row>
    <row r="1455" spans="1:15" ht="115.2" hidden="1" x14ac:dyDescent="0.3">
      <c r="A1455" t="s">
        <v>9072</v>
      </c>
      <c r="B1455" t="s">
        <v>6713</v>
      </c>
      <c r="C1455" s="2" t="s">
        <v>9124</v>
      </c>
      <c r="D1455" t="s">
        <v>5843</v>
      </c>
      <c r="E1455" s="2" t="s">
        <v>9125</v>
      </c>
      <c r="F1455">
        <v>0</v>
      </c>
      <c r="G1455" t="e">
        <f>VLOOKUP($F1455, codebooks_data_reordered!$A:$I, 2, FALSE)</f>
        <v>#N/A</v>
      </c>
      <c r="H1455" t="e">
        <f>VLOOKUP($F1455, codebooks_data_reordered!$A:$I, 3, FALSE)</f>
        <v>#N/A</v>
      </c>
      <c r="I1455" t="e">
        <f>VLOOKUP($F1455, codebooks_data_reordered!$A:$I, 4, FALSE)</f>
        <v>#N/A</v>
      </c>
      <c r="J1455" t="e">
        <f>VLOOKUP($F1455, codebooks_data_reordered!$A:$I, 5, FALSE)</f>
        <v>#N/A</v>
      </c>
      <c r="K1455" t="e">
        <f>VLOOKUP($F1455, codebooks_data_reordered!$A:$I, 6, FALSE)</f>
        <v>#N/A</v>
      </c>
      <c r="L1455" t="e">
        <f>VLOOKUP($F1455, codebooks_data_reordered!$A:$I, 7, FALSE)</f>
        <v>#N/A</v>
      </c>
      <c r="M1455" t="e">
        <f>VLOOKUP($F1455, codebooks_data_reordered!$A:$I, 9, FALSE)</f>
        <v>#N/A</v>
      </c>
      <c r="O1455" t="e">
        <f t="shared" si="22"/>
        <v>#N/A</v>
      </c>
    </row>
    <row r="1456" spans="1:15" ht="43.2" hidden="1" x14ac:dyDescent="0.3">
      <c r="A1456" t="s">
        <v>9072</v>
      </c>
      <c r="B1456" t="s">
        <v>9126</v>
      </c>
      <c r="C1456" s="2" t="s">
        <v>9122</v>
      </c>
      <c r="D1456" t="s">
        <v>5843</v>
      </c>
      <c r="E1456" s="2" t="s">
        <v>9123</v>
      </c>
      <c r="F1456" t="s">
        <v>9385</v>
      </c>
      <c r="G1456" t="e">
        <f>VLOOKUP($F1456, codebooks_data_reordered!$A:$I, 2, FALSE)</f>
        <v>#N/A</v>
      </c>
      <c r="H1456" t="e">
        <f>VLOOKUP($F1456, codebooks_data_reordered!$A:$I, 3, FALSE)</f>
        <v>#N/A</v>
      </c>
      <c r="I1456" t="e">
        <f>VLOOKUP($F1456, codebooks_data_reordered!$A:$I, 4, FALSE)</f>
        <v>#N/A</v>
      </c>
      <c r="J1456" t="e">
        <f>VLOOKUP($F1456, codebooks_data_reordered!$A:$I, 5, FALSE)</f>
        <v>#N/A</v>
      </c>
      <c r="K1456" t="e">
        <f>VLOOKUP($F1456, codebooks_data_reordered!$A:$I, 6, FALSE)</f>
        <v>#N/A</v>
      </c>
      <c r="L1456" t="e">
        <f>VLOOKUP($F1456, codebooks_data_reordered!$A:$I, 7, FALSE)</f>
        <v>#N/A</v>
      </c>
      <c r="M1456" t="e">
        <f>VLOOKUP($F1456, codebooks_data_reordered!$A:$I, 9, FALSE)</f>
        <v>#N/A</v>
      </c>
      <c r="N1456" t="s">
        <v>9396</v>
      </c>
      <c r="O1456" t="e">
        <f t="shared" si="22"/>
        <v>#N/A</v>
      </c>
    </row>
    <row r="1457" spans="1:15" ht="172.8" hidden="1" x14ac:dyDescent="0.3">
      <c r="A1457" t="s">
        <v>9072</v>
      </c>
      <c r="B1457" t="s">
        <v>6820</v>
      </c>
      <c r="C1457" s="2" t="s">
        <v>9127</v>
      </c>
      <c r="D1457" t="s">
        <v>5843</v>
      </c>
      <c r="E1457" s="2" t="s">
        <v>9128</v>
      </c>
      <c r="F1457">
        <v>0</v>
      </c>
      <c r="G1457" t="e">
        <f>VLOOKUP($F1457, codebooks_data_reordered!$A:$I, 2, FALSE)</f>
        <v>#N/A</v>
      </c>
      <c r="H1457" t="e">
        <f>VLOOKUP($F1457, codebooks_data_reordered!$A:$I, 3, FALSE)</f>
        <v>#N/A</v>
      </c>
      <c r="I1457" t="e">
        <f>VLOOKUP($F1457, codebooks_data_reordered!$A:$I, 4, FALSE)</f>
        <v>#N/A</v>
      </c>
      <c r="J1457" t="e">
        <f>VLOOKUP($F1457, codebooks_data_reordered!$A:$I, 5, FALSE)</f>
        <v>#N/A</v>
      </c>
      <c r="K1457" t="e">
        <f>VLOOKUP($F1457, codebooks_data_reordered!$A:$I, 6, FALSE)</f>
        <v>#N/A</v>
      </c>
      <c r="L1457" t="e">
        <f>VLOOKUP($F1457, codebooks_data_reordered!$A:$I, 7, FALSE)</f>
        <v>#N/A</v>
      </c>
      <c r="M1457" t="e">
        <f>VLOOKUP($F1457, codebooks_data_reordered!$A:$I, 9, FALSE)</f>
        <v>#N/A</v>
      </c>
      <c r="O1457" t="e">
        <f t="shared" si="22"/>
        <v>#N/A</v>
      </c>
    </row>
    <row r="1458" spans="1:15" ht="86.4" hidden="1" x14ac:dyDescent="0.3">
      <c r="A1458" t="s">
        <v>9072</v>
      </c>
      <c r="B1458" t="s">
        <v>9129</v>
      </c>
      <c r="C1458" s="2" t="s">
        <v>9130</v>
      </c>
      <c r="D1458" t="s">
        <v>5843</v>
      </c>
      <c r="E1458" s="2" t="s">
        <v>9131</v>
      </c>
      <c r="F1458" t="s">
        <v>9386</v>
      </c>
      <c r="G1458" t="e">
        <f>VLOOKUP($F1458, codebooks_data_reordered!$A:$I, 2, FALSE)</f>
        <v>#N/A</v>
      </c>
      <c r="H1458" t="e">
        <f>VLOOKUP($F1458, codebooks_data_reordered!$A:$I, 3, FALSE)</f>
        <v>#N/A</v>
      </c>
      <c r="I1458" t="e">
        <f>VLOOKUP($F1458, codebooks_data_reordered!$A:$I, 4, FALSE)</f>
        <v>#N/A</v>
      </c>
      <c r="J1458" t="e">
        <f>VLOOKUP($F1458, codebooks_data_reordered!$A:$I, 5, FALSE)</f>
        <v>#N/A</v>
      </c>
      <c r="K1458" t="e">
        <f>VLOOKUP($F1458, codebooks_data_reordered!$A:$I, 6, FALSE)</f>
        <v>#N/A</v>
      </c>
      <c r="L1458" t="e">
        <f>VLOOKUP($F1458, codebooks_data_reordered!$A:$I, 7, FALSE)</f>
        <v>#N/A</v>
      </c>
      <c r="M1458" t="e">
        <f>VLOOKUP($F1458, codebooks_data_reordered!$A:$I, 9, FALSE)</f>
        <v>#N/A</v>
      </c>
      <c r="N1458" t="s">
        <v>9396</v>
      </c>
      <c r="O1458" t="e">
        <f t="shared" si="22"/>
        <v>#N/A</v>
      </c>
    </row>
    <row r="1459" spans="1:15" ht="28.8" hidden="1" x14ac:dyDescent="0.3">
      <c r="A1459" t="s">
        <v>9072</v>
      </c>
      <c r="B1459" t="s">
        <v>9132</v>
      </c>
      <c r="C1459" s="2" t="s">
        <v>5895</v>
      </c>
      <c r="D1459" t="s">
        <v>5896</v>
      </c>
      <c r="E1459" s="2" t="s">
        <v>5897</v>
      </c>
      <c r="F1459">
        <v>0</v>
      </c>
      <c r="G1459" t="e">
        <f>VLOOKUP($F1459, codebooks_data_reordered!$A:$I, 2, FALSE)</f>
        <v>#N/A</v>
      </c>
      <c r="H1459" t="e">
        <f>VLOOKUP($F1459, codebooks_data_reordered!$A:$I, 3, FALSE)</f>
        <v>#N/A</v>
      </c>
      <c r="I1459" t="e">
        <f>VLOOKUP($F1459, codebooks_data_reordered!$A:$I, 4, FALSE)</f>
        <v>#N/A</v>
      </c>
      <c r="J1459" t="e">
        <f>VLOOKUP($F1459, codebooks_data_reordered!$A:$I, 5, FALSE)</f>
        <v>#N/A</v>
      </c>
      <c r="K1459" t="e">
        <f>VLOOKUP($F1459, codebooks_data_reordered!$A:$I, 6, FALSE)</f>
        <v>#N/A</v>
      </c>
      <c r="L1459" t="e">
        <f>VLOOKUP($F1459, codebooks_data_reordered!$A:$I, 7, FALSE)</f>
        <v>#N/A</v>
      </c>
      <c r="M1459" t="e">
        <f>VLOOKUP($F1459, codebooks_data_reordered!$A:$I, 9, FALSE)</f>
        <v>#N/A</v>
      </c>
      <c r="O1459" t="e">
        <f t="shared" si="22"/>
        <v>#N/A</v>
      </c>
    </row>
    <row r="1460" spans="1:15" ht="100.8" hidden="1" x14ac:dyDescent="0.3">
      <c r="A1460" t="s">
        <v>9133</v>
      </c>
      <c r="B1460" t="s">
        <v>6206</v>
      </c>
      <c r="C1460" s="2" t="s">
        <v>9134</v>
      </c>
      <c r="D1460" t="s">
        <v>5843</v>
      </c>
      <c r="E1460" s="2" t="s">
        <v>9135</v>
      </c>
      <c r="F1460" t="s">
        <v>9387</v>
      </c>
      <c r="G1460" t="e">
        <f>VLOOKUP($F1460, codebooks_data_reordered!$A:$I, 2, FALSE)</f>
        <v>#N/A</v>
      </c>
      <c r="H1460" t="e">
        <f>VLOOKUP($F1460, codebooks_data_reordered!$A:$I, 3, FALSE)</f>
        <v>#N/A</v>
      </c>
      <c r="I1460" t="e">
        <f>VLOOKUP($F1460, codebooks_data_reordered!$A:$I, 4, FALSE)</f>
        <v>#N/A</v>
      </c>
      <c r="J1460" t="e">
        <f>VLOOKUP($F1460, codebooks_data_reordered!$A:$I, 5, FALSE)</f>
        <v>#N/A</v>
      </c>
      <c r="K1460" t="e">
        <f>VLOOKUP($F1460, codebooks_data_reordered!$A:$I, 6, FALSE)</f>
        <v>#N/A</v>
      </c>
      <c r="L1460" t="e">
        <f>VLOOKUP($F1460, codebooks_data_reordered!$A:$I, 7, FALSE)</f>
        <v>#N/A</v>
      </c>
      <c r="M1460" t="e">
        <f>VLOOKUP($F1460, codebooks_data_reordered!$A:$I, 9, FALSE)</f>
        <v>#N/A</v>
      </c>
      <c r="O1460" t="e">
        <f t="shared" si="22"/>
        <v>#N/A</v>
      </c>
    </row>
    <row r="1461" spans="1:15" ht="115.2" hidden="1" x14ac:dyDescent="0.3">
      <c r="A1461" t="s">
        <v>9133</v>
      </c>
      <c r="B1461" t="s">
        <v>6513</v>
      </c>
      <c r="C1461" s="2" t="s">
        <v>9136</v>
      </c>
      <c r="D1461" t="s">
        <v>5843</v>
      </c>
      <c r="E1461" s="2" t="s">
        <v>9137</v>
      </c>
      <c r="F1461" t="s">
        <v>1806</v>
      </c>
      <c r="G1461" t="str">
        <f>VLOOKUP($F1461, codebooks_data_reordered!$A:$I, 2, FALSE)</f>
        <v>1999_1</v>
      </c>
      <c r="H1461" t="str">
        <f>VLOOKUP($F1461, codebooks_data_reordered!$A:$I, 3, FALSE)</f>
        <v>GENERAL POLITICAL ATTITUDE</v>
      </c>
      <c r="I1461" t="str">
        <f>VLOOKUP($F1461, codebooks_data_reordered!$A:$I, 4, FALSE)</f>
        <v>1</v>
      </c>
      <c r="J1461" t="str">
        <f>VLOOKUP($F1461, codebooks_data_reordered!$A:$I, 5, FALSE)</f>
        <v>30</v>
      </c>
      <c r="K1461" t="str">
        <f>VLOOKUP($F1461, codebooks_data_reordered!$A:$I, 6, FALSE)</f>
        <v>What should be emphasized to prevent war between Israel and the Arab world?</v>
      </c>
      <c r="L1461">
        <f>VLOOKUP($F1461, codebooks_data_reordered!$A:$I, 7, FALSE)</f>
        <v>0</v>
      </c>
      <c r="M1461" t="str">
        <f>VLOOKUP($F1461, codebooks_data_reordered!$A:$I, 9, FALSE)</f>
        <v>1: Focus on Peace talks; 2: Increase military power</v>
      </c>
      <c r="O1461" s="2" t="str">
        <f t="shared" si="22"/>
        <v>1: Focus on Peace talks
 2: Increase military power</v>
      </c>
    </row>
    <row r="1462" spans="1:15" ht="144" hidden="1" x14ac:dyDescent="0.3">
      <c r="A1462" t="s">
        <v>9133</v>
      </c>
      <c r="B1462" t="s">
        <v>6227</v>
      </c>
      <c r="C1462" s="2" t="s">
        <v>9138</v>
      </c>
      <c r="D1462" t="s">
        <v>5843</v>
      </c>
      <c r="E1462" s="2" t="s">
        <v>9139</v>
      </c>
      <c r="F1462" t="s">
        <v>1798</v>
      </c>
      <c r="G1462" t="str">
        <f>VLOOKUP($F1462, codebooks_data_reordered!$A:$I, 2, FALSE)</f>
        <v>1999_1</v>
      </c>
      <c r="H1462" t="str">
        <f>VLOOKUP($F1462, codebooks_data_reordered!$A:$I, 3, FALSE)</f>
        <v>GENERAL POLITICAL ATTITUDE</v>
      </c>
      <c r="I1462" t="str">
        <f>VLOOKUP($F1462, codebooks_data_reordered!$A:$I, 4, FALSE)</f>
        <v>1</v>
      </c>
      <c r="J1462" t="str">
        <f>VLOOKUP($F1462, codebooks_data_reordered!$A:$I, 5, FALSE)</f>
        <v>27</v>
      </c>
      <c r="K1462" t="str">
        <f>VLOOKUP($F1462, codebooks_data_reordered!$A:$I, 6, FALSE)</f>
        <v>Forecast future public support for a Palestinian State</v>
      </c>
      <c r="L1462">
        <f>VLOOKUP($F1462, codebooks_data_reordered!$A:$I, 7, FALSE)</f>
        <v>0</v>
      </c>
      <c r="M1462" t="str">
        <f>VLOOKUP($F1462, codebooks_data_reordered!$A:$I, 9, FALSE)</f>
        <v>1: More people will support; 2: Less people will support</v>
      </c>
      <c r="O1462" s="2" t="str">
        <f t="shared" si="22"/>
        <v>1: More people will support
 2: Less people will support</v>
      </c>
    </row>
    <row r="1463" spans="1:15" ht="273.60000000000002" hidden="1" x14ac:dyDescent="0.3">
      <c r="A1463" t="s">
        <v>9133</v>
      </c>
      <c r="B1463" t="s">
        <v>6233</v>
      </c>
      <c r="C1463" s="2" t="s">
        <v>9140</v>
      </c>
      <c r="D1463" t="s">
        <v>5843</v>
      </c>
      <c r="E1463" s="2" t="s">
        <v>9141</v>
      </c>
      <c r="F1463" t="s">
        <v>1798</v>
      </c>
      <c r="G1463" t="str">
        <f>VLOOKUP($F1463, codebooks_data_reordered!$A:$I, 2, FALSE)</f>
        <v>1999_1</v>
      </c>
      <c r="H1463" t="str">
        <f>VLOOKUP($F1463, codebooks_data_reordered!$A:$I, 3, FALSE)</f>
        <v>GENERAL POLITICAL ATTITUDE</v>
      </c>
      <c r="I1463" t="str">
        <f>VLOOKUP($F1463, codebooks_data_reordered!$A:$I, 4, FALSE)</f>
        <v>1</v>
      </c>
      <c r="J1463" t="str">
        <f>VLOOKUP($F1463, codebooks_data_reordered!$A:$I, 5, FALSE)</f>
        <v>27</v>
      </c>
      <c r="K1463" t="str">
        <f>VLOOKUP($F1463, codebooks_data_reordered!$A:$I, 6, FALSE)</f>
        <v>Forecast future public support for a Palestinian State</v>
      </c>
      <c r="L1463">
        <f>VLOOKUP($F1463, codebooks_data_reordered!$A:$I, 7, FALSE)</f>
        <v>0</v>
      </c>
      <c r="M1463" t="str">
        <f>VLOOKUP($F1463, codebooks_data_reordered!$A:$I, 9, FALSE)</f>
        <v>1: More people will support; 2: Less people will support</v>
      </c>
      <c r="O1463" s="2" t="str">
        <f t="shared" si="22"/>
        <v>1: More people will support
 2: Less people will support</v>
      </c>
    </row>
    <row r="1464" spans="1:15" ht="409.6" hidden="1" x14ac:dyDescent="0.3">
      <c r="A1464" t="s">
        <v>9133</v>
      </c>
      <c r="B1464" t="s">
        <v>7197</v>
      </c>
      <c r="C1464" s="2" t="s">
        <v>9142</v>
      </c>
      <c r="D1464" t="s">
        <v>5843</v>
      </c>
      <c r="E1464" s="2" t="s">
        <v>9143</v>
      </c>
      <c r="F1464" t="s">
        <v>773</v>
      </c>
      <c r="G1464" t="str">
        <f>VLOOKUP($F1464, codebooks_data_reordered!$A:$I, 2, FALSE)</f>
        <v>2006</v>
      </c>
      <c r="H1464" t="str">
        <f>VLOOKUP($F1464, codebooks_data_reordered!$A:$I, 3, FALSE)</f>
        <v>Rersonal and Household Details</v>
      </c>
      <c r="I1464" t="str">
        <f>VLOOKUP($F1464, codebooks_data_reordered!$A:$I, 4, FALSE)</f>
        <v>1</v>
      </c>
      <c r="J1464" t="str">
        <f>VLOOKUP($F1464, codebooks_data_reordered!$A:$I, 5, FALSE)</f>
        <v>277-278</v>
      </c>
      <c r="K1464" t="str">
        <f>VLOOKUP($F1464, codebooks_data_reordered!$A:$I, 6, FALSE)</f>
        <v>City in former USSR (only for immigrants from the former USSR)</v>
      </c>
      <c r="L1464" t="str">
        <f>VLOOKUP($F1464, codebooks_data_reordered!$A:$I, 7, FALSE)</f>
        <v>63. (only for immigrants from the former USSR): in what city did you live before you came to Israel?</v>
      </c>
      <c r="M1464" t="str">
        <f>VLOOKUP($F1464, codebooks_data_reordered!$A:$I, 9, FALSE)</f>
        <v>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v>
      </c>
      <c r="O1464" s="2" t="str">
        <f t="shared" si="22"/>
        <v>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v>
      </c>
    </row>
    <row r="1465" spans="1:15" ht="172.8" hidden="1" x14ac:dyDescent="0.3">
      <c r="A1465" t="s">
        <v>9133</v>
      </c>
      <c r="B1465" t="s">
        <v>6528</v>
      </c>
      <c r="C1465" s="2" t="s">
        <v>9144</v>
      </c>
      <c r="D1465" t="s">
        <v>5843</v>
      </c>
      <c r="E1465" s="2" t="s">
        <v>9145</v>
      </c>
      <c r="F1465" t="s">
        <v>2304</v>
      </c>
      <c r="G1465" t="str">
        <f>VLOOKUP($F1465, codebooks_data_reordered!$A:$I, 2, FALSE)</f>
        <v>1996_Jews</v>
      </c>
      <c r="H1465">
        <f>VLOOKUP($F1465, codebooks_data_reordered!$A:$I, 3, FALSE)</f>
        <v>0</v>
      </c>
      <c r="I1465" t="str">
        <f>VLOOKUP($F1465, codebooks_data_reordered!$A:$I, 4, FALSE)</f>
        <v>1</v>
      </c>
      <c r="J1465" t="str">
        <f>VLOOKUP($F1465, codebooks_data_reordered!$A:$I, 5, FALSE)</f>
        <v>67-68</v>
      </c>
      <c r="K1465" t="str">
        <f>VLOOKUP($F1465, codebooks_data_reordered!$A:$I, 6, FALSE)</f>
        <v>Sympathy for Yasser Arafat</v>
      </c>
      <c r="L1465">
        <f>VLOOKUP($F1465, codebooks_data_reordered!$A:$I, 7, FALSE)</f>
        <v>0</v>
      </c>
      <c r="M1465" t="str">
        <f>VLOOKUP($F1465, codebooks_data_reordered!$A:$I, 9, FALSE)</f>
        <v>1: Strong repulsion; 10: Strong sympathy</v>
      </c>
      <c r="O1465" s="2" t="str">
        <f t="shared" si="22"/>
        <v>1: Strong repulsion
 10: Strong sympathy</v>
      </c>
    </row>
    <row r="1466" spans="1:15" ht="115.2" hidden="1" x14ac:dyDescent="0.3">
      <c r="A1466" t="s">
        <v>9133</v>
      </c>
      <c r="B1466" t="s">
        <v>9146</v>
      </c>
      <c r="C1466" s="2" t="s">
        <v>8171</v>
      </c>
      <c r="D1466" t="s">
        <v>5843</v>
      </c>
      <c r="E1466" s="2" t="s">
        <v>8172</v>
      </c>
      <c r="F1466" t="s">
        <v>4996</v>
      </c>
      <c r="G1466" t="str">
        <f>VLOOKUP($F1466, codebooks_data_reordered!$A:$I, 2, FALSE)</f>
        <v>1973_2</v>
      </c>
      <c r="H1466" t="str">
        <f>VLOOKUP($F1466, codebooks_data_reordered!$A:$I, 3, FALSE)</f>
        <v>DO YOU AGREE WITH THE FOLLOWING STATEMENT</v>
      </c>
      <c r="I1466" t="str">
        <f>VLOOKUP($F1466, codebooks_data_reordered!$A:$I, 4, FALSE)</f>
        <v>2</v>
      </c>
      <c r="J1466" t="str">
        <f>VLOOKUP($F1466, codebooks_data_reordered!$A:$I, 5, FALSE)</f>
        <v>44</v>
      </c>
      <c r="K1466" t="str">
        <f>VLOOKUP($F1466, codebooks_data_reordered!$A:$I, 6, FALSE)</f>
        <v>Would this rising change security policy for better or for worse</v>
      </c>
      <c r="L1466">
        <f>VLOOKUP($F1466, codebooks_data_reordered!$A:$I, 7, FALSE)</f>
        <v>0</v>
      </c>
      <c r="M1466" t="str">
        <f>VLOOKUP($F1466, codebooks_data_reordered!$A:$I, 9, FALSE)</f>
        <v>0: No answer; 1: For better; 2: No changes; 3: For worse</v>
      </c>
      <c r="O1466" s="2" t="str">
        <f t="shared" si="22"/>
        <v>0: No answer
 1: For better
 2: No changes
 3: For worse</v>
      </c>
    </row>
    <row r="1467" spans="1:15" ht="172.8" hidden="1" x14ac:dyDescent="0.3">
      <c r="A1467" t="s">
        <v>6813</v>
      </c>
      <c r="B1467" t="s">
        <v>6206</v>
      </c>
      <c r="C1467" s="2" t="s">
        <v>9147</v>
      </c>
      <c r="D1467" t="s">
        <v>5843</v>
      </c>
      <c r="E1467" s="2" t="s">
        <v>9148</v>
      </c>
      <c r="F1467" t="s">
        <v>1808</v>
      </c>
      <c r="G1467" t="str">
        <f>VLOOKUP($F1467, codebooks_data_reordered!$A:$I, 2, FALSE)</f>
        <v>1999_1</v>
      </c>
      <c r="H1467" t="str">
        <f>VLOOKUP($F1467, codebooks_data_reordered!$A:$I, 3, FALSE)</f>
        <v>GENERAL POLITICAL ATTITUDE</v>
      </c>
      <c r="I1467" t="str">
        <f>VLOOKUP($F1467, codebooks_data_reordered!$A:$I, 4, FALSE)</f>
        <v>1</v>
      </c>
      <c r="J1467" t="str">
        <f>VLOOKUP($F1467, codebooks_data_reordered!$A:$I, 5, FALSE)</f>
        <v>31</v>
      </c>
      <c r="K1467" t="str">
        <f>VLOOKUP($F1467, codebooks_data_reordered!$A:$I, 6, FALSE)</f>
        <v>Are you or your family worried about being injured by Arabs in daily life?</v>
      </c>
      <c r="L1467">
        <f>VLOOKUP($F1467, codebooks_data_reordered!$A:$I, 7, FALSE)</f>
        <v>0</v>
      </c>
      <c r="M1467" t="str">
        <f>VLOOKUP($F1467, codebooks_data_reordered!$A:$I, 9, FALSE)</f>
        <v>1: Very worried; 2: Worried; 3: Not worried; 4: Not worried at all</v>
      </c>
      <c r="O1467" s="2" t="str">
        <f t="shared" si="22"/>
        <v>1: Very worried
 2: Worried
 3: Not worried
 4: Not worried at all</v>
      </c>
    </row>
    <row r="1468" spans="1:15" ht="100.8" hidden="1" x14ac:dyDescent="0.3">
      <c r="A1468" t="s">
        <v>6813</v>
      </c>
      <c r="B1468" t="s">
        <v>6620</v>
      </c>
      <c r="C1468" s="2" t="s">
        <v>8235</v>
      </c>
      <c r="D1468" t="s">
        <v>5843</v>
      </c>
      <c r="E1468" s="2" t="s">
        <v>8236</v>
      </c>
      <c r="F1468" t="s">
        <v>1847</v>
      </c>
      <c r="G1468" t="str">
        <f>VLOOKUP($F1468, codebooks_data_reordered!$A:$I, 2, FALSE)</f>
        <v>1999_1</v>
      </c>
      <c r="H1468" t="str">
        <f>VLOOKUP($F1468, codebooks_data_reordered!$A:$I, 3, FALSE)</f>
        <v>ATTITUDES TOWARD CANDIDATES AND PARTIES</v>
      </c>
      <c r="I1468" t="str">
        <f>VLOOKUP($F1468, codebooks_data_reordered!$A:$I, 4, FALSE)</f>
        <v>1</v>
      </c>
      <c r="J1468" t="str">
        <f>VLOOKUP($F1468, codebooks_data_reordered!$A:$I, 5, FALSE)</f>
        <v>46</v>
      </c>
      <c r="K1468" t="str">
        <f>VLOOKUP($F1468, codebooks_data_reordered!$A:$I, 6, FALSE)</f>
        <v>Extend of support for the Center Party</v>
      </c>
      <c r="L1468" t="str">
        <f>VLOOKUP($F1468, codebooks_data_reordered!$A:$I, 7, FALSE)</f>
        <v>Extent of support on 1-10 scale, 1=total rejection, 10=strong support</v>
      </c>
      <c r="M1468" t="str">
        <f>VLOOKUP($F1468, codebooks_data_reordered!$A:$I, 9, FALSE)</f>
        <v>1: Totally reject; 10: Strongly support</v>
      </c>
      <c r="O1468" s="2" t="str">
        <f t="shared" si="22"/>
        <v>1: Totally reject
 10: Strongly support</v>
      </c>
    </row>
    <row r="1469" spans="1:15" ht="115.2" hidden="1" x14ac:dyDescent="0.3">
      <c r="A1469" t="s">
        <v>6813</v>
      </c>
      <c r="B1469" t="s">
        <v>6227</v>
      </c>
      <c r="C1469" s="2" t="s">
        <v>9149</v>
      </c>
      <c r="D1469" t="s">
        <v>5843</v>
      </c>
      <c r="E1469" s="2" t="s">
        <v>9150</v>
      </c>
      <c r="F1469" t="s">
        <v>1811</v>
      </c>
      <c r="G1469" t="str">
        <f>VLOOKUP($F1469, codebooks_data_reordered!$A:$I, 2, FALSE)</f>
        <v>1999_1</v>
      </c>
      <c r="H1469" t="str">
        <f>VLOOKUP($F1469, codebooks_data_reordered!$A:$I, 3, FALSE)</f>
        <v>GENERAL POLITICAL ATTITUDE</v>
      </c>
      <c r="I1469" t="str">
        <f>VLOOKUP($F1469, codebooks_data_reordered!$A:$I, 4, FALSE)</f>
        <v>1</v>
      </c>
      <c r="J1469" t="str">
        <f>VLOOKUP($F1469, codebooks_data_reordered!$A:$I, 5, FALSE)</f>
        <v>32</v>
      </c>
      <c r="K1469" t="str">
        <f>VLOOKUP($F1469, codebooks_data_reordered!$A:$I, 6, FALSE)</f>
        <v>Forecast of establishment of a Palestinian state within next 10 years</v>
      </c>
      <c r="L1469">
        <f>VLOOKUP($F1469, codebooks_data_reordered!$A:$I, 7, FALSE)</f>
        <v>0</v>
      </c>
      <c r="M1469" t="str">
        <f>VLOOKUP($F1469, codebooks_data_reordered!$A:$I, 9, FALSE)</f>
        <v>1: Palestinian state will be established; 2: Palestinian state will not be established</v>
      </c>
      <c r="O1469" s="2" t="str">
        <f t="shared" si="22"/>
        <v>1: Palestinian state will be established
 2: Palestinian state will not be established</v>
      </c>
    </row>
    <row r="1470" spans="1:15" ht="86.4" x14ac:dyDescent="0.3">
      <c r="A1470" t="s">
        <v>6813</v>
      </c>
      <c r="B1470" t="s">
        <v>6932</v>
      </c>
      <c r="C1470" s="2" t="s">
        <v>9151</v>
      </c>
      <c r="D1470" t="s">
        <v>6272</v>
      </c>
      <c r="E1470" s="2" t="s">
        <v>9152</v>
      </c>
      <c r="F1470" t="s">
        <v>9388</v>
      </c>
      <c r="G1470" t="e">
        <f>VLOOKUP($F1470, codebooks_data_reordered!$A:$I, 2, FALSE)</f>
        <v>#N/A</v>
      </c>
      <c r="H1470" t="e">
        <f>VLOOKUP($F1470, codebooks_data_reordered!$A:$I, 3, FALSE)</f>
        <v>#N/A</v>
      </c>
      <c r="I1470" t="e">
        <f>VLOOKUP($F1470, codebooks_data_reordered!$A:$I, 4, FALSE)</f>
        <v>#N/A</v>
      </c>
      <c r="J1470" t="e">
        <f>VLOOKUP($F1470, codebooks_data_reordered!$A:$I, 5, FALSE)</f>
        <v>#N/A</v>
      </c>
      <c r="K1470" t="e">
        <f>VLOOKUP($F1470, codebooks_data_reordered!$A:$I, 6, FALSE)</f>
        <v>#N/A</v>
      </c>
      <c r="L1470" t="e">
        <f>VLOOKUP($F1470, codebooks_data_reordered!$A:$I, 7, FALSE)</f>
        <v>#N/A</v>
      </c>
      <c r="M1470" t="e">
        <f>VLOOKUP($F1470, codebooks_data_reordered!$A:$I, 9, FALSE)</f>
        <v>#N/A</v>
      </c>
      <c r="N1470" t="s">
        <v>9392</v>
      </c>
      <c r="O1470" t="e">
        <f t="shared" si="22"/>
        <v>#N/A</v>
      </c>
    </row>
    <row r="1471" spans="1:15" ht="72" hidden="1" x14ac:dyDescent="0.3">
      <c r="A1471" t="s">
        <v>6813</v>
      </c>
      <c r="B1471" t="s">
        <v>9153</v>
      </c>
      <c r="C1471" s="2" t="s">
        <v>9154</v>
      </c>
      <c r="D1471" t="s">
        <v>5843</v>
      </c>
      <c r="E1471" s="2" t="s">
        <v>9155</v>
      </c>
      <c r="F1471" t="s">
        <v>9389</v>
      </c>
      <c r="G1471" t="e">
        <f>VLOOKUP($F1471, codebooks_data_reordered!$A:$I, 2, FALSE)</f>
        <v>#N/A</v>
      </c>
      <c r="H1471" t="e">
        <f>VLOOKUP($F1471, codebooks_data_reordered!$A:$I, 3, FALSE)</f>
        <v>#N/A</v>
      </c>
      <c r="I1471" t="e">
        <f>VLOOKUP($F1471, codebooks_data_reordered!$A:$I, 4, FALSE)</f>
        <v>#N/A</v>
      </c>
      <c r="J1471" t="e">
        <f>VLOOKUP($F1471, codebooks_data_reordered!$A:$I, 5, FALSE)</f>
        <v>#N/A</v>
      </c>
      <c r="K1471" t="e">
        <f>VLOOKUP($F1471, codebooks_data_reordered!$A:$I, 6, FALSE)</f>
        <v>#N/A</v>
      </c>
      <c r="L1471" t="e">
        <f>VLOOKUP($F1471, codebooks_data_reordered!$A:$I, 7, FALSE)</f>
        <v>#N/A</v>
      </c>
      <c r="M1471" t="e">
        <f>VLOOKUP($F1471, codebooks_data_reordered!$A:$I, 9, FALSE)</f>
        <v>#N/A</v>
      </c>
      <c r="O1471" t="e">
        <f t="shared" si="22"/>
        <v>#N/A</v>
      </c>
    </row>
    <row r="1472" spans="1:15" ht="115.2" hidden="1" x14ac:dyDescent="0.3">
      <c r="A1472" t="s">
        <v>6813</v>
      </c>
      <c r="B1472" t="s">
        <v>9156</v>
      </c>
      <c r="C1472" s="2" t="s">
        <v>9157</v>
      </c>
      <c r="D1472" t="s">
        <v>5843</v>
      </c>
      <c r="E1472" s="2" t="s">
        <v>9158</v>
      </c>
      <c r="F1472" t="s">
        <v>9390</v>
      </c>
      <c r="G1472" t="e">
        <f>VLOOKUP($F1472, codebooks_data_reordered!$A:$I, 2, FALSE)</f>
        <v>#N/A</v>
      </c>
      <c r="H1472" t="e">
        <f>VLOOKUP($F1472, codebooks_data_reordered!$A:$I, 3, FALSE)</f>
        <v>#N/A</v>
      </c>
      <c r="I1472" t="e">
        <f>VLOOKUP($F1472, codebooks_data_reordered!$A:$I, 4, FALSE)</f>
        <v>#N/A</v>
      </c>
      <c r="J1472" t="e">
        <f>VLOOKUP($F1472, codebooks_data_reordered!$A:$I, 5, FALSE)</f>
        <v>#N/A</v>
      </c>
      <c r="K1472" t="e">
        <f>VLOOKUP($F1472, codebooks_data_reordered!$A:$I, 6, FALSE)</f>
        <v>#N/A</v>
      </c>
      <c r="L1472" t="e">
        <f>VLOOKUP($F1472, codebooks_data_reordered!$A:$I, 7, FALSE)</f>
        <v>#N/A</v>
      </c>
      <c r="M1472" t="e">
        <f>VLOOKUP($F1472, codebooks_data_reordered!$A:$I, 9, FALSE)</f>
        <v>#N/A</v>
      </c>
      <c r="O1472" t="e">
        <f t="shared" si="22"/>
        <v>#N/A</v>
      </c>
    </row>
  </sheetData>
  <phoneticPr fontId="20"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codebooks_data</vt:lpstr>
      <vt:lpstr>codebooks_data_reordered</vt:lpstr>
      <vt:lpstr>comments_data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Yochay Cohen Or</cp:lastModifiedBy>
  <dcterms:created xsi:type="dcterms:W3CDTF">2025-03-27T13:08:36Z</dcterms:created>
  <dcterms:modified xsi:type="dcterms:W3CDTF">2025-04-03T15:20:43Z</dcterms:modified>
</cp:coreProperties>
</file>